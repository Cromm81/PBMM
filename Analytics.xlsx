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U-2" sheetId="3" state="visible" r:id="rId5"/>
    <sheet name="AU-3" sheetId="4" state="visible" r:id="rId6"/>
    <sheet name="AU-3-1" sheetId="5" state="visible" r:id="rId7"/>
    <sheet name="AU-5" sheetId="6" state="visible" r:id="rId8"/>
    <sheet name="AU-9-2" sheetId="7" state="visible" r:id="rId9"/>
    <sheet name="AU-12" sheetId="8" state="visible" r:id="rId10"/>
    <sheet name="CM-2-3" sheetId="9" state="visible" r:id="rId11"/>
    <sheet name="CM-5-1" sheetId="10" state="visible" r:id="rId12"/>
    <sheet name="CM-6" sheetId="11" state="visible" r:id="rId13"/>
    <sheet name="CM-7" sheetId="12" state="visible" r:id="rId14"/>
    <sheet name="CM-7-1" sheetId="13" state="visible" r:id="rId15"/>
    <sheet name="CP-6" sheetId="14" state="visible" r:id="rId16"/>
    <sheet name="CP-6-2" sheetId="15" state="visible" r:id="rId17"/>
    <sheet name="CP-7" sheetId="16" state="visible" r:id="rId18"/>
    <sheet name="CP-7-4" sheetId="17" state="visible" r:id="rId19"/>
    <sheet name="CP-9" sheetId="18" state="visible" r:id="rId20"/>
    <sheet name="CP-9-1" sheetId="19" state="visible" r:id="rId21"/>
    <sheet name="CP-9-2" sheetId="20" state="visible" r:id="rId22"/>
    <sheet name="CP-9-5" sheetId="21" state="visible" r:id="rId23"/>
    <sheet name="CP-10" sheetId="22" state="visible" r:id="rId24"/>
    <sheet name="CP-10-4" sheetId="23" state="visible" r:id="rId25"/>
    <sheet name="SA-9-5" sheetId="24" state="visible" r:id="rId26"/>
    <sheet name="SC-4" sheetId="25" state="visible" r:id="rId27"/>
    <sheet name="SC-13" sheetId="26" state="visible" r:id="rId28"/>
    <sheet name="SC-28" sheetId="27" state="visible" r:id="rId29"/>
    <sheet name="SC-28-1" sheetId="28" state="visible" r:id="rId30"/>
    <sheet name="SI-4-2" sheetId="29" state="visible" r:id="rId31"/>
    <sheet name="SI-6" sheetId="30" state="visible" r:id="rId3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<sst xmlns="http://schemas.openxmlformats.org/spreadsheetml/2006/main" count="1824" uniqueCount="344">
  <si>
    <t xml:space="preserve">DASHBOARD — PBMM Evidence: Analytics</t>
  </si>
  <si>
    <t xml:space="preserve">Control ID</t>
  </si>
  <si>
    <t xml:space="preserve">Control Name</t>
  </si>
  <si>
    <t xml:space="preserve">Primary Tool</t>
  </si>
  <si>
    <t xml:space="preserve">Tab</t>
  </si>
  <si>
    <t xml:space="preserve">Status</t>
  </si>
  <si>
    <t xml:space="preserve">AU-2</t>
  </si>
  <si>
    <t xml:space="preserve">Auditable Events</t>
  </si>
  <si>
    <t xml:space="preserve">AU-3</t>
  </si>
  <si>
    <t xml:space="preserve">Content of Audit Records</t>
  </si>
  <si>
    <t xml:space="preserve">AU-3(1)</t>
  </si>
  <si>
    <t xml:space="preserve">AU-3-1</t>
  </si>
  <si>
    <t xml:space="preserve">AU-5</t>
  </si>
  <si>
    <t xml:space="preserve">Response To Audit Processing Failures</t>
  </si>
  <si>
    <t xml:space="preserve">AU-9(2)</t>
  </si>
  <si>
    <t xml:space="preserve">Protection of Audit Information</t>
  </si>
  <si>
    <t xml:space="preserve">AU-9-2</t>
  </si>
  <si>
    <t xml:space="preserve">AU-12</t>
  </si>
  <si>
    <t xml:space="preserve">Audit Generation</t>
  </si>
  <si>
    <t xml:space="preserve">CM-2(3)</t>
  </si>
  <si>
    <t xml:space="preserve">Baseline Configuration</t>
  </si>
  <si>
    <t xml:space="preserve">CM-2-3</t>
  </si>
  <si>
    <t xml:space="preserve">CM-5(1)</t>
  </si>
  <si>
    <t xml:space="preserve">Access Restrictions for Change</t>
  </si>
  <si>
    <t xml:space="preserve">CM-5-1</t>
  </si>
  <si>
    <t xml:space="preserve">CM-6</t>
  </si>
  <si>
    <t xml:space="preserve">Configuration Settings</t>
  </si>
  <si>
    <t xml:space="preserve">CM-7</t>
  </si>
  <si>
    <t xml:space="preserve">Least Functionality</t>
  </si>
  <si>
    <t xml:space="preserve">CM-7(1)</t>
  </si>
  <si>
    <t xml:space="preserve">CM-7-1</t>
  </si>
  <si>
    <t xml:space="preserve">CP-6</t>
  </si>
  <si>
    <t xml:space="preserve">Alternate Storage Site</t>
  </si>
  <si>
    <t xml:space="preserve">CP-6(2)</t>
  </si>
  <si>
    <t xml:space="preserve">CP-6-2</t>
  </si>
  <si>
    <t xml:space="preserve">CP-7</t>
  </si>
  <si>
    <t xml:space="preserve">Alternate Processing Site</t>
  </si>
  <si>
    <t xml:space="preserve">CP-7(4)</t>
  </si>
  <si>
    <t xml:space="preserve">CP-7-4</t>
  </si>
  <si>
    <t xml:space="preserve">CP-9</t>
  </si>
  <si>
    <t xml:space="preserve">Information System Backup</t>
  </si>
  <si>
    <t xml:space="preserve">CP-9(1)</t>
  </si>
  <si>
    <t xml:space="preserve">CP-9-1</t>
  </si>
  <si>
    <t xml:space="preserve">CP-9(2)</t>
  </si>
  <si>
    <t xml:space="preserve">CP-9-2</t>
  </si>
  <si>
    <t xml:space="preserve">CP-9(5)</t>
  </si>
  <si>
    <t xml:space="preserve">CP-9-5</t>
  </si>
  <si>
    <t xml:space="preserve">CP-10</t>
  </si>
  <si>
    <t xml:space="preserve">Information System Recovery and Reconstitution</t>
  </si>
  <si>
    <t xml:space="preserve">CP-10(4)</t>
  </si>
  <si>
    <t xml:space="preserve">CP-10-4</t>
  </si>
  <si>
    <t xml:space="preserve">SA-9(5)</t>
  </si>
  <si>
    <t xml:space="preserve">External Information System Services</t>
  </si>
  <si>
    <t xml:space="preserve">SA-9-5</t>
  </si>
  <si>
    <t xml:space="preserve">SC-4</t>
  </si>
  <si>
    <t xml:space="preserve">Information in Shared Resources</t>
  </si>
  <si>
    <t xml:space="preserve">SC-13</t>
  </si>
  <si>
    <t xml:space="preserve">Cryptographic Protection</t>
  </si>
  <si>
    <t xml:space="preserve">SC-28</t>
  </si>
  <si>
    <t xml:space="preserve">Protection of Information At Rest</t>
  </si>
  <si>
    <t xml:space="preserve">SC-28(1)</t>
  </si>
  <si>
    <t xml:space="preserve">SC-28-1</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</si>
  <si>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</si>
  <si>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</si>
  <si>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</si>
  <si>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</si>
  <si>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</si>
  <si>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</si>
  <si>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</si>
  <si>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</si>
  <si>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</si>
  <si>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</si>
  <si>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</si>
  <si>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</si>
  <si>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</si>
  <si>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</si>
  <si>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</si>
  <si>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</si>
  <si>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Analytics</t>
  </si>
  <si>
    <t xml:space="preserve">ID Contrôle</t>
  </si>
  <si>
    <t xml:space="preserve">Nom du contrôle</t>
  </si>
  <si>
    <t xml:space="preserve">Outil principal</t>
  </si>
  <si>
    <t xml:space="preserve">Onglet</t>
  </si>
  <si>
    <t xml:space="preserve">Statut</t>
  </si>
  <si>
    <t xml:space="preserve">Événements vérifiables</t>
  </si>
  <si>
    <t xml:space="preserve">Contenu des enregistrements de vérification</t>
  </si>
  <si>
    <t xml:space="preserve">Réponse aux échecs de traitement de vérification</t>
  </si>
  <si>
    <t xml:space="preserve">Protection des renseignements de vérification</t>
  </si>
  <si>
    <t xml:space="preserve">Génération des vérifications</t>
  </si>
  <si>
    <t xml:space="preserve">Configuration de base</t>
  </si>
  <si>
    <t xml:space="preserve">Restrictions d’accès pour les changements</t>
  </si>
  <si>
    <t xml:space="preserve">Paramètres de configuration</t>
  </si>
  <si>
    <t xml:space="preserve">Moindre fonctionnalité</t>
  </si>
  <si>
    <t xml:space="preserve">Site de stockage auxiliaire</t>
  </si>
  <si>
    <t xml:space="preserve">Site de traitement auxiliaire</t>
  </si>
  <si>
    <t xml:space="preserve">Sauvegarde du système d’information</t>
  </si>
  <si>
    <t xml:space="preserve">Reprise et reconstitution du système d’information</t>
  </si>
  <si>
    <t xml:space="preserve">Services de systèmes d’information externes</t>
  </si>
  <si>
    <t xml:space="preserve">Information dans les ressources partagées</t>
  </si>
  <si>
    <t xml:space="preserve">Protection cryptographique</t>
  </si>
  <si>
    <t xml:space="preserve">Protection de l’information inactive</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</si>
  <si>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</si>
  <si>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</si>
  <si>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</si>
  <si>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</si>
  <si>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</si>
  <si>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</si>
  <si>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</si>
  <si>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</si>
  <si>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</si>
  <si>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</si>
  <si>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</si>
  <si>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</si>
  <si>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</si>
  <si>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AU-2 — Evidence Tracking</t>
  </si>
  <si>
    <t xml:space="preserve">Contrôle AU-2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</si>
  <si>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</si>
  <si>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</si>
  <si>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</si>
  <si>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</si>
  <si>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</si>
  <si>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</si>
  <si>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</si>
  <si>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</si>
  <si>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</si>
  <si>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</si>
  <si>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</si>
  <si>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</si>
  <si>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</si>
  <si>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</si>
  <si>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</si>
  <si>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</si>
  <si>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Description du contrôle</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</si>
  <si>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</si>
  <si>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Supplemental Guidance</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</si>
  <si>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</si>
  <si>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Directives supplémentaires</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</si>
  <si>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</si>
  <si>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 Case</t>
  </si>
  <si>
    <t xml:space="preserve">Cas de test</t>
  </si>
  <si>
    <t xml:space="preserve">Test</t>
  </si>
  <si>
    <t xml:space="preserve">TEST-AU-2</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</si>
  <si>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</si>
  <si>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</si>
  <si>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</si>
  <si>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</si>
  <si>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</si>
  <si>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</si>
  <si>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</si>
  <si>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</si>
  <si>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</si>
  <si>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</si>
  <si>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</si>
  <si>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</si>
  <si>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</si>
  <si>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</si>
  <si>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</si>
  <si>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</si>
  <si>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</si>
  <si>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</si>
  <si>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</si>
  <si>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</si>
  <si>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</si>
  <si>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</si>
  <si>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</si>
  <si>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</si>
  <si>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</si>
  <si>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</si>
  <si>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</si>
  <si>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</si>
  <si>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</si>
  <si>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</si>
  <si>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</si>
  <si>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AU-5 — Evidence Tracking</t>
  </si>
  <si>
    <t xml:space="preserve">Contrôle AU-5 — Suivi des preuves</t>
  </si>
  <si>
    <t xml:space="preserve">(A) The information system alerts organization-defined personnel or roles in the event of an audit processing failure; and
(B) The information system overwrites the oldest audit records.</t>
  </si>
  <si>
    <t xml:space="preserve">(A) Le système d’information alerte le personnel ou les rôles définis par l’organisation en cas d’échec de traitement de vérification;
(B) Le système d’information écrase les enregistrements de vérification les plus anciens.</t>
  </si>
  <si>
    <t xml:space="preserve">Audit processing failures include, for example, software/hardware errors, failures in the audit capturing mechanisms, and audit storage capacity being reached or exceeded. Organizations may choose to define additional actions for different audit processing failures (e.g., by type, by location, by severity, or a combination of such factors). This control applies to each audit data storage repository (i.e., distinct information system component where audit records are stored), the total audit storage capacity of organizations (i.e., all audit data storage repositories combined), or both. Related controls: AU-4, SI-12</t>
  </si>
  <si>
    <t xml:space="preserve">Les échecs de traitement de vérification comprennent, par exemple, les erreurs de logiciel ou de matériel, les défaillances des mécanismes de saisie des vérifications et la capacité de stockage atteinte ou dépassée pour les vérifications. Les organisations peuvent choisir de définir des mesures supplémentaires pour différents échecs de traitement de vérification (p. ex., par type, par emplacement, par gravité ou une combinaison de ces facteurs). Ce contrôle s’applique à chaque répertoire de stockage des données de vérification (c.-à -d. à chaque composant distinct du système d’information dans lequel les enregistrements de vérification sont conservés), à la capacité totale de stockage des vérifications des organisations (c.-à-d. tous les répertoires de stockage des données de vérification combinés), ou aux deux. Contrôles connexes : AU-4, SI-12</t>
  </si>
  <si>
    <t xml:space="preserve">TEST-AU-5</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</si>
  <si>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</si>
  <si>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</si>
  <si>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</si>
  <si>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</si>
  <si>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</si>
  <si>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</si>
  <si>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</si>
  <si>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</si>
  <si>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</si>
  <si>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</si>
  <si>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</si>
  <si>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</si>
  <si>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</si>
  <si>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</si>
  <si>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CM-2(3) — Evidence Tracking</t>
  </si>
  <si>
    <t xml:space="preserve">Contrôle CM-2(3) — Suivi des preuves</t>
  </si>
  <si>
    <t xml:space="preserve">BASELINE CONFIGURATION | RETENTION OF PREVIOUS CONFIGURATIONS
The organization retains the two most recent precious versions of baseline configurations of the information system to support rollback.</t>
  </si>
  <si>
    <t xml:space="preserve">CONFIGURATION DE BASE | CONSERVATION DES CONFIGURATIONS PRÉCÉDENTES
L’organisation conserve les deux versions utiles les plus récentes des configurations de base du système d’information pour la prise en charge des reprises.</t>
  </si>
  <si>
    <t xml:space="preserve">Retaining previous versions of baseline configurations to support rollback may include, for example, hardware, software, firmware, configuration files, and configuration records.</t>
  </si>
  <si>
    <t xml:space="preserve">La conservation des versions antérieures des configurations de base pour la prise en charge des reprises peut comprendre, par exemple, le matériel, les logiciels, les micrologiciels, les fichiers de configuration et les enregistrements de configuration.</t>
  </si>
  <si>
    <t xml:space="preserve">TEST-CM-2(3)</t>
  </si>
  <si>
    <t xml:space="preserve">Control CM-5(1) — Evidence Tracking</t>
  </si>
  <si>
    <t xml:space="preserve">Contrôle CM-5(1) — Suivi des preuves</t>
  </si>
  <si>
    <t xml:space="preserve">ACCESS RESTRICTIONS FOR CHANGE | AUTOMATED ACCESS ENFORCEMENT / AUDITING
The information system enforces access restrictions and supports auditing of the enforcement actions.</t>
  </si>
  <si>
    <t xml:space="preserve">RESTRICTIONS D’ACCÈS POUR LES CHANGEMENTS | CONTRÔLE AUTOMATISÉ DE L’ACCÈS/VÉRIFICATION
Le système d’information applique les restrictions d’accès et prend en charge la vérification des contrôles appliqués.</t>
  </si>
  <si>
    <t xml:space="preserve">Related controls: AU-2, AU-12, AU-6, CM-3, and CM-6.</t>
  </si>
  <si>
    <t xml:space="preserve">Contrôles connexes : AU-2, AU-12, AU-6, CM-3 et CM-6.</t>
  </si>
  <si>
    <t xml:space="preserve">TEST-CM-5(1)</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</si>
  <si>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</si>
  <si>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</si>
  <si>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</si>
  <si>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</si>
  <si>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</si>
  <si>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</si>
  <si>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</si>
  <si>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</si>
  <si>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</si>
  <si>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</si>
  <si>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</si>
  <si>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</si>
  <si>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</si>
  <si>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</si>
  <si>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</si>
  <si>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</si>
  <si>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</si>
  <si>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</si>
  <si>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</si>
  <si>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</si>
  <si>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</si>
  <si>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</si>
  <si>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</si>
  <si>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</si>
  <si>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</si>
  <si>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</si>
  <si>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</si>
  <si>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</si>
  <si>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</si>
  <si>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</si>
  <si>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</si>
  <si>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</si>
  <si>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</si>
  <si>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</si>
  <si>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</si>
  <si>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</si>
  <si>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</si>
  <si>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</si>
  <si>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</si>
  <si>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</si>
  <si>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</si>
  <si>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</si>
  <si>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</si>
  <si>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</si>
  <si>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</si>
  <si>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</si>
  <si>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</si>
  <si>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CP-9 — Evidence Tracking</t>
  </si>
  <si>
    <t xml:space="preserve">Contrôle CP-9 — Suivi des preuves</t>
  </si>
  <si>
    <t xml:space="preserve">(A)
The organization conducts backups of user-level information contained in the information system daily incremental; weekly full.
(B)
The organization conducts backups of system-level information contained in the information system daily incremental; weekly full.
(C)
The organization conducts backups of information system documentation including security-related documentation daily incremental; weekly full.
(D)
The organization protects the confidentiality, integrity, and availability of backup information at storage locations.
(AA)
The organization determines retention periods for essential business information and archived backups.</t>
  </si>
  <si>
    <t xml:space="preserve">(A) L’organisation effectue des sauvegardes incrémentielles quotidiennes et des sauvegardes hebdomadaires complètes de l’information au niveau de l’utilisateur qui est contenue dans le système d’information.
(B) L’organisation effectue des sauvegardes incrémentielles quotidiennes et des sauvegardes hebdomadaires complètes de l’information au niveau du système contenue dans le système d’information.
(C) L’organisation effectue des sauvegardes incrémentielles quotidiennes et des sauvegardes hebdomadaires complètes de la documentation relative au système d’information, y compris la documentation liée à la sécurité.
(D) L’organisation protège la confidentialité, l’intégrité et la disponibilité de l’information de sauvegarde aux emplacements de stockage.
(AA) L’organisation détermine les périodes de conservation des renseignements opérationnels essentiels et des sauvegardes archivées.</t>
  </si>
  <si>
    <t xml:space="preserve">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</si>
  <si>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 xml:space="preserve">L’information au niveau du système comprend, par exemple, l’information sur l’état du système, le système d’exploitation, les logiciels d’application et les licences. L’information au niveau de l’utilisateur comprend toute information autre que l’information au niveau du système. Les mécanismes employés par les organisations pour protéger l’intégrité des sauvegardes du système d’information comprennent, par exemple, les signatures numériques et le hachage cryptographique. La protection de l’information de sauvegarde du système pendant le transport dépasse la portée de ce contrôle. Les sauvegardes du système d’information reflètent les exigences des plans d’urgence ainsi que d’autres exigences organisationnelles relatives à la sauvegarde de l’information. Contrôles connexes : CP-2, CP-6, MP-4, MP-5, SC-13</t>
  </si>
  <si>
    <t xml:space="preserve">TEST-CP-9</t>
  </si>
  <si>
    <t xml:space="preserve">Control CP-9(1) — Evidence Tracking</t>
  </si>
  <si>
    <t xml:space="preserve">Contrôle CP-9(1) — Suivi des preuves</t>
  </si>
  <si>
    <t xml:space="preserve">INFORMATION SYSTEM BACKUP | TESTING FOR RELIABILITY / INTEGRITY
The organization tests backup information at least annually to verify media reliability and information integrity.</t>
  </si>
  <si>
    <t xml:space="preserve">SAUVEGARDE DU SYSTÈME D’INFORMATION | VÉRIFICATION DE LA FIABILITÉ ET DE L’INTÉGRITÉ
L’organisation teste l’information de sauvegarde au moins une fois par année pour vérifier la fiabilité des supports et l’intégrité de l’information.</t>
  </si>
  <si>
    <t xml:space="preserve">Related control: CP-4.</t>
  </si>
  <si>
    <t xml:space="preserve">Contrôle connexe : CP-4.</t>
  </si>
  <si>
    <t xml:space="preserve">TEST-CP-9(1)</t>
  </si>
  <si>
    <t xml:space="preserve">Control CP-9(2) — Evidence Tracking</t>
  </si>
  <si>
    <t xml:space="preserve">Contrôle CP-9(2) — Suivi des preuves</t>
  </si>
  <si>
    <t xml:space="preserve">INFORMATION SYSTEM BACKUP | TEST RESTORATION USING SAMPLING
The organization uses a sample of backup information in the restoration of selected information system functions as part of contingency plan testing.</t>
  </si>
  <si>
    <t xml:space="preserve">SAUVEGARDE DU SYSTÈME D’INFORMATION | ESSAIS DE RESTAURATION AU MOYEN DE L’ÉCHANTILLONNAGE
L’organisation utilise un échantillon de l’information de sauvegarde pour restaurer certaines fonctions du système d’information dans le cadre de la mise à l’essai du plan d’urgence.</t>
  </si>
  <si>
    <t xml:space="preserve">TEST-CP-9(2)</t>
  </si>
  <si>
    <t xml:space="preserve">Control CP-9(5) — Evidence Tracking</t>
  </si>
  <si>
    <t xml:space="preserve">Contrôle CP-9(5) — Suivi des preuves</t>
  </si>
  <si>
    <t xml:space="preserve">INFORMATION SYSTEM BACKUP | TRANSFER TO ALTERNATE STORAGE SITE
The organization transfers information system backup information to the alternate storage site at organization-defined time period and transfer rate consistent with the recovery time and recovery point objectives.</t>
  </si>
  <si>
    <t xml:space="preserve">SAUVEGARDE DU SYSTÈME D’INFORMATION | TRANSFERT À UN SITE DE STOCKAGE AUXILIAIRE
L’organisation transfère l’information de sauvegarde du système d’information au site de stockage auxiliaire au moment et à la vitesse de transfert définis par l’organisation conformément aux objectifs en matière de délais et de points de reprise.</t>
  </si>
  <si>
    <t xml:space="preserve">Information system backup information can be transferred to alternate storage sites either electronically or by physical shipment of storage media.</t>
  </si>
  <si>
    <t xml:space="preserve">Les données de sauvegarde du système d’information peuvent être transférées à des sites de stockage auxiliaires par voie électronique ou par envoi physique de supports de stockage.</t>
  </si>
  <si>
    <t xml:space="preserve">TEST-CP-9(5)</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</si>
  <si>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</si>
  <si>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</si>
  <si>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</si>
  <si>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</si>
  <si>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</si>
  <si>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</si>
  <si>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</si>
  <si>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</si>
  <si>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</si>
  <si>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</si>
  <si>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</si>
  <si>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</si>
  <si>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</si>
  <si>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</si>
  <si>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</si>
  <si>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</si>
  <si>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</si>
  <si>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</si>
  <si>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</si>
  <si>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</si>
  <si>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</si>
  <si>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SC-4 — Evidence Tracking</t>
  </si>
  <si>
    <t xml:space="preserve">Contrôle SC-4 — Suivi des preuves</t>
  </si>
  <si>
    <t xml:space="preserve">(A)
The information system prevents unauthorized and unintended information transfer via shared system resources.</t>
  </si>
  <si>
    <t xml:space="preserve">(A) Le système d’information empêche le transfert non autorisé et non intentionnel d’information par le biais des ressources partagées du système.</t>
  </si>
  <si>
    <t xml:space="preserve">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 Related controls: AC-3, AC-4, MP-6</t>
  </si>
  <si>
    <t xml:space="preserve">Ce contrôle empêche l’information, y compris les représentations chiffrées de l’information, produites par les actions des utilisateurs/rôles antérieurs (ou les actions des processus agissant pour le compte des utilisateurs/rôles antérieurs) d’être accessible aux utilisateurs/rôles actuels (ou aux processus actuels) qui obtiennent l’accès aux ressources partagées du système (p. ex., registres, mémoire principale, disques durs) après que ces ressources ont été retournées aux systèmes d’information. Le contrôle de l’information dans les ressources partagées est aussi communément appelé réutilisation d’objets et protection de l’information résiduelle. Ce contrôle ne porte pas sur : (i) la rémanence de l’information qui désigne la représentation résiduelle des données qui ont été nominalement effacées ou supprimées; (ii) les canaux cachés (y compris les canaux de stockage ou de synchronisation) où les ressources partagées sont manipulées pour violer les restrictions de circulation de l’information; ou (iii) les composants des systèmes d’information pour lesquels il n’y a qu’un seul utilisateur/rôle. Contrôles connexes : AC-3, AC-4, MP-6</t>
  </si>
  <si>
    <t xml:space="preserve">TEST-SC-4</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</si>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</sst>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'AU-2'!B20</f>
        <v>Not Started</v>
      </c>
    </row>
    <row r="4" customFormat="false" ht="18" hidden="false" customHeight="true" outlineLevel="0" collapsed="false">
      <c r="A4" s="3" t="s">
        <v>8</v>
      </c>
      <c r="B4" s="4" t="s">
        <v>9</v>
      </c>
      <c r="C4" s="4"/>
      <c r="D4" s="3" t="s">
        <v>8</v>
      </c>
      <c r="E4" s="3" t="str">
        <f aca="false">'AU-3'!B20</f>
        <v>Not Started</v>
      </c>
    </row>
    <row r="5" customFormat="false" ht="18" hidden="false" customHeight="true" outlineLevel="0" collapsed="false">
      <c r="A5" s="3" t="s">
        <v>10</v>
      </c>
      <c r="B5" s="4" t="s">
        <v>9</v>
      </c>
      <c r="C5" s="4"/>
      <c r="D5" s="3" t="s">
        <v>11</v>
      </c>
      <c r="E5" s="3" t="str">
        <f aca="false">'AU-3-1'!B20</f>
        <v>Not Started</v>
      </c>
    </row>
    <row r="6" customFormat="false" ht="18" hidden="false" customHeight="true" outlineLevel="0" collapsed="false">
      <c r="A6" s="3" t="s">
        <v>12</v>
      </c>
      <c r="B6" s="4" t="s">
        <v>13</v>
      </c>
      <c r="C6" s="4"/>
      <c r="D6" s="3" t="s">
        <v>12</v>
      </c>
      <c r="E6" s="3" t="str">
        <f aca="false">'AU-5'!B20</f>
        <v>Not Started</v>
      </c>
    </row>
    <row r="7" customFormat="false" ht="18" hidden="false" customHeight="true" outlineLevel="0" collapsed="false">
      <c r="A7" s="3" t="s">
        <v>14</v>
      </c>
      <c r="B7" s="4" t="s">
        <v>15</v>
      </c>
      <c r="C7" s="4"/>
      <c r="D7" s="3" t="s">
        <v>16</v>
      </c>
      <c r="E7" s="3" t="str">
        <f aca="false">'AU-9-2'!B20</f>
        <v>Not Started</v>
      </c>
    </row>
    <row r="8" customFormat="false" ht="18" hidden="false" customHeight="true" outlineLevel="0" collapsed="false">
      <c r="A8" s="3" t="s">
        <v>17</v>
      </c>
      <c r="B8" s="4" t="s">
        <v>18</v>
      </c>
      <c r="C8" s="4"/>
      <c r="D8" s="3" t="s">
        <v>17</v>
      </c>
      <c r="E8" s="3" t="str">
        <f aca="false">'AU-12'!B20</f>
        <v>Not Started</v>
      </c>
    </row>
    <row r="9" customFormat="false" ht="18" hidden="false" customHeight="true" outlineLevel="0" collapsed="false">
      <c r="A9" s="3" t="s">
        <v>19</v>
      </c>
      <c r="B9" s="4" t="s">
        <v>20</v>
      </c>
      <c r="C9" s="4"/>
      <c r="D9" s="3" t="s">
        <v>21</v>
      </c>
      <c r="E9" s="3" t="str">
        <f aca="false">'CM-2-3'!B20</f>
        <v>Not Started</v>
      </c>
    </row>
    <row r="10" customFormat="false" ht="18" hidden="false" customHeight="true" outlineLevel="0" collapsed="false">
      <c r="A10" s="3" t="s">
        <v>22</v>
      </c>
      <c r="B10" s="4" t="s">
        <v>23</v>
      </c>
      <c r="C10" s="4"/>
      <c r="D10" s="3" t="s">
        <v>24</v>
      </c>
      <c r="E10" s="3" t="str">
        <f aca="false">'CM-5-1'!B20</f>
        <v>Not Started</v>
      </c>
    </row>
    <row r="11" customFormat="false" ht="18" hidden="false" customHeight="true" outlineLevel="0" collapsed="false">
      <c r="A11" s="3" t="s">
        <v>25</v>
      </c>
      <c r="B11" s="4" t="s">
        <v>26</v>
      </c>
      <c r="C11" s="4"/>
      <c r="D11" s="3" t="s">
        <v>25</v>
      </c>
      <c r="E11" s="3" t="str">
        <f aca="false">'CM-6'!B20</f>
        <v>Not Started</v>
      </c>
    </row>
    <row r="12" customFormat="false" ht="18" hidden="false" customHeight="true" outlineLevel="0" collapsed="false">
      <c r="A12" s="3" t="s">
        <v>27</v>
      </c>
      <c r="B12" s="4" t="s">
        <v>28</v>
      </c>
      <c r="C12" s="4"/>
      <c r="D12" s="3" t="s">
        <v>27</v>
      </c>
      <c r="E12" s="3" t="str">
        <f aca="false">'CM-7'!B20</f>
        <v>Not Started</v>
      </c>
    </row>
    <row r="13" customFormat="false" ht="18" hidden="false" customHeight="true" outlineLevel="0" collapsed="false">
      <c r="A13" s="3" t="s">
        <v>29</v>
      </c>
      <c r="B13" s="4" t="s">
        <v>28</v>
      </c>
      <c r="C13" s="4"/>
      <c r="D13" s="3" t="s">
        <v>30</v>
      </c>
      <c r="E13" s="3" t="str">
        <f aca="false">'CM-7-1'!B20</f>
        <v>Not Started</v>
      </c>
    </row>
    <row r="14" customFormat="false" ht="18" hidden="false" customHeight="true" outlineLevel="0" collapsed="false">
      <c r="A14" s="3" t="s">
        <v>31</v>
      </c>
      <c r="B14" s="4" t="s">
        <v>32</v>
      </c>
      <c r="C14" s="4"/>
      <c r="D14" s="3" t="s">
        <v>31</v>
      </c>
      <c r="E14" s="3" t="str">
        <f aca="false">'CP-6'!B20</f>
        <v>Not Started</v>
      </c>
    </row>
    <row r="15" customFormat="false" ht="18" hidden="false" customHeight="true" outlineLevel="0" collapsed="false">
      <c r="A15" s="3" t="s">
        <v>33</v>
      </c>
      <c r="B15" s="4" t="s">
        <v>32</v>
      </c>
      <c r="C15" s="4"/>
      <c r="D15" s="3" t="s">
        <v>34</v>
      </c>
      <c r="E15" s="3" t="str">
        <f aca="false">'CP-6-2'!B20</f>
        <v>Not Started</v>
      </c>
    </row>
    <row r="16" customFormat="false" ht="18" hidden="false" customHeight="true" outlineLevel="0" collapsed="false">
      <c r="A16" s="3" t="s">
        <v>35</v>
      </c>
      <c r="B16" s="4" t="s">
        <v>36</v>
      </c>
      <c r="C16" s="4"/>
      <c r="D16" s="3" t="s">
        <v>35</v>
      </c>
      <c r="E16" s="3" t="str">
        <f aca="false">'CP-7'!B20</f>
        <v>Not Started</v>
      </c>
    </row>
    <row r="17" customFormat="false" ht="18" hidden="false" customHeight="true" outlineLevel="0" collapsed="false">
      <c r="A17" s="3" t="s">
        <v>37</v>
      </c>
      <c r="B17" s="4" t="s">
        <v>36</v>
      </c>
      <c r="C17" s="4"/>
      <c r="D17" s="3" t="s">
        <v>38</v>
      </c>
      <c r="E17" s="3" t="str">
        <f aca="false">'CP-7-4'!B20</f>
        <v>Not Started</v>
      </c>
    </row>
    <row r="18" customFormat="false" ht="18" hidden="false" customHeight="true" outlineLevel="0" collapsed="false">
      <c r="A18" s="3" t="s">
        <v>39</v>
      </c>
      <c r="B18" s="4" t="s">
        <v>40</v>
      </c>
      <c r="C18" s="4"/>
      <c r="D18" s="3" t="s">
        <v>39</v>
      </c>
      <c r="E18" s="3" t="str">
        <f aca="false">'CP-9'!B20</f>
        <v>Not Started</v>
      </c>
    </row>
    <row r="19" customFormat="false" ht="18" hidden="false" customHeight="true" outlineLevel="0" collapsed="false">
      <c r="A19" s="3" t="s">
        <v>41</v>
      </c>
      <c r="B19" s="4" t="s">
        <v>40</v>
      </c>
      <c r="C19" s="4"/>
      <c r="D19" s="3" t="s">
        <v>42</v>
      </c>
      <c r="E19" s="3" t="str">
        <f aca="false">'CP-9-1'!B20</f>
        <v>Not Started</v>
      </c>
    </row>
    <row r="20" customFormat="false" ht="18" hidden="false" customHeight="true" outlineLevel="0" collapsed="false">
      <c r="A20" s="3" t="s">
        <v>43</v>
      </c>
      <c r="B20" s="4" t="s">
        <v>40</v>
      </c>
      <c r="C20" s="4"/>
      <c r="D20" s="3" t="s">
        <v>44</v>
      </c>
      <c r="E20" s="3" t="str">
        <f aca="false">'CP-9-2'!B20</f>
        <v>Not Started</v>
      </c>
    </row>
    <row r="21" customFormat="false" ht="18" hidden="false" customHeight="true" outlineLevel="0" collapsed="false">
      <c r="A21" s="3" t="s">
        <v>45</v>
      </c>
      <c r="B21" s="4" t="s">
        <v>40</v>
      </c>
      <c r="C21" s="4"/>
      <c r="D21" s="3" t="s">
        <v>46</v>
      </c>
      <c r="E21" s="3" t="str">
        <f aca="false">'CP-9-5'!B20</f>
        <v>Not Started</v>
      </c>
    </row>
    <row r="22" customFormat="false" ht="18" hidden="false" customHeight="true" outlineLevel="0" collapsed="false">
      <c r="A22" s="3" t="s">
        <v>47</v>
      </c>
      <c r="B22" s="4" t="s">
        <v>48</v>
      </c>
      <c r="C22" s="4"/>
      <c r="D22" s="3" t="s">
        <v>47</v>
      </c>
      <c r="E22" s="3" t="str">
        <f aca="false">'CP-10'!B20</f>
        <v>Not Started</v>
      </c>
    </row>
    <row r="23" customFormat="false" ht="18" hidden="false" customHeight="true" outlineLevel="0" collapsed="false">
      <c r="A23" s="3" t="s">
        <v>49</v>
      </c>
      <c r="B23" s="4" t="s">
        <v>48</v>
      </c>
      <c r="C23" s="4"/>
      <c r="D23" s="3" t="s">
        <v>50</v>
      </c>
      <c r="E23" s="3" t="str">
        <f aca="false">'CP-10-4'!B20</f>
        <v>Not Started</v>
      </c>
    </row>
    <row r="24" customFormat="false" ht="18" hidden="false" customHeight="true" outlineLevel="0" collapsed="false">
      <c r="A24" s="3" t="s">
        <v>51</v>
      </c>
      <c r="B24" s="4" t="s">
        <v>52</v>
      </c>
      <c r="C24" s="4"/>
      <c r="D24" s="3" t="s">
        <v>53</v>
      </c>
      <c r="E24" s="3" t="str">
        <f aca="false">'SA-9-5'!B20</f>
        <v>Not Started</v>
      </c>
    </row>
    <row r="25" customFormat="false" ht="18" hidden="false" customHeight="true" outlineLevel="0" collapsed="false">
      <c r="A25" s="3" t="s">
        <v>54</v>
      </c>
      <c r="B25" s="4" t="s">
        <v>55</v>
      </c>
      <c r="C25" s="4"/>
      <c r="D25" s="3" t="s">
        <v>54</v>
      </c>
      <c r="E25" s="3" t="str">
        <f aca="false">'SC-4'!B20</f>
        <v>Not Started</v>
      </c>
    </row>
    <row r="26" customFormat="false" ht="18" hidden="false" customHeight="true" outlineLevel="0" collapsed="false">
      <c r="A26" s="3" t="s">
        <v>56</v>
      </c>
      <c r="B26" s="4" t="s">
        <v>57</v>
      </c>
      <c r="C26" s="4"/>
      <c r="D26" s="3" t="s">
        <v>56</v>
      </c>
      <c r="E26" s="3" t="str">
        <f aca="false">'SC-13'!B20</f>
        <v>Not Started</v>
      </c>
    </row>
    <row r="27" customFormat="false" ht="18" hidden="false" customHeight="true" outlineLevel="0" collapsed="false">
      <c r="A27" s="3" t="s">
        <v>58</v>
      </c>
      <c r="B27" s="4" t="s">
        <v>59</v>
      </c>
      <c r="C27" s="4"/>
      <c r="D27" s="3" t="s">
        <v>58</v>
      </c>
      <c r="E27" s="3" t="str">
        <f aca="false">'SC-28'!B20</f>
        <v>Not Started</v>
      </c>
    </row>
    <row r="28" customFormat="false" ht="18" hidden="false" customHeight="true" outlineLevel="0" collapsed="false">
      <c r="A28" s="3" t="s">
        <v>60</v>
      </c>
      <c r="B28" s="4" t="s">
        <v>59</v>
      </c>
      <c r="C28" s="4"/>
      <c r="D28" s="3" t="s">
        <v>61</v>
      </c>
      <c r="E28" s="3" t="str">
        <f aca="false">'SC-28-1'!B20</f>
        <v>Not Started</v>
      </c>
    </row>
    <row r="29" customFormat="false" ht="18" hidden="false" customHeight="true" outlineLevel="0" collapsed="false">
      <c r="A29" s="3" t="s">
        <v>62</v>
      </c>
      <c r="B29" s="4" t="s">
        <v>63</v>
      </c>
      <c r="C29" s="4"/>
      <c r="D29" s="3" t="s">
        <v>64</v>
      </c>
      <c r="E29" s="3" t="str">
        <f aca="false">'SI-4-2'!B20</f>
        <v>Not Started</v>
      </c>
    </row>
    <row r="30" customFormat="false" ht="18" hidden="false" customHeight="true" outlineLevel="0" collapsed="false">
      <c r="A30" s="3" t="s">
        <v>65</v>
      </c>
      <c r="B30" s="4" t="s">
        <v>66</v>
      </c>
      <c r="C30" s="4"/>
      <c r="D30" s="3" t="s">
        <v>65</v>
      </c>
      <c r="E30" s="3" t="str">
        <f aca="false">'SI-6'!B20</f>
        <v>Not Started</v>
      </c>
    </row>
    <row r="32" customFormat="false" ht="21.75" hidden="false" customHeight="true" outlineLevel="0" collapsed="false">
      <c r="A32" s="5" t="s">
        <v>67</v>
      </c>
      <c r="B32" s="5"/>
      <c r="C32" s="5"/>
      <c r="D32" s="5"/>
      <c r="E32" s="5"/>
    </row>
    <row r="33" customFormat="false" ht="19.5" hidden="false" customHeight="true" outlineLevel="0" collapsed="false">
      <c r="A33" s="6" t="s">
        <v>68</v>
      </c>
      <c r="B33" s="6"/>
      <c r="C33" s="6"/>
      <c r="D33" s="6"/>
      <c r="E33" s="7" t="n">
        <f aca="false">28</f>
        <v>28</v>
      </c>
    </row>
    <row r="34" customFormat="false" ht="19.5" hidden="false" customHeight="true" outlineLevel="0" collapsed="false">
      <c r="A34" s="6" t="s">
        <v>69</v>
      </c>
      <c r="B34" s="6"/>
      <c r="C34" s="6"/>
      <c r="D34" s="6"/>
      <c r="E34" s="7" t="n">
        <f aca="false">COUNTIF(E3:E30,"Not Started")</f>
        <v>28</v>
      </c>
    </row>
    <row r="35" customFormat="false" ht="19.5" hidden="false" customHeight="true" outlineLevel="0" collapsed="false">
      <c r="A35" s="6" t="s">
        <v>70</v>
      </c>
      <c r="B35" s="6"/>
      <c r="C35" s="6"/>
      <c r="D35" s="6"/>
      <c r="E35" s="7" t="n">
        <f aca="false">COUNTIF(E3:E30,"In Progress")</f>
        <v>0</v>
      </c>
    </row>
    <row r="36" customFormat="false" ht="19.5" hidden="false" customHeight="true" outlineLevel="0" collapsed="false">
      <c r="A36" s="6" t="s">
        <v>71</v>
      </c>
      <c r="B36" s="6"/>
      <c r="C36" s="6"/>
      <c r="D36" s="6"/>
      <c r="E36" s="7" t="n">
        <f aca="false">COUNTIF(E3:E30,"Evidence Provided")</f>
        <v>0</v>
      </c>
    </row>
    <row r="37" customFormat="false" ht="19.5" hidden="false" customHeight="true" outlineLevel="0" collapsed="false">
      <c r="A37" s="6" t="s">
        <v>72</v>
      </c>
      <c r="B37" s="6"/>
      <c r="C37" s="6"/>
      <c r="D37" s="6"/>
      <c r="E37" s="7" t="n">
        <f aca="false">COUNTIF(E3:E30,"Under Review")</f>
        <v>0</v>
      </c>
    </row>
    <row r="38" customFormat="false" ht="19.5" hidden="false" customHeight="true" outlineLevel="0" collapsed="false">
      <c r="A38" s="6" t="s">
        <v>73</v>
      </c>
      <c r="B38" s="6"/>
      <c r="C38" s="6"/>
      <c r="D38" s="6"/>
      <c r="E38" s="7" t="n">
        <f aca="false">COUNTIF(E3:E30,"Passed")</f>
        <v>0</v>
      </c>
    </row>
    <row r="39" customFormat="false" ht="19.5" hidden="false" customHeight="true" outlineLevel="0" collapsed="false">
      <c r="A39" s="6" t="s">
        <v>74</v>
      </c>
      <c r="B39" s="6"/>
      <c r="C39" s="6"/>
      <c r="D39" s="6"/>
      <c r="E39" s="7" t="n">
        <f aca="false">COUNTIF(E3:E30,"Failed")</f>
        <v>0</v>
      </c>
    </row>
    <row r="40" customFormat="false" ht="19.5" hidden="false" customHeight="true" outlineLevel="0" collapsed="false">
      <c r="A40" s="6" t="s">
        <v>75</v>
      </c>
      <c r="B40" s="6"/>
      <c r="C40" s="6"/>
      <c r="D40" s="6"/>
      <c r="E40" s="7" t="n">
        <f aca="false">COUNTIF(E3:E30,"Accepted Exception")</f>
        <v>0</v>
      </c>
    </row>
    <row r="41" customFormat="false" ht="19.5" hidden="false" customHeight="true" outlineLevel="0" collapsed="false">
      <c r="A41" s="6" t="s">
        <v>76</v>
      </c>
      <c r="B41" s="6"/>
      <c r="C41" s="6"/>
      <c r="D41" s="6"/>
      <c r="E41" s="8" t="n">
        <f aca="false">IFERROR(COUNTIF(E3:E30,"Passed")/28,0)</f>
        <v>0</v>
      </c>
    </row>
    <row r="42" customFormat="false" ht="19.5" hidden="false" customHeight="true" outlineLevel="0" collapsed="false">
      <c r="A42" s="6" t="s">
        <v>77</v>
      </c>
      <c r="B42" s="6"/>
      <c r="C42" s="6"/>
      <c r="D42" s="6"/>
      <c r="E42" s="8" t="n">
        <f aca="false">IFERROR(COUNTIF(E3:E30,"Not Started")/28,0)</f>
        <v>1</v>
      </c>
    </row>
  </sheetData>
  <mergeCells count="12">
    <mergeCell ref="A1:E1"/>
    <mergeCell ref="A32:E32"/>
    <mergeCell ref="A33:D33"/>
    <mergeCell ref="A34:D34"/>
    <mergeCell ref="A35:D35"/>
    <mergeCell ref="A36:D36"/>
    <mergeCell ref="A37:D37"/>
    <mergeCell ref="A38:D38"/>
    <mergeCell ref="A39:D39"/>
    <mergeCell ref="A40:D40"/>
    <mergeCell ref="A41:D41"/>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78</v>
      </c>
      <c r="B1" s="1"/>
      <c r="C1" s="1"/>
      <c r="D1" s="1"/>
      <c r="E1" s="1"/>
    </row>
    <row r="2" customFormat="false" ht="21.75" hidden="false" customHeight="true" outlineLevel="0" collapsed="false">
      <c r="A2" s="2" t="s">
        <v>79</v>
      </c>
      <c r="B2" s="2" t="s">
        <v>80</v>
      </c>
      <c r="C2" s="2" t="s">
        <v>81</v>
      </c>
      <c r="D2" s="2" t="s">
        <v>82</v>
      </c>
      <c r="E2" s="2" t="s">
        <v>83</v>
      </c>
    </row>
    <row r="3" customFormat="false" ht="18" hidden="false" customHeight="true" outlineLevel="0" collapsed="false">
      <c r="A3" s="3" t="s">
        <v>6</v>
      </c>
      <c r="B3" s="4" t="s">
        <v>84</v>
      </c>
      <c r="C3" s="4"/>
      <c r="D3" s="3" t="s">
        <v>6</v>
      </c>
      <c r="E3" s="3" t="str">
        <f aca="false">'AU-2'!E20</f>
        <v>Non commencé</v>
      </c>
    </row>
    <row r="4" customFormat="false" ht="18" hidden="false" customHeight="true" outlineLevel="0" collapsed="false">
      <c r="A4" s="3" t="s">
        <v>8</v>
      </c>
      <c r="B4" s="4" t="s">
        <v>85</v>
      </c>
      <c r="C4" s="4"/>
      <c r="D4" s="3" t="s">
        <v>8</v>
      </c>
      <c r="E4" s="3" t="str">
        <f aca="false">'AU-3'!E20</f>
        <v>Non commencé</v>
      </c>
    </row>
    <row r="5" customFormat="false" ht="18" hidden="false" customHeight="true" outlineLevel="0" collapsed="false">
      <c r="A5" s="3" t="s">
        <v>10</v>
      </c>
      <c r="B5" s="4" t="s">
        <v>85</v>
      </c>
      <c r="C5" s="4"/>
      <c r="D5" s="3" t="s">
        <v>11</v>
      </c>
      <c r="E5" s="3" t="str">
        <f aca="false">'AU-3-1'!E20</f>
        <v>Non commencé</v>
      </c>
    </row>
    <row r="6" customFormat="false" ht="18" hidden="false" customHeight="true" outlineLevel="0" collapsed="false">
      <c r="A6" s="3" t="s">
        <v>12</v>
      </c>
      <c r="B6" s="4" t="s">
        <v>86</v>
      </c>
      <c r="C6" s="4"/>
      <c r="D6" s="3" t="s">
        <v>12</v>
      </c>
      <c r="E6" s="3" t="str">
        <f aca="false">'AU-5'!E20</f>
        <v>Non commencé</v>
      </c>
    </row>
    <row r="7" customFormat="false" ht="18" hidden="false" customHeight="true" outlineLevel="0" collapsed="false">
      <c r="A7" s="3" t="s">
        <v>14</v>
      </c>
      <c r="B7" s="4" t="s">
        <v>87</v>
      </c>
      <c r="C7" s="4"/>
      <c r="D7" s="3" t="s">
        <v>16</v>
      </c>
      <c r="E7" s="3" t="str">
        <f aca="false">'AU-9-2'!E20</f>
        <v>Non commencé</v>
      </c>
    </row>
    <row r="8" customFormat="false" ht="18" hidden="false" customHeight="true" outlineLevel="0" collapsed="false">
      <c r="A8" s="3" t="s">
        <v>17</v>
      </c>
      <c r="B8" s="4" t="s">
        <v>88</v>
      </c>
      <c r="C8" s="4"/>
      <c r="D8" s="3" t="s">
        <v>17</v>
      </c>
      <c r="E8" s="3" t="str">
        <f aca="false">'AU-12'!E20</f>
        <v>Non commencé</v>
      </c>
    </row>
    <row r="9" customFormat="false" ht="18" hidden="false" customHeight="true" outlineLevel="0" collapsed="false">
      <c r="A9" s="3" t="s">
        <v>19</v>
      </c>
      <c r="B9" s="4" t="s">
        <v>89</v>
      </c>
      <c r="C9" s="4"/>
      <c r="D9" s="3" t="s">
        <v>21</v>
      </c>
      <c r="E9" s="3" t="str">
        <f aca="false">'CM-2-3'!E20</f>
        <v>Non commencé</v>
      </c>
    </row>
    <row r="10" customFormat="false" ht="18" hidden="false" customHeight="true" outlineLevel="0" collapsed="false">
      <c r="A10" s="3" t="s">
        <v>22</v>
      </c>
      <c r="B10" s="4" t="s">
        <v>90</v>
      </c>
      <c r="C10" s="4"/>
      <c r="D10" s="3" t="s">
        <v>24</v>
      </c>
      <c r="E10" s="3" t="str">
        <f aca="false">'CM-5-1'!E20</f>
        <v>Non commencé</v>
      </c>
    </row>
    <row r="11" customFormat="false" ht="18" hidden="false" customHeight="true" outlineLevel="0" collapsed="false">
      <c r="A11" s="3" t="s">
        <v>25</v>
      </c>
      <c r="B11" s="4" t="s">
        <v>91</v>
      </c>
      <c r="C11" s="4"/>
      <c r="D11" s="3" t="s">
        <v>25</v>
      </c>
      <c r="E11" s="3" t="str">
        <f aca="false">'CM-6'!E20</f>
        <v>Non commencé</v>
      </c>
    </row>
    <row r="12" customFormat="false" ht="18" hidden="false" customHeight="true" outlineLevel="0" collapsed="false">
      <c r="A12" s="3" t="s">
        <v>27</v>
      </c>
      <c r="B12" s="4" t="s">
        <v>92</v>
      </c>
      <c r="C12" s="4"/>
      <c r="D12" s="3" t="s">
        <v>27</v>
      </c>
      <c r="E12" s="3" t="str">
        <f aca="false">'CM-7'!E20</f>
        <v>Non commencé</v>
      </c>
    </row>
    <row r="13" customFormat="false" ht="18" hidden="false" customHeight="true" outlineLevel="0" collapsed="false">
      <c r="A13" s="3" t="s">
        <v>29</v>
      </c>
      <c r="B13" s="4" t="s">
        <v>92</v>
      </c>
      <c r="C13" s="4"/>
      <c r="D13" s="3" t="s">
        <v>30</v>
      </c>
      <c r="E13" s="3" t="str">
        <f aca="false">'CM-7-1'!E20</f>
        <v>Non commencé</v>
      </c>
    </row>
    <row r="14" customFormat="false" ht="18" hidden="false" customHeight="true" outlineLevel="0" collapsed="false">
      <c r="A14" s="3" t="s">
        <v>31</v>
      </c>
      <c r="B14" s="4" t="s">
        <v>93</v>
      </c>
      <c r="C14" s="4"/>
      <c r="D14" s="3" t="s">
        <v>31</v>
      </c>
      <c r="E14" s="3" t="str">
        <f aca="false">'CP-6'!E20</f>
        <v>Non commencé</v>
      </c>
    </row>
    <row r="15" customFormat="false" ht="18" hidden="false" customHeight="true" outlineLevel="0" collapsed="false">
      <c r="A15" s="3" t="s">
        <v>33</v>
      </c>
      <c r="B15" s="4" t="s">
        <v>93</v>
      </c>
      <c r="C15" s="4"/>
      <c r="D15" s="3" t="s">
        <v>34</v>
      </c>
      <c r="E15" s="3" t="str">
        <f aca="false">'CP-6-2'!E20</f>
        <v>Non commencé</v>
      </c>
    </row>
    <row r="16" customFormat="false" ht="18" hidden="false" customHeight="true" outlineLevel="0" collapsed="false">
      <c r="A16" s="3" t="s">
        <v>35</v>
      </c>
      <c r="B16" s="4" t="s">
        <v>94</v>
      </c>
      <c r="C16" s="4"/>
      <c r="D16" s="3" t="s">
        <v>35</v>
      </c>
      <c r="E16" s="3" t="str">
        <f aca="false">'CP-7'!E20</f>
        <v>Non commencé</v>
      </c>
    </row>
    <row r="17" customFormat="false" ht="18" hidden="false" customHeight="true" outlineLevel="0" collapsed="false">
      <c r="A17" s="3" t="s">
        <v>37</v>
      </c>
      <c r="B17" s="4" t="s">
        <v>94</v>
      </c>
      <c r="C17" s="4"/>
      <c r="D17" s="3" t="s">
        <v>38</v>
      </c>
      <c r="E17" s="3" t="str">
        <f aca="false">'CP-7-4'!E20</f>
        <v>Non commencé</v>
      </c>
    </row>
    <row r="18" customFormat="false" ht="18" hidden="false" customHeight="true" outlineLevel="0" collapsed="false">
      <c r="A18" s="3" t="s">
        <v>39</v>
      </c>
      <c r="B18" s="4" t="s">
        <v>95</v>
      </c>
      <c r="C18" s="4"/>
      <c r="D18" s="3" t="s">
        <v>39</v>
      </c>
      <c r="E18" s="3" t="str">
        <f aca="false">'CP-9'!E20</f>
        <v>Non commencé</v>
      </c>
    </row>
    <row r="19" customFormat="false" ht="18" hidden="false" customHeight="true" outlineLevel="0" collapsed="false">
      <c r="A19" s="3" t="s">
        <v>41</v>
      </c>
      <c r="B19" s="4" t="s">
        <v>95</v>
      </c>
      <c r="C19" s="4"/>
      <c r="D19" s="3" t="s">
        <v>42</v>
      </c>
      <c r="E19" s="3" t="str">
        <f aca="false">'CP-9-1'!E20</f>
        <v>Non commencé</v>
      </c>
    </row>
    <row r="20" customFormat="false" ht="18" hidden="false" customHeight="true" outlineLevel="0" collapsed="false">
      <c r="A20" s="3" t="s">
        <v>43</v>
      </c>
      <c r="B20" s="4" t="s">
        <v>95</v>
      </c>
      <c r="C20" s="4"/>
      <c r="D20" s="3" t="s">
        <v>44</v>
      </c>
      <c r="E20" s="3" t="str">
        <f aca="false">'CP-9-2'!E20</f>
        <v>Non commencé</v>
      </c>
    </row>
    <row r="21" customFormat="false" ht="18" hidden="false" customHeight="true" outlineLevel="0" collapsed="false">
      <c r="A21" s="3" t="s">
        <v>45</v>
      </c>
      <c r="B21" s="4" t="s">
        <v>95</v>
      </c>
      <c r="C21" s="4"/>
      <c r="D21" s="3" t="s">
        <v>46</v>
      </c>
      <c r="E21" s="3" t="str">
        <f aca="false">'CP-9-5'!E20</f>
        <v>Non commencé</v>
      </c>
    </row>
    <row r="22" customFormat="false" ht="18" hidden="false" customHeight="true" outlineLevel="0" collapsed="false">
      <c r="A22" s="3" t="s">
        <v>47</v>
      </c>
      <c r="B22" s="4" t="s">
        <v>96</v>
      </c>
      <c r="C22" s="4"/>
      <c r="D22" s="3" t="s">
        <v>47</v>
      </c>
      <c r="E22" s="3" t="str">
        <f aca="false">'CP-10'!E20</f>
        <v>Non commencé</v>
      </c>
    </row>
    <row r="23" customFormat="false" ht="18" hidden="false" customHeight="true" outlineLevel="0" collapsed="false">
      <c r="A23" s="3" t="s">
        <v>49</v>
      </c>
      <c r="B23" s="4" t="s">
        <v>96</v>
      </c>
      <c r="C23" s="4"/>
      <c r="D23" s="3" t="s">
        <v>50</v>
      </c>
      <c r="E23" s="3" t="str">
        <f aca="false">'CP-10-4'!E20</f>
        <v>Non commencé</v>
      </c>
    </row>
    <row r="24" customFormat="false" ht="18" hidden="false" customHeight="true" outlineLevel="0" collapsed="false">
      <c r="A24" s="3" t="s">
        <v>51</v>
      </c>
      <c r="B24" s="4" t="s">
        <v>97</v>
      </c>
      <c r="C24" s="4"/>
      <c r="D24" s="3" t="s">
        <v>53</v>
      </c>
      <c r="E24" s="3" t="str">
        <f aca="false">'SA-9-5'!E20</f>
        <v>Non commencé</v>
      </c>
    </row>
    <row r="25" customFormat="false" ht="18" hidden="false" customHeight="true" outlineLevel="0" collapsed="false">
      <c r="A25" s="3" t="s">
        <v>54</v>
      </c>
      <c r="B25" s="4" t="s">
        <v>98</v>
      </c>
      <c r="C25" s="4"/>
      <c r="D25" s="3" t="s">
        <v>54</v>
      </c>
      <c r="E25" s="3" t="str">
        <f aca="false">'SC-4'!E20</f>
        <v>Non commencé</v>
      </c>
    </row>
    <row r="26" customFormat="false" ht="18" hidden="false" customHeight="true" outlineLevel="0" collapsed="false">
      <c r="A26" s="3" t="s">
        <v>56</v>
      </c>
      <c r="B26" s="4" t="s">
        <v>99</v>
      </c>
      <c r="C26" s="4"/>
      <c r="D26" s="3" t="s">
        <v>56</v>
      </c>
      <c r="E26" s="3" t="str">
        <f aca="false">'SC-13'!E20</f>
        <v>Non commencé</v>
      </c>
    </row>
    <row r="27" customFormat="false" ht="18" hidden="false" customHeight="true" outlineLevel="0" collapsed="false">
      <c r="A27" s="3" t="s">
        <v>58</v>
      </c>
      <c r="B27" s="4" t="s">
        <v>100</v>
      </c>
      <c r="C27" s="4"/>
      <c r="D27" s="3" t="s">
        <v>58</v>
      </c>
      <c r="E27" s="3" t="str">
        <f aca="false">'SC-28'!E20</f>
        <v>Non commencé</v>
      </c>
    </row>
    <row r="28" customFormat="false" ht="18" hidden="false" customHeight="true" outlineLevel="0" collapsed="false">
      <c r="A28" s="3" t="s">
        <v>60</v>
      </c>
      <c r="B28" s="4" t="s">
        <v>100</v>
      </c>
      <c r="C28" s="4"/>
      <c r="D28" s="3" t="s">
        <v>61</v>
      </c>
      <c r="E28" s="3" t="str">
        <f aca="false">'SC-28-1'!E20</f>
        <v>Non commencé</v>
      </c>
    </row>
    <row r="29" customFormat="false" ht="18" hidden="false" customHeight="true" outlineLevel="0" collapsed="false">
      <c r="A29" s="3" t="s">
        <v>62</v>
      </c>
      <c r="B29" s="4" t="s">
        <v>101</v>
      </c>
      <c r="C29" s="4"/>
      <c r="D29" s="3" t="s">
        <v>64</v>
      </c>
      <c r="E29" s="3" t="str">
        <f aca="false">'SI-4-2'!E20</f>
        <v>Non commencé</v>
      </c>
    </row>
    <row r="30" customFormat="false" ht="18" hidden="false" customHeight="true" outlineLevel="0" collapsed="false">
      <c r="A30" s="3" t="s">
        <v>65</v>
      </c>
      <c r="B30" s="4" t="s">
        <v>102</v>
      </c>
      <c r="C30" s="4"/>
      <c r="D30" s="3" t="s">
        <v>65</v>
      </c>
      <c r="E30" s="3" t="str">
        <f aca="false">'SI-6'!E20</f>
        <v>Non commencé</v>
      </c>
    </row>
    <row r="32" customFormat="false" ht="21.75" hidden="false" customHeight="true" outlineLevel="0" collapsed="false">
      <c r="A32" s="5" t="s">
        <v>103</v>
      </c>
      <c r="B32" s="5"/>
      <c r="C32" s="5"/>
      <c r="D32" s="5"/>
      <c r="E32" s="5"/>
    </row>
    <row r="33" customFormat="false" ht="19.5" hidden="false" customHeight="true" outlineLevel="0" collapsed="false">
      <c r="A33" s="6" t="s">
        <v>104</v>
      </c>
      <c r="B33" s="6"/>
      <c r="C33" s="6"/>
      <c r="D33" s="6"/>
      <c r="E33" s="7" t="n">
        <f aca="false">28</f>
        <v>28</v>
      </c>
    </row>
    <row r="34" customFormat="false" ht="19.5" hidden="false" customHeight="true" outlineLevel="0" collapsed="false">
      <c r="A34" s="6" t="s">
        <v>105</v>
      </c>
      <c r="B34" s="6"/>
      <c r="C34" s="6"/>
      <c r="D34" s="6"/>
      <c r="E34" s="7" t="n">
        <f aca="false">COUNTIF(E3:E30,"Non commencé")</f>
        <v>28</v>
      </c>
    </row>
    <row r="35" customFormat="false" ht="19.5" hidden="false" customHeight="true" outlineLevel="0" collapsed="false">
      <c r="A35" s="6" t="s">
        <v>106</v>
      </c>
      <c r="B35" s="6"/>
      <c r="C35" s="6"/>
      <c r="D35" s="6"/>
      <c r="E35" s="7" t="n">
        <f aca="false">COUNTIF(E3:E30,"En cours")</f>
        <v>0</v>
      </c>
    </row>
    <row r="36" customFormat="false" ht="19.5" hidden="false" customHeight="true" outlineLevel="0" collapsed="false">
      <c r="A36" s="6" t="s">
        <v>107</v>
      </c>
      <c r="B36" s="6"/>
      <c r="C36" s="6"/>
      <c r="D36" s="6"/>
      <c r="E36" s="7" t="n">
        <f aca="false">COUNTIF(E3:E30,"Preuve fournie")</f>
        <v>0</v>
      </c>
    </row>
    <row r="37" customFormat="false" ht="19.5" hidden="false" customHeight="true" outlineLevel="0" collapsed="false">
      <c r="A37" s="6" t="s">
        <v>108</v>
      </c>
      <c r="B37" s="6"/>
      <c r="C37" s="6"/>
      <c r="D37" s="6"/>
      <c r="E37" s="7" t="n">
        <f aca="false">COUNTIF(E3:E30,"En révision")</f>
        <v>0</v>
      </c>
    </row>
    <row r="38" customFormat="false" ht="19.5" hidden="false" customHeight="true" outlineLevel="0" collapsed="false">
      <c r="A38" s="6" t="s">
        <v>109</v>
      </c>
      <c r="B38" s="6"/>
      <c r="C38" s="6"/>
      <c r="D38" s="6"/>
      <c r="E38" s="7" t="n">
        <f aca="false">COUNTIF(E3:E30,"Réussi")</f>
        <v>0</v>
      </c>
    </row>
    <row r="39" customFormat="false" ht="19.5" hidden="false" customHeight="true" outlineLevel="0" collapsed="false">
      <c r="A39" s="6" t="s">
        <v>110</v>
      </c>
      <c r="B39" s="6"/>
      <c r="C39" s="6"/>
      <c r="D39" s="6"/>
      <c r="E39" s="7" t="n">
        <f aca="false">COUNTIF(E3:E30,"Échec")</f>
        <v>0</v>
      </c>
    </row>
    <row r="40" customFormat="false" ht="19.5" hidden="false" customHeight="true" outlineLevel="0" collapsed="false">
      <c r="A40" s="6" t="s">
        <v>111</v>
      </c>
      <c r="B40" s="6"/>
      <c r="C40" s="6"/>
      <c r="D40" s="6"/>
      <c r="E40" s="7" t="n">
        <f aca="false">COUNTIF(E3:E30,"Exception acceptée")</f>
        <v>0</v>
      </c>
    </row>
    <row r="41" customFormat="false" ht="19.5" hidden="false" customHeight="true" outlineLevel="0" collapsed="false">
      <c r="A41" s="6" t="s">
        <v>112</v>
      </c>
      <c r="B41" s="6"/>
      <c r="C41" s="6"/>
      <c r="D41" s="6"/>
      <c r="E41" s="8" t="n">
        <f aca="false">IFERROR(COUNTIF(E3:E30,"Réussi")/28,0)</f>
        <v>0</v>
      </c>
    </row>
    <row r="42" customFormat="false" ht="19.5" hidden="false" customHeight="true" outlineLevel="0" collapsed="false">
      <c r="A42" s="6" t="s">
        <v>113</v>
      </c>
      <c r="B42" s="6"/>
      <c r="C42" s="6"/>
      <c r="D42" s="6"/>
      <c r="E42" s="8" t="n">
        <f aca="false">IFERROR(COUNTIF(E3:E30,"Non commencé")/28,0)</f>
        <v>1</v>
      </c>
    </row>
  </sheetData>
  <mergeCells count="12">
    <mergeCell ref="A1:E1"/>
    <mergeCell ref="A32:E32"/>
    <mergeCell ref="A33:D33"/>
    <mergeCell ref="A34:D34"/>
    <mergeCell ref="A35:D35"/>
    <mergeCell ref="A36:D36"/>
    <mergeCell ref="A37:D37"/>
    <mergeCell ref="A38:D38"/>
    <mergeCell ref="A39:D39"/>
    <mergeCell ref="A40:D40"/>
    <mergeCell ref="A41:D41"/>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114</v>
      </c>
      <c r="B1" s="9"/>
      <c r="D1" s="9" t="s">
        <v>115</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6</v>
      </c>
      <c r="D3" s="11" t="s">
        <v>119</v>
      </c>
      <c r="E3" s="12" t="s">
        <v>6</v>
      </c>
    </row>
    <row r="4" customFormat="false" ht="21.75" hidden="false" customHeight="true" outlineLevel="0" collapsed="false">
      <c r="A4" s="11" t="s">
        <v>120</v>
      </c>
      <c r="B4" s="12" t="s">
        <v>7</v>
      </c>
      <c r="D4" s="11" t="s">
        <v>121</v>
      </c>
      <c r="E4" s="12" t="s">
        <v>84</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234" hidden="false" customHeight="true" outlineLevel="0" collapsed="false">
      <c r="A8" s="11" t="s">
        <v>130</v>
      </c>
      <c r="B8" s="12" t="s">
        <v>131</v>
      </c>
      <c r="D8" s="11" t="s">
        <v>132</v>
      </c>
      <c r="E8" s="12" t="s">
        <v>133</v>
      </c>
    </row>
    <row r="9" customFormat="false" ht="300" hidden="false" customHeight="true" outlineLevel="0" collapsed="false">
      <c r="A9" s="11" t="s">
        <v>134</v>
      </c>
      <c r="B9" s="12" t="s">
        <v>135</v>
      </c>
      <c r="D9" s="11" t="s">
        <v>136</v>
      </c>
      <c r="E9" s="12" t="s">
        <v>137</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141</v>
      </c>
      <c r="D11" s="11" t="s">
        <v>140</v>
      </c>
      <c r="E11" s="12" t="s">
        <v>141</v>
      </c>
    </row>
    <row r="12" customFormat="false" ht="21.75" hidden="false" customHeight="true" outlineLevel="0" collapsed="false">
      <c r="A12" s="11" t="s">
        <v>142</v>
      </c>
      <c r="B12" s="12" t="s">
        <v>6</v>
      </c>
      <c r="D12" s="11" t="s">
        <v>143</v>
      </c>
      <c r="E12" s="12" t="s">
        <v>6</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159</v>
      </c>
      <c r="B1" s="9"/>
      <c r="D1" s="9" t="s">
        <v>160</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8</v>
      </c>
      <c r="D3" s="11" t="s">
        <v>119</v>
      </c>
      <c r="E3" s="12" t="s">
        <v>8</v>
      </c>
    </row>
    <row r="4" customFormat="false" ht="21.75" hidden="false" customHeight="true" outlineLevel="0" collapsed="false">
      <c r="A4" s="11" t="s">
        <v>120</v>
      </c>
      <c r="B4" s="12" t="s">
        <v>9</v>
      </c>
      <c r="D4" s="11" t="s">
        <v>121</v>
      </c>
      <c r="E4" s="12" t="s">
        <v>85</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64.5" hidden="false" customHeight="true" outlineLevel="0" collapsed="false">
      <c r="A8" s="11" t="s">
        <v>130</v>
      </c>
      <c r="B8" s="12" t="s">
        <v>161</v>
      </c>
      <c r="D8" s="11" t="s">
        <v>132</v>
      </c>
      <c r="E8" s="12" t="s">
        <v>162</v>
      </c>
    </row>
    <row r="9" customFormat="false" ht="129.75" hidden="false" customHeight="true" outlineLevel="0" collapsed="false">
      <c r="A9" s="11" t="s">
        <v>134</v>
      </c>
      <c r="B9" s="12" t="s">
        <v>163</v>
      </c>
      <c r="D9" s="11" t="s">
        <v>136</v>
      </c>
      <c r="E9" s="12" t="s">
        <v>164</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165</v>
      </c>
      <c r="D11" s="11" t="s">
        <v>140</v>
      </c>
      <c r="E11" s="12" t="s">
        <v>165</v>
      </c>
    </row>
    <row r="12" customFormat="false" ht="21.75" hidden="false" customHeight="true" outlineLevel="0" collapsed="false">
      <c r="A12" s="11" t="s">
        <v>142</v>
      </c>
      <c r="B12" s="12" t="s">
        <v>8</v>
      </c>
      <c r="D12" s="11" t="s">
        <v>143</v>
      </c>
      <c r="E12" s="12" t="s">
        <v>8</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166</v>
      </c>
      <c r="B1" s="9"/>
      <c r="D1" s="9" t="s">
        <v>167</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10</v>
      </c>
      <c r="D3" s="11" t="s">
        <v>119</v>
      </c>
      <c r="E3" s="12" t="s">
        <v>10</v>
      </c>
    </row>
    <row r="4" customFormat="false" ht="21.75" hidden="false" customHeight="true" outlineLevel="0" collapsed="false">
      <c r="A4" s="11" t="s">
        <v>120</v>
      </c>
      <c r="B4" s="12" t="s">
        <v>9</v>
      </c>
      <c r="D4" s="11" t="s">
        <v>121</v>
      </c>
      <c r="E4" s="12" t="s">
        <v>85</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103.5" hidden="false" customHeight="true" outlineLevel="0" collapsed="false">
      <c r="A8" s="11" t="s">
        <v>130</v>
      </c>
      <c r="B8" s="12" t="s">
        <v>168</v>
      </c>
      <c r="D8" s="11" t="s">
        <v>132</v>
      </c>
      <c r="E8" s="12" t="s">
        <v>169</v>
      </c>
    </row>
    <row r="9" customFormat="false" ht="181.5" hidden="false" customHeight="true" outlineLevel="0" collapsed="false">
      <c r="A9" s="11" t="s">
        <v>134</v>
      </c>
      <c r="B9" s="12" t="s">
        <v>170</v>
      </c>
      <c r="D9" s="11" t="s">
        <v>136</v>
      </c>
      <c r="E9" s="12" t="s">
        <v>171</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172</v>
      </c>
      <c r="D11" s="11" t="s">
        <v>140</v>
      </c>
      <c r="E11" s="12" t="s">
        <v>172</v>
      </c>
    </row>
    <row r="12" customFormat="false" ht="21.75" hidden="false" customHeight="true" outlineLevel="0" collapsed="false">
      <c r="A12" s="11" t="s">
        <v>142</v>
      </c>
      <c r="B12" s="12" t="s">
        <v>10</v>
      </c>
      <c r="D12" s="11" t="s">
        <v>143</v>
      </c>
      <c r="E12" s="12" t="s">
        <v>10</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173</v>
      </c>
      <c r="B1" s="9"/>
      <c r="D1" s="9" t="s">
        <v>174</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12</v>
      </c>
      <c r="D3" s="11" t="s">
        <v>119</v>
      </c>
      <c r="E3" s="12" t="s">
        <v>12</v>
      </c>
    </row>
    <row r="4" customFormat="false" ht="21.75" hidden="false" customHeight="true" outlineLevel="0" collapsed="false">
      <c r="A4" s="11" t="s">
        <v>120</v>
      </c>
      <c r="B4" s="12" t="s">
        <v>13</v>
      </c>
      <c r="D4" s="11" t="s">
        <v>121</v>
      </c>
      <c r="E4" s="12" t="s">
        <v>86</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51.75" hidden="false" customHeight="true" outlineLevel="0" collapsed="false">
      <c r="A8" s="11" t="s">
        <v>130</v>
      </c>
      <c r="B8" s="12" t="s">
        <v>175</v>
      </c>
      <c r="D8" s="11" t="s">
        <v>132</v>
      </c>
      <c r="E8" s="12" t="s">
        <v>176</v>
      </c>
    </row>
    <row r="9" customFormat="false" ht="168.75" hidden="false" customHeight="true" outlineLevel="0" collapsed="false">
      <c r="A9" s="11" t="s">
        <v>134</v>
      </c>
      <c r="B9" s="12" t="s">
        <v>177</v>
      </c>
      <c r="D9" s="11" t="s">
        <v>136</v>
      </c>
      <c r="E9" s="12" t="s">
        <v>178</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179</v>
      </c>
      <c r="D11" s="11" t="s">
        <v>140</v>
      </c>
      <c r="E11" s="12" t="s">
        <v>179</v>
      </c>
    </row>
    <row r="12" customFormat="false" ht="21.75" hidden="false" customHeight="true" outlineLevel="0" collapsed="false">
      <c r="A12" s="11" t="s">
        <v>142</v>
      </c>
      <c r="B12" s="12" t="s">
        <v>12</v>
      </c>
      <c r="D12" s="11" t="s">
        <v>143</v>
      </c>
      <c r="E12" s="12" t="s">
        <v>12</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180</v>
      </c>
      <c r="B1" s="9"/>
      <c r="D1" s="9" t="s">
        <v>181</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14</v>
      </c>
      <c r="D3" s="11" t="s">
        <v>119</v>
      </c>
      <c r="E3" s="12" t="s">
        <v>14</v>
      </c>
    </row>
    <row r="4" customFormat="false" ht="21.75" hidden="false" customHeight="true" outlineLevel="0" collapsed="false">
      <c r="A4" s="11" t="s">
        <v>120</v>
      </c>
      <c r="B4" s="12" t="s">
        <v>15</v>
      </c>
      <c r="D4" s="11" t="s">
        <v>121</v>
      </c>
      <c r="E4" s="12" t="s">
        <v>87</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64.5" hidden="false" customHeight="true" outlineLevel="0" collapsed="false">
      <c r="A8" s="11" t="s">
        <v>130</v>
      </c>
      <c r="B8" s="12" t="s">
        <v>182</v>
      </c>
      <c r="D8" s="11" t="s">
        <v>132</v>
      </c>
      <c r="E8" s="12" t="s">
        <v>183</v>
      </c>
    </row>
    <row r="9" customFormat="false" ht="51.75" hidden="false" customHeight="true" outlineLevel="0" collapsed="false">
      <c r="A9" s="11" t="s">
        <v>134</v>
      </c>
      <c r="B9" s="12" t="s">
        <v>184</v>
      </c>
      <c r="D9" s="11" t="s">
        <v>136</v>
      </c>
      <c r="E9" s="12" t="s">
        <v>185</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186</v>
      </c>
      <c r="D11" s="11" t="s">
        <v>140</v>
      </c>
      <c r="E11" s="12" t="s">
        <v>186</v>
      </c>
    </row>
    <row r="12" customFormat="false" ht="21.75" hidden="false" customHeight="true" outlineLevel="0" collapsed="false">
      <c r="A12" s="11" t="s">
        <v>142</v>
      </c>
      <c r="B12" s="12" t="s">
        <v>14</v>
      </c>
      <c r="D12" s="11" t="s">
        <v>143</v>
      </c>
      <c r="E12" s="12" t="s">
        <v>14</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187</v>
      </c>
      <c r="B1" s="9"/>
      <c r="D1" s="9" t="s">
        <v>188</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17</v>
      </c>
      <c r="D3" s="11" t="s">
        <v>119</v>
      </c>
      <c r="E3" s="12" t="s">
        <v>17</v>
      </c>
    </row>
    <row r="4" customFormat="false" ht="21.75" hidden="false" customHeight="true" outlineLevel="0" collapsed="false">
      <c r="A4" s="11" t="s">
        <v>120</v>
      </c>
      <c r="B4" s="12" t="s">
        <v>18</v>
      </c>
      <c r="D4" s="11" t="s">
        <v>121</v>
      </c>
      <c r="E4" s="12" t="s">
        <v>88</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117" hidden="false" customHeight="true" outlineLevel="0" collapsed="false">
      <c r="A8" s="11" t="s">
        <v>130</v>
      </c>
      <c r="B8" s="12" t="s">
        <v>189</v>
      </c>
      <c r="D8" s="11" t="s">
        <v>132</v>
      </c>
      <c r="E8" s="12" t="s">
        <v>190</v>
      </c>
    </row>
    <row r="9" customFormat="false" ht="90.75" hidden="false" customHeight="true" outlineLevel="0" collapsed="false">
      <c r="A9" s="11" t="s">
        <v>134</v>
      </c>
      <c r="B9" s="12" t="s">
        <v>191</v>
      </c>
      <c r="D9" s="11" t="s">
        <v>136</v>
      </c>
      <c r="E9" s="12" t="s">
        <v>192</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193</v>
      </c>
      <c r="D11" s="11" t="s">
        <v>140</v>
      </c>
      <c r="E11" s="12" t="s">
        <v>193</v>
      </c>
    </row>
    <row r="12" customFormat="false" ht="21.75" hidden="false" customHeight="true" outlineLevel="0" collapsed="false">
      <c r="A12" s="11" t="s">
        <v>142</v>
      </c>
      <c r="B12" s="12" t="s">
        <v>17</v>
      </c>
      <c r="D12" s="11" t="s">
        <v>143</v>
      </c>
      <c r="E12" s="12" t="s">
        <v>17</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194</v>
      </c>
      <c r="B1" s="9"/>
      <c r="D1" s="9" t="s">
        <v>195</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19</v>
      </c>
      <c r="D3" s="11" t="s">
        <v>119</v>
      </c>
      <c r="E3" s="12" t="s">
        <v>19</v>
      </c>
    </row>
    <row r="4" customFormat="false" ht="21.75" hidden="false" customHeight="true" outlineLevel="0" collapsed="false">
      <c r="A4" s="11" t="s">
        <v>120</v>
      </c>
      <c r="B4" s="12" t="s">
        <v>20</v>
      </c>
      <c r="D4" s="11" t="s">
        <v>121</v>
      </c>
      <c r="E4" s="12" t="s">
        <v>89</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51.75" hidden="false" customHeight="true" outlineLevel="0" collapsed="false">
      <c r="A8" s="11" t="s">
        <v>130</v>
      </c>
      <c r="B8" s="12" t="s">
        <v>196</v>
      </c>
      <c r="D8" s="11" t="s">
        <v>132</v>
      </c>
      <c r="E8" s="12" t="s">
        <v>197</v>
      </c>
    </row>
    <row r="9" customFormat="false" ht="51.75" hidden="false" customHeight="true" outlineLevel="0" collapsed="false">
      <c r="A9" s="11" t="s">
        <v>134</v>
      </c>
      <c r="B9" s="12" t="s">
        <v>198</v>
      </c>
      <c r="D9" s="11" t="s">
        <v>136</v>
      </c>
      <c r="E9" s="12" t="s">
        <v>199</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200</v>
      </c>
      <c r="D11" s="11" t="s">
        <v>140</v>
      </c>
      <c r="E11" s="12" t="s">
        <v>200</v>
      </c>
    </row>
    <row r="12" customFormat="false" ht="21.75" hidden="false" customHeight="true" outlineLevel="0" collapsed="false">
      <c r="A12" s="11" t="s">
        <v>142</v>
      </c>
      <c r="B12" s="12" t="s">
        <v>19</v>
      </c>
      <c r="D12" s="11" t="s">
        <v>143</v>
      </c>
      <c r="E12" s="12" t="s">
        <v>19</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201</v>
      </c>
      <c r="B1" s="9"/>
      <c r="D1" s="9" t="s">
        <v>202</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22</v>
      </c>
      <c r="D3" s="11" t="s">
        <v>119</v>
      </c>
      <c r="E3" s="12" t="s">
        <v>22</v>
      </c>
    </row>
    <row r="4" customFormat="false" ht="21.75" hidden="false" customHeight="true" outlineLevel="0" collapsed="false">
      <c r="A4" s="11" t="s">
        <v>120</v>
      </c>
      <c r="B4" s="12" t="s">
        <v>23</v>
      </c>
      <c r="D4" s="11" t="s">
        <v>121</v>
      </c>
      <c r="E4" s="12" t="s">
        <v>90</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45" hidden="false" customHeight="true" outlineLevel="0" collapsed="false">
      <c r="A8" s="11" t="s">
        <v>130</v>
      </c>
      <c r="B8" s="12" t="s">
        <v>203</v>
      </c>
      <c r="D8" s="11" t="s">
        <v>132</v>
      </c>
      <c r="E8" s="12" t="s">
        <v>204</v>
      </c>
    </row>
    <row r="9" customFormat="false" ht="45" hidden="false" customHeight="true" outlineLevel="0" collapsed="false">
      <c r="A9" s="11" t="s">
        <v>134</v>
      </c>
      <c r="B9" s="12" t="s">
        <v>205</v>
      </c>
      <c r="D9" s="11" t="s">
        <v>136</v>
      </c>
      <c r="E9" s="12" t="s">
        <v>206</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207</v>
      </c>
      <c r="D11" s="11" t="s">
        <v>140</v>
      </c>
      <c r="E11" s="12" t="s">
        <v>207</v>
      </c>
    </row>
    <row r="12" customFormat="false" ht="21.75" hidden="false" customHeight="true" outlineLevel="0" collapsed="false">
      <c r="A12" s="11" t="s">
        <v>142</v>
      </c>
      <c r="B12" s="12" t="s">
        <v>22</v>
      </c>
      <c r="D12" s="11" t="s">
        <v>143</v>
      </c>
      <c r="E12" s="12" t="s">
        <v>22</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208</v>
      </c>
      <c r="B1" s="9"/>
      <c r="D1" s="9" t="s">
        <v>209</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25</v>
      </c>
      <c r="D3" s="11" t="s">
        <v>119</v>
      </c>
      <c r="E3" s="12" t="s">
        <v>25</v>
      </c>
    </row>
    <row r="4" customFormat="false" ht="21.75" hidden="false" customHeight="true" outlineLevel="0" collapsed="false">
      <c r="A4" s="11" t="s">
        <v>120</v>
      </c>
      <c r="B4" s="12" t="s">
        <v>26</v>
      </c>
      <c r="D4" s="11" t="s">
        <v>121</v>
      </c>
      <c r="E4" s="12" t="s">
        <v>91</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168.75" hidden="false" customHeight="true" outlineLevel="0" collapsed="false">
      <c r="A8" s="11" t="s">
        <v>130</v>
      </c>
      <c r="B8" s="12" t="s">
        <v>210</v>
      </c>
      <c r="D8" s="11" t="s">
        <v>132</v>
      </c>
      <c r="E8" s="12" t="s">
        <v>211</v>
      </c>
    </row>
    <row r="9" customFormat="false" ht="300" hidden="false" customHeight="true" outlineLevel="0" collapsed="false">
      <c r="A9" s="11" t="s">
        <v>134</v>
      </c>
      <c r="B9" s="12" t="s">
        <v>212</v>
      </c>
      <c r="D9" s="11" t="s">
        <v>136</v>
      </c>
      <c r="E9" s="12" t="s">
        <v>213</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214</v>
      </c>
      <c r="D11" s="11" t="s">
        <v>140</v>
      </c>
      <c r="E11" s="12" t="s">
        <v>214</v>
      </c>
    </row>
    <row r="12" customFormat="false" ht="21.75" hidden="false" customHeight="true" outlineLevel="0" collapsed="false">
      <c r="A12" s="11" t="s">
        <v>142</v>
      </c>
      <c r="B12" s="12" t="s">
        <v>25</v>
      </c>
      <c r="D12" s="11" t="s">
        <v>143</v>
      </c>
      <c r="E12" s="12" t="s">
        <v>25</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215</v>
      </c>
      <c r="B1" s="9"/>
      <c r="D1" s="9" t="s">
        <v>216</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27</v>
      </c>
      <c r="D3" s="11" t="s">
        <v>119</v>
      </c>
      <c r="E3" s="12" t="s">
        <v>27</v>
      </c>
    </row>
    <row r="4" customFormat="false" ht="21.75" hidden="false" customHeight="true" outlineLevel="0" collapsed="false">
      <c r="A4" s="11" t="s">
        <v>120</v>
      </c>
      <c r="B4" s="12" t="s">
        <v>28</v>
      </c>
      <c r="D4" s="11" t="s">
        <v>121</v>
      </c>
      <c r="E4" s="12" t="s">
        <v>92</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78" hidden="false" customHeight="true" outlineLevel="0" collapsed="false">
      <c r="A8" s="11" t="s">
        <v>130</v>
      </c>
      <c r="B8" s="12" t="s">
        <v>217</v>
      </c>
      <c r="D8" s="11" t="s">
        <v>132</v>
      </c>
      <c r="E8" s="12" t="s">
        <v>218</v>
      </c>
    </row>
    <row r="9" customFormat="false" ht="300" hidden="false" customHeight="true" outlineLevel="0" collapsed="false">
      <c r="A9" s="11" t="s">
        <v>134</v>
      </c>
      <c r="B9" s="12" t="s">
        <v>219</v>
      </c>
      <c r="D9" s="11" t="s">
        <v>136</v>
      </c>
      <c r="E9" s="12" t="s">
        <v>220</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221</v>
      </c>
      <c r="D11" s="11" t="s">
        <v>140</v>
      </c>
      <c r="E11" s="12" t="s">
        <v>221</v>
      </c>
    </row>
    <row r="12" customFormat="false" ht="21.75" hidden="false" customHeight="true" outlineLevel="0" collapsed="false">
      <c r="A12" s="11" t="s">
        <v>142</v>
      </c>
      <c r="B12" s="12" t="s">
        <v>27</v>
      </c>
      <c r="D12" s="11" t="s">
        <v>143</v>
      </c>
      <c r="E12" s="12" t="s">
        <v>27</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222</v>
      </c>
      <c r="B1" s="9"/>
      <c r="D1" s="9" t="s">
        <v>223</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29</v>
      </c>
      <c r="D3" s="11" t="s">
        <v>119</v>
      </c>
      <c r="E3" s="12" t="s">
        <v>29</v>
      </c>
    </row>
    <row r="4" customFormat="false" ht="21.75" hidden="false" customHeight="true" outlineLevel="0" collapsed="false">
      <c r="A4" s="11" t="s">
        <v>120</v>
      </c>
      <c r="B4" s="12" t="s">
        <v>28</v>
      </c>
      <c r="D4" s="11" t="s">
        <v>121</v>
      </c>
      <c r="E4" s="12" t="s">
        <v>92</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78" hidden="false" customHeight="true" outlineLevel="0" collapsed="false">
      <c r="A8" s="11" t="s">
        <v>130</v>
      </c>
      <c r="B8" s="12" t="s">
        <v>224</v>
      </c>
      <c r="D8" s="11" t="s">
        <v>132</v>
      </c>
      <c r="E8" s="12" t="s">
        <v>225</v>
      </c>
    </row>
    <row r="9" customFormat="false" ht="64.5" hidden="false" customHeight="true" outlineLevel="0" collapsed="false">
      <c r="A9" s="11" t="s">
        <v>134</v>
      </c>
      <c r="B9" s="12" t="s">
        <v>226</v>
      </c>
      <c r="D9" s="11" t="s">
        <v>136</v>
      </c>
      <c r="E9" s="12" t="s">
        <v>227</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228</v>
      </c>
      <c r="D11" s="11" t="s">
        <v>140</v>
      </c>
      <c r="E11" s="12" t="s">
        <v>228</v>
      </c>
    </row>
    <row r="12" customFormat="false" ht="21.75" hidden="false" customHeight="true" outlineLevel="0" collapsed="false">
      <c r="A12" s="11" t="s">
        <v>142</v>
      </c>
      <c r="B12" s="12" t="s">
        <v>29</v>
      </c>
      <c r="D12" s="11" t="s">
        <v>143</v>
      </c>
      <c r="E12" s="12" t="s">
        <v>29</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229</v>
      </c>
      <c r="B1" s="9"/>
      <c r="D1" s="9" t="s">
        <v>230</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31</v>
      </c>
      <c r="D3" s="11" t="s">
        <v>119</v>
      </c>
      <c r="E3" s="12" t="s">
        <v>31</v>
      </c>
    </row>
    <row r="4" customFormat="false" ht="21.75" hidden="false" customHeight="true" outlineLevel="0" collapsed="false">
      <c r="A4" s="11" t="s">
        <v>120</v>
      </c>
      <c r="B4" s="12" t="s">
        <v>32</v>
      </c>
      <c r="D4" s="11" t="s">
        <v>121</v>
      </c>
      <c r="E4" s="12" t="s">
        <v>93</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64.5" hidden="false" customHeight="true" outlineLevel="0" collapsed="false">
      <c r="A8" s="11" t="s">
        <v>130</v>
      </c>
      <c r="B8" s="12" t="s">
        <v>231</v>
      </c>
      <c r="D8" s="11" t="s">
        <v>132</v>
      </c>
      <c r="E8" s="12" t="s">
        <v>232</v>
      </c>
    </row>
    <row r="9" customFormat="false" ht="168.75" hidden="false" customHeight="true" outlineLevel="0" collapsed="false">
      <c r="A9" s="11" t="s">
        <v>134</v>
      </c>
      <c r="B9" s="12" t="s">
        <v>233</v>
      </c>
      <c r="D9" s="11" t="s">
        <v>136</v>
      </c>
      <c r="E9" s="12" t="s">
        <v>234</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235</v>
      </c>
      <c r="D11" s="11" t="s">
        <v>140</v>
      </c>
      <c r="E11" s="12" t="s">
        <v>235</v>
      </c>
    </row>
    <row r="12" customFormat="false" ht="21.75" hidden="false" customHeight="true" outlineLevel="0" collapsed="false">
      <c r="A12" s="11" t="s">
        <v>142</v>
      </c>
      <c r="B12" s="12" t="s">
        <v>31</v>
      </c>
      <c r="D12" s="11" t="s">
        <v>143</v>
      </c>
      <c r="E12" s="12" t="s">
        <v>31</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236</v>
      </c>
      <c r="B1" s="9"/>
      <c r="D1" s="9" t="s">
        <v>237</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33</v>
      </c>
      <c r="D3" s="11" t="s">
        <v>119</v>
      </c>
      <c r="E3" s="12" t="s">
        <v>33</v>
      </c>
    </row>
    <row r="4" customFormat="false" ht="21.75" hidden="false" customHeight="true" outlineLevel="0" collapsed="false">
      <c r="A4" s="11" t="s">
        <v>120</v>
      </c>
      <c r="B4" s="12" t="s">
        <v>32</v>
      </c>
      <c r="D4" s="11" t="s">
        <v>121</v>
      </c>
      <c r="E4" s="12" t="s">
        <v>93</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51.75" hidden="false" customHeight="true" outlineLevel="0" collapsed="false">
      <c r="A8" s="11" t="s">
        <v>130</v>
      </c>
      <c r="B8" s="12" t="s">
        <v>238</v>
      </c>
      <c r="D8" s="11" t="s">
        <v>132</v>
      </c>
      <c r="E8" s="12" t="s">
        <v>239</v>
      </c>
    </row>
    <row r="9" customFormat="false" ht="45" hidden="false" customHeight="true" outlineLevel="0" collapsed="false">
      <c r="A9" s="11" t="s">
        <v>134</v>
      </c>
      <c r="B9" s="12"/>
      <c r="D9" s="11" t="s">
        <v>136</v>
      </c>
      <c r="E9" s="12"/>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240</v>
      </c>
      <c r="D11" s="11" t="s">
        <v>140</v>
      </c>
      <c r="E11" s="12" t="s">
        <v>240</v>
      </c>
    </row>
    <row r="12" customFormat="false" ht="21.75" hidden="false" customHeight="true" outlineLevel="0" collapsed="false">
      <c r="A12" s="11" t="s">
        <v>142</v>
      </c>
      <c r="B12" s="12" t="s">
        <v>33</v>
      </c>
      <c r="D12" s="11" t="s">
        <v>143</v>
      </c>
      <c r="E12" s="12" t="s">
        <v>33</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241</v>
      </c>
      <c r="B1" s="9"/>
      <c r="D1" s="9" t="s">
        <v>242</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35</v>
      </c>
      <c r="D3" s="11" t="s">
        <v>119</v>
      </c>
      <c r="E3" s="12" t="s">
        <v>35</v>
      </c>
    </row>
    <row r="4" customFormat="false" ht="21.75" hidden="false" customHeight="true" outlineLevel="0" collapsed="false">
      <c r="A4" s="11" t="s">
        <v>120</v>
      </c>
      <c r="B4" s="12" t="s">
        <v>36</v>
      </c>
      <c r="D4" s="11" t="s">
        <v>121</v>
      </c>
      <c r="E4" s="12" t="s">
        <v>94</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181.5" hidden="false" customHeight="true" outlineLevel="0" collapsed="false">
      <c r="A8" s="11" t="s">
        <v>130</v>
      </c>
      <c r="B8" s="12" t="s">
        <v>243</v>
      </c>
      <c r="D8" s="11" t="s">
        <v>132</v>
      </c>
      <c r="E8" s="12" t="s">
        <v>244</v>
      </c>
    </row>
    <row r="9" customFormat="false" ht="168.75" hidden="false" customHeight="true" outlineLevel="0" collapsed="false">
      <c r="A9" s="11" t="s">
        <v>134</v>
      </c>
      <c r="B9" s="12" t="s">
        <v>245</v>
      </c>
      <c r="D9" s="11" t="s">
        <v>136</v>
      </c>
      <c r="E9" s="12" t="s">
        <v>246</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247</v>
      </c>
      <c r="D11" s="11" t="s">
        <v>140</v>
      </c>
      <c r="E11" s="12" t="s">
        <v>247</v>
      </c>
    </row>
    <row r="12" customFormat="false" ht="21.75" hidden="false" customHeight="true" outlineLevel="0" collapsed="false">
      <c r="A12" s="11" t="s">
        <v>142</v>
      </c>
      <c r="B12" s="12" t="s">
        <v>35</v>
      </c>
      <c r="D12" s="11" t="s">
        <v>143</v>
      </c>
      <c r="E12" s="12" t="s">
        <v>35</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248</v>
      </c>
      <c r="B1" s="9"/>
      <c r="D1" s="9" t="s">
        <v>249</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37</v>
      </c>
      <c r="D3" s="11" t="s">
        <v>119</v>
      </c>
      <c r="E3" s="12" t="s">
        <v>37</v>
      </c>
    </row>
    <row r="4" customFormat="false" ht="21.75" hidden="false" customHeight="true" outlineLevel="0" collapsed="false">
      <c r="A4" s="11" t="s">
        <v>120</v>
      </c>
      <c r="B4" s="12" t="s">
        <v>36</v>
      </c>
      <c r="D4" s="11" t="s">
        <v>121</v>
      </c>
      <c r="E4" s="12" t="s">
        <v>94</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51.75" hidden="false" customHeight="true" outlineLevel="0" collapsed="false">
      <c r="A8" s="11" t="s">
        <v>130</v>
      </c>
      <c r="B8" s="12" t="s">
        <v>250</v>
      </c>
      <c r="D8" s="11" t="s">
        <v>132</v>
      </c>
      <c r="E8" s="12" t="s">
        <v>251</v>
      </c>
    </row>
    <row r="9" customFormat="false" ht="78" hidden="false" customHeight="true" outlineLevel="0" collapsed="false">
      <c r="A9" s="11" t="s">
        <v>134</v>
      </c>
      <c r="B9" s="12" t="s">
        <v>252</v>
      </c>
      <c r="D9" s="11" t="s">
        <v>136</v>
      </c>
      <c r="E9" s="12" t="s">
        <v>253</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254</v>
      </c>
      <c r="D11" s="11" t="s">
        <v>140</v>
      </c>
      <c r="E11" s="12" t="s">
        <v>254</v>
      </c>
    </row>
    <row r="12" customFormat="false" ht="21.75" hidden="false" customHeight="true" outlineLevel="0" collapsed="false">
      <c r="A12" s="11" t="s">
        <v>142</v>
      </c>
      <c r="B12" s="12" t="s">
        <v>37</v>
      </c>
      <c r="D12" s="11" t="s">
        <v>143</v>
      </c>
      <c r="E12" s="12" t="s">
        <v>37</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255</v>
      </c>
      <c r="B1" s="9"/>
      <c r="D1" s="9" t="s">
        <v>256</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39</v>
      </c>
      <c r="D3" s="11" t="s">
        <v>119</v>
      </c>
      <c r="E3" s="12" t="s">
        <v>39</v>
      </c>
    </row>
    <row r="4" customFormat="false" ht="21.75" hidden="false" customHeight="true" outlineLevel="0" collapsed="false">
      <c r="A4" s="11" t="s">
        <v>120</v>
      </c>
      <c r="B4" s="12" t="s">
        <v>40</v>
      </c>
      <c r="D4" s="11" t="s">
        <v>121</v>
      </c>
      <c r="E4" s="12" t="s">
        <v>95</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168.75" hidden="false" customHeight="true" outlineLevel="0" collapsed="false">
      <c r="A8" s="11" t="s">
        <v>130</v>
      </c>
      <c r="B8" s="12" t="s">
        <v>257</v>
      </c>
      <c r="D8" s="11" t="s">
        <v>132</v>
      </c>
      <c r="E8" s="12" t="s">
        <v>258</v>
      </c>
    </row>
    <row r="9" customFormat="false" ht="156" hidden="false" customHeight="true" outlineLevel="0" collapsed="false">
      <c r="A9" s="11" t="s">
        <v>134</v>
      </c>
      <c r="B9" s="12" t="s">
        <v>259</v>
      </c>
      <c r="D9" s="11" t="s">
        <v>136</v>
      </c>
      <c r="E9" s="12" t="s">
        <v>260</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261</v>
      </c>
      <c r="D11" s="11" t="s">
        <v>140</v>
      </c>
      <c r="E11" s="12" t="s">
        <v>261</v>
      </c>
    </row>
    <row r="12" customFormat="false" ht="21.75" hidden="false" customHeight="true" outlineLevel="0" collapsed="false">
      <c r="A12" s="11" t="s">
        <v>142</v>
      </c>
      <c r="B12" s="12" t="s">
        <v>39</v>
      </c>
      <c r="D12" s="11" t="s">
        <v>143</v>
      </c>
      <c r="E12" s="12" t="s">
        <v>39</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262</v>
      </c>
      <c r="B1" s="9"/>
      <c r="D1" s="9" t="s">
        <v>263</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41</v>
      </c>
      <c r="D3" s="11" t="s">
        <v>119</v>
      </c>
      <c r="E3" s="12" t="s">
        <v>41</v>
      </c>
    </row>
    <row r="4" customFormat="false" ht="21.75" hidden="false" customHeight="true" outlineLevel="0" collapsed="false">
      <c r="A4" s="11" t="s">
        <v>120</v>
      </c>
      <c r="B4" s="12" t="s">
        <v>40</v>
      </c>
      <c r="D4" s="11" t="s">
        <v>121</v>
      </c>
      <c r="E4" s="12" t="s">
        <v>95</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51.75" hidden="false" customHeight="true" outlineLevel="0" collapsed="false">
      <c r="A8" s="11" t="s">
        <v>130</v>
      </c>
      <c r="B8" s="12" t="s">
        <v>264</v>
      </c>
      <c r="D8" s="11" t="s">
        <v>132</v>
      </c>
      <c r="E8" s="12" t="s">
        <v>265</v>
      </c>
    </row>
    <row r="9" customFormat="false" ht="45" hidden="false" customHeight="true" outlineLevel="0" collapsed="false">
      <c r="A9" s="11" t="s">
        <v>134</v>
      </c>
      <c r="B9" s="12" t="s">
        <v>266</v>
      </c>
      <c r="D9" s="11" t="s">
        <v>136</v>
      </c>
      <c r="E9" s="12" t="s">
        <v>267</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268</v>
      </c>
      <c r="D11" s="11" t="s">
        <v>140</v>
      </c>
      <c r="E11" s="12" t="s">
        <v>268</v>
      </c>
    </row>
    <row r="12" customFormat="false" ht="21.75" hidden="false" customHeight="true" outlineLevel="0" collapsed="false">
      <c r="A12" s="11" t="s">
        <v>142</v>
      </c>
      <c r="B12" s="12" t="s">
        <v>41</v>
      </c>
      <c r="D12" s="11" t="s">
        <v>143</v>
      </c>
      <c r="E12" s="12" t="s">
        <v>41</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269</v>
      </c>
      <c r="B1" s="9"/>
      <c r="D1" s="9" t="s">
        <v>270</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43</v>
      </c>
      <c r="D3" s="11" t="s">
        <v>119</v>
      </c>
      <c r="E3" s="12" t="s">
        <v>43</v>
      </c>
    </row>
    <row r="4" customFormat="false" ht="21.75" hidden="false" customHeight="true" outlineLevel="0" collapsed="false">
      <c r="A4" s="11" t="s">
        <v>120</v>
      </c>
      <c r="B4" s="12" t="s">
        <v>40</v>
      </c>
      <c r="D4" s="11" t="s">
        <v>121</v>
      </c>
      <c r="E4" s="12" t="s">
        <v>95</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51.75" hidden="false" customHeight="true" outlineLevel="0" collapsed="false">
      <c r="A8" s="11" t="s">
        <v>130</v>
      </c>
      <c r="B8" s="12" t="s">
        <v>271</v>
      </c>
      <c r="D8" s="11" t="s">
        <v>132</v>
      </c>
      <c r="E8" s="12" t="s">
        <v>272</v>
      </c>
    </row>
    <row r="9" customFormat="false" ht="45" hidden="false" customHeight="true" outlineLevel="0" collapsed="false">
      <c r="A9" s="11" t="s">
        <v>134</v>
      </c>
      <c r="B9" s="12" t="s">
        <v>266</v>
      </c>
      <c r="D9" s="11" t="s">
        <v>136</v>
      </c>
      <c r="E9" s="12" t="s">
        <v>267</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273</v>
      </c>
      <c r="D11" s="11" t="s">
        <v>140</v>
      </c>
      <c r="E11" s="12" t="s">
        <v>273</v>
      </c>
    </row>
    <row r="12" customFormat="false" ht="21.75" hidden="false" customHeight="true" outlineLevel="0" collapsed="false">
      <c r="A12" s="11" t="s">
        <v>142</v>
      </c>
      <c r="B12" s="12" t="s">
        <v>43</v>
      </c>
      <c r="D12" s="11" t="s">
        <v>143</v>
      </c>
      <c r="E12" s="12" t="s">
        <v>43</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274</v>
      </c>
      <c r="B1" s="9"/>
      <c r="D1" s="9" t="s">
        <v>275</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45</v>
      </c>
      <c r="D3" s="11" t="s">
        <v>119</v>
      </c>
      <c r="E3" s="12" t="s">
        <v>45</v>
      </c>
    </row>
    <row r="4" customFormat="false" ht="21.75" hidden="false" customHeight="true" outlineLevel="0" collapsed="false">
      <c r="A4" s="11" t="s">
        <v>120</v>
      </c>
      <c r="B4" s="12" t="s">
        <v>40</v>
      </c>
      <c r="D4" s="11" t="s">
        <v>121</v>
      </c>
      <c r="E4" s="12" t="s">
        <v>95</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64.5" hidden="false" customHeight="true" outlineLevel="0" collapsed="false">
      <c r="A8" s="11" t="s">
        <v>130</v>
      </c>
      <c r="B8" s="12" t="s">
        <v>276</v>
      </c>
      <c r="D8" s="11" t="s">
        <v>132</v>
      </c>
      <c r="E8" s="12" t="s">
        <v>277</v>
      </c>
    </row>
    <row r="9" customFormat="false" ht="45" hidden="false" customHeight="true" outlineLevel="0" collapsed="false">
      <c r="A9" s="11" t="s">
        <v>134</v>
      </c>
      <c r="B9" s="12" t="s">
        <v>278</v>
      </c>
      <c r="D9" s="11" t="s">
        <v>136</v>
      </c>
      <c r="E9" s="12" t="s">
        <v>279</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280</v>
      </c>
      <c r="D11" s="11" t="s">
        <v>140</v>
      </c>
      <c r="E11" s="12" t="s">
        <v>280</v>
      </c>
    </row>
    <row r="12" customFormat="false" ht="21.75" hidden="false" customHeight="true" outlineLevel="0" collapsed="false">
      <c r="A12" s="11" t="s">
        <v>142</v>
      </c>
      <c r="B12" s="12" t="s">
        <v>45</v>
      </c>
      <c r="D12" s="11" t="s">
        <v>143</v>
      </c>
      <c r="E12" s="12" t="s">
        <v>45</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281</v>
      </c>
      <c r="B1" s="9"/>
      <c r="D1" s="9" t="s">
        <v>282</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47</v>
      </c>
      <c r="D3" s="11" t="s">
        <v>119</v>
      </c>
      <c r="E3" s="12" t="s">
        <v>47</v>
      </c>
    </row>
    <row r="4" customFormat="false" ht="21.75" hidden="false" customHeight="true" outlineLevel="0" collapsed="false">
      <c r="A4" s="11" t="s">
        <v>120</v>
      </c>
      <c r="B4" s="12" t="s">
        <v>48</v>
      </c>
      <c r="D4" s="11" t="s">
        <v>121</v>
      </c>
      <c r="E4" s="12" t="s">
        <v>96</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45" hidden="false" customHeight="true" outlineLevel="0" collapsed="false">
      <c r="A8" s="11" t="s">
        <v>130</v>
      </c>
      <c r="B8" s="12" t="s">
        <v>283</v>
      </c>
      <c r="D8" s="11" t="s">
        <v>132</v>
      </c>
      <c r="E8" s="12" t="s">
        <v>284</v>
      </c>
    </row>
    <row r="9" customFormat="false" ht="246.75" hidden="false" customHeight="true" outlineLevel="0" collapsed="false">
      <c r="A9" s="11" t="s">
        <v>134</v>
      </c>
      <c r="B9" s="12" t="s">
        <v>285</v>
      </c>
      <c r="D9" s="11" t="s">
        <v>136</v>
      </c>
      <c r="E9" s="12" t="s">
        <v>286</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287</v>
      </c>
      <c r="D11" s="11" t="s">
        <v>140</v>
      </c>
      <c r="E11" s="12" t="s">
        <v>287</v>
      </c>
    </row>
    <row r="12" customFormat="false" ht="21.75" hidden="false" customHeight="true" outlineLevel="0" collapsed="false">
      <c r="A12" s="11" t="s">
        <v>142</v>
      </c>
      <c r="B12" s="12" t="s">
        <v>47</v>
      </c>
      <c r="D12" s="11" t="s">
        <v>143</v>
      </c>
      <c r="E12" s="12" t="s">
        <v>47</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288</v>
      </c>
      <c r="B1" s="9"/>
      <c r="D1" s="9" t="s">
        <v>289</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49</v>
      </c>
      <c r="D3" s="11" t="s">
        <v>119</v>
      </c>
      <c r="E3" s="12" t="s">
        <v>49</v>
      </c>
    </row>
    <row r="4" customFormat="false" ht="21.75" hidden="false" customHeight="true" outlineLevel="0" collapsed="false">
      <c r="A4" s="11" t="s">
        <v>120</v>
      </c>
      <c r="B4" s="12" t="s">
        <v>48</v>
      </c>
      <c r="D4" s="11" t="s">
        <v>121</v>
      </c>
      <c r="E4" s="12" t="s">
        <v>96</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78" hidden="false" customHeight="true" outlineLevel="0" collapsed="false">
      <c r="A8" s="11" t="s">
        <v>130</v>
      </c>
      <c r="B8" s="12" t="s">
        <v>290</v>
      </c>
      <c r="D8" s="11" t="s">
        <v>132</v>
      </c>
      <c r="E8" s="12" t="s">
        <v>291</v>
      </c>
    </row>
    <row r="9" customFormat="false" ht="45" hidden="false" customHeight="true" outlineLevel="0" collapsed="false">
      <c r="A9" s="11" t="s">
        <v>134</v>
      </c>
      <c r="B9" s="12" t="s">
        <v>292</v>
      </c>
      <c r="D9" s="11" t="s">
        <v>136</v>
      </c>
      <c r="E9" s="12" t="s">
        <v>293</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294</v>
      </c>
      <c r="D11" s="11" t="s">
        <v>140</v>
      </c>
      <c r="E11" s="12" t="s">
        <v>294</v>
      </c>
    </row>
    <row r="12" customFormat="false" ht="21.75" hidden="false" customHeight="true" outlineLevel="0" collapsed="false">
      <c r="A12" s="11" t="s">
        <v>142</v>
      </c>
      <c r="B12" s="12" t="s">
        <v>49</v>
      </c>
      <c r="D12" s="11" t="s">
        <v>143</v>
      </c>
      <c r="E12" s="12" t="s">
        <v>49</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295</v>
      </c>
      <c r="B1" s="9"/>
      <c r="D1" s="9" t="s">
        <v>296</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51</v>
      </c>
      <c r="D3" s="11" t="s">
        <v>119</v>
      </c>
      <c r="E3" s="12" t="s">
        <v>51</v>
      </c>
    </row>
    <row r="4" customFormat="false" ht="21.75" hidden="false" customHeight="true" outlineLevel="0" collapsed="false">
      <c r="A4" s="11" t="s">
        <v>120</v>
      </c>
      <c r="B4" s="12" t="s">
        <v>52</v>
      </c>
      <c r="D4" s="11" t="s">
        <v>121</v>
      </c>
      <c r="E4" s="12" t="s">
        <v>97</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103.5" hidden="false" customHeight="true" outlineLevel="0" collapsed="false">
      <c r="A8" s="11" t="s">
        <v>130</v>
      </c>
      <c r="B8" s="12" t="s">
        <v>297</v>
      </c>
      <c r="D8" s="11" t="s">
        <v>132</v>
      </c>
      <c r="E8" s="12" t="s">
        <v>298</v>
      </c>
    </row>
    <row r="9" customFormat="false" ht="234" hidden="false" customHeight="true" outlineLevel="0" collapsed="false">
      <c r="A9" s="11" t="s">
        <v>134</v>
      </c>
      <c r="B9" s="12" t="s">
        <v>299</v>
      </c>
      <c r="D9" s="11" t="s">
        <v>136</v>
      </c>
      <c r="E9" s="12" t="s">
        <v>300</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301</v>
      </c>
      <c r="D11" s="11" t="s">
        <v>140</v>
      </c>
      <c r="E11" s="12" t="s">
        <v>301</v>
      </c>
    </row>
    <row r="12" customFormat="false" ht="21.75" hidden="false" customHeight="true" outlineLevel="0" collapsed="false">
      <c r="A12" s="11" t="s">
        <v>142</v>
      </c>
      <c r="B12" s="12" t="s">
        <v>51</v>
      </c>
      <c r="D12" s="11" t="s">
        <v>143</v>
      </c>
      <c r="E12" s="12" t="s">
        <v>51</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302</v>
      </c>
      <c r="B1" s="9"/>
      <c r="D1" s="9" t="s">
        <v>303</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54</v>
      </c>
      <c r="D3" s="11" t="s">
        <v>119</v>
      </c>
      <c r="E3" s="12" t="s">
        <v>54</v>
      </c>
    </row>
    <row r="4" customFormat="false" ht="21.75" hidden="false" customHeight="true" outlineLevel="0" collapsed="false">
      <c r="A4" s="11" t="s">
        <v>120</v>
      </c>
      <c r="B4" s="12" t="s">
        <v>55</v>
      </c>
      <c r="D4" s="11" t="s">
        <v>121</v>
      </c>
      <c r="E4" s="12" t="s">
        <v>98</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45" hidden="false" customHeight="true" outlineLevel="0" collapsed="false">
      <c r="A8" s="11" t="s">
        <v>130</v>
      </c>
      <c r="B8" s="12" t="s">
        <v>304</v>
      </c>
      <c r="D8" s="11" t="s">
        <v>132</v>
      </c>
      <c r="E8" s="12" t="s">
        <v>305</v>
      </c>
    </row>
    <row r="9" customFormat="false" ht="220.5" hidden="false" customHeight="true" outlineLevel="0" collapsed="false">
      <c r="A9" s="11" t="s">
        <v>134</v>
      </c>
      <c r="B9" s="12" t="s">
        <v>306</v>
      </c>
      <c r="D9" s="11" t="s">
        <v>136</v>
      </c>
      <c r="E9" s="12" t="s">
        <v>307</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308</v>
      </c>
      <c r="D11" s="11" t="s">
        <v>140</v>
      </c>
      <c r="E11" s="12" t="s">
        <v>308</v>
      </c>
    </row>
    <row r="12" customFormat="false" ht="21.75" hidden="false" customHeight="true" outlineLevel="0" collapsed="false">
      <c r="A12" s="11" t="s">
        <v>142</v>
      </c>
      <c r="B12" s="12" t="s">
        <v>54</v>
      </c>
      <c r="D12" s="11" t="s">
        <v>143</v>
      </c>
      <c r="E12" s="12" t="s">
        <v>54</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309</v>
      </c>
      <c r="B1" s="9"/>
      <c r="D1" s="9" t="s">
        <v>310</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56</v>
      </c>
      <c r="D3" s="11" t="s">
        <v>119</v>
      </c>
      <c r="E3" s="12" t="s">
        <v>56</v>
      </c>
    </row>
    <row r="4" customFormat="false" ht="21.75" hidden="false" customHeight="true" outlineLevel="0" collapsed="false">
      <c r="A4" s="11" t="s">
        <v>120</v>
      </c>
      <c r="B4" s="12" t="s">
        <v>57</v>
      </c>
      <c r="D4" s="11" t="s">
        <v>121</v>
      </c>
      <c r="E4" s="12" t="s">
        <v>99</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45" hidden="false" customHeight="true" outlineLevel="0" collapsed="false">
      <c r="A8" s="11" t="s">
        <v>130</v>
      </c>
      <c r="B8" s="12" t="s">
        <v>311</v>
      </c>
      <c r="D8" s="11" t="s">
        <v>132</v>
      </c>
      <c r="E8" s="12" t="s">
        <v>312</v>
      </c>
    </row>
    <row r="9" customFormat="false" ht="234" hidden="false" customHeight="true" outlineLevel="0" collapsed="false">
      <c r="A9" s="11" t="s">
        <v>134</v>
      </c>
      <c r="B9" s="12" t="s">
        <v>313</v>
      </c>
      <c r="D9" s="11" t="s">
        <v>136</v>
      </c>
      <c r="E9" s="12" t="s">
        <v>314</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315</v>
      </c>
      <c r="D11" s="11" t="s">
        <v>140</v>
      </c>
      <c r="E11" s="12" t="s">
        <v>315</v>
      </c>
    </row>
    <row r="12" customFormat="false" ht="21.75" hidden="false" customHeight="true" outlineLevel="0" collapsed="false">
      <c r="A12" s="11" t="s">
        <v>142</v>
      </c>
      <c r="B12" s="12" t="s">
        <v>56</v>
      </c>
      <c r="D12" s="11" t="s">
        <v>143</v>
      </c>
      <c r="E12" s="12" t="s">
        <v>56</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316</v>
      </c>
      <c r="B1" s="9"/>
      <c r="D1" s="9" t="s">
        <v>317</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58</v>
      </c>
      <c r="D3" s="11" t="s">
        <v>119</v>
      </c>
      <c r="E3" s="12" t="s">
        <v>58</v>
      </c>
    </row>
    <row r="4" customFormat="false" ht="21.75" hidden="false" customHeight="true" outlineLevel="0" collapsed="false">
      <c r="A4" s="11" t="s">
        <v>120</v>
      </c>
      <c r="B4" s="12" t="s">
        <v>59</v>
      </c>
      <c r="D4" s="11" t="s">
        <v>121</v>
      </c>
      <c r="E4" s="12" t="s">
        <v>100</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51.75" hidden="false" customHeight="true" outlineLevel="0" collapsed="false">
      <c r="A8" s="11" t="s">
        <v>130</v>
      </c>
      <c r="B8" s="12" t="s">
        <v>318</v>
      </c>
      <c r="D8" s="11" t="s">
        <v>132</v>
      </c>
      <c r="E8" s="12" t="s">
        <v>319</v>
      </c>
    </row>
    <row r="9" customFormat="false" ht="259.5" hidden="false" customHeight="true" outlineLevel="0" collapsed="false">
      <c r="A9" s="11" t="s">
        <v>134</v>
      </c>
      <c r="B9" s="12" t="s">
        <v>320</v>
      </c>
      <c r="D9" s="11" t="s">
        <v>136</v>
      </c>
      <c r="E9" s="12" t="s">
        <v>321</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322</v>
      </c>
      <c r="D11" s="11" t="s">
        <v>140</v>
      </c>
      <c r="E11" s="12" t="s">
        <v>322</v>
      </c>
    </row>
    <row r="12" customFormat="false" ht="21.75" hidden="false" customHeight="true" outlineLevel="0" collapsed="false">
      <c r="A12" s="11" t="s">
        <v>142</v>
      </c>
      <c r="B12" s="12" t="s">
        <v>58</v>
      </c>
      <c r="D12" s="11" t="s">
        <v>143</v>
      </c>
      <c r="E12" s="12" t="s">
        <v>58</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323</v>
      </c>
      <c r="B1" s="9"/>
      <c r="D1" s="9" t="s">
        <v>324</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60</v>
      </c>
      <c r="D3" s="11" t="s">
        <v>119</v>
      </c>
      <c r="E3" s="12" t="s">
        <v>60</v>
      </c>
    </row>
    <row r="4" customFormat="false" ht="21.75" hidden="false" customHeight="true" outlineLevel="0" collapsed="false">
      <c r="A4" s="11" t="s">
        <v>120</v>
      </c>
      <c r="B4" s="12" t="s">
        <v>59</v>
      </c>
      <c r="D4" s="11" t="s">
        <v>121</v>
      </c>
      <c r="E4" s="12" t="s">
        <v>100</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78" hidden="false" customHeight="true" outlineLevel="0" collapsed="false">
      <c r="A8" s="11" t="s">
        <v>130</v>
      </c>
      <c r="B8" s="12" t="s">
        <v>325</v>
      </c>
      <c r="D8" s="11" t="s">
        <v>132</v>
      </c>
      <c r="E8" s="12" t="s">
        <v>326</v>
      </c>
    </row>
    <row r="9" customFormat="false" ht="207.75" hidden="false" customHeight="true" outlineLevel="0" collapsed="false">
      <c r="A9" s="11" t="s">
        <v>134</v>
      </c>
      <c r="B9" s="12" t="s">
        <v>327</v>
      </c>
      <c r="D9" s="11" t="s">
        <v>136</v>
      </c>
      <c r="E9" s="12" t="s">
        <v>328</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329</v>
      </c>
      <c r="D11" s="11" t="s">
        <v>140</v>
      </c>
      <c r="E11" s="12" t="s">
        <v>329</v>
      </c>
    </row>
    <row r="12" customFormat="false" ht="21.75" hidden="false" customHeight="true" outlineLevel="0" collapsed="false">
      <c r="A12" s="11" t="s">
        <v>142</v>
      </c>
      <c r="B12" s="12" t="s">
        <v>60</v>
      </c>
      <c r="D12" s="11" t="s">
        <v>143</v>
      </c>
      <c r="E12" s="12" t="s">
        <v>60</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330</v>
      </c>
      <c r="B1" s="9"/>
      <c r="D1" s="9" t="s">
        <v>331</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62</v>
      </c>
      <c r="D3" s="11" t="s">
        <v>119</v>
      </c>
      <c r="E3" s="12" t="s">
        <v>62</v>
      </c>
    </row>
    <row r="4" customFormat="false" ht="21.75" hidden="false" customHeight="true" outlineLevel="0" collapsed="false">
      <c r="A4" s="11" t="s">
        <v>120</v>
      </c>
      <c r="B4" s="12" t="s">
        <v>63</v>
      </c>
      <c r="D4" s="11" t="s">
        <v>121</v>
      </c>
      <c r="E4" s="12" t="s">
        <v>101</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45" hidden="false" customHeight="true" outlineLevel="0" collapsed="false">
      <c r="A8" s="11" t="s">
        <v>130</v>
      </c>
      <c r="B8" s="12" t="s">
        <v>332</v>
      </c>
      <c r="D8" s="11" t="s">
        <v>132</v>
      </c>
      <c r="E8" s="12" t="s">
        <v>333</v>
      </c>
    </row>
    <row r="9" customFormat="false" ht="78" hidden="false" customHeight="true" outlineLevel="0" collapsed="false">
      <c r="A9" s="11" t="s">
        <v>134</v>
      </c>
      <c r="B9" s="12" t="s">
        <v>334</v>
      </c>
      <c r="D9" s="11" t="s">
        <v>136</v>
      </c>
      <c r="E9" s="12" t="s">
        <v>335</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336</v>
      </c>
      <c r="D11" s="11" t="s">
        <v>140</v>
      </c>
      <c r="E11" s="12" t="s">
        <v>336</v>
      </c>
    </row>
    <row r="12" customFormat="false" ht="21.75" hidden="false" customHeight="true" outlineLevel="0" collapsed="false">
      <c r="A12" s="11" t="s">
        <v>142</v>
      </c>
      <c r="B12" s="12" t="s">
        <v>62</v>
      </c>
      <c r="D12" s="11" t="s">
        <v>143</v>
      </c>
      <c r="E12" s="12" t="s">
        <v>62</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337</v>
      </c>
      <c r="B1" s="9"/>
      <c r="D1" s="9" t="s">
        <v>338</v>
      </c>
      <c r="E1" s="9"/>
    </row>
    <row r="2" customFormat="false" ht="19.5" hidden="false" customHeight="true" outlineLevel="0" collapsed="false">
      <c r="A2" s="10" t="s">
        <v>116</v>
      </c>
      <c r="B2" s="10"/>
      <c r="D2" s="10" t="s">
        <v>117</v>
      </c>
      <c r="E2" s="10"/>
    </row>
    <row r="3" customFormat="false" ht="21.75" hidden="false" customHeight="true" outlineLevel="0" collapsed="false">
      <c r="A3" s="11" t="s">
        <v>118</v>
      </c>
      <c r="B3" s="12" t="s">
        <v>65</v>
      </c>
      <c r="D3" s="11" t="s">
        <v>119</v>
      </c>
      <c r="E3" s="12" t="s">
        <v>65</v>
      </c>
    </row>
    <row r="4" customFormat="false" ht="21.75" hidden="false" customHeight="true" outlineLevel="0" collapsed="false">
      <c r="A4" s="11" t="s">
        <v>120</v>
      </c>
      <c r="B4" s="12" t="s">
        <v>66</v>
      </c>
      <c r="D4" s="11" t="s">
        <v>121</v>
      </c>
      <c r="E4" s="12" t="s">
        <v>102</v>
      </c>
    </row>
    <row r="5" customFormat="false" ht="21.75" hidden="false" customHeight="true" outlineLevel="0" collapsed="false">
      <c r="A5" s="11" t="s">
        <v>122</v>
      </c>
      <c r="B5" s="12" t="s">
        <v>123</v>
      </c>
      <c r="D5" s="11" t="s">
        <v>124</v>
      </c>
      <c r="E5" s="12" t="s">
        <v>125</v>
      </c>
    </row>
    <row r="6" customFormat="false" ht="21.75" hidden="false" customHeight="true" outlineLevel="0" collapsed="false">
      <c r="A6" s="11" t="s">
        <v>126</v>
      </c>
      <c r="B6" s="12"/>
      <c r="D6" s="11" t="s">
        <v>127</v>
      </c>
      <c r="E6" s="12"/>
    </row>
    <row r="7" customFormat="false" ht="21.75" hidden="false" customHeight="true" outlineLevel="0" collapsed="false">
      <c r="A7" s="11" t="s">
        <v>128</v>
      </c>
      <c r="B7" s="12"/>
      <c r="D7" s="11" t="s">
        <v>129</v>
      </c>
      <c r="E7" s="12"/>
    </row>
    <row r="8" customFormat="false" ht="142.5" hidden="false" customHeight="true" outlineLevel="0" collapsed="false">
      <c r="A8" s="11" t="s">
        <v>130</v>
      </c>
      <c r="B8" s="12" t="s">
        <v>339</v>
      </c>
      <c r="D8" s="11" t="s">
        <v>132</v>
      </c>
      <c r="E8" s="12" t="s">
        <v>340</v>
      </c>
    </row>
    <row r="9" customFormat="false" ht="90.75" hidden="false" customHeight="true" outlineLevel="0" collapsed="false">
      <c r="A9" s="11" t="s">
        <v>134</v>
      </c>
      <c r="B9" s="12" t="s">
        <v>341</v>
      </c>
      <c r="D9" s="11" t="s">
        <v>136</v>
      </c>
      <c r="E9" s="12" t="s">
        <v>342</v>
      </c>
    </row>
    <row r="10" customFormat="false" ht="19.5" hidden="false" customHeight="true" outlineLevel="0" collapsed="false">
      <c r="A10" s="10" t="s">
        <v>138</v>
      </c>
      <c r="B10" s="10"/>
      <c r="D10" s="10" t="s">
        <v>139</v>
      </c>
      <c r="E10" s="10"/>
    </row>
    <row r="11" customFormat="false" ht="21.75" hidden="false" customHeight="true" outlineLevel="0" collapsed="false">
      <c r="A11" s="11" t="s">
        <v>140</v>
      </c>
      <c r="B11" s="12" t="s">
        <v>343</v>
      </c>
      <c r="D11" s="11" t="s">
        <v>140</v>
      </c>
      <c r="E11" s="12" t="s">
        <v>343</v>
      </c>
    </row>
    <row r="12" customFormat="false" ht="21.75" hidden="false" customHeight="true" outlineLevel="0" collapsed="false">
      <c r="A12" s="11" t="s">
        <v>142</v>
      </c>
      <c r="B12" s="12" t="s">
        <v>65</v>
      </c>
      <c r="D12" s="11" t="s">
        <v>143</v>
      </c>
      <c r="E12" s="12" t="s">
        <v>65</v>
      </c>
    </row>
    <row r="13" customFormat="false" ht="21.75" hidden="false" customHeight="true" outlineLevel="0" collapsed="false">
      <c r="A13" s="11" t="s">
        <v>144</v>
      </c>
      <c r="B13" s="12"/>
      <c r="D13" s="11" t="s">
        <v>145</v>
      </c>
      <c r="E13" s="12"/>
    </row>
    <row r="14" customFormat="false" ht="54.75" hidden="false" customHeight="true" outlineLevel="0" collapsed="false">
      <c r="A14" s="11" t="s">
        <v>146</v>
      </c>
      <c r="B14" s="12"/>
      <c r="D14" s="11" t="s">
        <v>147</v>
      </c>
      <c r="E14" s="12"/>
    </row>
    <row r="15" customFormat="false" ht="54.75" hidden="false" customHeight="true" outlineLevel="0" collapsed="false">
      <c r="A15" s="11" t="s">
        <v>148</v>
      </c>
      <c r="B15" s="12"/>
      <c r="D15" s="11" t="s">
        <v>149</v>
      </c>
      <c r="E15" s="12"/>
    </row>
    <row r="16" customFormat="false" ht="54.75" hidden="false" customHeight="true" outlineLevel="0" collapsed="false">
      <c r="A16" s="11" t="s">
        <v>71</v>
      </c>
      <c r="B16" s="12"/>
      <c r="D16" s="11" t="s">
        <v>107</v>
      </c>
      <c r="E16" s="12"/>
    </row>
    <row r="17" customFormat="false" ht="24.75" hidden="false" customHeight="true" outlineLevel="0" collapsed="false">
      <c r="A17" s="11" t="s">
        <v>150</v>
      </c>
      <c r="B17" s="12"/>
      <c r="D17" s="11" t="s">
        <v>151</v>
      </c>
      <c r="E17" s="12"/>
    </row>
    <row r="18" customFormat="false" ht="24.75" hidden="false" customHeight="true" outlineLevel="0" collapsed="false">
      <c r="A18" s="11" t="s">
        <v>152</v>
      </c>
      <c r="B18" s="12"/>
      <c r="D18" s="11" t="s">
        <v>153</v>
      </c>
      <c r="E18" s="12"/>
    </row>
    <row r="19" customFormat="false" ht="24.75" hidden="false" customHeight="true" outlineLevel="0" collapsed="false">
      <c r="A19" s="11" t="s">
        <v>154</v>
      </c>
      <c r="B19" s="12"/>
      <c r="D19" s="11" t="s">
        <v>155</v>
      </c>
      <c r="E19" s="12"/>
    </row>
    <row r="20" customFormat="false" ht="21.75" hidden="false" customHeight="true" outlineLevel="0" collapsed="false">
      <c r="A20" s="11" t="s">
        <v>5</v>
      </c>
      <c r="B20" s="12" t="s">
        <v>69</v>
      </c>
      <c r="D20" s="11" t="s">
        <v>83</v>
      </c>
      <c r="E20" s="12" t="s">
        <v>156</v>
      </c>
    </row>
    <row r="21" customFormat="false" ht="54.75" hidden="false" customHeight="true" outlineLevel="0" collapsed="false">
      <c r="A21" s="11" t="s">
        <v>157</v>
      </c>
      <c r="B21" s="12"/>
      <c r="D21" s="11" t="s">
        <v>158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2026-05-29T18:33:49Z</dcterms:created>
  <dc:creator>openpyxl</dc:creator>
  <dc:description/>
  <dc:language>en-US</dc:language>
  <cp:lastModifiedBy/>
  <dcterms:modified xsi:type="dcterms:W3CDTF">2026-05-29T18:33:50Z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