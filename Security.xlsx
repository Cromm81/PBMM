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56.xml" ContentType="application/vnd.openxmlformats-officedocument.spreadsheetml.worksheet+xml"/>
  <Override PartName="/xl/worksheets/sheet55.xml" ContentType="application/vnd.openxmlformats-officedocument.spreadsheetml.worksheet+xml"/>
  <Override PartName="/xl/worksheets/sheet54.xml" ContentType="application/vnd.openxmlformats-officedocument.spreadsheetml.worksheet+xml"/>
  <Override PartName="/xl/worksheets/sheet53.xml" ContentType="application/vnd.openxmlformats-officedocument.spreadsheetml.worksheet+xml"/>
  <Override PartName="/xl/worksheets/sheet52.xml" ContentType="application/vnd.openxmlformats-officedocument.spreadsheetml.worksheet+xml"/>
  <Override PartName="/xl/worksheets/sheet51.xml" ContentType="application/vnd.openxmlformats-officedocument.spreadsheetml.worksheet+xml"/>
  <Override PartName="/xl/worksheets/sheet50.xml" ContentType="application/vnd.openxmlformats-officedocument.spreadsheetml.worksheet+xml"/>
  <Override PartName="/xl/worksheets/sheet46.xml" ContentType="application/vnd.openxmlformats-officedocument.spreadsheetml.worksheet+xml"/>
  <Override PartName="/xl/worksheets/sheet45.xml" ContentType="application/vnd.openxmlformats-officedocument.spreadsheetml.worksheet+xml"/>
  <Override PartName="/xl/worksheets/sheet44.xml" ContentType="application/vnd.openxmlformats-officedocument.spreadsheetml.worksheet+xml"/>
  <Override PartName="/xl/worksheets/sheet43.xml" ContentType="application/vnd.openxmlformats-officedocument.spreadsheetml.worksheet+xml"/>
  <Override PartName="/xl/worksheets/sheet42.xml" ContentType="application/vnd.openxmlformats-officedocument.spreadsheetml.worksheet+xml"/>
  <Override PartName="/xl/worksheets/sheet41.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38.xml" ContentType="application/vnd.openxmlformats-officedocument.spreadsheetml.worksheet+xml"/>
  <Override PartName="/xl/worksheets/sheet37.xml" ContentType="application/vnd.openxmlformats-officedocument.spreadsheetml.worksheet+xml"/>
  <Override PartName="/xl/worksheets/sheet36.xml" ContentType="application/vnd.openxmlformats-officedocument.spreadsheetml.worksheet+xml"/>
  <Override PartName="/xl/worksheets/sheet35.xml" ContentType="application/vnd.openxmlformats-officedocument.spreadsheetml.worksheet+xml"/>
  <Override PartName="/xl/worksheets/sheet34.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48.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21.xml" ContentType="application/vnd.openxmlformats-officedocument.spreadsheetml.worksheet+xml"/>
  <Override PartName="/xl/worksheets/sheet47.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24.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60.xml" ContentType="application/vnd.openxmlformats-officedocument.spreadsheetml.worksheet+xml"/>
  <Override PartName="/xl/worksheets/sheet1.xml" ContentType="application/vnd.openxmlformats-officedocument.spreadsheetml.worksheet+xml"/>
  <Override PartName="/xl/worksheets/sheet61.xml" ContentType="application/vnd.openxmlformats-officedocument.spreadsheetml.worksheet+xml"/>
  <Override PartName="/xl/worksheets/sheet2.xml" ContentType="application/vnd.openxmlformats-officedocument.spreadsheetml.worksheet+xml"/>
  <Override PartName="/xl/worksheets/sheet62.xml" ContentType="application/vnd.openxmlformats-officedocument.spreadsheetml.worksheet+xml"/>
  <Override PartName="/xl/worksheets/sheet3.xml" ContentType="application/vnd.openxmlformats-officedocument.spreadsheetml.worksheet+xml"/>
  <Override PartName="/xl/worksheets/sheet63.xml" ContentType="application/vnd.openxmlformats-officedocument.spreadsheetml.worksheet+xml"/>
  <Override PartName="/xl/worksheets/sheet4.xml" ContentType="application/vnd.openxmlformats-officedocument.spreadsheetml.worksheet+xml"/>
  <Override PartName="/xl/worksheets/sheet64.xml" ContentType="application/vnd.openxmlformats-officedocument.spreadsheetml.worksheet+xml"/>
  <Override PartName="/xl/worksheets/sheet93.xml" ContentType="application/vnd.openxmlformats-officedocument.spreadsheetml.worksheet+xml"/>
  <Override PartName="/xl/worksheets/sheet28.xml" ContentType="application/vnd.openxmlformats-officedocument.spreadsheetml.worksheet+xml"/>
  <Override PartName="/xl/worksheets/sheet70.xml" ContentType="application/vnd.openxmlformats-officedocument.spreadsheetml.worksheet+xml"/>
  <Override PartName="/xl/worksheets/sheet65.xml" ContentType="application/vnd.openxmlformats-officedocument.spreadsheetml.worksheet+xml"/>
  <Override PartName="/xl/worksheets/sheet94.xml" ContentType="application/vnd.openxmlformats-officedocument.spreadsheetml.worksheet+xml"/>
  <Override PartName="/xl/worksheets/sheet29.xml" ContentType="application/vnd.openxmlformats-officedocument.spreadsheetml.worksheet+xml"/>
  <Override PartName="/xl/worksheets/sheet71.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89.xml" ContentType="application/vnd.openxmlformats-officedocument.spreadsheetml.worksheet+xml"/>
  <Override PartName="/xl/worksheets/sheet77.xml" ContentType="application/vnd.openxmlformats-officedocument.spreadsheetml.worksheet+xml"/>
  <Override PartName="/xl/worksheets/sheet88.xml" ContentType="application/vnd.openxmlformats-officedocument.spreadsheetml.worksheet+xml"/>
  <Override PartName="/xl/worksheets/sheet76.xml" ContentType="application/vnd.openxmlformats-officedocument.spreadsheetml.worksheet+xml"/>
  <Override PartName="/xl/worksheets/sheet87.xml" ContentType="application/vnd.openxmlformats-officedocument.spreadsheetml.worksheet+xml"/>
  <Override PartName="/xl/worksheets/sheet75.xml" ContentType="application/vnd.openxmlformats-officedocument.spreadsheetml.worksheet+xml"/>
  <Override PartName="/xl/worksheets/sheet86.xml" ContentType="application/vnd.openxmlformats-officedocument.spreadsheetml.worksheet+xml"/>
  <Override PartName="/xl/worksheets/sheet74.xml" ContentType="application/vnd.openxmlformats-officedocument.spreadsheetml.worksheet+xml"/>
  <Override PartName="/xl/worksheets/sheet85.xml" ContentType="application/vnd.openxmlformats-officedocument.spreadsheetml.worksheet+xml"/>
  <Override PartName="/xl/worksheets/sheet73.xml" ContentType="application/vnd.openxmlformats-officedocument.spreadsheetml.worksheet+xml"/>
  <Override PartName="/xl/worksheets/sheet79.xml" ContentType="application/vnd.openxmlformats-officedocument.spreadsheetml.worksheet+xml"/>
  <Override PartName="/xl/worksheets/sheet78.xml" ContentType="application/vnd.openxmlformats-officedocument.spreadsheetml.worksheet+xml"/>
  <Override PartName="/xl/worksheets/sheet72.xml" ContentType="application/vnd.openxmlformats-officedocument.spreadsheetml.worksheet+xml"/>
  <Override PartName="/xl/worksheets/sheet13.xml" ContentType="application/vnd.openxmlformats-officedocument.spreadsheetml.worksheet+xml"/>
  <Override PartName="/xl/worksheets/sheet92.xml" ContentType="application/vnd.openxmlformats-officedocument.spreadsheetml.worksheet+xml"/>
  <Override PartName="/xl/worksheets/sheet27.xml" ContentType="application/vnd.openxmlformats-officedocument.spreadsheetml.worksheet+xml"/>
  <Override PartName="/xl/worksheets/sheet12.xml" ContentType="application/vnd.openxmlformats-officedocument.spreadsheetml.worksheet+xml"/>
  <Override PartName="/xl/worksheets/sheet49.xml" ContentType="application/vnd.openxmlformats-officedocument.spreadsheetml.worksheet+xml"/>
  <Override PartName="/xl/worksheets/sheet91.xml" ContentType="application/vnd.openxmlformats-officedocument.spreadsheetml.worksheet+xml"/>
  <Override PartName="/xl/worksheets/sheet26.xml" ContentType="application/vnd.openxmlformats-officedocument.spreadsheetml.worksheet+xml"/>
  <Override PartName="/xl/worksheets/sheet90.xml" ContentType="application/vnd.openxmlformats-officedocument.spreadsheetml.worksheet+xml"/>
  <Override PartName="/xl/worksheets/sheet25.xml" ContentType="application/vnd.openxmlformats-officedocument.spreadsheetml.worksheet+xml"/>
  <Override PartName="/xl/worksheets/sheet59.xml" ContentType="application/vnd.openxmlformats-officedocument.spreadsheetml.worksheet+xml"/>
  <Override PartName="/xl/worksheets/sheet7.xml" ContentType="application/vnd.openxmlformats-officedocument.spreadsheetml.worksheet+xml"/>
  <Override PartName="/xl/worksheets/sheet22.xml" ContentType="application/vnd.openxmlformats-officedocument.spreadsheetml.worksheet+xml"/>
  <Override PartName="/xl/worksheets/sheet58.xml" ContentType="application/vnd.openxmlformats-officedocument.spreadsheetml.worksheet+xml"/>
  <Override PartName="/xl/worksheets/sheet19.xml" ContentType="application/vnd.openxmlformats-officedocument.spreadsheetml.worksheet+xml"/>
  <Override PartName="/xl/worksheets/sheet84.xml" ContentType="application/vnd.openxmlformats-officedocument.spreadsheetml.worksheet+xml"/>
  <Override PartName="/xl/worksheets/sheet57.xml" ContentType="application/vnd.openxmlformats-officedocument.spreadsheetml.worksheet+xml"/>
  <Override PartName="/xl/worksheets/sheet18.xml" ContentType="application/vnd.openxmlformats-officedocument.spreadsheetml.worksheet+xml"/>
  <Override PartName="/xl/worksheets/sheet83.xml" ContentType="application/vnd.openxmlformats-officedocument.spreadsheetml.worksheet+xml"/>
  <Override PartName="/xl/worksheets/sheet82.xml" ContentType="application/vnd.openxmlformats-officedocument.spreadsheetml.worksheet+xml"/>
  <Override PartName="/xl/worksheets/sheet17.xml" ContentType="application/vnd.openxmlformats-officedocument.spreadsheetml.worksheet+xml"/>
  <Override PartName="/xl/worksheets/sheet81.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80.xml" ContentType="application/vnd.openxmlformats-officedocument.spreadsheetml.worksheet+xml"/>
  <Override PartName="/xl/worksheets/sheet8.xml" ContentType="application/vnd.openxmlformats-officedocument.spreadsheetml.worksheet+xml"/>
  <Override PartName="/xl/worksheets/sheet2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TABLEAU_DE_BORD" sheetId="2" state="visible" r:id="rId4"/>
    <sheet name="AC-2-4" sheetId="3" state="visible" r:id="rId5"/>
    <sheet name="AC-2-5" sheetId="4" state="visible" r:id="rId6"/>
    <sheet name="AC-2-7" sheetId="5" state="visible" r:id="rId7"/>
    <sheet name="AC-4" sheetId="6" state="visible" r:id="rId8"/>
    <sheet name="AC-4-21" sheetId="7" state="visible" r:id="rId9"/>
    <sheet name="AC-6-9" sheetId="8" state="visible" r:id="rId10"/>
    <sheet name="AC-6-10" sheetId="9" state="visible" r:id="rId11"/>
    <sheet name="AC-17-1" sheetId="10" state="visible" r:id="rId12"/>
    <sheet name="AC-17-2" sheetId="11" state="visible" r:id="rId13"/>
    <sheet name="AC-17-3" sheetId="12" state="visible" r:id="rId14"/>
    <sheet name="AC-17-9" sheetId="13" state="visible" r:id="rId15"/>
    <sheet name="AU-2" sheetId="14" state="visible" r:id="rId16"/>
    <sheet name="AU-3" sheetId="15" state="visible" r:id="rId17"/>
    <sheet name="AU-3-1" sheetId="16" state="visible" r:id="rId18"/>
    <sheet name="AU-5" sheetId="17" state="visible" r:id="rId19"/>
    <sheet name="AU-6-1" sheetId="18" state="visible" r:id="rId20"/>
    <sheet name="AU-6-3" sheetId="19" state="visible" r:id="rId21"/>
    <sheet name="AU-7" sheetId="20" state="visible" r:id="rId22"/>
    <sheet name="AU-7-1" sheetId="21" state="visible" r:id="rId23"/>
    <sheet name="AU-8" sheetId="22" state="visible" r:id="rId24"/>
    <sheet name="AU-8-1" sheetId="23" state="visible" r:id="rId25"/>
    <sheet name="AU-9" sheetId="24" state="visible" r:id="rId26"/>
    <sheet name="AU-9-2" sheetId="25" state="visible" r:id="rId27"/>
    <sheet name="AU-9-4" sheetId="26" state="visible" r:id="rId28"/>
    <sheet name="AU-11" sheetId="27" state="visible" r:id="rId29"/>
    <sheet name="AU-12" sheetId="28" state="visible" r:id="rId30"/>
    <sheet name="CA-3-5" sheetId="29" state="visible" r:id="rId31"/>
    <sheet name="CA-9" sheetId="30" state="visible" r:id="rId32"/>
    <sheet name="CM-5-1" sheetId="31" state="visible" r:id="rId33"/>
    <sheet name="CM-6" sheetId="32" state="visible" r:id="rId34"/>
    <sheet name="CM-7" sheetId="33" state="visible" r:id="rId35"/>
    <sheet name="CM-7-1" sheetId="34" state="visible" r:id="rId36"/>
    <sheet name="CM-10" sheetId="35" state="visible" r:id="rId37"/>
    <sheet name="CP-6" sheetId="36" state="visible" r:id="rId38"/>
    <sheet name="CP-6-2" sheetId="37" state="visible" r:id="rId39"/>
    <sheet name="CP-7" sheetId="38" state="visible" r:id="rId40"/>
    <sheet name="CP-7-4" sheetId="39" state="visible" r:id="rId41"/>
    <sheet name="CP-10" sheetId="40" state="visible" r:id="rId42"/>
    <sheet name="CP-10-4" sheetId="41" state="visible" r:id="rId43"/>
    <sheet name="IA-3" sheetId="42" state="visible" r:id="rId44"/>
    <sheet name="IA-5-4" sheetId="43" state="visible" r:id="rId45"/>
    <sheet name="IA-5-6" sheetId="44" state="visible" r:id="rId46"/>
    <sheet name="MA-4-6" sheetId="45" state="visible" r:id="rId47"/>
    <sheet name="RA-5" sheetId="46" state="visible" r:id="rId48"/>
    <sheet name="RA-5-1" sheetId="47" state="visible" r:id="rId49"/>
    <sheet name="RA-5-2" sheetId="48" state="visible" r:id="rId50"/>
    <sheet name="RA-5-3" sheetId="49" state="visible" r:id="rId51"/>
    <sheet name="RA-5-5" sheetId="50" state="visible" r:id="rId52"/>
    <sheet name="RA-5-6" sheetId="51" state="visible" r:id="rId53"/>
    <sheet name="RA-5-8" sheetId="52" state="visible" r:id="rId54"/>
    <sheet name="SA-9-5" sheetId="53" state="visible" r:id="rId55"/>
    <sheet name="SC-2" sheetId="54" state="visible" r:id="rId56"/>
    <sheet name="SC-4" sheetId="55" state="visible" r:id="rId57"/>
    <sheet name="SC-5" sheetId="56" state="visible" r:id="rId58"/>
    <sheet name="SC-7" sheetId="57" state="visible" r:id="rId59"/>
    <sheet name="SC-7-3" sheetId="58" state="visible" r:id="rId60"/>
    <sheet name="SC-7-4" sheetId="59" state="visible" r:id="rId61"/>
    <sheet name="SC-7-5" sheetId="60" state="visible" r:id="rId62"/>
    <sheet name="SC-7-8" sheetId="61" state="visible" r:id="rId63"/>
    <sheet name="SC-7-18" sheetId="62" state="visible" r:id="rId64"/>
    <sheet name="SC-8" sheetId="63" state="visible" r:id="rId65"/>
    <sheet name="SC-8-1" sheetId="64" state="visible" r:id="rId66"/>
    <sheet name="SC-10" sheetId="65" state="visible" r:id="rId67"/>
    <sheet name="SC-12" sheetId="66" state="visible" r:id="rId68"/>
    <sheet name="SC-12-1" sheetId="67" state="visible" r:id="rId69"/>
    <sheet name="SC-12-2" sheetId="68" state="visible" r:id="rId70"/>
    <sheet name="SC-12-3" sheetId="69" state="visible" r:id="rId71"/>
    <sheet name="SC-13" sheetId="70" state="visible" r:id="rId72"/>
    <sheet name="SC-17" sheetId="71" state="visible" r:id="rId73"/>
    <sheet name="SC-18" sheetId="72" state="visible" r:id="rId74"/>
    <sheet name="SC-23" sheetId="73" state="visible" r:id="rId75"/>
    <sheet name="SC-23-1" sheetId="74" state="visible" r:id="rId76"/>
    <sheet name="SC-28" sheetId="75" state="visible" r:id="rId77"/>
    <sheet name="SC-28-1" sheetId="76" state="visible" r:id="rId78"/>
    <sheet name="SI-2" sheetId="77" state="visible" r:id="rId79"/>
    <sheet name="SI-2-2" sheetId="78" state="visible" r:id="rId80"/>
    <sheet name="SI-3" sheetId="79" state="visible" r:id="rId81"/>
    <sheet name="SI-3-1" sheetId="80" state="visible" r:id="rId82"/>
    <sheet name="SI-3-2" sheetId="81" state="visible" r:id="rId83"/>
    <sheet name="SI-3-7" sheetId="82" state="visible" r:id="rId84"/>
    <sheet name="SI-4" sheetId="83" state="visible" r:id="rId85"/>
    <sheet name="SI-4-1" sheetId="84" state="visible" r:id="rId86"/>
    <sheet name="SI-4-2" sheetId="85" state="visible" r:id="rId87"/>
    <sheet name="SI-4-4" sheetId="86" state="visible" r:id="rId88"/>
    <sheet name="SI-4-5" sheetId="87" state="visible" r:id="rId89"/>
    <sheet name="SI-4-11" sheetId="88" state="visible" r:id="rId90"/>
    <sheet name="SI-6" sheetId="89" state="visible" r:id="rId91"/>
    <sheet name="SI-7-7" sheetId="90" state="visible" r:id="rId92"/>
    <sheet name="SI-8" sheetId="91" state="visible" r:id="rId93"/>
    <sheet name="SI-8-1" sheetId="92" state="visible" r:id="rId94"/>
    <sheet name="SI-8-2" sheetId="93" state="visible" r:id="rId95"/>
    <sheet name="SI-11" sheetId="94" state="visible" r:id="rId9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<sst xmlns="http://schemas.openxmlformats.org/spreadsheetml/2006/main" count="5904" uniqueCount="938">
  <si>
    <t xml:space="preserve">DASHBOARD — PBMM Evidence: Security</t>
  </si>
  <si>
    <t xml:space="preserve">Control ID</t>
  </si>
  <si>
    <t xml:space="preserve">Control Name</t>
  </si>
  <si>
    <t xml:space="preserve">Primary Tool</t>
  </si>
  <si>
    <t xml:space="preserve">Tab</t>
  </si>
  <si>
    <t xml:space="preserve">Status</t>
  </si>
  <si>
    <t xml:space="preserve">AC-2(4)</t>
  </si>
  <si>
    <t xml:space="preserve">Account Management</t>
  </si>
  <si>
    <t xml:space="preserve">AC-2-4</t>
  </si>
  <si>
    <t xml:space="preserve">AC-2(5)</t>
  </si>
  <si>
    <t xml:space="preserve">AC-2-5</t>
  </si>
  <si>
    <t xml:space="preserve">AC-2(7)</t>
  </si>
  <si>
    <t xml:space="preserve">AC-2-7</t>
  </si>
  <si>
    <t xml:space="preserve">AC-4</t>
  </si>
  <si>
    <t xml:space="preserve">Information Flow Enforcement</t>
  </si>
  <si>
    <t xml:space="preserve">AC-4(21)</t>
  </si>
  <si>
    <t xml:space="preserve">AC-4-21</t>
  </si>
  <si>
    <t xml:space="preserve">AC-6(9)</t>
  </si>
  <si>
    <t xml:space="preserve">Least Privilege</t>
  </si>
  <si>
    <t xml:space="preserve">AC-6-9</t>
  </si>
  <si>
    <t xml:space="preserve">AC-6(10)</t>
  </si>
  <si>
    <t xml:space="preserve">AC-6-10</t>
  </si>
  <si>
    <t xml:space="preserve">AC-17(1)</t>
  </si>
  <si>
    <t xml:space="preserve">Remote Access</t>
  </si>
  <si>
    <t xml:space="preserve">AC-17-1</t>
  </si>
  <si>
    <t xml:space="preserve">AC-17(2)</t>
  </si>
  <si>
    <t xml:space="preserve">AC-17-2</t>
  </si>
  <si>
    <t xml:space="preserve">AC-17(3)</t>
  </si>
  <si>
    <t xml:space="preserve">AC-17-3</t>
  </si>
  <si>
    <t xml:space="preserve">AC-17(9)</t>
  </si>
  <si>
    <t xml:space="preserve">AC-17-9</t>
  </si>
  <si>
    <t xml:space="preserve">AU-2</t>
  </si>
  <si>
    <t xml:space="preserve">Auditable Events</t>
  </si>
  <si>
    <t xml:space="preserve">AU-3</t>
  </si>
  <si>
    <t xml:space="preserve">Content of Audit Records</t>
  </si>
  <si>
    <t xml:space="preserve">AU-3(1)</t>
  </si>
  <si>
    <t xml:space="preserve">AU-3-1</t>
  </si>
  <si>
    <t xml:space="preserve">AU-5</t>
  </si>
  <si>
    <t xml:space="preserve">Response To Audit Processing Failures</t>
  </si>
  <si>
    <t xml:space="preserve">AU-6(1)</t>
  </si>
  <si>
    <t xml:space="preserve">Audit Review, Analysis, and Reporting</t>
  </si>
  <si>
    <t xml:space="preserve">AU-6-1</t>
  </si>
  <si>
    <t xml:space="preserve">AU-6(3)</t>
  </si>
  <si>
    <t xml:space="preserve">AU-6-3</t>
  </si>
  <si>
    <t xml:space="preserve">AU-7</t>
  </si>
  <si>
    <t xml:space="preserve">Audit Reduction and Report Generation</t>
  </si>
  <si>
    <t xml:space="preserve">AU-7(1)</t>
  </si>
  <si>
    <t xml:space="preserve">AU-7-1</t>
  </si>
  <si>
    <t xml:space="preserve">AU-8</t>
  </si>
  <si>
    <t xml:space="preserve">Time Stamps</t>
  </si>
  <si>
    <t xml:space="preserve">AU-8(1)</t>
  </si>
  <si>
    <t xml:space="preserve">AU-8-1</t>
  </si>
  <si>
    <t xml:space="preserve">AU-9</t>
  </si>
  <si>
    <t xml:space="preserve">Protection of Audit Information</t>
  </si>
  <si>
    <t xml:space="preserve">AU-9(2)</t>
  </si>
  <si>
    <t xml:space="preserve">AU-9-2</t>
  </si>
  <si>
    <t xml:space="preserve">AU-9(4)</t>
  </si>
  <si>
    <t xml:space="preserve">AU-9-4</t>
  </si>
  <si>
    <t xml:space="preserve">AU-11</t>
  </si>
  <si>
    <t xml:space="preserve">Audit Record Retention</t>
  </si>
  <si>
    <t xml:space="preserve">AU-12</t>
  </si>
  <si>
    <t xml:space="preserve">Audit Generation</t>
  </si>
  <si>
    <t xml:space="preserve">CA-3(5)</t>
  </si>
  <si>
    <t xml:space="preserve">Information System Connections</t>
  </si>
  <si>
    <t xml:space="preserve">CA-3-5</t>
  </si>
  <si>
    <t xml:space="preserve">CA-9</t>
  </si>
  <si>
    <t xml:space="preserve">Internal System Connections</t>
  </si>
  <si>
    <t xml:space="preserve">CM-5(1)</t>
  </si>
  <si>
    <t xml:space="preserve">Access Restrictions for Change</t>
  </si>
  <si>
    <t xml:space="preserve">CM-5-1</t>
  </si>
  <si>
    <t xml:space="preserve">CM-6</t>
  </si>
  <si>
    <t xml:space="preserve">Configuration Settings</t>
  </si>
  <si>
    <t xml:space="preserve">CM-7</t>
  </si>
  <si>
    <t xml:space="preserve">Least Functionality</t>
  </si>
  <si>
    <t xml:space="preserve">CM-7(1)</t>
  </si>
  <si>
    <t xml:space="preserve">CM-7-1</t>
  </si>
  <si>
    <t xml:space="preserve">CM-10</t>
  </si>
  <si>
    <t xml:space="preserve">Software Usage Restrictions</t>
  </si>
  <si>
    <t xml:space="preserve">CP-6</t>
  </si>
  <si>
    <t xml:space="preserve">Alternate Storage Site</t>
  </si>
  <si>
    <t xml:space="preserve">CP-6(2)</t>
  </si>
  <si>
    <t xml:space="preserve">CP-6-2</t>
  </si>
  <si>
    <t xml:space="preserve">CP-7</t>
  </si>
  <si>
    <t xml:space="preserve">Alternate Processing Site</t>
  </si>
  <si>
    <t xml:space="preserve">CP-7(4)</t>
  </si>
  <si>
    <t xml:space="preserve">CP-7-4</t>
  </si>
  <si>
    <t xml:space="preserve">CP-10</t>
  </si>
  <si>
    <t xml:space="preserve">Information System Recovery and Reconstitution</t>
  </si>
  <si>
    <t xml:space="preserve">CP-10(4)</t>
  </si>
  <si>
    <t xml:space="preserve">CP-10-4</t>
  </si>
  <si>
    <t xml:space="preserve">IA-3</t>
  </si>
  <si>
    <t xml:space="preserve">Device Identification and Authentication</t>
  </si>
  <si>
    <t xml:space="preserve">IA-5(4)</t>
  </si>
  <si>
    <t xml:space="preserve">Authenticator Management</t>
  </si>
  <si>
    <t xml:space="preserve">IA-5-4</t>
  </si>
  <si>
    <t xml:space="preserve">IA-5(6)</t>
  </si>
  <si>
    <t xml:space="preserve">IA-5-6</t>
  </si>
  <si>
    <t xml:space="preserve">MA-4(6)</t>
  </si>
  <si>
    <t xml:space="preserve">Non-Local Maintenance</t>
  </si>
  <si>
    <t xml:space="preserve">MA-4-6</t>
  </si>
  <si>
    <t xml:space="preserve">RA-5</t>
  </si>
  <si>
    <t xml:space="preserve">Vulnerability Scanning</t>
  </si>
  <si>
    <t xml:space="preserve">RA-5(1)</t>
  </si>
  <si>
    <t xml:space="preserve">RA-5-1</t>
  </si>
  <si>
    <t xml:space="preserve">RA-5(2)</t>
  </si>
  <si>
    <t xml:space="preserve">RA-5-2</t>
  </si>
  <si>
    <t xml:space="preserve">RA-5(3)</t>
  </si>
  <si>
    <t xml:space="preserve">RA-5-3</t>
  </si>
  <si>
    <t xml:space="preserve">RA-5(5)</t>
  </si>
  <si>
    <t xml:space="preserve">RA-5-5</t>
  </si>
  <si>
    <t xml:space="preserve">RA-5(6)</t>
  </si>
  <si>
    <t xml:space="preserve">RA-5-6</t>
  </si>
  <si>
    <t xml:space="preserve">RA-5(8)</t>
  </si>
  <si>
    <t xml:space="preserve">RA-5-8</t>
  </si>
  <si>
    <t xml:space="preserve">SA-9(5)</t>
  </si>
  <si>
    <t xml:space="preserve">External Information System Services</t>
  </si>
  <si>
    <t xml:space="preserve">SA-9-5</t>
  </si>
  <si>
    <t xml:space="preserve">SC-2</t>
  </si>
  <si>
    <t xml:space="preserve">Application Partitioning</t>
  </si>
  <si>
    <t xml:space="preserve">SC-4</t>
  </si>
  <si>
    <t xml:space="preserve">Information in Shared Resources</t>
  </si>
  <si>
    <t xml:space="preserve">SC-5</t>
  </si>
  <si>
    <t xml:space="preserve">Denial of Service Protection</t>
  </si>
  <si>
    <t xml:space="preserve">SC-7</t>
  </si>
  <si>
    <t xml:space="preserve">Boundary Protection</t>
  </si>
  <si>
    <t xml:space="preserve">SC-7(3)</t>
  </si>
  <si>
    <t xml:space="preserve">SC-7-3</t>
  </si>
  <si>
    <t xml:space="preserve">SC-7(4)</t>
  </si>
  <si>
    <t xml:space="preserve">SC-7-4</t>
  </si>
  <si>
    <t xml:space="preserve">SC-7(5)</t>
  </si>
  <si>
    <t xml:space="preserve">SC-7-5</t>
  </si>
  <si>
    <t xml:space="preserve">SC-7(8)</t>
  </si>
  <si>
    <t xml:space="preserve">SC-7-8</t>
  </si>
  <si>
    <t xml:space="preserve">SC-7(18)</t>
  </si>
  <si>
    <t xml:space="preserve">SC-7-18</t>
  </si>
  <si>
    <t xml:space="preserve">SC-8</t>
  </si>
  <si>
    <t xml:space="preserve">Transmission Confidentiality and Integrity</t>
  </si>
  <si>
    <t xml:space="preserve">SC-8(1)</t>
  </si>
  <si>
    <t xml:space="preserve">SC-8-1</t>
  </si>
  <si>
    <t xml:space="preserve">SC-10</t>
  </si>
  <si>
    <t xml:space="preserve">Network Disconnect</t>
  </si>
  <si>
    <t xml:space="preserve">SC-12</t>
  </si>
  <si>
    <t xml:space="preserve">Cryptographic Key Establishment and Management</t>
  </si>
  <si>
    <t xml:space="preserve">SC-12(1)</t>
  </si>
  <si>
    <t xml:space="preserve">SC-12-1</t>
  </si>
  <si>
    <t xml:space="preserve">SC-12(2)</t>
  </si>
  <si>
    <t xml:space="preserve">SC-12-2</t>
  </si>
  <si>
    <t xml:space="preserve">SC-12(3)</t>
  </si>
  <si>
    <t xml:space="preserve">SC-12-3</t>
  </si>
  <si>
    <t xml:space="preserve">SC-13</t>
  </si>
  <si>
    <t xml:space="preserve">Cryptographic Protection</t>
  </si>
  <si>
    <t xml:space="preserve">SC-17</t>
  </si>
  <si>
    <t xml:space="preserve">Public Key Infrastructure Certificates</t>
  </si>
  <si>
    <t xml:space="preserve">SC-18</t>
  </si>
  <si>
    <t xml:space="preserve">Mobile Code</t>
  </si>
  <si>
    <t xml:space="preserve">SC-23</t>
  </si>
  <si>
    <t xml:space="preserve">Session Authenticity</t>
  </si>
  <si>
    <t xml:space="preserve">SC-23(1)</t>
  </si>
  <si>
    <t xml:space="preserve">SC-23-1</t>
  </si>
  <si>
    <t xml:space="preserve">SC-28</t>
  </si>
  <si>
    <t xml:space="preserve">Protection of Information At Rest</t>
  </si>
  <si>
    <t xml:space="preserve">SC-28(1)</t>
  </si>
  <si>
    <t xml:space="preserve">SC-28-1</t>
  </si>
  <si>
    <t xml:space="preserve">SI-2</t>
  </si>
  <si>
    <t xml:space="preserve">Flaw Remediation</t>
  </si>
  <si>
    <t xml:space="preserve">SI-2(2)</t>
  </si>
  <si>
    <t xml:space="preserve">SI-2-2</t>
  </si>
  <si>
    <t xml:space="preserve">SI-3</t>
  </si>
  <si>
    <t xml:space="preserve">Malicious Code Protection</t>
  </si>
  <si>
    <t xml:space="preserve">SI-3(1)</t>
  </si>
  <si>
    <t xml:space="preserve">SI-3-1</t>
  </si>
  <si>
    <t xml:space="preserve">SI-3(2)</t>
  </si>
  <si>
    <t xml:space="preserve">SI-3-2</t>
  </si>
  <si>
    <t xml:space="preserve">SI-3(7)</t>
  </si>
  <si>
    <t xml:space="preserve">SI-3-7</t>
  </si>
  <si>
    <t xml:space="preserve">SI-4</t>
  </si>
  <si>
    <t xml:space="preserve">Information System Monitoring</t>
  </si>
  <si>
    <t xml:space="preserve">SI-4(1)</t>
  </si>
  <si>
    <t xml:space="preserve">SI-4-1</t>
  </si>
  <si>
    <t xml:space="preserve">SI-4(2)</t>
  </si>
  <si>
    <t xml:space="preserve">SI-4-2</t>
  </si>
  <si>
    <t xml:space="preserve">SI-4(4)</t>
  </si>
  <si>
    <t xml:space="preserve">SI-4-4</t>
  </si>
  <si>
    <t xml:space="preserve">SI-4(5)</t>
  </si>
  <si>
    <t xml:space="preserve">SI-4-5</t>
  </si>
  <si>
    <t xml:space="preserve">SI-4(11)</t>
  </si>
  <si>
    <t xml:space="preserve">SI-4-11</t>
  </si>
  <si>
    <t xml:space="preserve">SI-6</t>
  </si>
  <si>
    <t xml:space="preserve">Security Functional Verification</t>
  </si>
  <si>
    <t xml:space="preserve">SI-7(7)</t>
  </si>
  <si>
    <t xml:space="preserve">Software, Firmware, and Information Integrity</t>
  </si>
  <si>
    <t xml:space="preserve">SI-7-7</t>
  </si>
  <si>
    <t xml:space="preserve">SI-8</t>
  </si>
  <si>
    <t xml:space="preserve">Spam Protection</t>
  </si>
  <si>
    <t xml:space="preserve">SI-8(1)</t>
  </si>
  <si>
    <t xml:space="preserve">SI-8-1</t>
  </si>
  <si>
    <t xml:space="preserve">SI-8(2)</t>
  </si>
  <si>
    <t xml:space="preserve">SI-8-2</t>
  </si>
  <si>
    <t xml:space="preserve">SI-11</t>
  </si>
  <si>
    <t xml:space="preserve">Error Handling</t>
  </si>
  <si>
    <t xml:space="preserve">Completion Metrics</t>
  </si>
  <si>
    <t xml:space="preserve">Total Controls</t>
  </si>
  <si>
    <t xml:space="preserve">Not Started</t>
  </si>
  <si>
    <t xml:space="preserve">In Progress</t>
  </si>
  <si>
    <t xml:space="preserve">Evidence Provided</t>
  </si>
  <si>
    <t xml:space="preserve">Under Review</t>
  </si>
  <si>
    <t xml:space="preserve">Passed</t>
  </si>
  <si>
    <t xml:space="preserve">Failed</t>
  </si>
  <si>
    <t xml:space="preserve">Accepted Exception</t>
  </si>
  <si>
    <t xml:space="preserve">% Complete</t>
  </si>
  <si>
    <t xml:space="preserve">% Not Started</t>
  </si>
  <si>
    <t xml:space="preserve">TABLEAU DE BORD — Suivi PBMM : Security</t>
  </si>
  <si>
    <t xml:space="preserve">ID Contrôle</t>
  </si>
  <si>
    <t xml:space="preserve">Nom du contrôle</t>
  </si>
  <si>
    <t xml:space="preserve">Outil principal</t>
  </si>
  <si>
    <t xml:space="preserve">Onglet</t>
  </si>
  <si>
    <t xml:space="preserve">Statut</t>
  </si>
  <si>
    <t xml:space="preserve">Gestion des comptes</t>
  </si>
  <si>
    <t xml:space="preserve">Application des contrôles du flux d’information</t>
  </si>
  <si>
    <t xml:space="preserve">Moindre privilège</t>
  </si>
  <si>
    <t xml:space="preserve">Accès à distance</t>
  </si>
  <si>
    <t xml:space="preserve">Événements vérifiables</t>
  </si>
  <si>
    <t xml:space="preserve">Contenu des enregistrements de vérification</t>
  </si>
  <si>
    <t xml:space="preserve">Réponse aux échecs de traitement de vérification</t>
  </si>
  <si>
    <t xml:space="preserve">Examen, analyse et rapport de vérification</t>
  </si>
  <si>
    <t xml:space="preserve">Réduction des vérifications et production de rapports</t>
  </si>
  <si>
    <t xml:space="preserve">Estampilles temporelles</t>
  </si>
  <si>
    <t xml:space="preserve">Protection des renseignements de vérification</t>
  </si>
  <si>
    <t xml:space="preserve">Conservation des enregistrements de vérification</t>
  </si>
  <si>
    <t xml:space="preserve">Génération des vérifications</t>
  </si>
  <si>
    <t xml:space="preserve">Connexions aux systèmes d’information</t>
  </si>
  <si>
    <t xml:space="preserve">Connexions internes au système</t>
  </si>
  <si>
    <t xml:space="preserve">Restrictions d’accès pour les changements</t>
  </si>
  <si>
    <t xml:space="preserve">Paramètres de configuration</t>
  </si>
  <si>
    <t xml:space="preserve">Moindre fonctionnalité</t>
  </si>
  <si>
    <t xml:space="preserve">Restrictions d’utilisation des logiciels</t>
  </si>
  <si>
    <t xml:space="preserve">Site de stockage auxiliaire</t>
  </si>
  <si>
    <t xml:space="preserve">Site de traitement auxiliaire</t>
  </si>
  <si>
    <t xml:space="preserve">Reprise et reconstitution du système d’information</t>
  </si>
  <si>
    <t xml:space="preserve">Identification et authentification des dispositifs</t>
  </si>
  <si>
    <t xml:space="preserve">Gestion des authentifiants</t>
  </si>
  <si>
    <t xml:space="preserve">Maintenance non locale</t>
  </si>
  <si>
    <t xml:space="preserve">Analyse des vulnérabilités</t>
  </si>
  <si>
    <t xml:space="preserve">Services de systèmes d’information externes</t>
  </si>
  <si>
    <t xml:space="preserve">Partitionnement des applications</t>
  </si>
  <si>
    <t xml:space="preserve">Information dans les ressources partagées</t>
  </si>
  <si>
    <t xml:space="preserve">Protection contre le déni de service</t>
  </si>
  <si>
    <t xml:space="preserve">Protection des frontières</t>
  </si>
  <si>
    <t xml:space="preserve">Confidentialité et intégrité des transmissions</t>
  </si>
  <si>
    <t xml:space="preserve">Débranchement du réseau</t>
  </si>
  <si>
    <t xml:space="preserve">Établissement et gestion des clés cryptographiques</t>
  </si>
  <si>
    <t xml:space="preserve">Protection cryptographique</t>
  </si>
  <si>
    <t xml:space="preserve">Certificats de l’infrastructure à clés publiques</t>
  </si>
  <si>
    <t xml:space="preserve">Code mobile</t>
  </si>
  <si>
    <t xml:space="preserve">Authenticité des sessions</t>
  </si>
  <si>
    <t xml:space="preserve">Protection de l’information inactive</t>
  </si>
  <si>
    <t xml:space="preserve">Correction des défauts</t>
  </si>
  <si>
    <t xml:space="preserve">Protection contre le code malveillant</t>
  </si>
  <si>
    <t xml:space="preserve">Surveillance du système d’information</t>
  </si>
  <si>
    <t xml:space="preserve">Vérification fonctionnelle de la sécurité</t>
  </si>
  <si>
    <t xml:space="preserve">Logiciels, micrologiciels et intégrité de l’information</t>
  </si>
  <si>
    <t xml:space="preserve">Protection contre les pourriels</t>
  </si>
  <si>
    <t xml:space="preserve">Traitement des erreurs</t>
  </si>
  <si>
    <t xml:space="preserve">Métriques de complétude</t>
  </si>
  <si>
    <t xml:space="preserve">Nombre total de contrôles</t>
  </si>
  <si>
    <t xml:space="preserve">Non commencés</t>
  </si>
  <si>
    <t xml:space="preserve">En cours</t>
  </si>
  <si>
    <t xml:space="preserve">Preuve fournie</t>
  </si>
  <si>
    <t xml:space="preserve">En révision</t>
  </si>
  <si>
    <t xml:space="preserve">Réussi</t>
  </si>
  <si>
    <t xml:space="preserve">Échec</t>
  </si>
  <si>
    <t xml:space="preserve">Exception acceptée</t>
  </si>
  <si>
    <t xml:space="preserve">% Complété</t>
  </si>
  <si>
    <t xml:space="preserve">% Non commencés</t>
  </si>
  <si>
    <t xml:space="preserve">Control AC-2(4) — Evidence Tracking</t>
  </si>
  <si>
    <t xml:space="preserve">Contrôle AC-2(4) — Suivi des preuves</t>
  </si>
  <si>
    <t xml:space="preserve">Control Information</t>
  </si>
  <si>
    <t xml:space="preserve">Informations du contrôle</t>
  </si>
  <si>
    <t xml:space="preserve">Control Identifier</t>
  </si>
  <si>
    <t xml:space="preserve">Identifiant du contrôle</t>
  </si>
  <si>
    <t xml:space="preserve">Family</t>
  </si>
  <si>
    <t xml:space="preserve">Famille</t>
  </si>
  <si>
    <t xml:space="preserve">Profile</t>
  </si>
  <si>
    <t xml:space="preserve">CCCS Medium / PBMM Moderate</t>
  </si>
  <si>
    <t xml:space="preserve">Profil</t>
  </si>
  <si>
    <t xml:space="preserve">CCCS Moyen / PBMM Modéré</t>
  </si>
  <si>
    <t xml:space="preserve">Primary Evidence Tool</t>
  </si>
  <si>
    <t xml:space="preserve">Outil de preuve principal</t>
  </si>
  <si>
    <t xml:space="preserve">Contributing Tools</t>
  </si>
  <si>
    <t xml:space="preserve">Outils contributeurs</t>
  </si>
  <si>
    <t xml:space="preserve">Control Description</t>
  </si>
  <si>
    <t xml:space="preserve">ACCOUNT MANAGEMENT | AUTOMATED AUDIT ACTIONS
The information system automatically audits account creation, modification, enabling, disabling, and removal actions, and notifies responsible managers. Related controls: AU-2, AU-12.</t>
  </si>
  <si>
    <t xml:space="preserve">Description du contrôle</t>
  </si>
  <si>
    <t xml:space="preserve">GESTION DES COMPTES | MESURES DE VÉRIFICATION AUTOMATISÉES
Le système d’information vérifie automatiquement les opérations de création, de modification, d’activation, de désactivation et de retrait des comptes, et avise les gestionnaires responsables. Contrôles connexes : AU-2, AU-12.</t>
  </si>
  <si>
    <t xml:space="preserve">Supplemental Guidance</t>
  </si>
  <si>
    <t xml:space="preserve">Directives supplémentaires</t>
  </si>
  <si>
    <t xml:space="preserve">Test Case</t>
  </si>
  <si>
    <t xml:space="preserve">Cas de test</t>
  </si>
  <si>
    <t xml:space="preserve">Test</t>
  </si>
  <si>
    <t xml:space="preserve">TEST-AC-2(4)</t>
  </si>
  <si>
    <t xml:space="preserve">Requirement ID</t>
  </si>
  <si>
    <t xml:space="preserve">ID Exigence</t>
  </si>
  <si>
    <t xml:space="preserve">Component</t>
  </si>
  <si>
    <t xml:space="preserve">Composant</t>
  </si>
  <si>
    <t xml:space="preserve">Requirement</t>
  </si>
  <si>
    <t xml:space="preserve">Exigence</t>
  </si>
  <si>
    <t xml:space="preserve">Contextual Design Description</t>
  </si>
  <si>
    <t xml:space="preserve">Description contextuelle du design</t>
  </si>
  <si>
    <t xml:space="preserve">Preparer Sign Off (Initials, Date)</t>
  </si>
  <si>
    <t xml:space="preserve">Signataire préparateur (Initiales, Date)</t>
  </si>
  <si>
    <t xml:space="preserve">Owner Sign Off (Initials, Date)</t>
  </si>
  <si>
    <t xml:space="preserve">Signataire propriétaire (Initiales, Date)</t>
  </si>
  <si>
    <t xml:space="preserve">Assessor Sign Off (Initials, Date)</t>
  </si>
  <si>
    <t xml:space="preserve">Signataire évaluateur (Initiales, Date)</t>
  </si>
  <si>
    <t xml:space="preserve">Non commencé</t>
  </si>
  <si>
    <t xml:space="preserve">Comments</t>
  </si>
  <si>
    <t xml:space="preserve">Commentaires</t>
  </si>
  <si>
    <t xml:space="preserve">Control AC-2(5) — Evidence Tracking</t>
  </si>
  <si>
    <t xml:space="preserve">Contrôle AC-2(5) — Suivi des preuves</t>
  </si>
  <si>
    <t xml:space="preserve">ACCOUNT MANAGEMENT | INACTIVITY LOGOUT
The organization requires that users log out at the end of the users’ standard work period unless otherwise defined in formal organizational policy. Related controls: SC-23</t>
  </si>
  <si>
    <t xml:space="preserve">GESTION DES COMPTES | FERMETURE DE SESSION INACTIVE
L’organisation exige que les utilisateurs ferment leur session à la fin de leur période de travail normale, à moins d’indication contraire dans la politique officielle de l’organisation. Contrôles connexes : SC-23</t>
  </si>
  <si>
    <t xml:space="preserve">TEST-AC-2(5)</t>
  </si>
  <si>
    <t xml:space="preserve">Control AC-2(7) — Evidence Tracking</t>
  </si>
  <si>
    <t xml:space="preserve">Contrôle AC-2(7) — Suivi des preuves</t>
  </si>
  <si>
    <t xml:space="preserve">ACCOUNT MANAGEMENT | ROLE-BASED SCHEMES
(a)
The organization establishes and administers privileged user accounts in accordance with a role-based access scheme that organizes allowed information system access and privileges into roles;
(b)
The organization monitors privileged role assignments; and
(c) The organization disables (or revokes) privileged user assignments within 24 hours or sooner when privileged role assignments are no longer appropriate.</t>
  </si>
  <si>
    <t xml:space="preserve">GESTION DES COMPTES | SCHÉMAS FONDÉS SUR LES RÔLES
(a) L’organisation établit et administre les comptes d’utilisateurs privilégiés conformément à un système d’accès basé sur les rôles qui organise les autorisations d’accès au système d’information et les privilèges en fonction des rôles;
(b) L’organisation surveille les affectations de rôles privilégiés;
(c) L’organisation désactive (ou révoque) les affectations d’utilisateurs privilégiés dans les 24 heures ou plus lorsque les affectations de rôles privilégiés ne sont plus appropriées.</t>
  </si>
  <si>
    <t xml:space="preserve">Privileged roles are organization-defined roles assigned to individuals that allow those individuals to perform certain security-relevant functions that ordinary users are not authorized to perform. These privileged roles include, for example, key management, account management, network and system administration, database administration, and web administration.</t>
  </si>
  <si>
    <t xml:space="preserve">Les rôles privilégiés sont des rôles définis par l’organisation et attribués à des personnes pour leur permettre d’exécuter certaines fonctions ayant une influence sur la sécurité que les utilisateurs ordinaires ne sont pas autorisés à exécuter. Ces rôles privilégiés comprennent, par exemple, la gestion des clés, la gestion des comptes, l’administration des réseaux et des systèmes, l’administration des bases de données et l’administration Web.</t>
  </si>
  <si>
    <t xml:space="preserve">TEST-AC-2(7)</t>
  </si>
  <si>
    <t xml:space="preserve">Control AC-4 — Evidence Tracking</t>
  </si>
  <si>
    <t xml:space="preserve">Contrôle AC-4 — Suivi des preuves</t>
  </si>
  <si>
    <t xml:space="preserve">(A)
The information system enforces approved authorizations for controlling the flow of information within the system and between interconnected systems based on deny all, approve by exception information flow policies.</t>
  </si>
  <si>
    <t xml:space="preserve">(A) Le système d’information applique les autorisations approuvées pour contrôler le flux d’information à l’intérieur du système et entre les systèmes interconnectés en fonction des politiques « Refuser tous, approuver par exception » concernant les flux d’information.</t>
  </si>
  <si>
    <t xml:space="preserve">Information flow control regulates where information is allowed to travel within an information system and between information systems (as opposed to who is allowed to access the information) and without explicit regard to subsequent accesses to that information. Flow control restrictions include, for example, keeping export-controlled information from being transmitted in the clear to the Internet, blocking outside traffic that claims to be from within the organization, restricting web requests to the Internet that are not from the internal web proxy server, and limiting information transfers between organizations based on data structures and content. Transferring information between information systems representing different security domains with different security policies introduces risk that such transfers violate one or more domain security policies. In such situations, information owners/stewards provide guidance at designated policy enforcement points between interconnected systems. Organizations should consider mandating specific architectural solutions when required to enforce specific security policies. Enforcement includes, for example: (i) prohibiting information transfers between interconnected systems (i.e., allowing access only); (ii) employing hardware mechanisms to enforce one-way information flows; and (iii) implementing trustworthy re-grading mechanisms to reassign security attributes and security labels.
Organizations commonly employ information flow control policies and enforcement mechanisms to control the flow of information between designated sources and destinations (e.g., networks, individuals, and devices) within information systems and between interconnected systems. Flow control is based on the characteristics of the information and/or the information path. Enforcement occurs, for example, in boundary protection devices (e.g., gateways, routers, guards, encrypted tunnels, firewalls) that employ rule sets or establish configuration settings that restrict information system services, provide a packet-filtering capability based on header information, or message-filtering capability based on message content (e.g., implementing key word searches or using document characteristics). Organizations also consider the trustworthiness of filtering/inspection mechanisms (i.e., hardware, firmware, and software components) that are critical to information flow enforcement. Related controls: AC-3, AC-17, AC-19, AC-21, CM-6, CM-7, SA-8, SC-2, SC-5, SC-7, SC-18.</t>
  </si>
  <si>
    <t xml:space="preserve">Le contrôle du flux d’information détermine les endroits auxquels l’information peut être acheminée au sein d’un système d’information et entre des systèmes d’information (et non les personnes autorisées à accéder à l’information) et sans égard explicite aux accès subséquents à cette information. Les restrictions en matière de contrôle du flux consistent, par exemple, à empêcher la transmission en clair sur l’Internet de l’information dont l’exportation est contrôlée, à bloquer le trafic extérieur qui prétend provenir de l’intérieur de l’organisation, à restreindre les demandes Web à l’Internet qui ne proviennent pas du serveur mandataire Web interne, et à limiter les transferts d’information entre les organisations en fonction des structures et du contenu des données. Les transferts d’information entre systèmes d’information représentant différents domaines de sécurité avec différentes politiques de sécurité présentent le risque que de tels transferts contreviennent à une ou plusieurs politiques de sécurité de domaine. Dans de telles situations, les propriétaires/gardiens de l’information donnent des conseils aux points désignés d’application des politiques entre les systèmes interconnectés. Les organisations devraient envisager d’imposer des solutions architecturales particulières au besoin pour appliquer des politiques de sécurité particulières. L’application des contrôles consiste notamment à : (i) interdire le transfert d’information entre des systèmes interconnectés (c.-à-d. permettre l’accès seulement); (ii) utiliser des mécanismes matériels pour imposer les flux d’information unidirectionnels; et (iii) mettre en œuvre des mécanismes de réévaluation fiables pour réaffecter les attributs de sécurité et les étiquettes de sécurité.
Les organisations utilisent couramment des politiques de contrôle du flux d’information et des mécanismes d’application entre des sources et des destinations désignées (p. ex., les réseaux, les personnes et les périphériques) au sein des systèmes d’information et entre les systèmes interconnectés. Le contrôle du flux est fonction des caractéristiques de l’information ou du chemin de l’information. Le contrôle a lieu, par exemple, dans les dispositifs de protection des frontières (p. ex., passerelles, routeurs, gardiens, tunnels chiffrés, pare-feu) qui utilisent des ensembles de règles ou établissent des paramètres de configuration restreignant les services du système d’information, et offrent une capacité de filtrage des paquets en fonction de l’information d’en-tête, ou une capacité de filtrage des messages en fonction de leur contenu (p. ex., la mise en œuvre de recherches par mots clés ou l’utilisation des caractéristiques du document). Les organisations tiennent également compte de la fiabilité des mécanismes de filtrage et d’inspection (c.-à-d. le matériel, les micrologiciels et les composants logiciels) qui sont essentiels au contrôle du flux d’information. Contrôles connexes : AC-3, AC-17, AC-19, AC-21, CM-6, CM-7, SA-8, SC-2, SC-5, SC-7, SC-18.</t>
  </si>
  <si>
    <t xml:space="preserve">TEST-AC-4</t>
  </si>
  <si>
    <t xml:space="preserve">Control AC-4(21) — Evidence Tracking</t>
  </si>
  <si>
    <t xml:space="preserve">Contrôle AC-4(21) — Suivi des preuves</t>
  </si>
  <si>
    <t xml:space="preserve">INFORMATION FLOW ENFORCEMENT | PHYSICAL / LOGICAL SEPARATION OF INFORMATION FLOWS
The information system separates information flows logically or physically using session encryption to accomplish separation of all sessions.</t>
  </si>
  <si>
    <t xml:space="preserve">APPLICATION DES CONTRÔLES DU FLUX D’INFORMATION | SÉPARATION PHYSIQUE/LOGIQUE DES FLUX D’INFORMATION
Le système d’information sépare les flux d’information de façon logique ou physique en utilisant le chiffrement des sessions pour effectuer la séparation de toutes les sessions.</t>
  </si>
  <si>
    <t xml:space="preserve">Enforcing the separation of information flows by type can enhance protection by ensuring that information is not commingled while in transit and by enabling flow control by transmission paths perhaps not otherwise achievable. Types of separable information include, for example, inbound and outbound communications traffic, service requests and responses, and information of differing security categories.</t>
  </si>
  <si>
    <t xml:space="preserve">La mise en application de la séparation des flux d’information par type peut améliorer la protection en veillant à ce que l’information ne soit pas mélangée pendant le transport et en permettant un contrôle du flux par les voies de transmission qui ne serait peut-être pas possible autrement. Les types d’information séparable comprennent, par exemple, le trafic des communications entrantes et sortantes, les demandes de service et les réponses, ainsi que l’information de différentes catégories de sécurité.</t>
  </si>
  <si>
    <t xml:space="preserve">TEST-AC-4(21)</t>
  </si>
  <si>
    <t xml:space="preserve">Control AC-6(9) — Evidence Tracking</t>
  </si>
  <si>
    <t xml:space="preserve">Contrôle AC-6(9) — Suivi des preuves</t>
  </si>
  <si>
    <t xml:space="preserve">LEAST PRIVILEGE | AUDITING USE OF PRIVILEGED FUNCTIONS
The information system audits the execution of privileged functions.</t>
  </si>
  <si>
    <t xml:space="preserve">MOINDRE PRIVILÈGE | VÉRIFICATION DE L’UTILISATION DES FONCTIONS PRIVILÉGIÉES
Le système d’information vérifie l’exécution des fonctions privilégiées.</t>
  </si>
  <si>
    <t xml:space="preserve">Misuse of privileged functions, either intentionally or unintentionally by authorized users, or by unauthorized external entities that have compromised information system accounts, is a serious and ongoing concern and can have significant adverse impacts on organizations. Auditing the use of privileged functions is one way to detect such misuse, and in doing so, help mitigate the risk from insider threats and the advanced persistent threat (APT). Related control: AU-2.</t>
  </si>
  <si>
    <t xml:space="preserve">L’utilisation abusive des fonctions privilégiées, intentionnellement ou non, par des utilisateurs autorisés ou par des entités externes non autorisées qui ont compromis des comptes de système d’information, est une préoccupation grave et constante qui peut avoir des répercussions négatives importantes sur les organisations. La vérification de l’utilisation des fonctions privilégiées est une façon de détecter un tel abus et, ce faisant, de contribuer à atténuer le risque de menaces internes et de menaces persistantes avancées (MPA). Contrôle connexe : AU-2.</t>
  </si>
  <si>
    <t xml:space="preserve">TEST-AC-6(9)</t>
  </si>
  <si>
    <t xml:space="preserve">Control AC-6(10) — Evidence Tracking</t>
  </si>
  <si>
    <t xml:space="preserve">Contrôle AC-6(10) — Suivi des preuves</t>
  </si>
  <si>
    <t xml:space="preserve">LEAST PRIVILEGE | PROHIBIT NON-PRIVILEGED USERS FROM EXECUTING PRIVILEGED FUNCTIONS
The information system prevents non-privileged users from executing privileged functions to include disabling, circumventing, or altering implemented security safeguards/countermeasures.</t>
  </si>
  <si>
    <t xml:space="preserve">MOINDRE PRIVILÈGE | INTERDICTION AUX UTILISATEURS NON PRIVILÉGIÉS D’EXÉCUTER DES FONCTIONS PRIVILÉGIÉES
Le système d’information empêche les utilisateurs non privilégiés d’exécuter des fonctions privilégiées, y compris la désactivation, le contournement ou la modification des mécanismes/contre-mesures de sécurité en place.</t>
  </si>
  <si>
    <t xml:space="preserve">Privileged functions include, for example, establishing information system accounts, performing system integrity checks, or administering cryptographic key management activities. Non-privileged users are individuals that do not possess appropriate authorizations. Circumventing intrusion detection and prevention mechanisms or malicious code protection mechanisms are examples of privileged functions that require protection from non-privileged users.</t>
  </si>
  <si>
    <t xml:space="preserve">Les fonctions privilégiées comprennent, par exemple, l’établissement des comptes du système d’information, l’exécution des vérifications de l’intégrité du système ou l’administration des activités de gestion de clés cryptographiques. Les utilisateurs non privilégiés sont des personnes qui ne possèdent pas les autorisations appropriées. Les contournements de mécanismes de détection et de prévention des intrusions ou de mécanismes de protection contre le code malveillant sont des exemples de fonctions privilégiées qui nécessitent une protection contre les utilisateurs non privilégiés.</t>
  </si>
  <si>
    <t xml:space="preserve">TEST-AC-6(10)</t>
  </si>
  <si>
    <t xml:space="preserve">Control AC-17(1) — Evidence Tracking</t>
  </si>
  <si>
    <t xml:space="preserve">Contrôle AC-17(1) — Suivi des preuves</t>
  </si>
  <si>
    <t xml:space="preserve">REMOTE ACCESS | AUTOMATED MONITORING / CONTROL
The information system monitors and controls remote access methods.</t>
  </si>
  <si>
    <t xml:space="preserve">ACCÈS À DISTANCE | SURVEILLANCE ET CONTRÔLE AUTOMATISÉS
Le système d’information surveille et contrôle les méthodes d’accès à distance.</t>
  </si>
  <si>
    <t xml:space="preserve">Automated monitoring and control of remote access sessions allows organizations to detect cyber-attacks and also ensure ongoing compliance with remote access policies by auditing connection activities of remote users on a variety of information system components (e.g., servers, workstations, notebook computers, smart phones, and tablets). Related controls: AU-2, AU-12.</t>
  </si>
  <si>
    <t xml:space="preserve">La surveillance et le contrôle automatisés des sessions avec accès à distance permettent aux organisations de détecter les cyberattaques et d’assurer la conformité continue aux politiques d’accès à distance en vérifiant les activités de connexion des utilisateurs distants sur une variété de composants du système d’information (p. ex., serveurs, postes de travail, ordinateurs portatifs, téléphones intelligents et tablettes). Contrôles connexes : AU-2, AU-12.</t>
  </si>
  <si>
    <t xml:space="preserve">TEST-AC-17(1)</t>
  </si>
  <si>
    <t xml:space="preserve">Control AC-17(2) — Evidence Tracking</t>
  </si>
  <si>
    <t xml:space="preserve">Contrôle AC-17(2) — Suivi des preuves</t>
  </si>
  <si>
    <t xml:space="preserve">REMOTE ACCESS | PROTECTION OF CONFIDENTIALITY / INTEGRITY USING ENCRYPTION
The information system implements cryptographic mechanisms to protect the confidentiality and integrity of remote access sessions. The cryptography must be compliant with the requirements of SC-13.</t>
  </si>
  <si>
    <t xml:space="preserve">ACCÈS À DISTANCE | PROTECTION DE LA CONFIDENTIALITÉ ET DE L’INTÉGRITÉ AU MOYEN DU CHIFFREMENT
Le système d’information met en œuvre des mécanismes cryptographiques pour protéger la confidentialité et l’intégrité des sessions d’accès à distance. La cryptographie doit être conforme aux exigences de SC-13.</t>
  </si>
  <si>
    <t xml:space="preserve">Guidance on the encryption strength of mechanism can be obtained from CSE upon request.</t>
  </si>
  <si>
    <t xml:space="preserve">Le CST peut, sur demande, conseiller l’organisation quant à la puissance de chiffrement du mécanisme.</t>
  </si>
  <si>
    <t xml:space="preserve">TEST-AC-17(2)</t>
  </si>
  <si>
    <t xml:space="preserve">Control AC-17(3) — Evidence Tracking</t>
  </si>
  <si>
    <t xml:space="preserve">Contrôle AC-17(3) — Suivi des preuves</t>
  </si>
  <si>
    <t xml:space="preserve">REMOTE ACCESS | MANAGED ACCESS CONTROL POINTS
The information system routes all remote accesses through approved managed network access control points.</t>
  </si>
  <si>
    <t xml:space="preserve">ACCÈS À DISTANCE | POINTS DE CONTRÔLE D’ACCÈS GÉRÉS
Le système d’information achemine tous les accès à distance au moyen de points de contrôle d’accès au réseau gérés et approuvés.</t>
  </si>
  <si>
    <t xml:space="preserve">Limiting the number of access control points for remote accesses reduces the attack surface for organizations.  Related control: SC-7.</t>
  </si>
  <si>
    <t xml:space="preserve">Une limitation du nombre de points de contrôle d’accès à distance réduit la surface d’attaque pour les organisations.  Contrôle connexe : SC-7.</t>
  </si>
  <si>
    <t xml:space="preserve">TEST-AC-17(3)</t>
  </si>
  <si>
    <t xml:space="preserve">Control AC-17(9) — Evidence Tracking</t>
  </si>
  <si>
    <t xml:space="preserve">Contrôle AC-17(9) — Suivi des preuves</t>
  </si>
  <si>
    <t xml:space="preserve">REMOTE ACCESS | DISCONNECT / DISABLE ACCESS
The organization provides the capability to expeditiously disconnect or disable remote access to the information system within a period no greater than 15 minutes.</t>
  </si>
  <si>
    <t xml:space="preserve">ACCÈS À DISTANCE | DÉCONNECTER/DÉSACTIVER L’ACCÈS
L’organisation offre la possibilité de déconnecter ou de désactiver rapidement l’accès à distance au système d’information dans un délai maximal de 15 minutes.</t>
  </si>
  <si>
    <t xml:space="preserve">This control enhancement requires organizations to have the capability to rapidly disconnect current users remotely accessing the information system and/or disable further remote access. The speed of disconnect or disablement varies based on the criticality of missions/business functions and the need to eliminate immediate or future remote access to organizational information systems.</t>
  </si>
  <si>
    <t xml:space="preserve">Cette amélioration du contrôle exige que les organisations soient en mesure de déconnecter rapidement les utilisateurs actuels qui accèdent à distance au système d’information ou de désactiver tout accès à distance ultérieur. La rapidité de la déconnexion ou de la désactivation varie en fonction de la criticité des missions et des fonctions opérationnelles et de la nécessité d’éliminer l’accès à distance immédiat ou futur aux systèmes d’information de l’organisation.</t>
  </si>
  <si>
    <t xml:space="preserve">TEST-AC-17(9)</t>
  </si>
  <si>
    <t xml:space="preserve">Control AU-2 — Evidence Tracking</t>
  </si>
  <si>
    <t xml:space="preserve">Contrôle AU-2 — Suivi des preuves</t>
  </si>
  <si>
    <t xml:space="preserve">(A)
The organization determines that the information system is capable of auditing the following events: Successful and unsuccessful account logon events, account management events, object access, policy change, privilege functions, process tracking, and system events.  For Web applications: all administrator activity, authentication checks, authorization checks, data deletions, data access, data changes, and permission changes.
(B)
The organization coordinates the security audit function with other organizational entities requiring audit-related information to enhance mutual support and to help guide the selection of auditable events.
(C)
The organization provides a rationale for why the auditable events are deemed to be adequate to support after-the-fact investigations of security incidents.
(D)
The organization determines what organizationally-defined audited events (a subset of the auditable events defined in AU-2 a.) and the frequency of (or situation requiring) auditing for each identified event.</t>
  </si>
  <si>
    <t xml:space="preserve">(A) L’organisation détermine que le système d’information est capable de vérifier les événements suivants : événements d’ouverture de compte, réussis ou non, événements de gestion de compte, accès aux objets, changement de politique, fonctions de privilèges, suivi des processus et événements du système.  Pour les applications Web : toutes les activités des administrateurs, les vérifications d’authentification, les vérifications d’autorisation, les suppressions de données, l’accès aux données, les changements de données et les changements d’autorisation.
(B) L’organisation coordonne la fonction de vérification de la sécurité avec d’autres entités organisationnelles qui ont besoin de renseignements liés à la vérification pour améliorer le soutien mutuel et aider à orienter le choix des événements vérifiables.
(C) L’organisation explique la raison pour laquelle les événements vérifiables sont jugés adéquats pour appuyer les enquêtes effectuées à la suite des incidents de sécurité.
(D) L’organisation détermine les événements définis par l’organisation qui sont vérifiés (un sous-ensemble des événements vérifiables définis dans AU-2 a.) et la fréquence (ou la situation exigeant) des vérifications pour chaque événement identifié.</t>
  </si>
  <si>
    <t xml:space="preserve">An event is any observable occurrence in an organizational information system. Organizations identify audit events as those events which are significant and relevant to the security of information systems and the environments in which those systems operate in order to meet specific and ongoing audit needs. Audit events can include, for example, password changes, failed logons, or failed accesses related to information systems, administrative privilege usage, or third-party credential usage. In determining the set of auditable events, organizations consider the auditing appropriate for each of the security controls to be implemented. To balance auditing requirements with other information system needs, this control also requires identifying that subset of auditable events that are audited at a given point in time. For example, organizations may determine that information systems must have the capability to log every file access both successful and unsuccessful, but not activate that capability except for specific circumstances due to the potential burden on system performance. Auditing requirements, including the need for auditable events, may be referenced in other security controls and control enhancements. Organizations also include auditable events that are required by applicable organizational policies, directives, and standards. Audit records can be generated at various levels of abstraction, including at the packet level as information traverses the network. Selecting the appropriate level of abstraction is a critical aspect of an audit capability and can facilitate the identification of root causes to problems. Organizations consider in the definition of auditable events, the auditing necessary to cover related events such as the steps in distributed, transaction-based processes (e.g., processes that are distributed across multiple organizations) and actions that occur in service-oriented architectures. 
The information system audits the following privileged user/process events at a minimum: 
(a) Successful and unsuccessful attempts to access, modify, or delete security objects (Security objects include audit data, system configuration files and file or users’ formal access permissions.) 
(b) Successful and unsuccessful logon attempts
(c) Privileged activities or other system level access (see notes for AU-2 (4))
(d) Starting and ending time for user access to the system
(e) Concurrent logons from different workstations
(f) All program initiations  (see notes for AU-2 (4))
In addition, the information system audits the following unprivileged user/process events at a minimum:
(a) Successful and unsuccessful attempts to access, modify, or delete security objects
(b) Successful and unsuccessful logon attempts
(c) Starting and ending time for user access to the system
(d) Concurrent logons from different workstations
Related controls: AC-6, AC-17, AU-3, AU-12, MA-4, MP-2, MP-4, SI-4</t>
  </si>
  <si>
    <t xml:space="preserve">Un événement est toute occurrence observable dans un système d’information organisationnel. Les organisations désignent les événements vérifiables comme étant des événements importants et pertinents pour la sécurité des systèmes d’information et des environnements dans lesquels ces systèmes sont utilisés afin de répondre à des exigences de vérification particulières et continues. Les événements vérifiés peuvent comprendre, par exemple, les changements de mot de passe, les échecs d’ouverture de session ou les échecs accès liés aux systèmes d’information, l’utilisation des privilèges administratifs ou l’utilisation de justificatifs d’identité par des tiers. Lorsqu’elles déterminent l’ensemble des événements vérifiables, les organisations considèrent que la vérification est appropriée pour chacun des contrôles de sécurité à mettre en œuvre. Pour assurer l’équilibre entre les exigences en matière de vérification et les autres besoins du système d’information, ce contrôle exige également de déterminer le sous-ensemble d’événements vérifiables qui sont vérifiés à un moment donné. Par exemple, les organisations peuvent déterminer que les systèmes d’information doivent avoir la capacité d’enregistrer chaque accès aux fichiers, qu’il soit réussi ou non, mais n’activeront cette capacité que dans des circonstances particulières en raison du fardeau potentiel sur le rendement du système. Les exigences en matière de vérification, y compris la nécessité de déterminer des événements vérifiables, peuvent être mentionnées dans d’autres contrôles et améliorations des contrôles de sécurité. Les organisations incluent également les événements vérifiables qui sont exigés par les politiques, les directives et les normes organisationnelles applicables. Les enregistrements de vérification peuvent être générés à divers niveaux d’abstraction, y compris au niveau des paquets, à mesure que l’information traverse le réseau. Le choix du niveau d’abstraction approprié est un aspect essentiel d’une capacité de vérification et peut faciliter l’identification des causes profondes des problèmes. Dans la définition des événements vérifiables, les organisations prennent en compte la vérification nécessaire pour couvrir les événements connexes, comme les étapes des processus distribués, fondés sur les transactions (p. ex., les processus qui sont répartis entre de multiples organisations) et les actions qui ont lieu dans les architectures orientées service. 
Le système d’information vérifie au minimum les événements suivants liés aux utilisateurs/processus privilégiés : 
(a) Tentatives réussies et infructueuses d’accéder aux objets de sécurité, de les modifier ou de les supprimer (les objets de sécurité comprennent les données de vérification, les fichiers de configuration de système et les autorisations d’accès officielles des utilisateurs). 
(b) Tentatives d’ouverture de session réussies et infructueuses
(c) Activités privilégiées ou autre accès au niveau du système (voir les notes pour AU-2 [4])
(d) Heures de début et de fin de l’accès des utilisateurs au système
(e) Ouvertures de session simultanées à partir de différents postes de travail
(f) Tous les lancements de programmes (voir les notes pour AU-2 [4])
De plus, le système d’information vérifie au minimum les événements suivants liés aux utilisateurs/processus non privilégiés :
(a) Tentatives réussies et infructueuses d’accès, de modification ou de suppression d’objets de sécurité
(b) Tentatives d’ouverture de session réussies et infructueuses
(c) Heures de début et de fin de l’accès de l’utilisateur au système
(d) Ouvertures de session simultanées à partir de différents postes de travail
Contrôles connexes : AC-6, AC-17, AU-3, AU-12, MA-4, MP-2, MP-4, SI-4</t>
  </si>
  <si>
    <t xml:space="preserve">TEST-AU-2</t>
  </si>
  <si>
    <t xml:space="preserve">Control AU-3 — Evidence Tracking</t>
  </si>
  <si>
    <t xml:space="preserve">Contrôle AU-3 — Suivi des preuves</t>
  </si>
  <si>
    <t xml:space="preserve">(A)
The information system generates audit records containing information that establishes what type of event occurred, when the event occurred, where the event occurred, the source of the event, the outcome of the event, and the identity of any individuals or subjects associated with the event.</t>
  </si>
  <si>
    <t xml:space="preserve">(A) Le système d’information génère des enregistrements de vérification qui contiennent les renseignements permettant d’établir le type d’événement qui a eu lieu, le moment et l’endroit où l’événement a eu lieu, la source de l’événement, le résultat de l’événement, ainsi que l’identité de toute personne ou de tout sujet associé à l’événement.</t>
  </si>
  <si>
    <t xml:space="preserve">Audit record content that may be necessary to satisfy the requirement of this control, includes, for example, time stamps, source and destination addresses, user/process identifiers, event descriptions, success/fail indications, filenames involved, and access control or flow control rules invoked. Event outcomes can include indicators of event success or failure and event-specific results (e.g., the security state of the information system after the event occurred). Related controls: AU-2, AU-8, AU-12, SI-11</t>
  </si>
  <si>
    <t xml:space="preserve">Le contenu des enregistrements de vérification qui peut être nécessaire pour satisfaire à l’exigence de ce contrôle comprend, par exemple, les estampilles temporelles, les adresses de source et de destination, les identifiants d’utilisateurs ou de processus, les descriptions d’événements, les indications de réussite ou d’échec, les noms des fichiers en cause et les règles de contrôle d’accès ou de flux invoquées. Les résultats de l’événement peuvent comprendre des indicateurs de réussite ou d’échec de l’événement et des résultats propres à l’événement (p. ex., l’état de sécurité du système d’information après l’événement). Contrôles connexes : AU-2, AU-8, AU-12, SI-11</t>
  </si>
  <si>
    <t xml:space="preserve">TEST-AU-3</t>
  </si>
  <si>
    <t xml:space="preserve">Control AU-3(1) — Evidence Tracking</t>
  </si>
  <si>
    <t xml:space="preserve">Contrôle AU-3(1) — Suivi des preuves</t>
  </si>
  <si>
    <t xml:space="preserve">CONTENT OF AUDIT RECORDS | ADDITIONAL AUDIT INFORMATION
The information system generates audit records containing the following additional information: session, connection, transaction, or activity duration; for client-server transactions, the number of bytes received and bytes sent; additional informational messages to diagnose or identify the event; characteristics that describe or identify the object or resource being acted upon.</t>
  </si>
  <si>
    <t xml:space="preserve">CONTENU DES ENREGISTREMENTS DE VÉRIFICATION | RENSEIGNEMENTS DE VÉRIFICATION SUPPLÉMENTAIRES
Le système d’information génère des enregistrements de vérification contenant les renseignements supplémentaires suivants : la durée de la session, de la connexion, de la transaction ou de l’activité; pour les transactions client-serveur, le nombre d’octets reçus et d’octets envoyés; des messages d’information supplémentaires pour diagnostiquer ou identifier l’événement; les caractéristiques qui décrivent ou identifient l’objet ou la ressource concernés.</t>
  </si>
  <si>
    <t xml:space="preserve">Detailed information that organizations may consider in audit records includes, for example, full text recording of privileged commands or the individual identities of group account users. Organizations consider limiting the additional audit information to only that information explicitly needed for specific audit requirements. This facilitates the use of audit trails and audit logs by not including information that could potentially be misleading or could make it more difficult to locate information of interest.
Additional guidance for enhancement (1): Audit events should always be capable of being associated with an individual identity. Associating audit events with a group or role is insufficient.</t>
  </si>
  <si>
    <t xml:space="preserve">Les renseignements détaillés dont les organisations peuvent tenir compte dans les enregistrements de vérification comprennent, par exemple, l’enregistrement en texte intégral des commandes privilégiées ou les identités individuelles des utilisateurs de comptes de groupe. Les organisations devraient envisager de limiter les renseignements de vérification supplémentaires aux seuls renseignements explicitement nécessaires pour répondre à des exigences de vérification particulières. Cela facilitera l’utilisation des pistes de vérification et des journaux de vérification en n’incluant pas les renseignements qui pourraient être trompeurs ou rendre plus difficile la recherche de renseignements utiles.
Conseils supplémentaires pour l’amélioration (1) : Les événements vérifiés devraient toujours pouvoir être associés à une identité individuelle. Associer des événements vérifiés à un groupe ou à un rôle est insuffisant.</t>
  </si>
  <si>
    <t xml:space="preserve">TEST-AU-3(1)</t>
  </si>
  <si>
    <t xml:space="preserve">Control AU-5 — Evidence Tracking</t>
  </si>
  <si>
    <t xml:space="preserve">Contrôle AU-5 — Suivi des preuves</t>
  </si>
  <si>
    <t xml:space="preserve">(A) The information system alerts organization-defined personnel or roles in the event of an audit processing failure; and
(B) The information system overwrites the oldest audit records.</t>
  </si>
  <si>
    <t xml:space="preserve">(A) Le système d’information alerte le personnel ou les rôles définis par l’organisation en cas d’échec de traitement de vérification;
(B) Le système d’information écrase les enregistrements de vérification les plus anciens.</t>
  </si>
  <si>
    <t xml:space="preserve">Audit processing failures include, for example, software/hardware errors, failures in the audit capturing mechanisms, and audit storage capacity being reached or exceeded. Organizations may choose to define additional actions for different audit processing failures (e.g., by type, by location, by severity, or a combination of such factors). This control applies to each audit data storage repository (i.e., distinct information system component where audit records are stored), the total audit storage capacity of organizations (i.e., all audit data storage repositories combined), or both. Related controls: AU-4, SI-12</t>
  </si>
  <si>
    <t xml:space="preserve">Les échecs de traitement de vérification comprennent, par exemple, les erreurs de logiciel ou de matériel, les défaillances des mécanismes de saisie des vérifications et la capacité de stockage atteinte ou dépassée pour les vérifications. Les organisations peuvent choisir de définir des mesures supplémentaires pour différents échecs de traitement de vérification (p. ex., par type, par emplacement, par gravité ou une combinaison de ces facteurs). Ce contrôle s’applique à chaque répertoire de stockage des données de vérification (c.-à -d. à chaque composant distinct du système d’information dans lequel les enregistrements de vérification sont conservés), à la capacité totale de stockage des vérifications des organisations (c.-à-d. tous les répertoires de stockage des données de vérification combinés), ou aux deux. Contrôles connexes : AU-4, SI-12</t>
  </si>
  <si>
    <t xml:space="preserve">TEST-AU-5</t>
  </si>
  <si>
    <t xml:space="preserve">Control AU-6(1) — Evidence Tracking</t>
  </si>
  <si>
    <t xml:space="preserve">Contrôle AU-6(1) — Suivi des preuves</t>
  </si>
  <si>
    <t xml:space="preserve">AUDIT REVIEW, ANALYSIS, AND REPORTING | PROCESS INTEGRATION
The organization employs automated mechanisms to integrate audit review, analysis, and reporting processes to support organizational processes for investigation and response to suspicious activities.</t>
  </si>
  <si>
    <t xml:space="preserve">EXAMEN, ANALYSE ET RAPPORT DE VÉRIFICATION | INTÉGRATION DES PROCESSUS
L’organisation utilise des mécanismes automatisés pour intégrer les processus d’examen, d’analyse et de production de rapports de vérification afin de soutenir les processus organisationnels d’enquête et d’intervention en cas d’activités suspectes.</t>
  </si>
  <si>
    <t xml:space="preserve">Organizational processes benefiting from integrated audit review, analysis, and reporting include, for example, incident response, continuous monitoring, and contingency planning. Related control: AU-12.</t>
  </si>
  <si>
    <t xml:space="preserve">Les processus organisationnels qui bénéficient de l’intégration de l’examen, de l’analyse et de la production de rapports de vérification sont notamment l’intervention en cas d’incident, la surveillance continue et la planification d’urgence. Contrôle connexe : AU-12.</t>
  </si>
  <si>
    <t xml:space="preserve">TEST-AU-6(1)</t>
  </si>
  <si>
    <t xml:space="preserve">Control AU-6(3) — Evidence Tracking</t>
  </si>
  <si>
    <t xml:space="preserve">Contrôle AU-6(3) — Suivi des preuves</t>
  </si>
  <si>
    <t xml:space="preserve">AUDIT REVIEW, ANALYSIS, AND REPORTING | CORRELATE AUDIT REPOSITORIES
The organization analyzes and correlates audit records across different repositories to gain organization-wide situational awareness.</t>
  </si>
  <si>
    <t xml:space="preserve">EXAMEN, ANALYSE ET RAPPORT DE VÉRIFICATION | MISE EN CORRÉLATION DES RÉPERTOIRES DE VÉRIFICATION
L’organisation analyse et met en corrélation les enregistrements de vérification entre les différents répertoires afin d’acquérir une connaissance globale de la situation dans l’ensemble de l’organisation.</t>
  </si>
  <si>
    <t xml:space="preserve">Organization-wide situational awareness includes awareness across all three tiers of risk management (i.e., organizational, mission/business process, and information system) and supports cross-organization awareness. Related controls: AU-12, IR-4.</t>
  </si>
  <si>
    <t xml:space="preserve">La connaissance de la situation dans l’ensemble de l’organisation comprend la connaissance aux trois niveaux de la gestion des risques (c.-à-d. au niveau de l’organisation, de la mission/des processus opérationnels, et du système d’information) et appuie une connaissance transorganisationnelle de la situation. Contrôles connexes : AU-12, IR-4.</t>
  </si>
  <si>
    <t xml:space="preserve">TEST-AU-6(3)</t>
  </si>
  <si>
    <t xml:space="preserve">Control AU-7 — Evidence Tracking</t>
  </si>
  <si>
    <t xml:space="preserve">Contrôle AU-7 — Suivi des preuves</t>
  </si>
  <si>
    <t xml:space="preserve">(A)
The information system provides an audit reduction and report generation capability that supports on-demand audit review, analysis, and reporting requirements and after-the-fact investigations of security incidents.
(B)
The information system provides an audit reduction and report generation capability that does not alter the original content or time ordering of audit records.</t>
  </si>
  <si>
    <t xml:space="preserve">(A) Le système d’information offre une capacité de réduction des vérifications et de production de rapports prenant en charge les examens, les analyses et les rapports de vérification sur demande ainsi que les enquêtes à la suite d’incidents de sécurité.
(B) Le système d’information offre une capacité de réduction de la vérification et de production de rapports qui ne modifie pas le contenu original ou l’ordre chronologique des enregistrements de vérification.</t>
  </si>
  <si>
    <t xml:space="preserve">Audit reduction is a process that manipulates collected audit information and organizes such information in a summary format that is more meaningful to analysts. Audit reduction and report generation capabilities do not always emanate from the same information system or from the same organizational entities conducting auditing activities. Audit reduction capability can include, for example, modern data mining techniques with advanced data filters to identify anomalous behaviour in audit records. The report generation capability provided by the information system can generate customizable reports. Time ordering of audit records can be a significant issue if the granularity of the timestamp in the record is insufficient. Related control: AU-6</t>
  </si>
  <si>
    <t xml:space="preserve">La réduction de la vérification est un processus qui permet de manipuler l’information recueillie et de l’organiser dans un format sommaire plus significatif pour les analystes. Les capacités de réduction des vérifications et de production de rapports ne proviennent pas toujours du système d’information ou des entités organisationnelles qui mènent les activités de vérification. La capacité de réduction des vérifications peut comprendre, par exemple, des techniques modernes d’exploration de données avec filtres de données avancés pour déceler les comportements anormaux dans les enregistrements de vérification. La capacité de production de rapports fournie par le système d’information permet de générer des rapports personnalisables. L’ordre chronologique des enregistrements de vérification peut poser un problème important si la granularité de l’estampille temporelle dans l’enregistrement est insuffisante. Contrôle connexe : AU-6</t>
  </si>
  <si>
    <t xml:space="preserve">TEST-AU-7</t>
  </si>
  <si>
    <t xml:space="preserve">Control AU-7(1) — Evidence Tracking</t>
  </si>
  <si>
    <t xml:space="preserve">Contrôle AU-7(1) — Suivi des preuves</t>
  </si>
  <si>
    <t xml:space="preserve">AUDIT REDUCTION AND REPORT GENERATION | AUTOMATIC PROCESSING
The information system provides the capability to process audit records for events of interest based on all audit fields specified in AU-2, AU-3 and AU-3(1).</t>
  </si>
  <si>
    <t xml:space="preserve">RÉDUCTION DES VÉRIFICATIONS ET PRODUCTION DE RAPPORTS | TRAITEMENT AUTOMATIQUE
Le système d’information permet de traiter les enregistrements de vérification relatifs aux événements d’intérêt en fonction de tous les champs de vérification précisés dans AU-2, AU-3 et AU-3(1).</t>
  </si>
  <si>
    <t xml:space="preserve">Events of interest can be identified by the content of specific audit record fields including, for example, identities of individuals, event types, event locations, event times, event dates, system resources involved, IP addresses involved, or information objects accessed. Organizations may define audit event criteria to any degree of granularity required, for example, locations selectable by general networking location (e.g., by network or sub-network) or selectable by specific information system component. Related controls: AU-2, AU-12.</t>
  </si>
  <si>
    <t xml:space="preserve">Les événements d’intérêt peuvent être définis par le contenu des champs particuliers de l’enregistrement de vérification, y compris, par exemple, les identités des personnes, les types d’événements, les emplacements des événements, les heures des événements, les dates des événements, les ressources du système en cause, les adresses IP en cause ou les objets d’information consultés. Les organisations peuvent définir les critères des événements de vérification à n’importe quel degré de granularité requis, par exemple, les emplacements que l’on peut sélectionner par emplacement de réseautique général (p. ex., par réseau ou sous-réseau) ou par composant de système d’information particulier. Contrôles connexes : AU-2, AU-12.</t>
  </si>
  <si>
    <t xml:space="preserve">TEST-AU-7(1)</t>
  </si>
  <si>
    <t xml:space="preserve">Control AU-8 — Evidence Tracking</t>
  </si>
  <si>
    <t xml:space="preserve">Contrôle AU-8 — Suivi des preuves</t>
  </si>
  <si>
    <t xml:space="preserve">(A)
The information system uses internal system clocks to generate time stamps for audit records.
(B)
The information system records time stamps for audit records that can be mapped to Coordinated Universal Time (UTC) or Greenwich Mean Time (GMT) within 1 second precision.</t>
  </si>
  <si>
    <t xml:space="preserve">(A) Le système d’information utilise les horloges système internes afin de générer les estampilles temporelles pour les enregistrements de vérification.
(B) Le système d’information enregistre des estampilles temporelles pour les enregistrements de vérification qui peuvent être mappées sur le temps universel coordonné (UTC) ou l’heure moyenne de Greenwich (GMT) à la seconde près.</t>
  </si>
  <si>
    <t xml:space="preserve">Time stamps generated by the information system include date and time. Time is commonly expressed in Coordinated Universal Time (UTC) or local time with an offset from UTC. Granularity of time measurements refers to the degree of synchronization between information system clocks and reference clocks, for example, clocks synchronizing within hundreds of milliseconds or within tens of milliseconds. Organizations may define different time granularities for different system components. Time service can also be critical to other security capabilities such as access control and identification and authentication, depending on the nature of the mechanisms used to support those capabilities. Related controls: AU-3, AU-12</t>
  </si>
  <si>
    <t xml:space="preserve">Les estampilles temporelles générées par le système d’information comprennent la date et l’heure. L’heure est généralement exprimée en temps universel coordonné (UTC) ou selon l’heure locale avec indication du décalage par rapport à l’UTC. La granularité des mesures du temps désigne le niveau de synchronisation entre les horloges du système d’information et les horloges de référence, par exemple, des horloges synchronisées à quelques centaines ou dizaines de millisecondes près. Les organisations peuvent définir différentes granularités temporelles pour différents composants du système. Le service de l’heure peut également être essentiel à d’autres capacités de sécurité comme le contrôle d’accès, l’identification et l’authentification, selon la nature des mécanismes utilisés pour soutenir ces capacités. Contrôles connexes : AU-3, AU-12</t>
  </si>
  <si>
    <t xml:space="preserve">TEST-AU-8</t>
  </si>
  <si>
    <t xml:space="preserve">Control AU-8(1) — Evidence Tracking</t>
  </si>
  <si>
    <t xml:space="preserve">Contrôle AU-8(1) — Suivi des preuves</t>
  </si>
  <si>
    <t xml:space="preserve">TIME STAMPS | SYNCHRONIZATION WITH AUTHORITATIVE TIME SOURCE
(a)
The information system compares the internal information system clocks at least every 24 hours with an organization-defined authoritative time source; and
(b)
The information system synchronizes the internal system clocks to the authoritative time source when the time difference is greater than 1 millisecond.</t>
  </si>
  <si>
    <t xml:space="preserve">ESTAMPILLES TEMPORELLES | SYNCHRONISATION AVEC UNE SOURCE D’HORODATAGE RECONNUE
(a) Le système d’information compare les horloges internes du système d’information au moins toutes les 24 heures avec une source d’horodatage reconnue définie par l’organisation.
(b) Le système d’information synchronise les horloges internes du système avec la source d’horodatage reconnue lorsque la différence de temps est supérieure à 1 milliseconde.</t>
  </si>
  <si>
    <t xml:space="preserve">This control enhancement provides uniformity of time stamps for information systems with multiple system clocks and systems connected over a network.</t>
  </si>
  <si>
    <t xml:space="preserve">Cette amélioration du contrôle assure l’uniformité des estampilles temporelles pour les systèmes d’information dotés de nombreuses horloges et les systèmes sur un réseau.</t>
  </si>
  <si>
    <t xml:space="preserve">TEST-AU-8(1)</t>
  </si>
  <si>
    <t xml:space="preserve">Control AU-9 — Evidence Tracking</t>
  </si>
  <si>
    <t xml:space="preserve">Contrôle AU-9 — Suivi des preuves</t>
  </si>
  <si>
    <t xml:space="preserve">(A)
The information system protects audit information and audit tools from unauthorized access, modification, and deletion.</t>
  </si>
  <si>
    <t xml:space="preserve">(A) Le système d’information protège les renseignements de vérification et les outils de vérification contre l’accès, la modification et la suppression non autorisés.</t>
  </si>
  <si>
    <t xml:space="preserve">Audit information includes all information (e.g., audit records, audit settings, and audit reports) needed to successfully audit information system activity. This control focuses on technical protection of audit information. Physical protection of audit information is addressed by media protection controls and physical and environmental protection controls. Related controls: AC-3, AC-6, MP-2, MP-4, PE-2, PE-3, PE-6</t>
  </si>
  <si>
    <t xml:space="preserve">Les renseignements de vérification comprennent tous les renseignements (p. ex., les enregistrements de vérification, les paramètres de vérification et les rapports de vérification) nécessaires pour vérifier avec succès l’activité du système d’information. Ce contrôle est axé sur la protection technique des renseignements de vérification. La protection physique des renseignements de vérification est assurée par des contrôles de protection des supports et des contrôles de protection physique et environnementale. Contrôles connexes : AC-3, AC-6, MP-2, MP-4, PE-2, PE-3, PE-6</t>
  </si>
  <si>
    <t xml:space="preserve">TEST-AU-9</t>
  </si>
  <si>
    <t xml:space="preserve">Control AU-9(2) — Evidence Tracking</t>
  </si>
  <si>
    <t xml:space="preserve">Contrôle AU-9(2) — Suivi des preuves</t>
  </si>
  <si>
    <t xml:space="preserve">PROTECTION OF AUDIT INFORMATION | AUDIT BACKUP ON SEPARATE PHYSICAL SYSTEMS / COMPONENTS
The information system backs up audit records at least weekly onto a physically different system or system component than the system or component being audited.</t>
  </si>
  <si>
    <t xml:space="preserve">PROTECTION DES RENSEIGNEMENTS DE VÉRIFICATION | SAUVEGARDE DES VÉRIFICATIONS SUR DES SYSTÈMES/COMPOSANTS PHYSIQUES SÉPARÉS
Le système d’information sauvegarde les enregistrements de vérification au moins une fois par semaine sur un système ou un composant système physiquement différent du système ou du composant faisant l’objet de la vérification.</t>
  </si>
  <si>
    <t xml:space="preserve">This control enhancement helps to ensure that a compromise of the information system being audited does not also result in a compromise of the audit records. Related controls: AU-4, AU-5, AU-11.</t>
  </si>
  <si>
    <t xml:space="preserve">Cette amélioration permet de s’assurer qu’une compromission du système d’information faisant l’objet d’une vérification n’entraîne pas également la compromission des enregistrements de vérification. Contrôles connexes : AU-4, AU-5, AU-11.</t>
  </si>
  <si>
    <t xml:space="preserve">TEST-AU-9(2)</t>
  </si>
  <si>
    <t xml:space="preserve">Control AU-9(4) — Evidence Tracking</t>
  </si>
  <si>
    <t xml:space="preserve">Contrôle AU-9(4) — Suivi des preuves</t>
  </si>
  <si>
    <t xml:space="preserve">PROTECTION OF AUDIT INFORMATION | ACCESS BY SUBSET OF PRIVILEGED USERS
The organization authorizes access to management of audit functionality to only an organization-defined subset of privileged users.</t>
  </si>
  <si>
    <t xml:space="preserve">PROTECTION DES RENSEIGNEMENTS DE VÉRIFICATION | ACCÈS PAR SOUS-ENSEMBLE D’UTILISATEURS PRIVILÉGIÉS
L’organisation n’autorise l’accès à la fonction de gestion de la vérification qu’à un sous-ensemble d’utilisateurs privilégiés défini par l’organisation seulement.</t>
  </si>
  <si>
    <t xml:space="preserve">Individuals with privileged access to an information system and who are also the subject of an audit by that system, may affect the reliability of audit information by inhibiting audit activities or modifying audit records. This control enhancement requires that privileged access be further defined between audit-related privileges and other privileges, thus limiting the users with audit-related privileges. Related control: AC-5.</t>
  </si>
  <si>
    <t xml:space="preserve">Les personnes qui ont un accès privilégié à un système d’information et qui font également l’objet d’une vérification par ce système peuvent nuire à la fiabilité de l’information de vérification en entravant les activités de vérification ou en modifiant les enregistrements de vérification. Cette amélioration du contrôle exige que l’accès privilégié soit mieux défini entre les privilèges liés à la vérification et les autres privilèges, de manière à limiter le nombre d’utilisateurs ayant des privilèges liés à la vérification. Contrôle connexe : AC-5.</t>
  </si>
  <si>
    <t xml:space="preserve">TEST-AU-9(4)</t>
  </si>
  <si>
    <t xml:space="preserve">Control AU-11 — Evidence Tracking</t>
  </si>
  <si>
    <t xml:space="preserve">Contrôle AU-11 — Suivi des preuves</t>
  </si>
  <si>
    <t xml:space="preserve">(A) The CSP retains audit records for at least 90 days to provide support for after-the-fact investigations of security incidents and to meet regulatory and organizational information retention requirements.
(B) The client retains audit records and logs for at least 3 months online and at least 6 months in storage.
(C) The client retains all audit records and logs associated with a security incident for at least 5 years.</t>
  </si>
  <si>
    <t xml:space="preserve">(A) Le FSI conserve les enregistrements de vérification pendant au moins 90 jours afin de soutenir les enquêtes faisant suite aux incidents de sécurité et de respecter les exigences réglementaires et organisationnelles en matière de conservation de l’information.
(B) Le client conserve les enregistrements et les journaux de vérification pendant au moins 3 mois en ligne et au moins 6 mois en mémoire.
(C) Le client conserve pendant au moins 5 ans tous les enregistrements et journaux de vérification associés à un incident de sécurité.</t>
  </si>
  <si>
    <t xml:space="preserve">Organizations retain audit records until it is determined that they are no longer needed for administrative, legal, audit, or other operational purposes. This includes, for example, retention and availability of audit records relative to legal requests, subpoenas, and law enforcement actions. Organizations develop standard categories of audit records relative to such types of actions and standard response processes for each type of action. Related controls: AU-4, AU-5, AU-9, MP-6</t>
  </si>
  <si>
    <t xml:space="preserve">Les organisations conservent les enregistrements de vérification jusqu’à ce qu’il soit déterminé qu’ils ne sont plus nécessaires à des fins administratives, juridiques, de vérification ou à d’autres fins opérationnelles. Cela comprend, par exemple, la conservation et la disponibilité des enregistrements de vérification relatifs aux demandes légales, aux citations à comparaître et aux mesures d’application de la loi. Les organisations établissent des catégories normalisées d’enregistrements de vérification par rapport à ces types de mesures ainsi que des processus de réponse normalisés pour chaque type de mesure. Contrôles connexes : AU-4, AU-5, AU-9, MP-6</t>
  </si>
  <si>
    <t xml:space="preserve">TEST-AU-11</t>
  </si>
  <si>
    <t xml:space="preserve">Control AU-12 — Evidence Tracking</t>
  </si>
  <si>
    <t xml:space="preserve">Contrôle AU-12 — Suivi des preuves</t>
  </si>
  <si>
    <t xml:space="preserve">(A)
The information system provides audit record generation capability for the auditable events defined in AU-2 a. of all information system and network components where audit capability is deployed/available.
(B)
The information system allows organization-defined personnel or roles to select which auditable events are to be audited by specific components of the information system.
(C)
The information system generates audit records for the events defined in AU-2 d. with the content defined in AU-3.</t>
  </si>
  <si>
    <t xml:space="preserve">(A) Le système d’information offre une capacité de génération d’enregistrements de vérification pour les événements vérifiables définis dans AU-2 a. de tous les composants du système d’information et du réseau où la capacité de vérification est déployée/disponible.
(B) Le système d’information permet au personnel ou aux rôles définis par l’organisation de choisir les événements vérifiables qui doivent être vérifiés par des composants précis du système d’information.
(C) Le système d’information génère des enregistrements de vérification pour les événements définis dans AU-2 d. avec le contenu défini dans AU-3.</t>
  </si>
  <si>
    <t xml:space="preserve">Audit records can be generated from many different information system components. The list of audited events is the set of events for which audits are to be generated. These events are typically a subset of all events for which the information system is capable of generating audit records. Related controls: AC-3, AU-2, AU-3, AU-6, AU-7</t>
  </si>
  <si>
    <t xml:space="preserve">Des enregistrements de vérification peuvent être générés à partir de nombreux composants du système d’information. La liste des événements vérifiés est l’ensemble des événements pour lesquels des vérifications doivent être produites. Ces événements sont habituellement un sous-ensemble de tous les événements pour lesquels le système d’information peut générer des enregistrements de vérification. Contrôles connexes : AC-3, AU-2, AU-3, AU-6, AU-7</t>
  </si>
  <si>
    <t xml:space="preserve">TEST-AU-12</t>
  </si>
  <si>
    <t xml:space="preserve">Control CA-3(5) — Evidence Tracking</t>
  </si>
  <si>
    <t xml:space="preserve">Contrôle CA-3(5) — Suivi des preuves</t>
  </si>
  <si>
    <t xml:space="preserve">SYSTEM INTERCONNECTIONS | RESTRICTIONS ON EXTERNAL SYSTEM CONNECTIONS
The organization employs allow-all, deny-by-exception; deny-all policy for allowing any systems to connect to external information systems.</t>
  </si>
  <si>
    <t xml:space="preserve">INTERCONNEXIONS DES SYSTÈMES | RESTRICTIONS SUR LES CONNEXIONS AUX RÉSEAUX EXTERNES
L’organisation a recours à la méthode « permettre tout, refuser par exception, refuser tout » pour permettre aux systèmes de se connecter à des systèmes d’information externes.</t>
  </si>
  <si>
    <t xml:space="preserve">Organizations can constrain information system connectivity to external domains (e.g., websites) by employing one of two policies with regard to such connectivity: (i) allow-all, deny by exception, also known as blacklisting (the weaker of the two policies); or (ii) deny-all, allow by exception, also known as whitelisting (the stronger of the two policies). For either policy, organizations determine what exceptions, if any, are acceptable. Related control: CM-7.</t>
  </si>
  <si>
    <t xml:space="preserve">Les organisations peuvent limiter la connectivité des systèmes d’information à des domaines externes (p. ex., sites Web) en utilisant l’une des deux politiques relatives à cette connectivité : (i) permettre tout, refuser par exception, aussi appelée liste noire (la plus faible des deux politiques); ou (ii) refuser tout, permettre par exception, aussi appelée liste blanche (la plus forte des deux politiques). Pour l’une ou l’autre politique, les organisations déterminent les exceptions applicables, le cas échéant. Contrôle connexe : CM-7.</t>
  </si>
  <si>
    <t xml:space="preserve">TEST-CA-3(5)</t>
  </si>
  <si>
    <t xml:space="preserve">Control CA-9 — Evidence Tracking</t>
  </si>
  <si>
    <t xml:space="preserve">Contrôle CA-9 — Suivi des preuves</t>
  </si>
  <si>
    <t xml:space="preserve">(A)
The organization authorizes internal connections of information system components or classes of components to the information system.
(B)
The organization documents, for each internal connection, the interface characteristics, security requirements, and the nature of the information communicated.</t>
  </si>
  <si>
    <t xml:space="preserve">(A) L’organisation autorise les connexions internes de composants du système d’information ou de catégories de composants au système d’information.
(B) L’organisation documente, pour chaque connexion interne, les caractéristiques de l’interface, les exigences de sécurité et la nature de l’information communiquée.</t>
  </si>
  <si>
    <t xml:space="preserve">This control applies to connections between organizational information systems and (separate) constituent system components (i.e., intra-system connections) including, for example, system connections with mobile devices, notebook/desktop computers, printers, copiers, facsimile machines, scanners, sensors, and servers. Instead of authorizing each individual internal connection, organizations can authorize internal connections for a class of components with common characteristics and/or configurations, for example, all digital printers, scanners, and copiers with a specified processing, storage, and transmission capability or all smart phones with a specific baseline configuration. Related controls: AC-3, AC-4, AC-18, AC-19, AU-2, AU-12, CA-7, CM-2, IA-3, SC-7, SI-4</t>
  </si>
  <si>
    <t xml:space="preserve">Ce contrôle s’applique aux connexions entre les systèmes d’information organisationnels et les composants (distincts) des systèmes constituants (c.-à-d. les connexions intrasystème) y compris, par exemple, les connexions système avec les appareils mobiles, les ordinateurs portatifs/de bureau, les imprimantes, les photocopieurs, les télécopieurs, les numériseurs, les capteurs et les serveurs. Au lieu d’autoriser chaque connexion interne individuelle, les organisations peuvent autoriser les connexions internes pour une catégorie de composants ayant des caractéristiques ou des configurations communes, par exemple, toutes les imprimantes et tous les numériseurs et photocopieurs numériques ayant une capacité de traitement, de stockage et de transmission spécifiée ou tous les téléphones intelligents ayant une configuration de base spécifique. Contrôles connexes : AC-3, AC-4, AC-18, AC-19, AU-2, AU-12, CA-7, CM-2, IA-3, SC-7, SI-4</t>
  </si>
  <si>
    <t xml:space="preserve">TEST-CA-9</t>
  </si>
  <si>
    <t xml:space="preserve">Control CM-5(1) — Evidence Tracking</t>
  </si>
  <si>
    <t xml:space="preserve">Contrôle CM-5(1) — Suivi des preuves</t>
  </si>
  <si>
    <t xml:space="preserve">ACCESS RESTRICTIONS FOR CHANGE | AUTOMATED ACCESS ENFORCEMENT / AUDITING
The information system enforces access restrictions and supports auditing of the enforcement actions.</t>
  </si>
  <si>
    <t xml:space="preserve">RESTRICTIONS D’ACCÈS POUR LES CHANGEMENTS | CONTRÔLE AUTOMATISÉ DE L’ACCÈS/VÉRIFICATION
Le système d’information applique les restrictions d’accès et prend en charge la vérification des contrôles appliqués.</t>
  </si>
  <si>
    <t xml:space="preserve">Related controls: AU-2, AU-12, AU-6, CM-3, and CM-6.</t>
  </si>
  <si>
    <t xml:space="preserve">Contrôles connexes : AU-2, AU-12, AU-6, CM-3 et CM-6.</t>
  </si>
  <si>
    <t xml:space="preserve">TEST-CM-5(1)</t>
  </si>
  <si>
    <t xml:space="preserve">Control CM-6 — Evidence Tracking</t>
  </si>
  <si>
    <t xml:space="preserve">Contrôle CM-6 — Suivi des preuves</t>
  </si>
  <si>
    <t xml:space="preserve">(A)
The organization establishes and documents configuration settings for information technology products employed within the information system using checklists from one or more of the following 
Center for Internet Security (CIS), National Institute of Standards and Technology  (NIST), Defense Information Systems Agency (DISA) that reflect the most restrictive mode consistent with operational requirements.
(B)
The organization implements the configuration settings.
(C)
The organization identifies, documents, and approves any deviations from established configuration settings for any configurable infomation system components.
(D)
The organization monitors and controls changes to the configuration settings in accordance with organizational policies and procedures.</t>
  </si>
  <si>
    <t xml:space="preserve">(A) L’organisation établit et documente les paramètres de configuration des produits de technologie de l’information utilisés dans le système d’information à l’aide de listes de vérification provenant d’un ou de plusieurs des éléments suivants :
Center for Internet Security (CIS), National Institute of Standards and Technology (NIST), Defense Information Systems Agency (DISA), qui reflètent le mode le plus restrictif conformément aux exigences opérationnelles.
(B) L’organisation met en œuvre les paramètres de configuration.
(C) L’organisation identifie, documente et approuve tout écart par rapport aux paramètres de configuration établis pour les composants configurables du système d’information.
(D) L’organisation surveille et contrôle les changements apportés aux paramètres de configuration conformément aux politiques et aux procédures de l’organisation.</t>
  </si>
  <si>
    <t xml:space="preserve">Configuration settings are the set of parameters that can be changed in hardware, software, or firmware components of the information system that affect the security posture and/or functionality of the system. Information technology products for which security-related configuration settings can be defined include, for example, mainframe computers, servers (e.g., database, electronic mail, authentication, web, proxy, file, domain name), workstations, input/output devices (e.g., scanners, copiers, and printers), network components (e.g., firewalls, routers, gateways, voice and data switches, wireless access points, network appliances, sensors), operating systems, middleware, and applications. Security-related parameters are those parameters impacting the security state of information systems including the parameters required to satisfy other security control requirements. Security-related parameters include, for example: (i) registry settings; (ii) account, file, directory permission settings; and (iii) settings for functions, ports, protocols, services, and remote connections. Organizations establish organization-wide configuration settings and subsequently derive specific settings for information systems. The established settings become part of the systems configuration baselineCommon secure configurations (also referred to as security configuration checklists, lockdown and hardening guides, security reference guides, security technical implementation guides (STIG)) provide recognized, standardized, and established benchmarks that stipulate secure configuration settings for specific information technology platforms/products and instructions for configuring those information system components to meet operational requirements. Common secure configurations can be developed by a variety of organizations including, for example, information technology product developers, manufacturers, vendors, consortia, academia, industry, federal government organizations, and others in the public and private sectors. The Security Content Automation Protocol (SCAP) and the defined standards within the protocol (e.g., Common Configuration Enumeration) provide an effective method to uniquely identify, track, and control configuration settings. Related controls: AC-19, CM-2, CM-3, CM-7, SI-4.</t>
  </si>
  <si>
    <t xml:space="preserve">Les paramètres de configuration sont l’ensemble de paramètres qui peuvent être modifiés dans les composants matériels, logiciels ou micrologiciels du système d’information et qui ont une incidence sur la posture de sécurité ou la fonctionnalité du système. Les produits de technologie de l’information pour lesquels les paramètres de configuration liés à la sécurité peuvent être définis comprennent, par exemple, les ordinateurs centraux, les serveurs (p. ex., base de données, courrier électronique, authentification, Web, mandataire, fichiers, noms de domaine), les postes de travail, les périphériques d’entrée et de sortie (p. ex., numériseurs, photocopieurs et imprimantes), les composants de réseau (p. ex., pare-feu, routeurs, passerelles, commutateurs de voix et de données, points d’accès sans fil, outils de réseau, capteurs), les systèmes d’exploitation, les intergiciels et les applications. Les paramètres liés à la sécurité sont les paramètres qui influent sur l’état de sécurité des systèmes d’information, y compris les paramètres requis pour satisfaire à d’autres exigences de contrôle de sécurité. Les paramètres liés à la sécurité comprennent, par exemple : (i) les paramètres des registres; (ii) les paramètres de comptes, de fichiers, d’autorisation de répertoires; (iii) les paramètres des fonctions, des ports, des protocoles, des services et des connexions à distance. Les organisations établissent les paramètres de configuration à l’échelle de l’organisation et en déduisent ensuite les paramètres particuliers pour les systèmes d’information. Les paramètres établis font partie des configurations de base des systèmes Les configurations sécurisées communes (aussi appelées listes de vérification de la configuration de sécurité, guides de verrouillage et de renforcement, guides de référence de sécurité, guides de mise en œuvre technique de la sécurité [STIG]) fournissent des repères reconnus, normalisés et établis qui stipulent les paramètres de configuration sécurisée pour des plateformes/produits de technologie de l’information particuliers et des instructions pour configurer ces composants de système d’information de manière à répondre aux exigences opérationnelles. Les configurations sécurisées communes peuvent être mises au point par diverses organisations, y compris, par exemple, les concepteurs de produits de technologie de l’information, les fabricants, les fournisseurs, les consortiums, le milieu universitaire, l’industrie, les organisations du gouvernement fédéral et d’autres intervenants des secteurs public et privé. Le protocole d’automatisation du contenu de sécurité SCAP (Security Content Automation Protocol) et les normes définies dans le protocole (p. ex., Common Configuration Enumeration) constituent une méthode efficace pour déterminer, suivre et contrôler de façon unique les paramètres de configuration. Contrôles connexes : AC-19, CM-2, CM-3, CM-7, SI-4.</t>
  </si>
  <si>
    <t xml:space="preserve">TEST-CM-6</t>
  </si>
  <si>
    <t xml:space="preserve">Control CM-7 — Evidence Tracking</t>
  </si>
  <si>
    <t xml:space="preserve">Contrôle CM-7 — Suivi des preuves</t>
  </si>
  <si>
    <t xml:space="preserve">(A)
The organization configures the information system to provide only essential capabilities.
(B)
The organization prohibits or restricts the use of identified functions, ports, protocols, and/or services following one or more standards from Center for Internet Security (CIS), National Institute of Standards and Technology  (NIST), or Defense Information Systems Agency (DISA).</t>
  </si>
  <si>
    <t xml:space="preserve">(A) L’organisation configure le système d’information pour n’offrir que les capacités essentielles.
(B) L’organisation interdit ou restreint l’utilisation de fonctions, de ports, de protocoles et/ou de services identifiés en respectant une ou plusieurs normes du Center for Internet Security (CIS), du National Institute of Standards and Technology (NIST) ou de la Defense Information Systems Agency (DISA).</t>
  </si>
  <si>
    <t xml:space="preserve">Information systems can provide a wide variety of functions and services. Some of the functions and services, provided by default, may not be necessary to support essential organizational operations (e.g., key missions, functions). Additionally, it is sometimes convenient to provide multiple services from single information system components, but doing so increases risk over limiting the services provided by any one component. Where feasible, organizations limit component functionality to a single function per device (e.g., email servers or web servers, but not both). Organizations review functions and services provided by information systems or individual components of information systems, to determine which functions and services are candidates for elimination (e.g., Voice over Internet Protocol (VoIP), Instant Messaging, auto-execute, and file sharing). Organizations consider disabling unused or unnecessary physical and logical ports/protocols (e.g., USB, FTP, IPv6, HTTP) on information systems to prevent unauthorized connection of devices, unauthorized transfer of information, or unauthorized tunnelling. Organizations can utilize network scanning tools, intrusion detection and prevention systems, and end-point protections such as firewalls and host-based intrusion detection systems to identify and prevent the use of prohibited functions, ports, protocols, and services. Related controls: AC-6, CM-2, RA-5, SA-5, SC-7</t>
  </si>
  <si>
    <t xml:space="preserve">Les systèmes d’information peuvent offrir une grande variété de fonctions et de services. Certaines fonctions et certains services, fournis par défaut, peuvent ne pas être nécessaires au soutien des opérations essentielles de l’organisation (p. ex., missions et fonctions clés). De plus, il est parfois pratique de fournir plusieurs services à partir de composants uniques du système d’information, mais cela augmente le risque de limiter les services fournis par un seul composant. Dans la mesure du possible, les organisations limitent la fonctionnalité des composants à une seule fonction par dispositif (p. ex., serveurs de courriel ou serveurs Web, mais pas les deux). Les organisations examinent les fonctions et les services fournis par les systèmes d’information ou les composants individuels des systèmes d’information afin de déterminer quelles fonctions et quels services peuvent être éliminés (p. ex., voix sur protocole Internet [VoIP], messagerie instantanée, auto-exécution et partage de fichiers). Les organisations envisagent de désactiver les ports/protocoles physiques et logiques inutilisés ou inutiles (p. ex., USB, FTP, IPv6, HTTP) sur les systèmes d’information afin de prévenir la connexion non autorisée d’appareils, le transfert non autorisé d’information ou la tunnellisation non autorisée. Les organisations peuvent utiliser des outils de balayage de réseau, des systèmes de détection et de prévention des intrusions et des mesures de protection d’extrémité comme des pare-feu et des systèmes de détection des intrusions basés sur l’hôte, pour identifier et prévenir l’utilisation de fonctions, de ports, de protocoles et de services interdits. Contrôles connexes : AC-6, CM-2, RA-5, SA-5, SC-7</t>
  </si>
  <si>
    <t xml:space="preserve">TEST-CM-7</t>
  </si>
  <si>
    <t xml:space="preserve">Control CM-7(1) — Evidence Tracking</t>
  </si>
  <si>
    <t xml:space="preserve">Contrôle CM-7(1) — Suivi des preuves</t>
  </si>
  <si>
    <t xml:space="preserve">LEAST FUNCTIONALITY | PERIODIC REVIEW
The organization reviews the information system at least annually to identify unnecessary and/or non-secure functions, ports, protocols, and services; and
The organization disables all functions, ports, protocols, and services within the information system deemed to be unnecessary and/or nonsecure.</t>
  </si>
  <si>
    <t xml:space="preserve">MOINDRE FONCTIONNALITÉ | EXAMEN PÉRIODIQUE
L’organisation revoit le système d’information au moins une fois par année afin de repérer les fonctions, les ports, les protocoles et les services inutiles ou non sécurisés;
L’organisation désactive toutes les fonctions, tous les ports, tous les protocoles et tous les services du système d’information jugés inutiles ou non sécurisés.</t>
  </si>
  <si>
    <t xml:space="preserve">The organization can either make a determination of the relative security of the function, port, protocol, and/or service or base the security decision on the assessment of other entities. Bluetooth, FTP, and peer-to-peer networking are examples of less than secure protocols. Related controls: AC-18, CM-7, IA-2.</t>
  </si>
  <si>
    <t xml:space="preserve">L’organisation peut soit déterminer la sécurité relative de la fonction, du port, du protocole ou du service, soit baser sa décision en matière de sécurité sur l’évaluation d’autres entités. Bluetooth, FTP et l’interconnexion de réseaux d’égal à égal sont des exemples de protocoles moins sécurisés. Contrôles connexes : AC-18, CM-7, IA-2.</t>
  </si>
  <si>
    <t xml:space="preserve">TEST-CM-7(1)</t>
  </si>
  <si>
    <t xml:space="preserve">Control CM-10 — Evidence Tracking</t>
  </si>
  <si>
    <t xml:space="preserve">Contrôle CM-10 — Suivi des preuves</t>
  </si>
  <si>
    <t xml:space="preserve">(A)
The organization uses software and associated documentation in accordance with contract agreements and copyright laws.
(B)
The organization tracks the use of software and associated documentation protected by quantity licenses to control copying and distribution.
(C)
The organization controls and documents the use of peer-to-peer file sharing technology to ensure that this capability is not used for the unauthorized distribution, display, performance, or reproduction of copyrighted work.</t>
  </si>
  <si>
    <t xml:space="preserve">(A) L’organisation utilise les logiciels et la documentation connexe conformément aux ententes contractuelles et aux lois sur le droit d’auteur.
(B) L’organisation assure le suivi de l’utilisation des logiciels et de la documentation connexe protégés par des licences limitant la quantité afin de contrôler la reproduction et la distribution.
(C) L’organisation contrôle et documente l’utilisation de la technologie de partage de fichiers poste-à-poste pour s’assurer que cette capacité n’est pas utilisée pour la distribution, l’affichage, l’exécution ou la reproduction non autorisés d’une œuvre protégée par le droit d’auteur.</t>
  </si>
  <si>
    <t xml:space="preserve">Software license tracking can be accomplished by manual methods (e.g., simple spreadsheets) or automated methods (e.g., specialized tracking applications) depending on organizational needs. Related controls: AC-17, CM-8, SC-7</t>
  </si>
  <si>
    <t xml:space="preserve">Le suivi des licences logicielles peut se faire par des méthodes manuelles (p. ex., simples tableurs) ou automatisées (p. ex., applications de suivi spécialisées) selon les besoins organisationnels. Contrôles connexes : AC-17, CM-8, SC-7</t>
  </si>
  <si>
    <t xml:space="preserve">TEST-CM-10</t>
  </si>
  <si>
    <t xml:space="preserve">Control CP-6 — Evidence Tracking</t>
  </si>
  <si>
    <t xml:space="preserve">Contrôle CP-6 — Suivi des preuves</t>
  </si>
  <si>
    <t xml:space="preserve">(A)
The organization establishes an alternate storage site including necessary agreements to permit the storage and retrieval of information system backup information.
(B)
The organization ensures that the alternate storage site provides information security safeguards equivalent to that of the primary site.</t>
  </si>
  <si>
    <t xml:space="preserve">(A) L’organisation établit un site de stockage auxiliaire, incluant les ententes nécessaires pour permettre le stockage et l’extraction de l’information de sauvegarde du système d’information.
(B) L’organisation veille à ce que le site de stockage auxiliaire offre des mesures de sécurité de l’information équivalentes à celles du site principal.</t>
  </si>
  <si>
    <t xml:space="preserve">Alternate storage sites are sites that are geographically distinct from primary storage sites. An alternate storage site maintains duplicate copies of information and data in the event that the primary storage site is not available. Items covered by alternate storage site agreements include, for example, environmental conditions at alternate sites, access rules, physical and environmental protection requirements, and coordination of delivery/retrieval of backup media. Alternate storage sites reflect the requirements in contingency plans so that organizations can maintain essential missions/business functions despite disruption, compromise, or failure in organizational information systems. Related controls: CP-2, CP-7, CP-9, CP-10, MP-4</t>
  </si>
  <si>
    <t xml:space="preserve">Les sites de stockage auxiliaires sont des sites qui sont géographiquement séparés des sites de stockage principaux. Un site de stockage auxiliaire conserve des copies de l’information et des données advenant la non-disponibilité du site de stockage principal. Les éléments couverts par les accords sur les sites de stockage auxiliaires comprennent, par exemple, les conditions environnementales aux sites auxiliaires, les règles d’accès, les exigences en matière de protection physique et environnementale, et la coordination de la livraison/récupération des supports de sauvegarde. Les sites de stockage auxiliaires reflètent les exigences des plans d’urgence afin que les organisations puissent maintenir les fonctions opérationnelles et de mission essentielles malgré la perturbation, la compromission ou la défaillance des systèmes d’information organisationnels. Contrôles connexes : CP-2, CP-7, CP-9, CP-10, MP-4</t>
  </si>
  <si>
    <t xml:space="preserve">TEST-CP-6</t>
  </si>
  <si>
    <t xml:space="preserve">Control CP-6(2) — Evidence Tracking</t>
  </si>
  <si>
    <t xml:space="preserve">Contrôle CP-6(2) — Suivi des preuves</t>
  </si>
  <si>
    <t xml:space="preserve">ALTERNATE STORAGE SITE | RECOVERY TIME / POINT OBJECTIVES
The organization configures the alternate storage site to facilitate recovery operations in accordance with recovery time and recovery point objectives.</t>
  </si>
  <si>
    <t xml:space="preserve">SITE DE STOCKAGE AUXILIAIRE | OBJECTIFS EN MATIÈRE DE DÉLAIS/POINTS DE REPRISE
L’organisation configure le site de stockage auxiliaire de manière à faciliter les opérations de reprise conformément aux objectifs en matière de délais et de points de reprise.</t>
  </si>
  <si>
    <t xml:space="preserve">TEST-CP-6(2)</t>
  </si>
  <si>
    <t xml:space="preserve">Control CP-7 — Evidence Tracking</t>
  </si>
  <si>
    <t xml:space="preserve">Contrôle CP-7 — Suivi des preuves</t>
  </si>
  <si>
    <t xml:space="preserve">(A)
The organization establishes an alternate processing site including necessary agreements to permit the transfer and resumption of organization-defined information system operations for essential missions/business functions within organization-defined time period consistent with recovery time and recovery point objectives when the primary processing capabilities are unavailable.
(B)
The organization ensures that equipment and supplies required to transfer and resume operations are available at the alternate processing site or contracts are in place to support delivery to the site within the organization-defined time period for transfer/resumption.
(C)
The organization ensures that the alternate processing site provides information security safeguards equivalent to that of the primary site.</t>
  </si>
  <si>
    <t xml:space="preserve">(A) L’organisation établit un site de traitement auxiliaire, y compris les ententes nécessaires pour permettre le transfert et la reprise des opérations du système d’information définies par l’organisation pour les missions et les fonctions opérationnelles essentielles à l’intérieur d’une période définie par l’organisation, conformément aux objectifs en matière de délais de reprise et de points de reprise lorsque les capacités de traitement principales ne sont pas disponibles.
(B) L’organisation veille à ce que l’équipement et les fournitures nécessaires au transfert et à la reprise des activités soient disponibles au site de traitement auxiliaire, ou à ce que des contrats soient en place pour soutenir la livraison au site à l’intérieur de la période définie par l’organisation pour le transfert ou la reprise.
(C) L’organisation veille à ce que le site de traitement auxiliaire offre des mesures de sécurité de l’information équivalentes à celles du site principal.</t>
  </si>
  <si>
    <t xml:space="preserve">Alternate processing sites are sites that are geographically distinct from primary processing sites. An alternate processing site provides processing capability in the event that the primary processing site is not available. Items covered by alternate processing site agreements include, for example, environmental conditions at alternate sites, access rules, physical and environmental protection requirements, and coordination for the transfer/assignment of personnel. Requirements are specifically allocated to alternate processing sites that reflect the requirements in contingency plans to maintain essential missions/business functions despite disruption, compromise, or failure in organizational information systems. Related controls: CP-2, CP-6, CP-8, CP-9, CP-10, MA-6</t>
  </si>
  <si>
    <t xml:space="preserve">Les sites de traitement auxiliaires sont des sites qui sont géographiquement séparés des sites de traitement principaux. Un site de traitement auxiliaire offre une capacité de traitement lorsque le site de traitement principal n’est pas disponible. Les éléments couverts par les accords sur les sites de traitement auxiliaires comprennent, par exemple, les conditions environnementales aux sites auxiliaires, les règles d’accès, les exigences en matière de protection physique et environnementale, et la coordination pour le transfert ou l’attribution du personnel. Les exigences spécifiquement attribuées aux sites de traitement auxiliaires reflètent les exigences des plans d’urgence pour maintenir les fonctions opérationnelles et de mission essentielles malgré la perturbation, la compromission ou la défaillance des systèmes d’information organisationnels. Contrôles connexes : CP-2, CP-6, CP-8, CP-9, CP-10, MA-6</t>
  </si>
  <si>
    <t xml:space="preserve">TEST-CP-7</t>
  </si>
  <si>
    <t xml:space="preserve">Control CP-7(4) — Evidence Tracking</t>
  </si>
  <si>
    <t xml:space="preserve">Contrôle CP-7(4) — Suivi des preuves</t>
  </si>
  <si>
    <t xml:space="preserve">ALTERNATE PROCESSING SITE | PREPARATION FOR USE
The organization prepares the alternate processing site so that the site is ready to be used as the operational site supporting essential missions and business functions.</t>
  </si>
  <si>
    <t xml:space="preserve">SITE DE TRAITEMENT AUXILIAIRE | PRÉPARATION À L’UTILISATION
L’organisation prépare le site de traitement auxiliaire de manière à ce que le site soit prêt à être utilisé comme site opérationnel prenant en charge les fonctions opérationnelles et les missions essentielles.</t>
  </si>
  <si>
    <t xml:space="preserve">Site preparation includes, for example, establishing configuration settings for information system components at the alternate processing site consistent with the requirements for such settings at the primary site and ensuring that essential supplies and other logistical considerations are in place. Related controls: CM-2, CM-6.</t>
  </si>
  <si>
    <t xml:space="preserve">La préparation du site comprend, par exemple, l’établissement des paramètres de configuration pour les composants du système d’information au site de traitement auxiliaire, conformément aux exigences pour ces paramètres au site principal, et l’assurance que les fournitures essentielles et autres considérations logistiques sont en place. Contrôles connexes : CM-2, CM-6.</t>
  </si>
  <si>
    <t xml:space="preserve">TEST-CP-7(4)</t>
  </si>
  <si>
    <t xml:space="preserve">Control CP-10 — Evidence Tracking</t>
  </si>
  <si>
    <t xml:space="preserve">Contrôle CP-10 — Suivi des preuves</t>
  </si>
  <si>
    <t xml:space="preserve">(A)
The organization provides for the recovery and reconstitution of the information system to a known state after a disruption, compromise, or failure.</t>
  </si>
  <si>
    <t xml:space="preserve">(A) L’organisation assure la reprise et la reconstitution du système d’information dans un état connu après une perturbation, une compromission ou une défaillance.</t>
  </si>
  <si>
    <t xml:space="preserve">Recovery is executing information system contingency plan activities to restore organizational missions/business functions. Reconstitution takes place following recovery and includes activities for returning organizational information systems to fully operational states. Recovery and reconstitution operations reflect mission and business priorities, recovery point/time and reconstitution objectives, and established organizational metrics consistent with contingency plan requirements. Reconstitution includes the deactivation of any interim information system capabilities that may have been needed during recovery operations. Reconstitution also includes assessments of fully restored information system capabilities, reestablishment of continuous monitoring activities, potential information system reauthorizations, and activities to prepare the systems against future disruptions, compromises, or failures. Recovery/reconstitution capabilities employed by organizations can include both automated mechanisms and manual procedures. Related controls: CA-2, CA-6, CA-7, CP-2, CP-4, CP-6, CP-7, CP-9, SC-24</t>
  </si>
  <si>
    <t xml:space="preserve">La reprise consiste à exécuter les activités du plan d’urgence du système d’information pour restaurer les fonctions opérationnelles et de mission de l’organisation. La reconstitution a lieu après la reprise et comprend les activités permettant de remettre les systèmes d’information organisationnels à l’état pleinement opérationnel. Les opérations de reprise et de reconstitution reflètent les priorités opérationnelles et de mission, les objectifs en matière de délais, de points de reprise et de reconstitution, de même que les paramètres organisationnels établis conformément aux exigences du plan d’urgence. La reconstitution comprend la désactivation de toute capacité provisoire du système d’information ayant pu être nécessaire pendant les opérations de reprise. La reconstitution comprend également l’évaluation des capacités entièrement restaurées du système d’information, le rétablissement des activités de surveillance continue, les réautorisations possibles du système d’information et les activités visant à préparer les systèmes à faire face aux perturbations, compromissions ou défaillances futures. Les capacités de reprise et de reconstitution utilisées par les organisations peuvent comprendre des mécanismes automatisés et des procédures manuelles. Contrôles connexes : CA-2, CA-6, CA-7, CP-2, CP-4, CP-6, CP-7, CP-9, SC-24</t>
  </si>
  <si>
    <t xml:space="preserve">TEST-CP-10</t>
  </si>
  <si>
    <t xml:space="preserve">Control CP-10(4) — Evidence Tracking</t>
  </si>
  <si>
    <t xml:space="preserve">Contrôle CP-10(4) — Suivi des preuves</t>
  </si>
  <si>
    <t xml:space="preserve">INFORMATION SYSTEM RECOVERY AND RECONSTITUTION | RESTORE WITHIN TIME PERIOD
The organization provides the capability to restore information system components within organization-defined restoration time-periods from configuration-controlled and integrity-protected information representing a known, operational state for the components.</t>
  </si>
  <si>
    <t xml:space="preserve">REPRISE ET RECONSTITUTION DU SYSTÈME D’INFORMATION | RESTAURATION DANS LE DÉLAI IMPARTI
L’organisation fournit la capacité de restaurer les composants du système d’information dans les délais de restauration définis par l’organisation à partir de l’information contrôlée par la configuration et protégée par l’intégrité qui représente un état de fonctionnement connu pour les composants.</t>
  </si>
  <si>
    <t xml:space="preserve">Restoration of information system components includes, for example, re-imaging which restores components to known, operational states. Related control: CM-2.</t>
  </si>
  <si>
    <t xml:space="preserve">La restauration des composants du système d’information comprend, par exemple, la reconfiguration permettant de restaurer les composants aux états de fonctionnement connus. Contrôle connexe : CM-2.</t>
  </si>
  <si>
    <t xml:space="preserve">TEST-CP-10(4)</t>
  </si>
  <si>
    <t xml:space="preserve">Control IA-3 — Evidence Tracking</t>
  </si>
  <si>
    <t xml:space="preserve">Contrôle IA-3 — Suivi des preuves</t>
  </si>
  <si>
    <t xml:space="preserve">(A)
The information system uniquely identifies and authenticates organization-defined specific and/or types of devices before establishing network connections.</t>
  </si>
  <si>
    <t xml:space="preserve">(A) Le système d’information identifie et authentifie de façon unique des dispositifs spécifiques ou des types de dispositifs définis par l’organisation avant d’établir des connexions réseau.</t>
  </si>
  <si>
    <t xml:space="preserve">Organizational devices requiring unique device-to-device identification and authentication may be defined by type, by device, or by a combination of type/device. Information systems typically use either shared known information (e.g., Media Access Control [MAC] or Transmission Control Protocol/Internet Protocol [TCP/IP] addresses) for device identification or organizational authentication solutions (e.g., IEEE 802.1x and EAP, Radius server with EAP-TLS authentication, Kerberos) to identify/authenticate devices on local and/or wide area networks. Organizations determine the required strength of authentication mechanisms by the security categories of information systems. Because of the challenges of applying this control on large scale, organizations are encouraged to only apply the control to those limited number (and type) of devices that truly need to support this capability. Related controls: AC-17, AC-18, AC-19, CA-3, IA-4, IA-5</t>
  </si>
  <si>
    <t xml:space="preserve">Les dispositifs organisationnels nécessitant une identification et une authentification uniques d’un dispositif à l’autre peuvent être définis par type, par dispositif ou par une combinaison de type/dispositif. Les systèmes d’information utilisent habituellement de l’information connue partagée (p. ex., adresses MAC ou TCP/IP) pour l’identification des dispositifs ou des solutions d’authentification organisationnelle (p. ex., IEEE 802.1x et EAP, serveur RADIUS avec authentification EAP-TLS, Kerberos) pour identifier et authentifier les dispositifs sur les réseaux locaux ou étendus. Les organisations déterminent la force requise pour les mécanismes d’authentification en fonction des catégories de sécurité des systèmes d’information. En raison des défis que pose l’application de ce contrôle à grande échelle, les organisations sont encouragées à appliquer le contrôle seulement à un nombre (et un type) limité de dispositifs qui ont véritablement besoin de prendre en charge cette capacité. Contrôles connexes : AC-17, AC-18, AC-19, CA-3, IA-4, IA-5</t>
  </si>
  <si>
    <t xml:space="preserve">TEST-IA-3</t>
  </si>
  <si>
    <t xml:space="preserve">Control IA-5(4) — Evidence Tracking</t>
  </si>
  <si>
    <t xml:space="preserve">Contrôle IA-5(4) — Suivi des preuves</t>
  </si>
  <si>
    <t xml:space="preserve">AUTHENTICATOR MANAGEMENT | AUTOMATED SUPPORT FOR PASSWORD STRENGTH DETERMINATION
The organization employs automated tools to determine if password authenticators are sufficiently strong to satisfy password length, complexity, rotation and lifetime restrictions established by IA-5(1).</t>
  </si>
  <si>
    <t xml:space="preserve">GESTION DE L’AUTHENTIFIANT | SOUTIEN AUTOMATISÉ POUR LA DÉTERMINATION DE LA FORCE DES MOTS DE PASSE
L’organisation utilise des outils automatisés pour déterminer si les authentifiants par mot de passe sont suffisamment forts pour respecter les restrictions relatives à la longueur, à la complexité, à la rotation et à la durée de vie établies par IA-5(1).</t>
  </si>
  <si>
    <t xml:space="preserve">This control enhancement focuses on the creation of strong passwords and the characteristics of such passwords (e.g., complexity) prior to use, the enforcement of which is carried out by organizational information systems in IA-5 (1). Related controls: CA-2, CA-7, RA-5.</t>
  </si>
  <si>
    <t xml:space="preserve">Cette amélioration du contrôle est axée sur la création de mots de passe forts et sur les caractéristiques de ces mots de passe (p. ex., complexité) avant leur utilisation, ce contrôle étant appliqué par les systèmes d’information organisationnels dans IA-5 (1). Contrôles connexes : CA-2, CA-7, RA-5.</t>
  </si>
  <si>
    <t xml:space="preserve">TEST-IA-5(4)</t>
  </si>
  <si>
    <t xml:space="preserve">Control IA-5(6) — Evidence Tracking</t>
  </si>
  <si>
    <t xml:space="preserve">Contrôle IA-5(6) — Suivi des preuves</t>
  </si>
  <si>
    <t xml:space="preserve">AUTHENTICATOR MANAGEMENT | PROTECTION OF AUTHENTICATORS
The organization protects authenticators commensurate with the security category of the information to which use of the authenticator permits access.</t>
  </si>
  <si>
    <t xml:space="preserve">GESTION DES AUTHENTIFIANTS | PROTECTION DES AUTHENTIFIANTS
L’organisation assure une protection des authentifiants qui est proportionnelle à la catégorie de sécurité de l’information à laquelle les authentifiants permettent l’accès.</t>
  </si>
  <si>
    <t xml:space="preserve">For information systems containing multiple security categories of information without reliable physical or logical separation between categories, authenticators used to grant access to the systems are protected commensurate with the highest security category of information on the systems.</t>
  </si>
  <si>
    <t xml:space="preserve">Dans le cas des systèmes d’information qui contiennent plusieurs catégories de sécurité de l’information sans séparation physique ou logique fiable entre les catégories, les authentifiants utilisés pour accorder l’accès aux systèmes sont protégés conformément à la catégorie de sécurité de l’information la plus élevée sur les systèmes.</t>
  </si>
  <si>
    <t xml:space="preserve">TEST-IA-5(6)</t>
  </si>
  <si>
    <t xml:space="preserve">Control MA-4(6) — Evidence Tracking</t>
  </si>
  <si>
    <t xml:space="preserve">Contrôle MA-4(6) — Suivi des preuves</t>
  </si>
  <si>
    <t xml:space="preserve">NONLOCAL MAINTENANCE | CRYPTOGRAPHIC PROTECTION
The information system implements cryptographic mechanisms to protect the integrity and confidentiality of nonlocal maintenance and diagnostic communications.</t>
  </si>
  <si>
    <t xml:space="preserve">MAINTENANCE NON LOCALE | PROTECTION CRYPTOGRAPHIQUE
Le système d’information met en œuvre des mécanismes cryptographiques pour protéger l’intégrité et la confidentialité des communications de maintenance et de diagnostic non locales.</t>
  </si>
  <si>
    <t xml:space="preserve">Related controls: SC-8, SC-13.</t>
  </si>
  <si>
    <t xml:space="preserve">Contrôles connexes : SC-8, SC-13.</t>
  </si>
  <si>
    <t xml:space="preserve">TEST-MA-4(6)</t>
  </si>
  <si>
    <t xml:space="preserve">Control RA-5 — Evidence Tracking</t>
  </si>
  <si>
    <t xml:space="preserve">Contrôle RA-5 — Suivi des preuves</t>
  </si>
  <si>
    <t xml:space="preserve">(A)
The organization scans for vulnerabilities in the information system and hosted applications monthly for operating systems/infrastructure, web applications, and database management systems and when new vulnerabilities potentially affecting the system/applications are identified and reported.
(B)
The organization employs vulnerability scanning tools and techniques that facilitate interoperability among tools and automate parts of the vulnerability management process by using standards for:
(a)
Enumerating platforms, software flaws, and improper configurations;
(b)
Formatting checklists and test procedures; and
(c)
Measuring vulnerability impact.
(C)
The organization analyzes vulnerability scan reports and results from security control assessments.
(D)
The organization remediates legitimate vulnerabilities within 30 days for high-risk vulnerabilities and 90 days for moderate-risk vulnerabilities from the date of discovery in accordance with an organizational assessment of risk.
(E)
The organization shares information obtained from the vulnerability scanning process and security control assessments with organization-defined personnel or roles to help eliminate similar vulnerabilities in other information systems (i.e., systemic weaknesses or deficiencies).</t>
  </si>
  <si>
    <t xml:space="preserve">(A) L’organisation analyse chaque mois les vulnérabilités du système d’information et des applications hébergées pour les systèmes et l’infrastructure d’exploitation, les applications Web et les systèmes de gestion de base de données, ainsi que les cas où de nouvelles vulnérabilités susceptibles d’affecter le système ou les applications sont repérées et signalées.
(B) L’organisation utilise des outils et des techniques d’analyse des vulnérabilités qui facilitent l’interopérabilité entre les outils et automatisent des parties du processus de gestion des vulnérabilités en utilisant des normes pour :
(a) recenser les plateformes, les failles logicielles et les configurations inadéquates;
(b) formater les listes de contrôle et les procédures d’essai;
(c) mesurer les répercussions des vulnérabilités.
(C) L’organisation analyse les rapports d’analyse des vulnérabilités et les résultats des évaluations des contrôles de sécurité.
(D) L’organisation remédie aux vulnérabilités légitimes dans les 30 jours pour les vulnérabilités présentant un risque élevé et dans les 90 jours pour les vulnérabilités présentant un risque modéré à partir de la date de découverte, conformément à une évaluation du risque par l’organisation.
(E) L’organisation partage l’information obtenue dans le cadre du processus d’analyse des vulnérabilités et des évaluations des contrôles de sécurité avec le personnel ou les rôles définis par l’organisation pour aider à éliminer des vulnérabilités semblables dans d’autres systèmes d’information (c.-à-d. des faiblesses ou des lacunes systémiques).</t>
  </si>
  <si>
    <t xml:space="preserve">Security categorization of information systems guides the frequency and comprehensiveness of vulnerability scans. Organizations determine the required vulnerability scanning for all information system components, ensuring that potential sources of vulnerabilities such as networked printers, scanners, and copiers are not overlooked. Vulnerability analyses for custom software applications may require additional approaches such as static analysis, dynamic analysis, binary analysis, or a hybrid of the three approaches. Organizations can employ these analysis approaches in a variety of tools (e.g., web-based application scanners, static analysis tools, binary analyzers) and in source code reviews. Vulnerability scanning includes, for example: (i) scanning for patch levels; (ii) scanning for functions, ports, protocols, and services that should not be accessible to users or devices; and (iii) scanning for improperly configured or incorrectly operating information flow control mechanisms</t>
  </si>
  <si>
    <t xml:space="preserve">La catégorisation de la sécurité des systèmes d’information détermine la fréquence et l’exhaustivité des analyses de vulnérabilité. Les organisations déterminent le balayage des vulnérabilités requis pour tous les composants du système d’information, en veillant à ce que les sources potentielles de vulnérabilités comme les imprimantes en réseau, les numériseurs et les photocopieurs ne soient pas négligées. Les analyses de vulnérabilité pour les applications logicielles personnalisées peuvent nécessiter des approches supplémentaires comme l’analyse statique, l’analyse dynamique, l’analyse binaire ou un hybride des trois approches. Les organisations peuvent utiliser ces approches d’analyse dans divers outils (p. ex., numériseurs d’applications Web, outils d’analyse statique, analyseurs binaires) et dans l’examen des codes sources. La détection des vulnérabilités comprend, par exemple : (i) la détection des niveaux de correctifs; (ii) le balayage à la recherche de fonctions, de ports, de protocoles et de services qui ne devraient pas être accessibles aux utilisateurs ou aux appareils; (iii) la détection de mécanismes de contrôle du flux d’information mal configurés ou défectueux</t>
  </si>
  <si>
    <t xml:space="preserve">TEST-RA-5</t>
  </si>
  <si>
    <t xml:space="preserve">Control RA-5(1) — Evidence Tracking</t>
  </si>
  <si>
    <t xml:space="preserve">Contrôle RA-5(1) — Suivi des preuves</t>
  </si>
  <si>
    <t xml:space="preserve">VULNERABILITY SCANNING | UPDATE TOOL CAPABILITY
The organization employs vulnerability scanning tools that include the capability to readily update the information system vulnerabilities to be scanned.</t>
  </si>
  <si>
    <t xml:space="preserve">ANALYSE DES VULNÉRABILITÉS | CAPACITÉ DE MISE À JOUR DES OUTILS
L’organisation utilise des outils de balayage des vulnérabilités qui comprennent la capacité de mettre rapidement à jour les vulnérabilités du système d’information à analyser.</t>
  </si>
  <si>
    <t xml:space="preserve">The vulnerabilities to be scanned need to be readily updated as new vulnerabilities are discovered, announced, and scanning methods developed. This updating process helps to ensure that potential vulnerabilities in the information system are identified and addressed as quickly as possible. Related controls: SI-3, SI-7.</t>
  </si>
  <si>
    <t xml:space="preserve">Les vulnérabilités à analyser doivent être rapidement mises à jour dès que de nouvelles vulnérabilités sont découvertes et annoncées, et que de nouvelles méthodes de balayage sont élaborées. Ce processus de mise à jour permet de s’assurer que les vulnérabilités potentielles dans le système d’information sont repérées et traitées le plus rapidement possible. Contrôles connexes : SI-3, SI-7.</t>
  </si>
  <si>
    <t xml:space="preserve">TEST-RA-5(1)</t>
  </si>
  <si>
    <t xml:space="preserve">Control RA-5(2) — Evidence Tracking</t>
  </si>
  <si>
    <t xml:space="preserve">Contrôle RA-5(2) — Suivi des preuves</t>
  </si>
  <si>
    <t xml:space="preserve">VULNERABILITY SCANNING | UPDATE BY FREQUENCY / PRIOR TO NEW SCAN / WHEN IDENTIFIED
The organization updates the information system vulnerabilities scanned prior to a new scan.</t>
  </si>
  <si>
    <t xml:space="preserve">ANALYSE DES VULNÉRABILITÉS | MISE À JOUR EN FONCTION DE LA FRÉQUENCE, AVANT UN NOUVEAU BALAYAGE, ET DÈS QUE DES VULNÉRABILITÉS SONT REPÉRÉES
L’organisation met à jour les vulnérabilités du système d’information repérées avant un nouveau balayage.</t>
  </si>
  <si>
    <t xml:space="preserve">Related controls: SI-3, SI-5.</t>
  </si>
  <si>
    <t xml:space="preserve">Contrôles connexes : SI-3, SI-5.</t>
  </si>
  <si>
    <t xml:space="preserve">TEST-RA-5(2)</t>
  </si>
  <si>
    <t xml:space="preserve">Control RA-5(3) — Evidence Tracking</t>
  </si>
  <si>
    <t xml:space="preserve">Contrôle RA-5(3) — Suivi des preuves</t>
  </si>
  <si>
    <t xml:space="preserve">VULNERABILITY SCANNING | BREADTH / DEPTH OF COVERAGE
The organization employs vulnerability scanning procedures that can identify the breadth and depth of coverage (i.e., information system components scanned and vulnerabilities checked).</t>
  </si>
  <si>
    <t xml:space="preserve">ANALYSE DES VULNÉRABILITÉS | ÉTENDUE/PROFONDEUR DE LA COUVERTURE
L’organisation utilise des procédures de balayage des vulnérabilités qui peuvent déterminer l’étendue et la profondeur de la couverture (c.-à-d. les composants du système d’information balayés et les vulnérabilités vérifiées).</t>
  </si>
  <si>
    <t xml:space="preserve">TEST-RA-5(3)</t>
  </si>
  <si>
    <t xml:space="preserve">Control RA-5(5) — Evidence Tracking</t>
  </si>
  <si>
    <t xml:space="preserve">Contrôle RA-5(5) — Suivi des preuves</t>
  </si>
  <si>
    <t xml:space="preserve">VULNERABILITY SCANNING | PRIVILEGED ACCESS
The information system implements privileged access authorization to operating systems, web applications, databases for selected all scans.</t>
  </si>
  <si>
    <t xml:space="preserve">ANALYSE DES VULNÉRABILITÉS | ACCÈS PRIVILÉGIÉ
Le système d’information applique l’autorisation d’accès privilégié aux systèmes d’exploitation, aux applications Web et aux bases de données pour tous les balayages sélectionnés.</t>
  </si>
  <si>
    <t xml:space="preserve">In certain situations, the nature of the vulnerability scanning may be more intrusive or the information system component that is the subject of the scanning may contain highly sensitive information. Privileged access authorization to selected system components facilitates more thorough vulnerability scanning and also protects the sensitive nature of such scanning.</t>
  </si>
  <si>
    <t xml:space="preserve">Dans certaines situations, la nature du balayage des vulnérabilités peut être plus intrusive, ou le composant du système d’information qui fait l’objet du balayage peut contenir des renseignements de nature très sensible. L’autorisation d’accès privilégié à certains composants du système facilite un balayage plus approfondi des vulnérabilités et protège également la nature sensible de ce balayage.</t>
  </si>
  <si>
    <t xml:space="preserve">TEST-RA-5(5)</t>
  </si>
  <si>
    <t xml:space="preserve">Control RA-5(6) — Evidence Tracking</t>
  </si>
  <si>
    <t xml:space="preserve">Contrôle RA-5(6) — Suivi des preuves</t>
  </si>
  <si>
    <t xml:space="preserve">VULNERABILITY SCANNING | AUTOMATED TREND ANALYSES
The organization employs automated mechanisms to compare the results of vulnerability scans over time to determine trends in information system vulnerabilities.</t>
  </si>
  <si>
    <t xml:space="preserve">ANALYSE DES VULNÉRABILITÉS | ANALYSES AUTOMATISÉES DES TENDANCES
L’organisation utilise des mécanismes automatisés pour comparer les résultats des analyses de vulnérabilité au fil du temps afin de déterminer les tendances dans les vulnérabilités du système d’information.</t>
  </si>
  <si>
    <t xml:space="preserve">Related controls: IR-4, IR-5, SI-4.</t>
  </si>
  <si>
    <t xml:space="preserve">Contrôles connexes : IR-4, IR-5, SI-4.</t>
  </si>
  <si>
    <t xml:space="preserve">TEST-RA-5(6)</t>
  </si>
  <si>
    <t xml:space="preserve">Control RA-5(8) — Evidence Tracking</t>
  </si>
  <si>
    <t xml:space="preserve">Contrôle RA-5(8) — Suivi des preuves</t>
  </si>
  <si>
    <t xml:space="preserve">VULNERABILITY SCANNING | REVIEW HISTORIC AUDIT LOGS
The organization reviews historic audit logs to determine if a vulnerability identified in the information system has been previously exploited.</t>
  </si>
  <si>
    <t xml:space="preserve">ANALYSE DES VULNÉRABILITÉS | EXAMEN DES JOURNAUX DE VÉRIFICATION HISTORIQUES
L’organisation examine les journaux de vérification historiques pour déterminer si une vulnérabilité repérée dans le système d’information a déjà été exploitée.</t>
  </si>
  <si>
    <t xml:space="preserve">Related control: AU-6.</t>
  </si>
  <si>
    <t xml:space="preserve">Contrôle connexe : AU-6.</t>
  </si>
  <si>
    <t xml:space="preserve">TEST-RA-5(8)</t>
  </si>
  <si>
    <t xml:space="preserve">Control SA-9(5) — Evidence Tracking</t>
  </si>
  <si>
    <t xml:space="preserve">Contrôle SA-9(5) — Suivi des preuves</t>
  </si>
  <si>
    <t xml:space="preserve">EXTERNAL INFORMATION SYSTEMS | PROCESSING, STORAGE, AND SERVICE LOCATION
The organization restricts the location of information processing,  information/data, and information system services to locations witihin Canada based on ITPIN 2017-02 for Direction on Data Residency (https://www.canada.ca/en/treasury-board-secretariat/services/information-technology/policy-implementation-notices/direction-electronic-data-residency.html).</t>
  </si>
  <si>
    <t xml:space="preserve">SYSTÈMES D’INFORMATION EXTERNES | EMPLACEMENT DU TRAITEMENT, DU STOCKAGE ET DES SERVICES
L’organisation restreint la résidence du traitement de l’information, du stockage de l’information et des données, ainsi que des services de systèmes d’information aux endroits situés à l’intérieur du Canada, conformément à l’avis AMPTI 2017-02, Orientation relative à la résidence des données électroniques (https://www.canada.ca/fr/gouvernement/systeme/gouvernement-numerique/technologiques-modernes-nouveaux/orientation-relative-residence-donnees-electroniques.html).</t>
  </si>
  <si>
    <t xml:space="preserve">The location of information processing, information/data storage, or information system services that are critical to organizations can have a direct impact on the ability of those organizations to successfully execute their missions/business functions. This situation exists when external providers control the location of processing, storage or services. The criteria external providers use for the selection of processing, storage, or service locations may be different from organizational criteria. For example, organizations may want to ensure that data/information storage locations are restricted to certain locations to facilitate incident response activities (e.g., forensic analyses, after-the-fact investigations) in case of information security breaches/compromises. Such incident response activities may be adversely affected by the governing laws or protocols in the locations where processing and storage occur and/or the locations from which information system services emanate.</t>
  </si>
  <si>
    <t xml:space="preserve">L’emplacement des services de traitement de l’information et de stockage de l’information et des données ou des services de systèmes d’information qui sont essentiels pour les organisations peut avoir une incidence directe sur la capacité de ces organisations d’exécuter avec succès leurs fonctions opérationnelles et de mission. Cette situation existe lorsque des fournisseurs externes contrôlent l’emplacement du traitement, de l’entreposage ou des services. Les critères utilisés par les fournisseurs externes pour choisir les lieux de traitement, d’entreposage ou de service peuvent être différents des critères de l’organisation. Par exemple, les organisations pourraient vouloir s’assurer que les emplacements de stockage des données ou de l’information se limitent à certains endroits afin de faciliter les activités d’intervention (p. ex., analyses judiciaires, enquêtes après coup) en cas d’incident représentant une atteinte à, ou une compromission de la sécurité de l’information. Ces activités d’intervention en cas d’incident peuvent être affectées négativement par les lois ou les protocoles en vigueur aux endroits où le traitement et l’entreposage ont lieu ou aux endroits d’où proviennent les services de systèmes d’information.</t>
  </si>
  <si>
    <t xml:space="preserve">TEST-SA-9(5)</t>
  </si>
  <si>
    <t xml:space="preserve">Control SC-2 — Evidence Tracking</t>
  </si>
  <si>
    <t xml:space="preserve">Contrôle SC-2 — Suivi des preuves</t>
  </si>
  <si>
    <t xml:space="preserve">(A)
The information system separates user functionality (including user interface services) from information system management functionality.</t>
  </si>
  <si>
    <t xml:space="preserve">(A) Le système d’information sépare la fonctionnalité de l’utilisateur (y compris les services d’interface utilisateur) de la fonctionnalité de gestion du système d’information.</t>
  </si>
  <si>
    <t xml:space="preserve">Information system management functionality includes, for example, functions necessary to administer databases, network components, workstations, or servers, and typically requires privileged user access. The separation of user functionality from information system management functionality is either physical or logical. Organizations implement separation of system management-related functionality from user functionality by using different computers, different central processing units, different instances of operating systems, different network addresses, virtualization techniques, or combinations of these or other methods, as appropriate. This type of separation includes, for example, web administrative interfaces that use separate authentication methods (e.g., using a logical separation, web administrators would use 2-factor authentication and normal users of the web application would use username/password authentication). Separation of system and user functionality may include isolating administrative interfaces on different domains and with additional access controls. Related controls: SA-4, SA-8, SC-3</t>
  </si>
  <si>
    <t xml:space="preserve">La fonctionnalité de gestion du système d’information comprend, par exemple, les fonctions nécessaires à l’administration des bases de données, des composants de réseau, des postes de travail ou des serveurs, et exige habituellement un accès utilisateur privilégié. La séparation de la fonctionnalité de l’utilisateur de la fonctionnalité de gestion du système d’information est soit physique, soit logique. Les organisations mettent en œuvre la séparation de la fonctionnalité de gestion du système de la fonctionnalité de l’utilisateur en utilisant différents ordinateurs, différentes unités centrales de traitement, différentes instances de systèmes d’exploitation, différentes adresses réseau, des techniques de virtualisation ou des combinaisons de ces méthodes ou d’autres méthodes, selon le cas. Ce type de séparation comprend, par exemple, les interfaces administratives Web qui utilisent des méthodes d’authentification séparées (p. ex., en utilisant une séparation logique, les administrateurs Web utiliseraient l’authentification à deux facteurs et les utilisateurs habituels de l’application Web utiliseraient l’authentification par nom d’utilisateur/mot de passe). La séparation des fonctions du système et de l’utilisateur peut comprendre l’isolement des interfaces administratives dans différents domaines et avec des contrôles d’accès supplémentaires. Contrôles connexes : SA-4, SA-8, SC-3</t>
  </si>
  <si>
    <t xml:space="preserve">TEST-SC-2</t>
  </si>
  <si>
    <t xml:space="preserve">Control SC-4 — Evidence Tracking</t>
  </si>
  <si>
    <t xml:space="preserve">Contrôle SC-4 — Suivi des preuves</t>
  </si>
  <si>
    <t xml:space="preserve">(A)
The information system prevents unauthorized and unintended information transfer via shared system resources.</t>
  </si>
  <si>
    <t xml:space="preserve">(A) Le système d’information empêche le transfert non autorisé et non intentionnel d’information par le biais des ressources partagées du système.</t>
  </si>
  <si>
    <t xml:space="preserve">This control prevents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control does not address: (i) information remanence which refers to residual representation of data that has been nominally erased or removed; (ii) covert channels (including storage and/or timing channels) where shared resources are manipulated to violate information flow restrictions; or (iii) components within information systems for which there are only single users/roles. Related controls: AC-3, AC-4, MP-6</t>
  </si>
  <si>
    <t xml:space="preserve">Ce contrôle empêche l’information, y compris les représentations chiffrées de l’information, produites par les actions des utilisateurs/rôles antérieurs (ou les actions des processus agissant pour le compte des utilisateurs/rôles antérieurs) d’être accessible aux utilisateurs/rôles actuels (ou aux processus actuels) qui obtiennent l’accès aux ressources partagées du système (p. ex., registres, mémoire principale, disques durs) après que ces ressources ont été retournées aux systèmes d’information. Le contrôle de l’information dans les ressources partagées est aussi communément appelé réutilisation d’objets et protection de l’information résiduelle. Ce contrôle ne porte pas sur : (i) la rémanence de l’information qui désigne la représentation résiduelle des données qui ont été nominalement effacées ou supprimées; (ii) les canaux cachés (y compris les canaux de stockage ou de synchronisation) où les ressources partagées sont manipulées pour violer les restrictions de circulation de l’information; ou (iii) les composants des systèmes d’information pour lesquels il n’y a qu’un seul utilisateur/rôle. Contrôles connexes : AC-3, AC-4, MP-6</t>
  </si>
  <si>
    <t xml:space="preserve">TEST-SC-4</t>
  </si>
  <si>
    <t xml:space="preserve">Control SC-5 — Evidence Tracking</t>
  </si>
  <si>
    <t xml:space="preserve">Contrôle SC-5 — Suivi des preuves</t>
  </si>
  <si>
    <t xml:space="preserve">(A)
The information system protects against or limits the effects of the following denial of service attempts that attack bandwidth, transactional capacity and storage by employing geo-replication, IP address blocking, and network-based DDoS protections.</t>
  </si>
  <si>
    <t xml:space="preserve">(A) Le système d’information assure une protection ou limite les effets des tentatives de déni de service suivantes qui s’attaquent à la largeur de bande, à la capacité transactionnelle et au stockage en utilisant la géoréplication, le blocage d’adresses IP et les protections de DDoS réseau.</t>
  </si>
  <si>
    <t xml:space="preserve">A variety of technologies exist to limit, or in some cases, eliminate the effects of denial of service attacks. For example, boundary protection devices can filter certain types of packets to protect information system components on internal organizational networks from being directly affected by denial of service attacks. Employing increased capacity and bandwidth combined with service redundancy may also reduce the susceptibility to denial of service attacks. Related controls: SC-6, SC-7</t>
  </si>
  <si>
    <t xml:space="preserve">Diverses technologies existent pour limiter ou, dans certains cas, éliminer les effets des attaques par déni de service. Par exemple, les dispositifs de protection des frontières peuvent filtrer certains types de paquets afin de protéger les composants du système d’information des réseaux organisationnels internes contre les répercussions directes des attaques par déni de service. L’utilisation d’une capacité et d’une bande passante accrues combinée à la redondance des services peut également réduire la susceptibilité aux attaques par déni de service. Contrôles connexes : SC-6, SC-7</t>
  </si>
  <si>
    <t xml:space="preserve">TEST-SC-5</t>
  </si>
  <si>
    <t xml:space="preserve">Control SC-7 — Evidence Tracking</t>
  </si>
  <si>
    <t xml:space="preserve">Contrôle SC-7 — Suivi des preuves</t>
  </si>
  <si>
    <t xml:space="preserve">(A)
The information system monitors and controls communications at the external boundary of the system and at key internal boundaries within the system.
(B)
The information system implements sub-networks for publicly accessible system components that are physically or logically separated from internal organizational networks.
(C)
The information system connects to external networks or information systems only through managed interfaces consisting of boundary protection devices arranged in accordance with an organizational security architecture.</t>
  </si>
  <si>
    <t xml:space="preserve">(A) Le système d’information surveille et contrôle les communications à la frontière externe du système et aux frontières internes clés du système.
(B) Le système d’information met en œuvre des sous-réseaux pour des composants du système accessibles au public qui sont physiquement ou logiquement séparés des réseaux organisationnels internes.
(C) Le système d’information ne se connecte à des réseaux ou à des systèmes d’information externes que par des interfaces gérées comprenant des dispositifs de protection des frontières organisés conformément à une architecture de sécurité organisationnelle.</t>
  </si>
  <si>
    <t xml:space="preserve">Managed interfaces include, for example, gateways, routers, firewalls, guards, network-based malicious code analysis and virtualization systems, or encrypted tunnels implemented within a security architecture (e.g., routers protecting firewalls or application gateways residing on protected sub-networks). Sub-networks that are physically or logically separated from internal networks are referred to as demilitarized zones or DMZs. Restricting or prohibiting interfaces within organizational information systems includes, for example, restricting external web traffic to designated web servers within managed interfaces and prohibiting external traffic that appears to be spoofing internal addresses. Organizations consider the shared nature of commercial telecommunications services in the implementation of security controls associated with the use of such services. Commercial telecommunications services are commonly based on network components and consolidated management systems shared by all attached commercial customers, and may also include third party-provided access lines and other service elements. Such transmission services may represent sources of increased risk despite contract security provisions. Related controls: AC-4, AC-17, CA-3, CM-7, CP-8, IR-4, RA-3, SC-5, SC-13</t>
  </si>
  <si>
    <t xml:space="preserve">Les interfaces gérées comprennent, par exemple, les passerelles, les routeurs, les pare-feu, les gardiens, les systèmes d’analyse et de virtualisation de codes malveillants basés sur le réseau, ou les tunnels chiffrés mis en œuvre dans une architecture de sécurité (p. ex., les routeurs protégeant les pare-feu ou les passerelles d’application résidant sur des sous-réseaux protégés). Les sous-réseaux qui sont physiquement ou logiquement séparés des réseaux internes sont appelés « zones démilitarisées » ou « ZD ». La restriction ou l’interdiction des interfaces dans les systèmes d’information de l’organisation comprend, par exemple, la restriction du trafic Web externe aux serveurs Web désignés dans les interfaces gérées et l’interdiction du trafic externe qui semble usurper les adresses internes. Les organisations tiennent compte de la nature commune des services de télécommunications commerciaux dans la mise en œuvre des contrôles de sécurité associés à l’utilisation de tels services. Les services de télécommunications commerciaux sont généralement fondés sur des composants de réseau et des systèmes de gestion consolidés partagés par tous les clients commerciaux attenants, et peuvent également comprendre des lignes d’accès fournies par des tiers et d’autres éléments de service. Ces services de transmission peuvent représenter des sources de risque accru malgré les dispositions relatives à la sécurité dans les contrats. Contrôles connexes : AC-4, AC-17, CA-3, CM-7, CP-8, IR-4, RA-3, SC-5, SC-13</t>
  </si>
  <si>
    <t xml:space="preserve">TEST-SC-7</t>
  </si>
  <si>
    <t xml:space="preserve">Control SC-7(3) — Evidence Tracking</t>
  </si>
  <si>
    <t xml:space="preserve">Contrôle SC-7(3) — Suivi des preuves</t>
  </si>
  <si>
    <t xml:space="preserve">BOUNDARY PROTECTION | ACCESS POINTS
The organization limits the number of external network connections to the information system.</t>
  </si>
  <si>
    <t xml:space="preserve">PROTECTION DES FRONTIÈRES | POINTS D’ACCÈS
L’organisation limite le nombre de connexions réseau externes au système d’information.</t>
  </si>
  <si>
    <t xml:space="preserve">Limiting the number of external network connections facilitates more comprehensive monitoring of inbound and outbound communications traffic.</t>
  </si>
  <si>
    <t xml:space="preserve">La limitation du nombre de connexions réseau externes facilite une surveillance plus complète du trafic des communications entrantes et sortantes.</t>
  </si>
  <si>
    <t xml:space="preserve">TEST-SC-7(3)</t>
  </si>
  <si>
    <t xml:space="preserve">Control SC-7(4) — Evidence Tracking</t>
  </si>
  <si>
    <t xml:space="preserve">Contrôle SC-7(4) — Suivi des preuves</t>
  </si>
  <si>
    <t xml:space="preserve">BOUNDARY PROTECTION | EXTERNAL TELECOMMUNICATIONS SERVICES
(a)
The organization implements a managed interface for each external telecommunication service;
(b)
The organization establishes a traffic flow policy for each managed interface;
(c)
The organization protects the confidentiality and integrity of the information being transmitted across each interface;
(d)
The organization documents each exception to the traffic flow policy with a supporting mission/business need and duration of that need; and
(e)
The organization reviews exceptions to the traffic flow policy at least annually and removes exceptions that are no longer supported by an explicit mission/business need.</t>
  </si>
  <si>
    <t xml:space="preserve">PROTECTION DES FRONTIÈRES | SERVICES DE TÉLÉCOMMUNICATIONS EXTERNES
(a) L’organisation met en œuvre une interface gérée pour chaque service de télécommunications externe;
(b) L’organisation établit une politique relative à l’écoulement du trafic pour chaque interface gérée;
(c) L’organisation protège la confidentialité et l’intégrité de l’information transmise sur chaque interface;
(d) L’organisation documente chaque exception à la politique relative à l’écoulement du trafic en indiquant le besoin opérationnel et de mission à l’appui et la durée de ce besoin;
(e) L’organisation revoit les exceptions à la politique relative à l’écoulement du trafic au moins une fois l’an, et retire les exceptions qui ne sont plus appuyées par un besoin opérationnel/de mission explicite.</t>
  </si>
  <si>
    <t xml:space="preserve">Related control: SC-8.</t>
  </si>
  <si>
    <t xml:space="preserve">Contrôle connexe : SC-8.</t>
  </si>
  <si>
    <t xml:space="preserve">TEST-SC-7(4)</t>
  </si>
  <si>
    <t xml:space="preserve">Control SC-7(5) — Evidence Tracking</t>
  </si>
  <si>
    <t xml:space="preserve">Contrôle SC-7(5) — Suivi des preuves</t>
  </si>
  <si>
    <t xml:space="preserve">BOUNDARY PROTECTION | DENY BY DEFAULT / ALLOW BY EXCEPTION
The information system at managed interfaces denies network communications traffic by default and allows network communications traffic by exception (i.e., deny all, permit by exception).</t>
  </si>
  <si>
    <t xml:space="preserve">PROTECTION DES FRONTIÈRES | REFUSER PAR DÉFAUT/PERMETTRE PAR EXCEPTION
Le système d’information aux interfaces gérées refuse par défaut les communications réseau et permet par exception les communications réseau (c.-à-d. refuser tout, permettre par exception).</t>
  </si>
  <si>
    <t xml:space="preserve">This control enhancement applies to both inbound and outbound network communications traffic. A deny-all, permit-by-exception network communications traffic policy ensures that only those connections which are essential and approved are allowed.</t>
  </si>
  <si>
    <t xml:space="preserve">Cette amélioration de contrôle s’applique aux communications réseau entrantes et sortantes. Une politique « refuser tout, permettre par exception » relativement aux communications réseau garantit que seules les connexions qui sont essentielles et approuvées sont autorisées.</t>
  </si>
  <si>
    <t xml:space="preserve">TEST-SC-7(5)</t>
  </si>
  <si>
    <t xml:space="preserve">Control SC-7(8) — Evidence Tracking</t>
  </si>
  <si>
    <t xml:space="preserve">Contrôle SC-7(8) — Suivi des preuves</t>
  </si>
  <si>
    <t xml:space="preserve">BOUNDARY PROTECTION | ROUTE TRAFFIC TO AUTHENTICATED PROXY SERVERS
The information system routes organization-defined internal communications traffic to  all untrusted networks ouside the control of the organization
through authenticated proxy servers at managed interfaces.</t>
  </si>
  <si>
    <t xml:space="preserve">PROTECTION DES FRONTIÈRES | ACHEMINEMENT DU TRAFIC VERS LES SERVEURS MANDATAIRES AUTHENTIFIÉS
Le système d’information achemine le trafic de communications internes défini par l’organisation vers tous les réseaux non fiables hors du contrôle de l’organisation par le biais de serveurs mandataires authentifiés aux interfaces gérées.</t>
  </si>
  <si>
    <t xml:space="preserve">External networks are networks outside of organizational control. A proxy server is a server (i.e., information system or application) that acts as an intermediary for clients requesting information system resources (e.g., files, connections, web pages, or services) from other organizational servers. Client requests established through an initial connection to the proxy server are evaluated to manage complexity and to provide additional protection by limiting direct connectivity. Web content filtering devices are one of the most common proxy servers providing access to the Internet. Proxy servers support logging individual Transmission Control Protocol (TCP) sessions and blocking specific Uniform Resource Locators (URLs), domain names, and Internet Protocol (IP) addresses. Web proxies can be configured with organization-defined lists of authorized and unauthorized websites. Related controls: AC-3, AU-2.</t>
  </si>
  <si>
    <t xml:space="preserve">Les réseaux externes sont des réseaux qui échappent au contrôle de l’organisation. Un serveur mandataire est un serveur (c.-à-d. un système d’information ou une application) qui sert d’intermédiaire pour les clients qui demandent des ressources du système d’information (p. ex., fichiers, connexions, pages Web ou services) à d’autres serveurs de l’organisation. Les demandes des clients établies au moyen d’une connexion initiale au serveur mandataire sont évaluées afin de gérer la complexité et de fournir une protection supplémentaire en limitant la connectivité directe. Les dispositifs de filtrage du contenu Web sont parmi les serveurs mandataires les plus courants donnant accès à Internet. Les serveurs mandataires permettent l’ouverture de sessions individuelles de protocole de contrôle de transmission (TCP) et bloquent des localisateurs de ressources uniformes (URL), des noms de domaine et des adresses IP particuliers. Les mandataires Web peuvent être configurés avec des listes de sites Web autorisés et non autorisés définies par l’organisation. Contrôles connexes : AC-3, AU-2.</t>
  </si>
  <si>
    <t xml:space="preserve">TEST-SC-7(8)</t>
  </si>
  <si>
    <t xml:space="preserve">Control SC-7(18) — Evidence Tracking</t>
  </si>
  <si>
    <t xml:space="preserve">Contrôle SC-7(18) — Suivi des preuves</t>
  </si>
  <si>
    <t xml:space="preserve">BOUNDARY PROTECTION | FAIL SECURE
The information system fails securely in the event of an operational failure of a boundary protection device.</t>
  </si>
  <si>
    <t xml:space="preserve">PROTECTION DES FRONTIÈRES | SÉCURITÉ INTÉGRÉE
Le système d’information tombe en panne de façon sécurisée en cas de défaillance opérationnelle d’un dispositif de protection des frontières.</t>
  </si>
  <si>
    <t xml:space="preserve">Fail secure is a condition achieved by employing information system mechanisms to ensure that in the event of operational failures of boundary protection devices at managed interfaces (e.g., routers, firewalls, guards, and application gateways residing on protected sub-networks commonly referred to as demilitarized zones), information systems do not enter into insecure states where intended security properties no longer hold. Failures of boundary protection devices cannot lead to, or cause information external to the devices to enter the devices, nor can failures permit unauthorized information releases. Related controls: CP-2, SC-24.</t>
  </si>
  <si>
    <t xml:space="preserve">La sécurité intégrée est une condition obtenue en utilisant des mécanismes du système d’information pour s’assurer qu’en cas de défaillance opérationnelle des dispositifs de protection des frontières aux interfaces gérées (p. ex., routeurs, pare-feu, gardiens et passerelles d’application résidant sur des sous-réseaux protégés communément appelés zones démilitarisées), les systèmes d’information n’entrent pas dans des états non sécurisés où les propriétés de sécurité prévues ne tiennent plus. Les défaillances des dispositifs de protection des frontières ne doivent pas entraîner ou faire entrer de l’information externe dans les dispositifs, et les défaillances ne doivent pas non plus permettre la diffusion non autorisée d’information. Contrôles connexes : CP-2, SC-24.</t>
  </si>
  <si>
    <t xml:space="preserve">TEST-SC-7(18)</t>
  </si>
  <si>
    <t xml:space="preserve">Control SC-8 — Evidence Tracking</t>
  </si>
  <si>
    <t xml:space="preserve">Contrôle SC-8 — Suivi des preuves</t>
  </si>
  <si>
    <t xml:space="preserve">(A)
The information system protects the confidentiality and integrity of transmitted information.</t>
  </si>
  <si>
    <t xml:space="preserve">(A) Le système d’information protège la confidentialité et l’intégrité de l’information transmise.</t>
  </si>
  <si>
    <t xml:space="preserve">This control applies to both internal and external networks and all types of information system components from which information can be transmitted (e.g., servers, mobile devices, notebook computers, printers, copiers, scanners, facsimile machines). Communication paths outside the physical protection of a controlled boundary are exposed to the possibility of interception and modification. Protecting the confidentiality and/or integrity of organizational information can be accomplished by physical means (e.g., by employing protected distribution systems) or by logical means (e.g., employing encryption techniques). Organizations relying on commercial providers offering transmission services as commodity services rather than as fully dedicated services (i.e., services which can be highly specialized to individual customer needs), may find it difficult to obtain the necessary assurances regarding the implementation of needed security controls for transmission confidentiality/integrity. In such situations, organizations determine what types of confidentiality/integrity services are available in standard, commercial telecommunication service packages. If it is infeasible or impractical to obtain the necessary security controls and assurances of control effectiveness through appropriate contracting vehicles, organizations implement appropriate compensating security controls or explicitly accept the additional risk. Related controls: AC-17, PE-4</t>
  </si>
  <si>
    <t xml:space="preserve">Ce contrôle s’applique aux réseaux internes et externes et à tous les types de composants du système d’information à partir desquels de l’information peut être transmise (p. ex., serveurs, appareils mobiles, ordinateurs portatifs, imprimantes, photocopieurs, numériseurs, télécopieurs). Les voies de communication à l’extérieur de la protection physique d’une frontière contrôlée sont exposées à des risques d’interception et de modification. La protection de la confidentialité ou de l’intégrité de l’information organisationnelle peut se faire par des moyens physiques (p. ex., en utilisant des systèmes de distribution protégés) ou logiques (p. ex., en utilisant des techniques de chiffrement). Les organisations qui comptent sur des fournisseurs commerciaux offrant des services de transmission à titre de services de base plutôt que de services entièrement dédiés (c.-à-d. des services qui peuvent être hautement spécialisés pour répondre aux besoins de clients individuels), peuvent avoir de la difficulté à obtenir les assurances nécessaires concernant la mise en œuvre des contrôles de sécurité nécessaires pour la confidentialité et l’intégrité des transmissions. Dans de telles situations, les organisations déterminent les types de services de confidentialité et d’intégrité disponibles dans les forfaits de services de télécommunications commerciaux standard. S’il n’est pas pratique ou s’il est impossible d’obtenir les contrôles de sécurité nécessaires et l’assurance de l’efficacité des contrôles au moyen des mécanismes de passation de marchés appropriés, les organisations mettent en œuvre des contrôles de sécurité compensatoires appropriés ou acceptent explicitement le risque supplémentaire. Contrôles connexes : AC-17, PE-4</t>
  </si>
  <si>
    <t xml:space="preserve">TEST-SC-8</t>
  </si>
  <si>
    <t xml:space="preserve">Control SC-8(1) — Evidence Tracking</t>
  </si>
  <si>
    <t xml:space="preserve">Contrôle SC-8(1) — Suivi des preuves</t>
  </si>
  <si>
    <t xml:space="preserve">TRANSMISSION CONFIDENTIALITY AND INTEGRITY | CRYPTOGRAPHIC OR ALTERNATE PHYSICAL PROTECTION
The information system implements cryptographic mechanisms to prevent unauthorized disclosure of information and detect changes to information during transmission unless otherwise protected by physical security safeguards applied in applied in accordance with, or uses an adequate risk-based approach aligned with the practices specified in TBS and RCMP physical security standards and any related provisions of the Industrial Security Program. The cryptography must be compliant with the requirements of control SC-13.</t>
  </si>
  <si>
    <t xml:space="preserve">CONFIDENTIALITÉ ET INTÉGRITÉ DES TRANSMISSIONS | PROTECTION CRYPTOGRAPHIQUE OU AUTRE PROTECTION PHYSIQUE
Le système d’information déploie des mécanismes cryptographiques pour prévenir la divulgation non autorisée d’information et détecter les modifications de l’information durant la transmission, à moins d’être autrement protégé par des mesures de sécurité physiques appliquées selon une approche adéquate en fonction du risque qui s’harmonise avec les pratiques spécifiées dans les normes de sécurité physique du SCT et de la GRC et les dispositions connexes du Programme de sécurité industrielle. La cryptographie doit être conforme aux exigences du contrôle SC-13.</t>
  </si>
  <si>
    <t xml:space="preserve">Encrypting information for transmission protects information from unauthorized disclosure and modification. Cryptographic mechanisms implemented to protect information integrity include, for example, cryptographic hash functions which have common application in digital signatures, checksums, and message authentication codes. Alternative physical security safeguards include, for example, protected distribution systems. Related control: SC-13.</t>
  </si>
  <si>
    <t xml:space="preserve">Le chiffrement de l’information pour la transmission protège l’information contre la divulgation et la modification non autorisées. Les mécanismes cryptographiques mis en œuvre pour protéger l’intégrité de l’information comprennent, par exemple, les fonctions de hachage cryptographique qui ont une application commune dans les signatures numériques, les sommes de contrôle et les codes d’authentification des messages. Les autres mesures de sécurité physiques comprennent, par exemple, les réseaux de distribution protégés. Contrôle connexe : SC-13.</t>
  </si>
  <si>
    <t xml:space="preserve">TEST-SC-8(1)</t>
  </si>
  <si>
    <t xml:space="preserve">Control SC-10 — Evidence Tracking</t>
  </si>
  <si>
    <t xml:space="preserve">Contrôle SC-10 — Suivi des preuves</t>
  </si>
  <si>
    <t xml:space="preserve">(A)
The information system terminates the network connection associated with a communications session at the end of the session or after no longer than 30 minutes for RAS-based sessions or no longer than 60 minutes for non-interactive user sessions of inactivity.</t>
  </si>
  <si>
    <t xml:space="preserve">(A) Le système d’information met fin à la connexion réseau associée à une session de communication à la fin de la séance ou après un maximum de 30 minutes pour les sessions basées sur le service d’accès à distance (SAD) ou de 60 minutes d’inactivité pour les sessions d’utilisateur non interactives.</t>
  </si>
  <si>
    <t xml:space="preserve">This control applies to both internal and external networks. Terminating network connections associated with communications sessions include, for example, de-allocating associated TCP/IP address/port pairs at the operating system level, or de-allocating networking assignments at the application level if multiple application sessions are using a single, operating system-level network connection. Time periods of inactivity may be established by organizations and include, for example, time periods by type of network access or for specific network accesses</t>
  </si>
  <si>
    <t xml:space="preserve">Ce contrôle s’applique aux réseaux internes et externes. La fin des connexions réseau associées aux sessions de communication comprend, par exemple, la désattribution des paires d’adresses/ports TCP/IP associées au niveau du système d’exploitation, ou la désattribution des tâches de réseautique au niveau de l’application si plusieurs sessions d’application utilisent une seule connexion réseau au niveau du système d’exploitation. Des périodes d’inactivité peuvent être établies par les organisations et comprendre, par exemple, des périodes par type d’accès au réseau ou pour des accès réseau particuliers.</t>
  </si>
  <si>
    <t xml:space="preserve">TEST-SC-10</t>
  </si>
  <si>
    <t xml:space="preserve">Control SC-12 — Evidence Tracking</t>
  </si>
  <si>
    <t xml:space="preserve">Contrôle SC-12 — Suivi des preuves</t>
  </si>
  <si>
    <t xml:space="preserve">(A)
The organization establishes and manages cryptographic keys for required cryptography employed within the information system in accordance with CSE-approved cryptography.</t>
  </si>
  <si>
    <t xml:space="preserve">(A) L’organisation établit et gère les clés cryptographiques pour la cryptographie requise utilisée dans le système d’information conformément à la cryptographie approuvée par le CST.</t>
  </si>
  <si>
    <t xml:space="preserve">Cryptographic key management and establishment can be performed using manual procedures or automated mechanisms with supporting manual procedures. Organizations define key management requirements in accordance with applicable organizational policies, directives, and standards, specifying appropriate options, levels, and parameters. Organizations manage trust stores to ensure that only approved trust anchors are in such trust stores. This includes certificates with visibility external to organizational information systems and certificates related to the internal operations of systems. The cryptography must be compliant with the requirements of control SC-13. Related controls: SC-13, SC-17</t>
  </si>
  <si>
    <t xml:space="preserve">La gestion et l’établissement des clés cryptographiques peuvent être effectués à l’aide de procédures manuelles ou de mécanismes automatisés dotés de procédures manuelles à l’appui. Les organisations définissent les principales exigences en matière de gestion conformément aux politiques, aux directives et aux normes organisationnelles applicables, en précisant les options, les niveaux et les paramètres appropriés. Les organisations gèrent les fichiers TrustStores pour s’assurer que ces fichiers contiennent uniquement des ancrages de confiance. Cela comprend les certificats avec visibilité externe aux systèmes d’information de l’organisation et les certificats liés aux opérations internes des systèmes. La cryptographie doit être conforme aux exigences du contrôle SC-13. Contrôles connexes : SC-13, SC-17</t>
  </si>
  <si>
    <t xml:space="preserve">TEST-SC-12</t>
  </si>
  <si>
    <t xml:space="preserve">Control SC-12(1) — Evidence Tracking</t>
  </si>
  <si>
    <t xml:space="preserve">Contrôle SC-12(1) — Suivi des preuves</t>
  </si>
  <si>
    <t xml:space="preserve">CRYPTOGRAPHIC KEY ESTABLISHMENT AND MANAGEMENT | AVAILABILITY
The organization maintains availability of information in the event of the loss of cryptographic keys by users.</t>
  </si>
  <si>
    <t xml:space="preserve">ÉTABLISSEMENT ET GESTION DES CLÉS CRYPTOGRAPHIQUES | DISPONIBILITÉ
L’organisation maintient la disponibilité de l’information en cas de perte de clés cryptographiques par les utilisateurs.</t>
  </si>
  <si>
    <t xml:space="preserve">TEST-SC-12(1)</t>
  </si>
  <si>
    <t xml:space="preserve">Control SC-12(2) — Evidence Tracking</t>
  </si>
  <si>
    <t xml:space="preserve">Contrôle SC-12(2) — Suivi des preuves</t>
  </si>
  <si>
    <t xml:space="preserve">CRYPTOGRAPHIC KEY ESTABLISHMENT AND MANAGEMENT | SYMMETRIC KEYS
The organization produces, controls, and distributes symmetric cryptographic keys using CSE compliant key management technology and processes.</t>
  </si>
  <si>
    <t xml:space="preserve">ÉTABLISSEMENT ET GESTION DES CLÉS CRYPTOGRAPHIQUES | CLÉS SYMÉTRIQUES
L’organisation produit, contrôle et distribue des clés cryptographiques symétriques en utilisant une technologie et des processus de gestion des clés conformes au CST.</t>
  </si>
  <si>
    <t xml:space="preserve">TEST-SC-12(2)</t>
  </si>
  <si>
    <t xml:space="preserve">Control SC-12(3) — Evidence Tracking</t>
  </si>
  <si>
    <t xml:space="preserve">Contrôle SC-12(3) — Suivi des preuves</t>
  </si>
  <si>
    <t xml:space="preserve">CRYPTOGRAPHIC KEY ESTABLISHMENT AND MANAGEMENT | ASYMMETRIC KEYS
The organization produces, controls, and distributes asymmetric cryptographic keys using CSE-approved key management technology and processes; approved PKI medium assurance certificates or prepositioned keying material; approved medium assurance or high assurance certificates and hardware security tokens that protect the user’s private key.</t>
  </si>
  <si>
    <t xml:space="preserve">ÉTABLISSEMENT ET GESTION DES CLÉS CRYPTOGRAPHIQUES | CLÉS ASYMÉTRIQUES
L’organisation produit, contrôle et distribue des clés cryptographiques asymétriques à l’aide de la technologie et des processus de gestion des clés approuvés par le CST; des certificats d’assurance moyenne de l’ICP approuvés ou du matériel de chargement de clés prépositionné; des certificats d’assurance moyenne ou d’assurance élevée approuvés et des jetons de sécurité matérielle qui protègent la clé privée de l’utilisateur.</t>
  </si>
  <si>
    <t xml:space="preserve">TEST-SC-12(3)</t>
  </si>
  <si>
    <t xml:space="preserve">Control SC-13 — Evidence Tracking</t>
  </si>
  <si>
    <t xml:space="preserve">Contrôle SC-13 — Suivi des preuves</t>
  </si>
  <si>
    <t xml:space="preserve">(A)
The information system implements CSE approved cryptography in accordance with applicable organizational policies, directives and standards.</t>
  </si>
  <si>
    <t xml:space="preserve">(A) Le système d’information met en œuvre la cryptographie approuvée par le CST conformément aux politiques, aux directives et aux normes organisationnelles applicables.</t>
  </si>
  <si>
    <t xml:space="preserve">Cryptography can be employed to support a variety of security solutions including, for example, the protection of sensitive information, the provision of digital signatures, and the enforcement of information separation when authorized individuals have the necessary clearances for such information but lack the necessary formal access approvals. Cryptography can also be used to support random number generation and hash generation. Generally applicable cryptographic standards include FIPS-validated cryptography. This control does not impose any requirements on organizations to use cryptography. However, if cryptography is required based on the selection of other security controls or policies, organizations document each type of cryptographic use and the type of cryptography required (e.g., protection of classified information: FIPS-validated cryptography). Related controls: AC-2, AC-3, AC-7, AC-17, AC-18, AU-9, AU-10, CM-11, CP-9, IA-3, IA-7, MA-4, MP-2, MP-4, MP-5, SA-4, SC-8, SC-12, SC-28, SI-7</t>
  </si>
  <si>
    <t xml:space="preserve">La cryptographie peut être utilisée pour la prise en charge d’une variété de solutions de sécurité, y compris, par exemple, la protection des renseignements de nature sensible, la fourniture de signatures numériques, et l’application de la séparation des renseignements lorsque les personnes autorisées ont les autorisations de sécurité nécessaires pour ces renseignements, mais qu’elles n’ont pas les autorisations d’accès officielles nécessaires. La cryptographie peut également être utilisée pour permettre la génération de nombres aléatoires et la génération de hachages. Les normes cryptographiques généralement applicables comprennent la cryptographie conforme aux normes FIPS. Ce contrôle n’oblige pas les organisations à utiliser la cryptographie. Toutefois, si la cryptographie est requise en fonction de la sélection d’autres contrôles ou politiques de sécurité, les organisations documentent chaque type d’utilisation cryptographique et le type de cryptographie requis (p. ex., protection de l’information classifiée : cryptographie conforme aux normes FIPS). Contrôles connexes : AC-2, AC-3, AC-7, AC-17, AC-18, AU-9, AU-10, CM-11, CP-9, IA-3, IA-7, MA-4, MP-2, MP-4, MP-5, SA-4, SC-8, SC-12, SC-28, SI-7</t>
  </si>
  <si>
    <t xml:space="preserve">TEST-SC-13</t>
  </si>
  <si>
    <t xml:space="preserve">Control SC-17 — Evidence Tracking</t>
  </si>
  <si>
    <t xml:space="preserve">Contrôle SC-17 — Suivi des preuves</t>
  </si>
  <si>
    <t xml:space="preserve">(A)
The organization issues public key certificates under an organization-defined certificate policy or obtains public key certificates from an approved service provider.</t>
  </si>
  <si>
    <t xml:space="preserve">(A) L’organisation délivre des certificats de clés publiques en vertu d’une politique de certificat définie par l’organisation ou obtient des certificats de clés publiques auprès d’un fournisseur de services approuvé.</t>
  </si>
  <si>
    <t xml:space="preserve">For all certificates, organizations manage information system trust stores to ensure only approved trust anchors are in the trust stores. This control addresses both certificates with visibility external to organizational information systems and certificates related to the internal operations of systems, for example, application-specific time services. Related control: SC-12</t>
  </si>
  <si>
    <t xml:space="preserve">Pour tous les certificats, les organisations gèrent les fichiers TrustStore du système d’information pour s’assurer que ces fichiers contiennent uniquement des ancrages de confiance. Ce contrôle porte à la fois sur les certificats avec visibilité externe aux systèmes d’information de l’organisation et sur les certificats liés aux opérations internes des systèmes, par exemple, les services de gestion du temps propres aux applications. Contrôle connexe : SC-12</t>
  </si>
  <si>
    <t xml:space="preserve">TEST-SC-17</t>
  </si>
  <si>
    <t xml:space="preserve">Control SC-18 — Evidence Tracking</t>
  </si>
  <si>
    <t xml:space="preserve">Contrôle SC-18 — Suivi des preuves</t>
  </si>
  <si>
    <t xml:space="preserve">(A)
The organization defines acceptable and unacceptable mobile code and mobile code technologies.
(B)
The organization establishes usage restrictions and implementation guidance for acceptable mobile code and mobile code technologies.
(C)
The organization authorizes, monitors, and controls the use of mobile code within the information system.</t>
  </si>
  <si>
    <t xml:space="preserve">(A) L’organisation définit les codes mobiles et les technologies de codes mobiles acceptables et inacceptables.
(B) L’organisation établit des restrictions d’utilisation et des directives de mise en œuvre pour le code mobile et les technologies de code mobile acceptables.
(C) L’organisation autorise, surveille et contrôle l’utilisation du code mobile dans le système d’information.</t>
  </si>
  <si>
    <t xml:space="preserve">Decisions regarding the employment of mobile code within organizational information systems are based on the potential for the code to cause damage to the systems if used maliciously. Mobile code technologies include, for example, Java, JavaScript, ActiveX, Postscript, PDF, Shockwave movies, Flash animations, and VBScript. Usage restrictions and implementation guidance apply to both the selection and use of mobile code installed on servers and mobile code downloaded and executed on individual workstations and devices (e.g., smart phones). Mobile code policy and procedures address preventing the development, acquisition, or introduction of unacceptable mobile code within organizational information systems. Related controls: AU-2, AU-12, CM-2, CM-6, SI-3</t>
  </si>
  <si>
    <t xml:space="preserve">Les décisions concernant l’utilisation du code mobile dans les systèmes d’information de l’organisation sont basées sur le potentiel de dommages causés aux systèmes si le code est utilisé de façon malveillante. Les technologies de code mobile comprennent, par exemple, Java, JavaScript, ActiveX, Postcript, PDF, les films Shockwave, les animations Flash et VBScript. Les restrictions d’utilisation et les directives de mise en œuvre s’appliquent à la fois à la sélection et à l’utilisation du code mobile installé sur les serveurs et du code mobile téléchargé et exécuté sur des postes de travail et des appareils individuels (p. ex., téléphones intelligents). La politique et les procédures relatives au code mobile visent à prévenir l’élaboration, l’acquisition ou l’introduction de code mobile inacceptable dans les systèmes d’information de l’organisation. Contrôles connexes : AU-2, AU-12, CM-2, CM-6, SI-3</t>
  </si>
  <si>
    <t xml:space="preserve">TEST-SC-18</t>
  </si>
  <si>
    <t xml:space="preserve">Control SC-23 — Evidence Tracking</t>
  </si>
  <si>
    <t xml:space="preserve">Contrôle SC-23 — Suivi des preuves</t>
  </si>
  <si>
    <t xml:space="preserve">(A)
The information system protects the authenticity of communications sessions.</t>
  </si>
  <si>
    <t xml:space="preserve">(A) Le système d’information protège l’authenticité des sessions de communication.</t>
  </si>
  <si>
    <t xml:space="preserve">This control addresses communications protection at the session, versus packet level (e.g., sessions in service-oriented architectures providing web-based services) and establishes grounds for confidence at both ends of communications sessions in ongoing identities of other parties and in the validity of information transmitted. Authenticity protection includes, for example, protecting against man-in-the-middle attacks/session hijacking and the insertion of false information into sessions. Related controls: SC-8, SC-10, SC-11</t>
  </si>
  <si>
    <t xml:space="preserve">Ce contrôle porte sur la protection des communications au niveau des sessions plutôt qu’au niveau des paquets (p. ex., les sessions dans les architectures orientées service fournissant des services Web) et établit des motifs de confiance, aux deux extrémités des sessions de communication, dans les identités continues des autres parties et dans la validité de l’information transmise. La protection de l’authenticité comprend, par exemple, la protection contre les attaques de l’intercepteur ou les détournements de sessions et l’insertion de faux renseignements dans les sessions. Contrôles connexes : SC-8, SC-10, SC-11</t>
  </si>
  <si>
    <t xml:space="preserve">TEST-SC-23</t>
  </si>
  <si>
    <t xml:space="preserve">Control SC-23(1) — Evidence Tracking</t>
  </si>
  <si>
    <t xml:space="preserve">Contrôle SC-23(1) — Suivi des preuves</t>
  </si>
  <si>
    <t xml:space="preserve">SESSION AUTHENTICITY | INVALIDATE SESSION IDENTIFIERS AT LOGOUT
The information system invalidates session identifiers upon user logout or other session termination.</t>
  </si>
  <si>
    <t xml:space="preserve">AUTHENTICITÉ DES SESSIONS | INVALIDATION DES IDENTIFIANTS DE SESSION DÈS LA FERMETURE DE SESSION
Le système d’information invalide les identifiants de session dès la fermeture de session par l’utilisateur ou à toute autre fin de session.</t>
  </si>
  <si>
    <t xml:space="preserve">This control enhancement curtails the ability of adversaries from capturing and continuing to employ previously valid session IDs.</t>
  </si>
  <si>
    <t xml:space="preserve">Cette amélioration du contrôle empêche les adversaires de saisir et de continuer d’utiliser des ID de session valides.</t>
  </si>
  <si>
    <t xml:space="preserve">TEST-SC-23(1)</t>
  </si>
  <si>
    <t xml:space="preserve">Control SC-28 — Evidence Tracking</t>
  </si>
  <si>
    <t xml:space="preserve">Contrôle SC-28 — Suivi des preuves</t>
  </si>
  <si>
    <t xml:space="preserve">(A)
The information system protects the confidentiality and integrity of all information not cleared for public release and all data with a higher than low integrity requirement.</t>
  </si>
  <si>
    <t xml:space="preserve">(A) Le système d’information protège la confidentialité et l’intégrité de tous les renseignements dont la diffusion publique n’est pas autorisée et de toutes les données pour lesquelles les exigences d’intégrité ne sont pas faibles.</t>
  </si>
  <si>
    <t xml:space="preserve">This control addresses the confidentiality and integrity of information at rest and covers user information and system information. Information at rest refers to the state of information when it is located on storage devices as specific components of information systems. System-related information requiring protection includes, for example, configurations or rule sets for firewalls, gateways, intrusion detection/prevention systems, filtering routers, and authenticator content. Organizations may employ different mechanisms to achieve confidentiality and integrity protections, including the use of cryptographic mechanisms and file share scanning. Integrity protection can be achieved, for example, by implementing Write-Once-Read-Many (WORM) technologies. Organizations may also employ other security controls including, for example, secure off-line storage in lieu of online storage when adequate protection of information at rest cannot otherwise be achieved and/or continuous monitoring to identify malicious code at rest. Related controls: AC-3, AC-6, CA-7, CM-3, CM-5, CM-6, PE-3, SC-8, SC-13, SI-3, SI-7</t>
  </si>
  <si>
    <t xml:space="preserve">Ce contrôle porte sur la confidentialité et l’intégrité de l’information inactive et couvre l’information sur les utilisateurs et le système. L’information inactive fait référence à l’état de l’information lorsqu’elle se trouve sur des dispositifs de stockage en tant que composants particuliers des systèmes d’information. Les renseignements relatifs au système qui nécessitent une protection comprennent, par exemple, les configurations ou les ensembles de règles pour les pare-feu, les passerelles, les systèmes de détection et de prévention des intrusions, les routeurs de filtrage et le contenu des authentifiants. Les organisations peuvent utiliser différents mécanismes pour assurer la protection de la confidentialité et de l’intégrité, y compris les mécanismes cryptographiques et le balayage des fichiers partagés. La protection de l’intégrité peut être assurée, par exemple, en mettant en œuvre des technologies qui rendent les supports non réinscriptibles. Les organisations peuvent également utiliser d’autres contrôles de sécurité, y compris, par exemple, le stockage hors ligne sécurisé au lieu du stockage en ligne lorsque la protection de l’information inactive ne peut être assurée autrement, ou la surveillance continue pour repérer du code malveillant inactif. Contrôles connexes : AC-3, AC-6, CA-7, CM-3, CM-5, CM-6, PE-3, SC-8, SC-13, SI-3, SI-7</t>
  </si>
  <si>
    <t xml:space="preserve">TEST-SC-28</t>
  </si>
  <si>
    <t xml:space="preserve">Control SC-28(1) — Evidence Tracking</t>
  </si>
  <si>
    <t xml:space="preserve">Contrôle SC-28(1) — Suivi des preuves</t>
  </si>
  <si>
    <t xml:space="preserve">PROTECTION OF INFORMATION AT REST | CRYPTOGRAPHIC PROTECTION
The information system implements cryptographic mechanisms to prevent unauthorized disclosure and modification of all information not cleared for public release and all data with a higher than low integrity requirements.</t>
  </si>
  <si>
    <t xml:space="preserve">PROTECTION DE L’INFORMATION INACTIVE | PROTECTION CRYPTOGRAPHIQUE
Le système d’information met en œuvre des mécanismes cryptographiques pour prévenir la divulgation et la modification non autorisées de tous les renseignements dont la diffusion publique n’est pas autorisée et de toutes les données pour lesquelles les exigences d’intégrité ne sont pas faibles.</t>
  </si>
  <si>
    <t xml:space="preserve">Selection of cryptographic mechanisms is based on the need to protect the confidentiality and integrity of organizational information. The strength of mechanism is commensurate with the security category and/or classification of the information. This control enhancement applies to significant concentrations of digital media in organizational areas designated for media storage and also to limited quantities of media generally associated with information system components in operational environments (e.g., portable storage devices, mobile devices). Organizations have the flexibility to either encrypt all information on storage devices (i.e., full disk encryption) or encrypt specific data structures (e.g., files, records, or fields). Organizations employing cryptographic mechanisms to protect information at rest also consider cryptographic key management solutions. Related controls: AC-19, SC-12.</t>
  </si>
  <si>
    <t xml:space="preserve">Le choix des mécanismes cryptographiques est fonction du besoin de protection de la confidentialité et de l’intégrité de l’information de l’organisation. La force du mécanisme est proportionnelle à la catégorie de sécurité ou à la classification de l’information. Cette amélioration du contrôle s’applique aux concentrations importantes de supports numériques dans les zones de l’organisation qui sont désignées pour le stockage des supports, et également aux quantités limitées de supports généralement associés aux composants de systèmes d’information dans les environnements opérationnels (p. ex., dispositifs de stockage portatifs, appareils mobiles). Les organisations ont la possibilité de chiffrer toute l’information sur les dispositifs de stockage (c.-à-d. le chiffrement complet du disque) ou de chiffrer des structures de données particulières (p. ex., fichiers, enregistrements ou champs). Les organisations qui utilisent des mécanismes cryptographiques pour protéger l’information inactive envisagent également des solutions de gestion des clés cryptographiques. Contrôles connexes : AC-19, SC-12.</t>
  </si>
  <si>
    <t xml:space="preserve">TEST-SC-28(1)</t>
  </si>
  <si>
    <t xml:space="preserve">Control SI-2 — Evidence Tracking</t>
  </si>
  <si>
    <t xml:space="preserve">Contrôle SI-2 — Suivi des preuves</t>
  </si>
  <si>
    <t xml:space="preserve">(A)
The organization identifies, reports, and corrects information system flaws.
(B)
The organization tests software and firmware updates related to flaw remediation for effectiveness and potential side effects before installation.
(C)
The organization installs security-relevant software and firmware updates within 30 days of release of the release of the updates.
(D)
The organization incorporates flaw remediation into the organizational configuration management process.</t>
  </si>
  <si>
    <t xml:space="preserve">(A) L’organisation identifie, signale et corrige les défauts du système d’information.
(B) L’organisation met à l’essai les mises à jour des logiciels et des micrologiciels liées à la correction des défauts pour en vérifier l’efficacité et les effets secondaires potentiels avant l’installation.
(C) L’organisation installe les mises à jour de logiciels et de micrologiciels qui sont pertinentes pour la sécurité dans les 30 jours suivant la diffusion des mises à jour.
(D) L’organisation intègre la correction des défauts au processus de gestion de la configuration de l’organisation.</t>
  </si>
  <si>
    <t xml:space="preserve">Organizations identify information systems affected by announced software flaws including potential vulnerabilities resulting from those flaws, and report this information to designated organizational personnel with information security responsibilities. Security-relevant software updates include, for example, patches, service packs, hot fixes, and anti-virus signatures. Organizations also address flaws discovered during security assessments, continuous monitoring, incident response activities, and system error handling. Organizations take advantage of available resources such as the Common Weakness Enumeration (CWE) or Common Vulnerabilities and Exposures (CVE) databases in remediating flaws discovered in organizational information systems. By incorporating flaw remediation into ongoing configuration management processes, required/anticipated remediation actions can be tracked and verified. Flaw remediation actions that can be tracked and verified include, for example, determining whether organizations follow US-CERT guidance and Information Assurance Vulnerability Alerts. Organization-defined time periods for updating security-relevant software and firmware may vary based on a variety of factors including, for example, the security category of the information system or the criticality of the update (i.e., severity of the vulnerability related to the discovered flaw). Some types of flaw remediation may require more testing than other types. Organizations determine the degree and type of testing needed for the specific type of flaw remediation activity under consideration and also the types of changes that are to be configuration-managed. In some situations, organizations may determine that the testing of software and/or firmware updates is not necessary or practical, for example, when implementing simple anti-virus signature updates. Organizations may also consider in testing decisions, whether security-relevant software or firmware updates are obtained from authorized sources with appropriate digital signatures. Related controls: CA-2, CA-7, CM-3, CM-5, CM-8, MA-2, IR-4, RA-5, SA-10, SA-11, SI-11</t>
  </si>
  <si>
    <t xml:space="preserve">Les organisations identifient les systèmes d’information touchés par les défauts logiciels annoncés, y compris les vulnérabilités potentielles découlant de ces défauts, et communiquent cette information au personnel désigné de l’organisation ayant des responsabilités en matière de sécurité de l’information. Les mises à jour logicielles pertinentes pour la sécurité comprennent, par exemple, des correctifs, des ensembles de services, des correctifs d’urgence et des signatures antivirus. Les organisations corrigent également les défauts relevés pendant les évaluations de sécurité, la surveillance continue, les activités d’intervention en cas d’incident et le traitement des erreurs de système. Les organisations tirent parti des ressources disponibles, comme les bases de données Common Weakness Enumeration (CWE) ou Common Vulnerabilities Exposures (CVE) pour corriger les défauts décelés dans les systèmes d’information de l’organisation. En intégrant la correction des défauts aux processus continus de gestion de la configuration, on peut suivre et vérifier les mesures correctives requises ou prévues. Les mesures correctives qui peuvent faire l’objet d’un suivi et d’une vérification comprennent, par exemple, la détermination des organisations qui suivent les directives de l’US-CERT et les alertes IAVA (Information Assurance Vulnerability Alert). Les périodes définies par l’organisation pour la mise à jour des logiciels et des micrologiciels pertinents pour la sécurité peuvent varier en fonction de divers facteurs, notamment, la catégorie de sécurité du système d’information ou la criticité de la mise à jour (c.-à-d. la gravité de la vulnérabilité liée au défaut découvert). Certains types de correction des défauts peuvent nécessiter plus de tests que d’autres types. Les organisations déterminent le degré et le type de tests nécessaires pour le type particulier d’activité de correction des défauts à l’étude, ainsi que les types de changements devant être soumis à une gestion de la configuration. Dans certaines situations, les organisations peuvent déterminer que la mise à l’essai des mises à jour des logiciels et/ou des micrologiciels n’est pas nécessaire ou pratique, par exemple, lors de la mise en œuvre de simples mises à jour de la signature antivirus. Dans leurs décisions relatives aux essais, les organisations peuvent également se demander si les mises à jour de logiciels ou de micrologiciels pertinents pour la sécurité sont obtenues de sources autorisées ayant les signatures numériques appropriées. Contrôles connexes : CA-2, CA-7, CM-3, CM-5, CM-8, MA-2, IR-4, RA-5, SA-10, SA-11, SI-11</t>
  </si>
  <si>
    <t xml:space="preserve">TEST-SI-2</t>
  </si>
  <si>
    <t xml:space="preserve">Control SI-2(2) — Evidence Tracking</t>
  </si>
  <si>
    <t xml:space="preserve">Contrôle SI-2(2) — Suivi des preuves</t>
  </si>
  <si>
    <t xml:space="preserve">FLAW REMEDIATION | AUTOMATED FLAW REMEDIATION STATUS
The organization employs automated mechanisms at least monthly to determine the state of information system components with regard to flaw remediation.</t>
  </si>
  <si>
    <t xml:space="preserve">CORRECTION DES DÉFAUTS | ÉTAT DE LA CORRECTION AUTOMATIQUE DES DÉFAUTS
L’organisation utilise des mécanismes automatisés au moins une fois par mois pour déterminer l’état des composants du système d’information en ce qui concerne la correction des défauts.</t>
  </si>
  <si>
    <t xml:space="preserve">Related controls: CM-6, SI-4.</t>
  </si>
  <si>
    <t xml:space="preserve">Contrôles connexes : CM-6, SI-4.</t>
  </si>
  <si>
    <t xml:space="preserve">TEST-SI-2(2)</t>
  </si>
  <si>
    <t xml:space="preserve">Control SI-3 — Evidence Tracking</t>
  </si>
  <si>
    <t xml:space="preserve">Contrôle SI-3 — Suivi des preuves</t>
  </si>
  <si>
    <t xml:space="preserve">(A)
The organization employs malicious code protection mechanisms at information system entry and exit points to detect and eradicate malicious code.
(B)
The organization updates malicious code protection mechanisms whenever new releases are available in accordance with organizational configuration management policy and procedures.
(C)
The organization configures malicious code protection mechanisms to:
(a)
Perform periodic scans of the information system at least weekly and real-time scans of files from external sources at endpoints and network entry/exit points as the files are downloaded, opened, or executed in accordance with organizational security policy; and
(b) Block and quarantine malicious code; send alert to the key role as defined in the system and information integrity policy in response to malicious code detection.
(D)
The organization addresses the receipt of false positives during malicious code detection and eradication and the resulting potential impact on the availability of the information system.</t>
  </si>
  <si>
    <t xml:space="preserve">(A) L’organisation utilise des mécanismes de protection contre le code malveillant aux points d’entrée et de sortie du système d’information pour détecter et éradiquer le code malveillant.
(B) L’organisation met à jour les mécanismes de protection contre le code malveillant chaque fois que de nouvelles versions sont disponibles, conformément à la politique et aux procédures de gestion de la configuration de l’organisation.
(C) L’organisation configure des mécanismes de protection contre le code malveillant pour :
(a) effectuer des balayages périodiques du système d’information au moins une fois par semaine et des balayages en temps réel des fichiers provenant de sources externes aux extrémités et aux points d’entrée et de sortie du réseau à mesure que les fichiers sont téléchargés, ouverts ou exécutés, conformément à la politique sur la sécurité de l’organisation;
(b) bloquer et mettre en quarantaine le code malveillant; envoyer une alerte au rôle clé tel que défini dans la politique sur l’intégrité du système et de l’information en réponse à la détection du code malveillant.
(D) L’organisation résout les faux positifs reçus lors de la détection et de l’éradication du code malveillant ainsi que l’incidence potentielle sur la disponibilité du système d’information.</t>
  </si>
  <si>
    <t xml:space="preserve">Information system entry and exit points include, for example, firewalls, electronic mail servers, web servers, proxy servers, remote-access servers, workstations, notebook computers, and mobile devices. Malicious code includes, for example, viruses, worms, Trojan horses, and spyware. Malicious code can also be encoded in various formats (e.g., UUENCODE, Unicode), contained within compressed or hidden files, or hidden in files using steganography. Malicious code can be transported by different means including, for example, web accesses, electronic mail, electronic mail attachments, and portable storage devices. Malicious code insertions occur through the exploitation of information system vulnerabilities. Malicious code protection mechanisms include, for example, anti-virus signature definitions and reputation-based technologies. A variety of technologies and methods exist to limit or eliminate the effects of malicious code. Pervasive configuration management and comprehensive software integrity controls may be effective in preventing execution of unauthorized code. In addition to commercial off-the-shelf software, malicious code may also be present in custom-built software. This could include, for example, logic bombs, back doors, and other types of cyber-attacks that could affect organizational missions/business functions. Traditional malicious code protection mechanisms cannot always detect such code. In these situations, organizations rely instead on other safeguards including, for example, secure coding practices, configuration management and control, trusted procurement processes, and monitoring practices to help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actions in response to detection of malicious downloads, and/or actions in response to detection of maliciousness when attempting to open or execute files. Related controls: CM-3, MP-2, SA-4, SA-8, SA-12, SA-13, SC-7, SC-26, SC-44, SI-2, SI-4, SI-7.</t>
  </si>
  <si>
    <t xml:space="preserve">Les points d’entrée et de sortie du système d’information comprennent, par exemple, les pare-feu, les serveurs de courrier électronique, les serveurs Web, les serveurs mandataires, les serveurs à accès à distance, les postes de travail, les ordinateurs portatifs et les appareils mobiles. Le code malveillant comprend, par exemple, les virus, les vers, les chevaux de Troie et les logiciels espions. Le code malveillant peut également avoir divers formats (p. ex., UUENCODE, Unicode), et être intégré à des fichiers compressés ou cachés, ou être dissimulé dans des fichiers par stéganographie. Le code malveillant peut être transporté par différents moyens, y compris, par exemple, les accès Web, le courrier électronique, les pièces jointes de courrier électronique et les dispositifs de stockage portatifs. Le code malveillant est inséré en exploitant les vulnérabilités du système d’information. Les mécanismes de protection contre le code malveillant comprennent, par exemple, les définitions de signature antivirus et les technologies fondées sur la réputation. Diverses technologies et méthodes permettent de limiter ou d’éliminer les effets du code malveillant. Une gestion généralisée de la configuration et des contrôles d’intégrité du logiciel exhaustifs peuvent être efficaces pour prévenir l’exécution de code non autorisé. En plus des logiciels commerciaux, le code malveillant peut également être présent dans les logiciels développés sur mesure. Cela pourrait comprendre, par exemple, des bombes logiques, des portes dérobées et d’autres types de cyberattaques qui pourraient avoir une incidence sur les missions et les fonctions opérationnelles de l’organisation. Les mécanismes traditionnels de protection contre le code malveillant ne peuvent pas toujours détecter ce type de code. Dans ces situations, les organisations se fient plutôt à d’autres mesures de protection, comme des pratiques de codage sécurisé, une gestion et un contrôle de la configuration, des processus d’approvisionnement auprès de fournisseurs de confiance et des pratiques de surveillance pour veiller à ce que les logiciels n’exécutent pas de fonctions autres que celles prévues. Les organisations peuvent déterminer que différentes mesures sont justifiées en réponse à la détection du code malveillant. Par exemple, les organisations peuvent définir des mesures en réponse à la détection de code malveillant lors des balayages périodiques, des mesures en réponse à la détection de téléchargements malveillants ou des mesures en réponse à la détection de malveillance lorsqu’on tente d’ouvrir ou d’exécuter des fichiers. Contrôles connexes : CM-3, MP-2, SA-4, SA-8, SA-12, SA-13, SC-7, SC-26, SC-44, SI-2, SI-4, SI-7.</t>
  </si>
  <si>
    <t xml:space="preserve">TEST-SI-3</t>
  </si>
  <si>
    <t xml:space="preserve">Control SI-3(1) — Evidence Tracking</t>
  </si>
  <si>
    <t xml:space="preserve">Contrôle SI-3(1) — Suivi des preuves</t>
  </si>
  <si>
    <t xml:space="preserve">MALICIOUS CODE PROTECTION | CENTRAL MANAGEMENT
The organization centrally manages malicious code protection mechanisms.</t>
  </si>
  <si>
    <t xml:space="preserve">PROTECTION CONTRE LE CODE MALVEILLANT | GESTION CENTRALISÉE
L’organisation applique une gestion centralisée des mécanismes de protection contre le code malveillant.</t>
  </si>
  <si>
    <t xml:space="preserve">Central management is the organization-wide management and implementation of malicious code protection mechanisms. Central management includes planning, implementing, assessing, authorizing, and monitoring the organization-defined, centrally managed flaw malicious code protection security controls. Related controls: AU-2, SI-8.</t>
  </si>
  <si>
    <t xml:space="preserve">La gestion centralisée est la gestion et la mise en œuvre de mécanismes de protection contre le code malveillant à l’échelle de l’organisation. La gestion centralisée comprend la planification, la mise en œuvre, l’évaluation, l’autorisation et la surveillance de contrôles de sécurité définis par l’organisation et gérés de façon centralisée pour la protection contre le code malveillant. Contrôles connexes : AU-2, SI-8.</t>
  </si>
  <si>
    <t xml:space="preserve">TEST-SI-3(1)</t>
  </si>
  <si>
    <t xml:space="preserve">Control SI-3(2) — Evidence Tracking</t>
  </si>
  <si>
    <t xml:space="preserve">Contrôle SI-3(2) — Suivi des preuves</t>
  </si>
  <si>
    <t xml:space="preserve">MALICIOUS CODE PROTECTION | AUTOMATIC UPDATES
The information system automatically updates malicious code protection mechanisms.</t>
  </si>
  <si>
    <t xml:space="preserve">PROTECTION CONTRE LE CODE MALVEILLANT | MISES À JOUR AUTOMATIQUES
Le système d’information met automatiquement à jour les mécanismes de protection contre le code malveillant.</t>
  </si>
  <si>
    <t xml:space="preserve">Malicious code protection mechanisms include, for example, signature definitions. Due to information system integrity and availability concerns, organizations give careful consideration to the methodology used to carry out automatic updates. Related control: SI-8.</t>
  </si>
  <si>
    <t xml:space="preserve">Les mécanismes de protection contre le code malveillant comprennent, par exemple, des définitions de signature. En raison des préoccupations relatives à l’intégrité et à la disponibilité du système d’information, les organisations examinent attentivement la méthodologie utilisée pour effectuer les mises à jour automatiques. Contrôle connexe : SI-8.</t>
  </si>
  <si>
    <t xml:space="preserve">TEST-SI-3(2)</t>
  </si>
  <si>
    <t xml:space="preserve">Control SI-3(7) — Evidence Tracking</t>
  </si>
  <si>
    <t xml:space="preserve">Contrôle SI-3(7) — Suivi des preuves</t>
  </si>
  <si>
    <t xml:space="preserve">MALICIOUS CODE PROTECTION | NONSIGNATURE-BASED DETECTION
The information system implements non-signature-based malicious code detection mechanisms.</t>
  </si>
  <si>
    <t xml:space="preserve">PROTECTION CONTRE LE CODE MALVEILLANT | DÉTECTION NON BASÉE SUR LA RECONNAISSANCE DES SIGNATURES
Le système d’information met en œuvre des mécanismes de détection du code malveillant non basés sur la reconnaissance des signatures.</t>
  </si>
  <si>
    <t xml:space="preserve">Non-signature-based detection mechanisms include, for example, the use of heuristics to detect, analyze, and describe the characteristics or behaviour of malicious code and to provide safeguards against malicious code for which signatures do not yet exist or for which existing signatures may not be effective. This includes polymorphic malicious code (i.e., code that changes signatures when it replicates). This control enhancement does not preclude the use of signature-based detection mechanisms.</t>
  </si>
  <si>
    <t xml:space="preserve">Les mécanismes de détection non basés sur la reconnaissance des signatures comprennent, par exemple, l’utilisation de l’heuristique pour détecter, analyser et décrire les caractéristiques ou le comportement du code malveillant et pour fournir des mesures de protection contre le code malveillant pour lequel il n’existe pas encore de signatures ou pour lequel les signatures existantes pourraient ne pas être efficaces. Cela comprend le code malveillant polymorphe (c.-à-d. un code qui change les signatures lorsqu’il se reproduit). Cette amélioration de contrôle n’empêche pas l’utilisation de mécanismes de détection basés sur la reconnaissance des signatures.</t>
  </si>
  <si>
    <t xml:space="preserve">TEST-SI-3(7)</t>
  </si>
  <si>
    <t xml:space="preserve">Control SI-4 — Evidence Tracking</t>
  </si>
  <si>
    <t xml:space="preserve">Contrôle SI-4 — Suivi des preuves</t>
  </si>
  <si>
    <t xml:space="preserve">(A)
The organization monitors the information system to detect:
(a)
Attacks and indicators of potential attacks in accordance with organization-defined monitoring objectives; and
(b)
Unauthorized local, network, and remote connections;
(B)
The organization identifies unauthorized use of the information system through organization-defined techniques and methods.
(C)
The organization deploys monitoring devices: (i) strategically within the information system to collect organization-determined essential information; and (ii) at ad hoc locations within the system to track specific types of transactions of interest to the organization.
(D)
The organization protects information obtained from intrusion-monitoring tools from unauthorized access, modification, and deletion.
(E)
The organization heightens the level of information system monitoring activity whenever there is an indication of increased risk to organizational operations and assets, individuals, other organizations, or Canada based on law enforcement information, intelligence information, or other credible sources of information.
(F)
The organization obtains legal opinion with regard to information system monitoring activities in accordance with orgnanizational policies, directives and standards.
(G)
The organization provides organization-defined information system monitoring information to organization-defined personnel or roles at an organization-defined frequency.</t>
  </si>
  <si>
    <t xml:space="preserve">(A) L’organisation surveille le système d’information pour détecter :
(a) les attaques et indicateurs d’attaques potentielles conformément aux objectifs de surveillance définis par l’organisation;
(b) les connexions locales, de réseau et à distance non autorisées;
(B) L’organisation détecte l’utilisation non autorisée du système d’information au moyen de techniques et de méthodes définies par l’organisation.
(C) L’organisation déploie des dispositifs de surveillance : (i) de façon stratégique au sein du système d’information pour recueillir les renseignements essentiels déterminés par l’organisation; (ii) à des endroits spéciaux dans le système pour faire le suivi de certains types de transactions d’intérêt pour l’organisation.
(D) L’organisation protège l’information obtenue des outils de surveillance des intrusions contre l’accès, la modification et la suppression non autorisés.
(E) L’organisation augmente le niveau de l’activité de surveillance du système d’information chaque fois qu’il y a indication d’un risque accru pour les opérations et les biens de l’organisation, les personnes, les autres organisations ou le Canada sur la base de renseignements concernant l’application de la loi, de renseignements de sécurité ou d’autres sources d’information crédibles.
(F) L’organisation obtient un avis juridique concernant les activités de surveillance du système d’information conformément aux politiques, aux directives et aux normes de l’organisation.
(G) L’organisation fournit les renseignements relatifs à la surveillance du système d’information définis par l’organisation au personnel ou aux rôles définis par l’organisation à une fréquence définie par l’organisation.</t>
  </si>
  <si>
    <t xml:space="preserve">Information system monitoring includes external and internal monitoring. External monitoring includes the observation of events occurring at the information system boundary (i.e., part of perimeter defence and boundary protection). Internal monitoring includes the observation of events occurring within the information system. Organizations can monitor information systems, for example, by observing audit activities in real time or by observing other system aspects such as access patterns, characteristics of access, and other actions. The monitoring objectives may guide determination of the events. Information system monitoring capability is achieved through a variety of tools and techniques (e.g., intrusion detection systems, intrusion prevention systems, malicious code protection software, scanning tools, audit record monitoring software, network monitoring software). Strategic locations for monitoring devices include, for example, selected perimeter locations and near server farms supporting critical applications, with such devices typically being employed at the managed interfaces associated with controls SC-7 and AC-17. The granularity of monitoring information collected is based on organizational monitoring objectives and the capability of information systems to support such objectives. Specific types of transactions of interest include, for example, HTTP traffic that bypasses HTTP proxies. Information system monitoring is an integral part of organizational continuous monitoring and incident response programs. Output from system monitoring serves as input to continuous monitoring and incident response programs. A network connection is any connection with a device that communicates through a network (e.g., local area network, Internet). A remote connection is any connection with a device communicating through an external network (e.g., the Internet). Local, network, and remote connections can be either wired or wireless. Related controls: AC-3, AC-4, AC-8, AC-17, AU-2, AU-6, AU-7, AU-9, AU-12, CA-7, IR-4, PE-3, RA-5, SC-7, SC-26, SC-35, SI-3, SI-7</t>
  </si>
  <si>
    <t xml:space="preserve">La surveillance du système d’information comprend la surveillance externe et interne. La surveillance externe comprend l’observation d’événements qui se produisent à la frontière du système d’information (c.-à-d. qu’elle fait partie de la défense du périmètre et de la protection des frontières). La surveillance interne comprend l’observation des événements qui se produisent au sein du système d’information. Les organisations peuvent surveiller les systèmes d’information, par exemple en observant les activités de vérification en temps réel ou en observant d’autres aspects du système, comme les profils d’accès, les caractéristiques de l’accès et d’autres mesures. Les objectifs de surveillance peuvent guider la détermination des événements. La capacité de surveillance des systèmes d’information est assurée par divers outils et techniques (p. ex., systèmes de détection des intrusions, systèmes de prévention des intrusions, logiciels de protection contre le code malveillant, outils de balayage, logiciel de surveillance des enregistrements de vérification, logiciel de surveillance de réseau). Les emplacements stratégiques pour les dispositifs de surveillance comprennent, par exemple, des emplacements périmétriques choisis et près des grappes de serveurs prenant en charge les applications critiques, ces dispositifs étant habituellement utilisés aux interfaces gérées associées aux contrôles SC-7 et AC-17. La granularité des données de surveillance recueillies est fonction des objectifs de surveillance de l’organisation et de la capacité des systèmes d’information à appuyer de tels objectifs. Les types particuliers de transactions d’intérêt comprennent, par exemple, le trafic HTTP qui contourne les mandataires HTTP. La surveillance du système d’information fait partie intégrante des programmes de surveillance continue et d’intervention en cas d’incident de l’organisation. Les résultats de la surveillance des systèmes servent d’intrants aux programmes de surveillance continue et d’intervention en cas d’incident. Une connexion réseau est toute connexion avec un appareil qui communique par l’entremise d’un réseau (p. ex., réseau local, Internet). Une connexion distante est toute connexion avec un appareil qui communique par l’entremise d’un réseau externe (p. ex., Internet). Les connexions locales, réseau et distantes peuvent être câblées ou sans fil. Contrôles connexes : AC-3, AC-4, AC-8, AC-17, AU-2, AU-6, AU-7, AU-9, AU-12, CA-7, IR-4, PE-3, RA-5, SC-7, SC-26, SC-35, SI-3, SI-7</t>
  </si>
  <si>
    <t xml:space="preserve">TEST-SI-4</t>
  </si>
  <si>
    <t xml:space="preserve">Control SI-4(1) — Evidence Tracking</t>
  </si>
  <si>
    <t xml:space="preserve">Contrôle SI-4(1) — Suivi des preuves</t>
  </si>
  <si>
    <t xml:space="preserve">INFORMATION SYSTEM MONITORING | SYSTEM-WIDE INTRUSION DETECTION SYSTEM
The organization connects and configures individual intrusion detection tools into an information system-wide intrusion detection system.</t>
  </si>
  <si>
    <t xml:space="preserve">SURVEILLANCE DU SYSTÈME D’INFORMATION | SYSTÈME DE DÉTECTION DES INTRUSIONS À L’ÉCHELLE DU SYSTÈME
L’organisation connecte et configure les outils de détection d’intrusion individuels en un système de détection d’intrusion global pour l’ensemble du système d’information.</t>
  </si>
  <si>
    <t xml:space="preserve">TEST-SI-4(1)</t>
  </si>
  <si>
    <t xml:space="preserve">Control SI-4(2) — Evidence Tracking</t>
  </si>
  <si>
    <t xml:space="preserve">Contrôle SI-4(2) — Suivi des preuves</t>
  </si>
  <si>
    <t xml:space="preserve">INFORMATION SYSTEM MONITORING | AUTOMATED TOOLS FOR REAL-TIME ANALYSIS
The organization employs automated tools to support near real-time analysis of events.</t>
  </si>
  <si>
    <t xml:space="preserve">SURVEILLANCE DU SYSTÈME D’INFORMATION | OUTILS AUTOMATISÉS POUR L’ANALYSE EN TEMPS RÉEL
L’organisation utilise des outils automatisés pour appuyer l’analyse des événements en temps quasi réel.</t>
  </si>
  <si>
    <t xml:space="preserve">Automated tools include, for example, host-based, network-based, transport-based, or storage-based event monitoring tools or Security Information and Event Management (SIEM) technologies that provide real time analysis of alerts and/or notifications generated by organizational information systems.</t>
  </si>
  <si>
    <t xml:space="preserve">Les outils automatisés comprennent, par exemple, des outils de surveillance des événements basés sur l’hôte, le réseau, le transport ou le stockage, ou des technologies de gestion de l’information et des événements de sécurité (SIEM) qui fournissent une analyse en temps réel des alertes et/ou des notifications générées par les systèmes d’information de l’organisation.</t>
  </si>
  <si>
    <t xml:space="preserve">TEST-SI-4(2)</t>
  </si>
  <si>
    <t xml:space="preserve">Control SI-4(4) — Evidence Tracking</t>
  </si>
  <si>
    <t xml:space="preserve">Contrôle SI-4(4) — Suivi des preuves</t>
  </si>
  <si>
    <t xml:space="preserve">INFORMATION SYSTEM MONITORING | INBOUND AND OUTBOUND COMMUNICATIONS TRAFFIC
The information system monitors inbound and outbound communications traffic continously for unusual or unauthorized activities or conditions.</t>
  </si>
  <si>
    <t xml:space="preserve">SURVEILLANCE DU SYSTÈME D’INFORMATION | COMMUNICATIONS ENTRANTES ET SORTANTES
Le système d’information surveille les communications entrantes et sortantes de façon continue pour détecter les activités ou les conditions inhabituelles ou non autorisées.</t>
  </si>
  <si>
    <t xml:space="preserve">Unusual/unauthorized activities or conditions related to information system inbound and outbound communications traffic include, for example, internal traffic that indicates the presence of malicious code within organizational information systems or propagating among system components, the unauthorized exporting of information, or signalling to external information systems. Evidence of malicious code is used to identify potentially compromised information systems or information system components.</t>
  </si>
  <si>
    <t xml:space="preserve">Les activités ou les conditions inhabituelles ou non autorisées liées aux communications entrantes et sortantes du système d’information comprennent, par exemple, le trafic interne indiquant la présence de code malveillant dans les systèmes d’information de l’organisation ou se propageant dans les composants du système, l’exportation non autorisée d’information ou la signalisation vers des systèmes d’information externes. Les preuves de la présence du code malveillant sont utilisées pour identifier les systèmes d’information ou les composants de systèmes d’information potentiellement compromis.</t>
  </si>
  <si>
    <t xml:space="preserve">TEST-SI-4(4)</t>
  </si>
  <si>
    <t xml:space="preserve">Control SI-4(5) — Evidence Tracking</t>
  </si>
  <si>
    <t xml:space="preserve">Contrôle SI-4(5) — Suivi des preuves</t>
  </si>
  <si>
    <t xml:space="preserve">INFORMATION SYSTEM MONITORING | SYSTEM-GENERATED ALERTS
The information system alerts  organization-defined personnel or roles and client governance bodies when organization-defined compromise or potential compromise indicators occur.</t>
  </si>
  <si>
    <t xml:space="preserve">SURVEILLANCE DU SYSTÈME D’INFORMATION | ALERTES GÉNÉRÉES PAR LE SYSTÈME
Le système d’information alerte le personnel ou les rôles définis par l’organisation et les organes de gouvernance du client lorsque des indicateurs de compromission ou de compromission potentielle définis par l’organisation sont détectés.</t>
  </si>
  <si>
    <t xml:space="preserve">Alerts may be generated from a variety of sources, including, for example, audit records or inputs from malicious code protection mechanisms, intrusion detection or prevention mechanisms, or boundary protection devices such as firewalls, gateways, and routers. Alerts can be transmitted, for example, telephonically, by electronic mail messages, or by text messaging. Organizational personnel on the notification list can include, for example, system administrators, mission/business owners, system owners, or information system security officers. Related controls: AU-5, PE-6.</t>
  </si>
  <si>
    <t xml:space="preserve">Les alertes peuvent provenir de diverses sources, y compris, par exemple, des enregistrements de vérification ou des données provenant de mécanismes de protection contre le code malveillant, de mécanismes de détection ou de prévention des intrusions, ou de dispositifs de protection des frontières comme les pare-feu, les passerelles et les routeurs. Les alertes peuvent être transmises, par exemple, par téléphone, par courrier électronique ou par messagerie texte. Le personnel de l’organisation figurant sur la liste de notification peut comprendre, par exemple, des administrateurs de système, des responsables opérationnels ou de mission, des propriétaires de système ou des agents de sécurité de système d’information. Contrôles connexes : AU-5, PE-6.</t>
  </si>
  <si>
    <t xml:space="preserve">TEST-SI-4(5)</t>
  </si>
  <si>
    <t xml:space="preserve">Control SI-4(11) — Evidence Tracking</t>
  </si>
  <si>
    <t xml:space="preserve">Contrôle SI-4(11) — Suivi des preuves</t>
  </si>
  <si>
    <t xml:space="preserve">INFORMATION SYSTEM MONITORING | ANALYZE COMMUNICATIONS TRAFFIC ANOMALIES
The organization analyzes outbound communications traffic at the external boundary of the information system and selected organization-defined interior points within the system (e.g., sub-networks, subsystems) to discover anomalies.</t>
  </si>
  <si>
    <t xml:space="preserve">SURVEILLANCE DU SYSTÈME D’INFORMATION | ANALYSE DES ANOMALIES DANS LES COMMUNICATIONS
L’organisation analyse les communications sortantes à la frontière externe du système d’information et à certains points définis par l’organisation à l’intérieur du système (p. ex. sous-réseaux, sous-systèmes) pour découvrir des anomalies.</t>
  </si>
  <si>
    <t xml:space="preserve">Anomalies within organizational information systems include, for example, large file transfers, long-time persistent connections, unusual protocols and ports in use, and attempted communications with suspected malicious external addresses.</t>
  </si>
  <si>
    <t xml:space="preserve">Les anomalies dans les systèmes d’information de l’organisation comprennent, par exemple, les transferts de fichiers volumineux, les connexions persistantes de longue durée, les protocoles et les ports inhabituels utilisés et les tentatives de communication avec des adresses externes soupçonnées de malveillance.</t>
  </si>
  <si>
    <t xml:space="preserve">TEST-SI-4(11)</t>
  </si>
  <si>
    <t xml:space="preserve">Control SI-6 — Evidence Tracking</t>
  </si>
  <si>
    <t xml:space="preserve">Contrôle SI-6 — Suivi des preuves</t>
  </si>
  <si>
    <t xml:space="preserve">(A)
The information system verifies the correct operation of organization-defined security functions.
(B)
The information system performs this verification organization-defined system transitional states including at least system startup and restart and at least monthly.
(C)
The information system notifies organization-defined personnel or roles including system administrators and security personnel of failed security verification tests.
(D)
The information system takes  organization-defined action(s) when anomalies are discovered and notifies system administrators and security personnel.</t>
  </si>
  <si>
    <t xml:space="preserve">(A) Le système d’information vérifie le bon fonctionnement des fonctions de sécurité définies par l’organisation.
(B) Le système d’information effectue cette vérification des phases de transition définies par l’organisation, y compris au moins le démarrage et le redémarrage du système et au moins une fois par mois.
(C) Le système d’information informe le personnel ou les rôles définis par l’organisation, y compris les administrateurs de système et le personnel de sécurité, des tests de vérification de sécurité qui ont échoué.
(D) Le système d’information prend des mesures définies par l’organisation lorsque des anomalies sont découvertes et en informe les administrateurs du système et le personnel de sécurité.</t>
  </si>
  <si>
    <t xml:space="preserve">Transitional states for information systems include, for example, system start-up, restart, shutdown, and abort. Notifications provided by information systems include, for example, electronic alerts to system administrators, messages to local computer consoles, and/or hardware indications such as lights. Related controls: CA-7, CM-6</t>
  </si>
  <si>
    <t xml:space="preserve">Les phases de transition pour les systèmes d’information comprennent, par exemple, le démarrage, le redémarrage, l’arrêt et l’interruption du système. Les notifications fournies par les systèmes d’information comprennent, par exemple, des alertes électroniques aux administrateurs du système, des messages aux consoles d’ordinateurs locales ou des indications matérielles telles que des voyants. Contrôles connexes : CA-7, CM-6</t>
  </si>
  <si>
    <t xml:space="preserve">TEST-SI-6</t>
  </si>
  <si>
    <t xml:space="preserve">Control SI-7(7) — Evidence Tracking</t>
  </si>
  <si>
    <t xml:space="preserve">Contrôle SI-7(7) — Suivi des preuves</t>
  </si>
  <si>
    <t xml:space="preserve">SOFTWARE, FIRMWARE, AND INFORMATION INTEGRITY | INTEGRATION OF DETECTION AND RESPONSE
The organization incorporates the detection of unauthorized organization-defined security-relevant changes to the information system into the organizational incident response capability.</t>
  </si>
  <si>
    <t xml:space="preserve">INTÉGRITÉ DES LOGICIELS, DES MICROLOGICIELS ET DE L’INFORMATION | INTÉGRATION DE LA DÉTECTION ET DE L’INTERVENTION
L’organisation intègre la détection des changements non autorisés qu’elle définit comme pertinents pour la sécurité du système d’information dans sa capacité d’intervention en cas d’incident.</t>
  </si>
  <si>
    <t xml:space="preserve">This control enhancement helps to ensure that detected events are tracked, monitored, corrected, and available for historical purposes. Maintaining historical records is important both for being able to identify and discern adversary actions over an extended period of time and for possible legal actions. Security-relevant changes include, for example, unauthorized changes to established configuration settings or unauthorized elevation of information system privileges. Related controls: IR-4, IR-5, SI-4.</t>
  </si>
  <si>
    <t xml:space="preserve">Cette amélioration du contrôle permet de s’assurer que les événements détectés sont suivis, surveillés, corrigés et disponibles à des fins historiques. Il est important de tenir des registres de l’historique pour être en mesure d’identifier et de discerner les actions adverses sur une période prolongée et pour d’éventuelles actions en justice. Les changements pertinents pour la sécurité comprennent, par exemple, les changements non autorisés aux paramètres de configuration établis ou l’élévation non autorisée des privilèges du système d’information. Contrôles connexes : IR-4, IR-5, SI-4.</t>
  </si>
  <si>
    <t xml:space="preserve">TEST-SI-7(7)</t>
  </si>
  <si>
    <t xml:space="preserve">Control SI-8 — Evidence Tracking</t>
  </si>
  <si>
    <t xml:space="preserve">Contrôle SI-8 — Suivi des preuves</t>
  </si>
  <si>
    <t xml:space="preserve">(A)
The organization employs spam protection mechanisms at information system entry and exit points to detect and take action on unsolicited messages.
(B)
The organization updates spam protection mechanisms when new releases are available in accordance with organizational configuration management policy and procedures.</t>
  </si>
  <si>
    <t xml:space="preserve">(A) L’organisation utilise des mécanismes de protection contre les pourriels aux points d’entrée et de sortie du système d’information pour détecter et éradiquer les messages indésirables.
(B) L’organisation met à jour les mécanismes de protection contre les pourriels dès que de nouvelles versions sont disponibles, conformément à la politique et aux procédures de gestion de la configuration de l’organisation.</t>
  </si>
  <si>
    <t xml:space="preserve">Information system entry and exit points include, for example, firewalls, electronic mail servers, web servers, proxy servers, remote-access servers, workstations, mobile devices, and notebook/laptop computers. Spam can be transported by different means including, for example, electronic mail, electronic mail attachments, and web accesses. Spam protection mechanisms include, for example, signature definitions. Related controls: AT-2, AT-3, SC-5, SC-7, SI-3</t>
  </si>
  <si>
    <t xml:space="preserve">Les points d’entrée et de sortie du système d’information comprennent, par exemple, les pare-feu, les serveurs de courrier électronique, les serveurs Web, les serveurs mandataires, les serveurs à accès distant, les postes de travail, les ordinateurs blocs-notes/portatifs et les appareils mobiles. Les pourriels peuvent être transportés par différents moyens, y compris, par exemple, le courrier électronique, les pièces jointes de courrier électronique et les accès Web. Les mécanismes de protection contre les pourriels comprennent, par exemple, les définitions de signature. Contrôles connexes : AT-2, AT-3, SC-5, SC-7, SI-3</t>
  </si>
  <si>
    <t xml:space="preserve">TEST-SI-8</t>
  </si>
  <si>
    <t xml:space="preserve">Control SI-8(1) — Evidence Tracking</t>
  </si>
  <si>
    <t xml:space="preserve">Contrôle SI-8(1) — Suivi des preuves</t>
  </si>
  <si>
    <t xml:space="preserve">SPAM PROTECTION | CENTRAL MANAGEMENT
The organization centrally manages spam protection mechanisms.</t>
  </si>
  <si>
    <t xml:space="preserve">PROTECTION CONTRE LES POURRIELS | GESTION CENTRALISÉE
L’organisation effectue une gestion centralisée des mécanismes de protection contre les pourriels.</t>
  </si>
  <si>
    <t xml:space="preserve">Central management is the organization-wide management and implementation of spam protection mechanisms. Central management includes planning, implementing, assessing, authorizing, and monitoring the organization-defined, centrally managed spam protection security controls. Related controls: AU-3, SI-2, SI-7.</t>
  </si>
  <si>
    <t xml:space="preserve">La gestion centralisée est la gestion et la mise en œuvre de mécanismes de protection contre les pourriels à l’échelle de l’organisation. La gestion centralisée comprend la planification, la mise en œuvre, l’évaluation, l’autorisation et la surveillance de contrôles de sécurité définis par l’organisation et gérés de façon centralisée pour la protection contre les pourriels. Contrôles connexes : AU-3, SI-2, SI-7.</t>
  </si>
  <si>
    <t xml:space="preserve">TEST-SI-8(1)</t>
  </si>
  <si>
    <t xml:space="preserve">Control SI-8(2) — Evidence Tracking</t>
  </si>
  <si>
    <t xml:space="preserve">Contrôle SI-8(2) — Suivi des preuves</t>
  </si>
  <si>
    <t xml:space="preserve">SPAM PROTECTION | AUTOMATIC UPDATES
The information system automatically updates spam protection mechanisms.</t>
  </si>
  <si>
    <t xml:space="preserve">PROTECTION CONTRE LES POURRIELS | MISES À JOUR AUTOMATIQUES
Le système d’information met automatiquement à jour les mécanismes de protection contre les pourriels.</t>
  </si>
  <si>
    <t xml:space="preserve">TEST-SI-8(2)</t>
  </si>
  <si>
    <t xml:space="preserve">Control SI-11 — Evidence Tracking</t>
  </si>
  <si>
    <t xml:space="preserve">Contrôle SI-11 — Suivi des preuves</t>
  </si>
  <si>
    <t xml:space="preserve">(A)
The information system generates error messages that provide information necessary for corrective actions without revealing information that could be exploited by adversaries.
(B)
The information system reveals error messages only to organization-defined personnel or roles.</t>
  </si>
  <si>
    <t xml:space="preserve">(A) Le système d’information génère des messages d’erreur qui fournissent l’information nécessaire aux mesures correctives sans révéler l’information qui pourrait être exploitée par des adversaires.
(B) Le système d’information ne révèle les messages d’erreur qu’au personnel ou aux rôles définis par l’organisation.</t>
  </si>
  <si>
    <t xml:space="preserve">Organizations carefully consider the structure/content of error messages. The extent to which information systems are able to identify and handle error conditions is guided by organizational policy and operational requirements. Information that could be exploited by adversaries includes, for example, erroneous logon attempts with passwords entered by mistake as the username, mission/business information that can be derived from (if not stated explicitly by) information recorded, and personal information such as account numbers, social security numbers, and credit card numbers. In addition, error messages may provide a covert channel for transmitting information. Related controls: AU-2, AU-3, SC-31</t>
  </si>
  <si>
    <t xml:space="preserve">Les organisations examinent attentivement la structure et le contenu des messages d’erreur. La mesure dans laquelle les systèmes d’information peuvent déterminer et gérer les conditions d’erreur est fonction des politiques et des exigences opérationnelles de l’organisation. Les renseignements qui pourraient être exploités par des adversaires comprennent, par exemple, les tentatives d’ouverture de session erronées avec des mots de passe entrés par erreur en tant que nom d’utilisateur, des renseignements sur la mission ou les opérations qui peuvent être déduits de (voire être explicitement indiqués par) l’information saisie, et des renseignements personnels comme des numéros de compte, des numéros de sécurité sociale et des numéros de carte de crédit. De plus, les messages d’erreur peuvent servir de voie secrète pour transmettre de l’information. Contrôles connexes : AU-2, AU-3, SC-31</t>
  </si>
  <si>
    <t xml:space="preserve">TEST-SI-11</t>
  </si>
</sst>
</file>

<file path=xl/styles.xml><?xml version="1.0" encoding="utf-8"?>
<styleSheet xmlns="http://schemas.openxmlformats.org/spreadsheetml/2006/main">
  <numFmts count="3">
    <numFmt numFmtId="164" formatCode="General"/>
    <numFmt numFmtId="165" formatCode="General"/>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sz val="9"/>
      <name val="Arial"/>
      <family val="0"/>
      <charset val="1"/>
    </font>
    <font>
      <b val="true"/>
      <sz val="11"/>
      <color rgb="FFFFFFFF"/>
      <name val="Arial"/>
      <family val="0"/>
      <charset val="1"/>
    </font>
    <font>
      <b val="true"/>
      <sz val="10"/>
      <color rgb="FF1F3864"/>
      <name val="Arial"/>
      <family val="0"/>
      <charset val="1"/>
    </font>
    <font>
      <b val="true"/>
      <sz val="10"/>
      <name val="Arial"/>
      <family val="0"/>
      <charset val="1"/>
    </font>
    <font>
      <b val="true"/>
      <sz val="12"/>
      <color rgb="FFFFFFFF"/>
      <name val="Arial"/>
      <family val="0"/>
      <charset val="1"/>
    </font>
    <font>
      <sz val="10"/>
      <color rgb="FF0000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E6DA4"/>
        <bgColor rgb="FF3366FF"/>
      </patternFill>
    </fill>
    <fill>
      <patternFill patternType="solid">
        <fgColor rgb="FFEBF3FB"/>
        <bgColor rgb="FFFFFFFF"/>
      </patternFill>
    </fill>
    <fill>
      <patternFill patternType="solid">
        <fgColor rgb="FFD6E4F7"/>
        <bgColor rgb="FFEBF3FB"/>
      </patternFill>
    </fill>
    <fill>
      <patternFill patternType="solid">
        <fgColor rgb="FFFFFFFF"/>
        <bgColor rgb="FFEBF3FB"/>
      </patternFill>
    </fill>
  </fills>
  <borders count="2">
    <border diagonalUp="false" diagonalDown="false">
      <left/>
      <right/>
      <top/>
      <bottom/>
      <diagonal/>
    </border>
    <border diagonalUp="false" diagonalDown="false">
      <left style="thin">
        <color rgb="FFB0C4DE"/>
      </left>
      <right style="thin">
        <color rgb="FFB0C4DE"/>
      </right>
      <top style="thin">
        <color rgb="FFB0C4DE"/>
      </top>
      <bottom style="thin">
        <color rgb="FFB0C4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left" vertical="center" textRotation="0" wrapText="false" indent="0" shrinkToFit="false"/>
      <protection locked="true" hidden="false"/>
    </xf>
    <xf numFmtId="164" fontId="5" fillId="3" borderId="1" xfId="0" applyFont="true" applyBorder="true" applyAlignment="true" applyProtection="true">
      <alignment horizontal="center" vertical="center" textRotation="0" wrapText="false" indent="0" shrinkToFit="false"/>
      <protection locked="true" hidden="false"/>
    </xf>
    <xf numFmtId="164" fontId="6" fillId="4" borderId="1" xfId="0" applyFont="true" applyBorder="true" applyAlignment="true" applyProtection="true">
      <alignment horizontal="center" vertical="center" textRotation="0" wrapText="false" indent="0" shrinkToFit="false"/>
      <protection locked="true" hidden="false"/>
    </xf>
    <xf numFmtId="164" fontId="6" fillId="4" borderId="1" xfId="0" applyFont="true" applyBorder="true" applyAlignment="true" applyProtection="true">
      <alignment horizontal="left" vertical="center" textRotation="0" wrapText="false" indent="0" shrinkToFit="false"/>
      <protection locked="true" hidden="false"/>
    </xf>
    <xf numFmtId="164" fontId="7" fillId="2" borderId="1" xfId="0" applyFont="true" applyBorder="true" applyAlignment="true" applyProtection="true">
      <alignment horizontal="general" vertical="bottom" textRotation="0" wrapText="false" indent="0" shrinkToFit="false"/>
      <protection locked="true" hidden="false"/>
    </xf>
    <xf numFmtId="164" fontId="8" fillId="5" borderId="1" xfId="0" applyFont="true" applyBorder="true" applyAlignment="true" applyProtection="true">
      <alignment horizontal="general" vertical="bottom" textRotation="0" wrapText="false" indent="0" shrinkToFit="false"/>
      <protection locked="true" hidden="false"/>
    </xf>
    <xf numFmtId="165" fontId="9" fillId="4" borderId="1" xfId="0" applyFont="true" applyBorder="true" applyAlignment="true" applyProtection="true">
      <alignment horizontal="center" vertical="bottom" textRotation="0" wrapText="false" indent="0" shrinkToFit="false"/>
      <protection locked="true" hidden="false"/>
    </xf>
    <xf numFmtId="166" fontId="9" fillId="4" borderId="1" xfId="0" applyFont="true" applyBorder="true" applyAlignment="true" applyProtection="true">
      <alignment horizontal="center" vertical="bottom" textRotation="0" wrapText="false" indent="0" shrinkToFit="false"/>
      <protection locked="true" hidden="false"/>
    </xf>
    <xf numFmtId="164" fontId="10" fillId="2" borderId="1" xfId="0" applyFont="true" applyBorder="true" applyAlignment="true" applyProtection="true">
      <alignment horizontal="left" vertical="center" textRotation="0" wrapText="true" indent="0" shrinkToFit="false"/>
      <protection locked="true" hidden="false"/>
    </xf>
    <xf numFmtId="164" fontId="5" fillId="3" borderId="1" xfId="0" applyFont="true" applyBorder="true" applyAlignment="true" applyProtection="true">
      <alignment horizontal="left" vertical="center" textRotation="0" wrapText="true" indent="0" shrinkToFit="false"/>
      <protection locked="true" hidden="false"/>
    </xf>
    <xf numFmtId="164" fontId="8" fillId="5" borderId="1" xfId="0" applyFont="true" applyBorder="true" applyAlignment="true" applyProtection="true">
      <alignment horizontal="left" vertical="top" textRotation="0" wrapText="true" indent="0" shrinkToFit="false"/>
      <protection locked="true" hidden="false"/>
    </xf>
    <xf numFmtId="164" fontId="11" fillId="6" borderId="1"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C4DE"/>
      <rgbColor rgb="FF808080"/>
      <rgbColor rgb="FF9999FF"/>
      <rgbColor rgb="FF993366"/>
      <rgbColor rgb="FFFFFFCC"/>
      <rgbColor rgb="FFEBF3FB"/>
      <rgbColor rgb="FF660066"/>
      <rgbColor rgb="FFD99694"/>
      <rgbColor rgb="FF2E6DA4"/>
      <rgbColor rgb="FFD6E4F7"/>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C3D69B"/>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worksheet" Target="worksheets/sheet77.xml"/><Relationship Id="rId80" Type="http://schemas.openxmlformats.org/officeDocument/2006/relationships/worksheet" Target="worksheets/sheet78.xml"/><Relationship Id="rId81" Type="http://schemas.openxmlformats.org/officeDocument/2006/relationships/worksheet" Target="worksheets/sheet79.xml"/><Relationship Id="rId82" Type="http://schemas.openxmlformats.org/officeDocument/2006/relationships/worksheet" Target="worksheets/sheet80.xml"/><Relationship Id="rId83" Type="http://schemas.openxmlformats.org/officeDocument/2006/relationships/worksheet" Target="worksheets/sheet81.xml"/><Relationship Id="rId84" Type="http://schemas.openxmlformats.org/officeDocument/2006/relationships/worksheet" Target="worksheets/sheet82.xml"/><Relationship Id="rId85" Type="http://schemas.openxmlformats.org/officeDocument/2006/relationships/worksheet" Target="worksheets/sheet83.xml"/><Relationship Id="rId86" Type="http://schemas.openxmlformats.org/officeDocument/2006/relationships/worksheet" Target="worksheets/sheet84.xml"/><Relationship Id="rId87" Type="http://schemas.openxmlformats.org/officeDocument/2006/relationships/worksheet" Target="worksheets/sheet85.xml"/><Relationship Id="rId88" Type="http://schemas.openxmlformats.org/officeDocument/2006/relationships/worksheet" Target="worksheets/sheet86.xml"/><Relationship Id="rId89" Type="http://schemas.openxmlformats.org/officeDocument/2006/relationships/worksheet" Target="worksheets/sheet87.xml"/><Relationship Id="rId90" Type="http://schemas.openxmlformats.org/officeDocument/2006/relationships/worksheet" Target="worksheets/sheet88.xml"/><Relationship Id="rId91" Type="http://schemas.openxmlformats.org/officeDocument/2006/relationships/worksheet" Target="worksheets/sheet89.xml"/><Relationship Id="rId92" Type="http://schemas.openxmlformats.org/officeDocument/2006/relationships/worksheet" Target="worksheets/sheet90.xml"/><Relationship Id="rId93" Type="http://schemas.openxmlformats.org/officeDocument/2006/relationships/worksheet" Target="worksheets/sheet91.xml"/><Relationship Id="rId94" Type="http://schemas.openxmlformats.org/officeDocument/2006/relationships/worksheet" Target="worksheets/sheet92.xml"/><Relationship Id="rId95" Type="http://schemas.openxmlformats.org/officeDocument/2006/relationships/worksheet" Target="worksheets/sheet93.xml"/><Relationship Id="rId96" Type="http://schemas.openxmlformats.org/officeDocument/2006/relationships/worksheet" Target="worksheets/sheet94.xml"/><Relationship Id="rId9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8"/>
    <col collapsed="false" customWidth="true" hidden="false" outlineLevel="0" max="3" min="3" style="1" width="30"/>
    <col collapsed="false" customWidth="true" hidden="false" outlineLevel="0" max="4" min="4" style="1" width="18"/>
    <col collapsed="false" customWidth="true" hidden="false" outlineLevel="0" max="5" min="5" style="1" width="22"/>
  </cols>
  <sheetData>
    <row r="1" customFormat="false" ht="27.75" hidden="false" customHeight="true" outlineLevel="0" collapsed="false">
      <c r="A1" s="2" t="s">
        <v>0</v>
      </c>
      <c r="B1" s="2"/>
      <c r="C1" s="2"/>
      <c r="D1" s="2"/>
      <c r="E1" s="2"/>
    </row>
    <row r="2" customFormat="false" ht="21.75" hidden="false" customHeight="true" outlineLevel="0" collapsed="false">
      <c r="A2" s="3" t="s">
        <v>1</v>
      </c>
      <c r="B2" s="3" t="s">
        <v>2</v>
      </c>
      <c r="C2" s="3" t="s">
        <v>3</v>
      </c>
      <c r="D2" s="3" t="s">
        <v>4</v>
      </c>
      <c r="E2" s="3" t="s">
        <v>5</v>
      </c>
    </row>
    <row r="3" customFormat="false" ht="18" hidden="false" customHeight="true" outlineLevel="0" collapsed="false">
      <c r="A3" s="4" t="s">
        <v>6</v>
      </c>
      <c r="B3" s="5" t="s">
        <v>7</v>
      </c>
      <c r="C3" s="5"/>
      <c r="D3" s="4" t="s">
        <v>8</v>
      </c>
      <c r="E3" s="4" t="str">
        <f aca="false">'AC-2-4'!B20</f>
        <v>Not Started</v>
      </c>
    </row>
    <row r="4" customFormat="false" ht="18" hidden="false" customHeight="true" outlineLevel="0" collapsed="false">
      <c r="A4" s="4" t="s">
        <v>9</v>
      </c>
      <c r="B4" s="5" t="s">
        <v>7</v>
      </c>
      <c r="C4" s="5"/>
      <c r="D4" s="4" t="s">
        <v>10</v>
      </c>
      <c r="E4" s="4" t="str">
        <f aca="false">'AC-2-5'!B20</f>
        <v>Not Started</v>
      </c>
    </row>
    <row r="5" customFormat="false" ht="18" hidden="false" customHeight="true" outlineLevel="0" collapsed="false">
      <c r="A5" s="4" t="s">
        <v>11</v>
      </c>
      <c r="B5" s="5" t="s">
        <v>7</v>
      </c>
      <c r="C5" s="5"/>
      <c r="D5" s="4" t="s">
        <v>12</v>
      </c>
      <c r="E5" s="4" t="str">
        <f aca="false">'AC-2-7'!B20</f>
        <v>Not Started</v>
      </c>
    </row>
    <row r="6" customFormat="false" ht="18" hidden="false" customHeight="true" outlineLevel="0" collapsed="false">
      <c r="A6" s="4" t="s">
        <v>13</v>
      </c>
      <c r="B6" s="5" t="s">
        <v>14</v>
      </c>
      <c r="C6" s="5"/>
      <c r="D6" s="4" t="s">
        <v>13</v>
      </c>
      <c r="E6" s="4" t="str">
        <f aca="false">'AC-4'!B20</f>
        <v>Not Started</v>
      </c>
    </row>
    <row r="7" customFormat="false" ht="18" hidden="false" customHeight="true" outlineLevel="0" collapsed="false">
      <c r="A7" s="4" t="s">
        <v>15</v>
      </c>
      <c r="B7" s="5" t="s">
        <v>14</v>
      </c>
      <c r="C7" s="5"/>
      <c r="D7" s="4" t="s">
        <v>16</v>
      </c>
      <c r="E7" s="4" t="str">
        <f aca="false">'AC-4-21'!B20</f>
        <v>Not Started</v>
      </c>
    </row>
    <row r="8" customFormat="false" ht="18" hidden="false" customHeight="true" outlineLevel="0" collapsed="false">
      <c r="A8" s="4" t="s">
        <v>17</v>
      </c>
      <c r="B8" s="5" t="s">
        <v>18</v>
      </c>
      <c r="C8" s="5"/>
      <c r="D8" s="4" t="s">
        <v>19</v>
      </c>
      <c r="E8" s="4" t="str">
        <f aca="false">'AC-6-9'!B20</f>
        <v>Not Started</v>
      </c>
    </row>
    <row r="9" customFormat="false" ht="18" hidden="false" customHeight="true" outlineLevel="0" collapsed="false">
      <c r="A9" s="4" t="s">
        <v>20</v>
      </c>
      <c r="B9" s="5" t="s">
        <v>18</v>
      </c>
      <c r="C9" s="5"/>
      <c r="D9" s="4" t="s">
        <v>21</v>
      </c>
      <c r="E9" s="4" t="str">
        <f aca="false">'AC-6-10'!B20</f>
        <v>Not Started</v>
      </c>
    </row>
    <row r="10" customFormat="false" ht="18" hidden="false" customHeight="true" outlineLevel="0" collapsed="false">
      <c r="A10" s="4" t="s">
        <v>22</v>
      </c>
      <c r="B10" s="5" t="s">
        <v>23</v>
      </c>
      <c r="C10" s="5"/>
      <c r="D10" s="4" t="s">
        <v>24</v>
      </c>
      <c r="E10" s="4" t="str">
        <f aca="false">'AC-17-1'!B20</f>
        <v>Not Started</v>
      </c>
    </row>
    <row r="11" customFormat="false" ht="18" hidden="false" customHeight="true" outlineLevel="0" collapsed="false">
      <c r="A11" s="4" t="s">
        <v>25</v>
      </c>
      <c r="B11" s="5" t="s">
        <v>23</v>
      </c>
      <c r="C11" s="5"/>
      <c r="D11" s="4" t="s">
        <v>26</v>
      </c>
      <c r="E11" s="4" t="str">
        <f aca="false">'AC-17-2'!B20</f>
        <v>Not Started</v>
      </c>
    </row>
    <row r="12" customFormat="false" ht="18" hidden="false" customHeight="true" outlineLevel="0" collapsed="false">
      <c r="A12" s="4" t="s">
        <v>27</v>
      </c>
      <c r="B12" s="5" t="s">
        <v>23</v>
      </c>
      <c r="C12" s="5"/>
      <c r="D12" s="4" t="s">
        <v>28</v>
      </c>
      <c r="E12" s="4" t="str">
        <f aca="false">'AC-17-3'!B20</f>
        <v>Not Started</v>
      </c>
    </row>
    <row r="13" customFormat="false" ht="18" hidden="false" customHeight="true" outlineLevel="0" collapsed="false">
      <c r="A13" s="4" t="s">
        <v>29</v>
      </c>
      <c r="B13" s="5" t="s">
        <v>23</v>
      </c>
      <c r="C13" s="5"/>
      <c r="D13" s="4" t="s">
        <v>30</v>
      </c>
      <c r="E13" s="4" t="str">
        <f aca="false">'AC-17-9'!B20</f>
        <v>Not Started</v>
      </c>
    </row>
    <row r="14" customFormat="false" ht="18" hidden="false" customHeight="true" outlineLevel="0" collapsed="false">
      <c r="A14" s="4" t="s">
        <v>31</v>
      </c>
      <c r="B14" s="5" t="s">
        <v>32</v>
      </c>
      <c r="C14" s="5"/>
      <c r="D14" s="4" t="s">
        <v>31</v>
      </c>
      <c r="E14" s="4" t="str">
        <f aca="false">'AU-2'!B20</f>
        <v>Not Started</v>
      </c>
    </row>
    <row r="15" customFormat="false" ht="18" hidden="false" customHeight="true" outlineLevel="0" collapsed="false">
      <c r="A15" s="4" t="s">
        <v>33</v>
      </c>
      <c r="B15" s="5" t="s">
        <v>34</v>
      </c>
      <c r="C15" s="5"/>
      <c r="D15" s="4" t="s">
        <v>33</v>
      </c>
      <c r="E15" s="4" t="str">
        <f aca="false">'AU-3'!B20</f>
        <v>Not Started</v>
      </c>
    </row>
    <row r="16" customFormat="false" ht="18" hidden="false" customHeight="true" outlineLevel="0" collapsed="false">
      <c r="A16" s="4" t="s">
        <v>35</v>
      </c>
      <c r="B16" s="5" t="s">
        <v>34</v>
      </c>
      <c r="C16" s="5"/>
      <c r="D16" s="4" t="s">
        <v>36</v>
      </c>
      <c r="E16" s="4" t="str">
        <f aca="false">'AU-3-1'!B20</f>
        <v>Not Started</v>
      </c>
    </row>
    <row r="17" customFormat="false" ht="18" hidden="false" customHeight="true" outlineLevel="0" collapsed="false">
      <c r="A17" s="4" t="s">
        <v>37</v>
      </c>
      <c r="B17" s="5" t="s">
        <v>38</v>
      </c>
      <c r="C17" s="5"/>
      <c r="D17" s="4" t="s">
        <v>37</v>
      </c>
      <c r="E17" s="4" t="str">
        <f aca="false">'AU-5'!B20</f>
        <v>Not Started</v>
      </c>
    </row>
    <row r="18" customFormat="false" ht="18" hidden="false" customHeight="true" outlineLevel="0" collapsed="false">
      <c r="A18" s="4" t="s">
        <v>39</v>
      </c>
      <c r="B18" s="5" t="s">
        <v>40</v>
      </c>
      <c r="C18" s="5"/>
      <c r="D18" s="4" t="s">
        <v>41</v>
      </c>
      <c r="E18" s="4" t="str">
        <f aca="false">'AU-6-1'!B20</f>
        <v>Not Started</v>
      </c>
    </row>
    <row r="19" customFormat="false" ht="18" hidden="false" customHeight="true" outlineLevel="0" collapsed="false">
      <c r="A19" s="4" t="s">
        <v>42</v>
      </c>
      <c r="B19" s="5" t="s">
        <v>40</v>
      </c>
      <c r="C19" s="5"/>
      <c r="D19" s="4" t="s">
        <v>43</v>
      </c>
      <c r="E19" s="4" t="str">
        <f aca="false">'AU-6-3'!B20</f>
        <v>Not Started</v>
      </c>
    </row>
    <row r="20" customFormat="false" ht="18" hidden="false" customHeight="true" outlineLevel="0" collapsed="false">
      <c r="A20" s="4" t="s">
        <v>44</v>
      </c>
      <c r="B20" s="5" t="s">
        <v>45</v>
      </c>
      <c r="C20" s="5"/>
      <c r="D20" s="4" t="s">
        <v>44</v>
      </c>
      <c r="E20" s="4" t="str">
        <f aca="false">'AU-7'!B20</f>
        <v>Not Started</v>
      </c>
    </row>
    <row r="21" customFormat="false" ht="18" hidden="false" customHeight="true" outlineLevel="0" collapsed="false">
      <c r="A21" s="4" t="s">
        <v>46</v>
      </c>
      <c r="B21" s="5" t="s">
        <v>45</v>
      </c>
      <c r="C21" s="5"/>
      <c r="D21" s="4" t="s">
        <v>47</v>
      </c>
      <c r="E21" s="4" t="str">
        <f aca="false">'AU-7-1'!B20</f>
        <v>Not Started</v>
      </c>
    </row>
    <row r="22" customFormat="false" ht="18" hidden="false" customHeight="true" outlineLevel="0" collapsed="false">
      <c r="A22" s="4" t="s">
        <v>48</v>
      </c>
      <c r="B22" s="5" t="s">
        <v>49</v>
      </c>
      <c r="C22" s="5"/>
      <c r="D22" s="4" t="s">
        <v>48</v>
      </c>
      <c r="E22" s="4" t="str">
        <f aca="false">'AU-8'!B20</f>
        <v>Not Started</v>
      </c>
    </row>
    <row r="23" customFormat="false" ht="18" hidden="false" customHeight="true" outlineLevel="0" collapsed="false">
      <c r="A23" s="4" t="s">
        <v>50</v>
      </c>
      <c r="B23" s="5" t="s">
        <v>49</v>
      </c>
      <c r="C23" s="5"/>
      <c r="D23" s="4" t="s">
        <v>51</v>
      </c>
      <c r="E23" s="4" t="str">
        <f aca="false">'AU-8-1'!B20</f>
        <v>Not Started</v>
      </c>
    </row>
    <row r="24" customFormat="false" ht="18" hidden="false" customHeight="true" outlineLevel="0" collapsed="false">
      <c r="A24" s="4" t="s">
        <v>52</v>
      </c>
      <c r="B24" s="5" t="s">
        <v>53</v>
      </c>
      <c r="C24" s="5"/>
      <c r="D24" s="4" t="s">
        <v>52</v>
      </c>
      <c r="E24" s="4" t="str">
        <f aca="false">'AU-9'!B20</f>
        <v>Not Started</v>
      </c>
    </row>
    <row r="25" customFormat="false" ht="18" hidden="false" customHeight="true" outlineLevel="0" collapsed="false">
      <c r="A25" s="4" t="s">
        <v>54</v>
      </c>
      <c r="B25" s="5" t="s">
        <v>53</v>
      </c>
      <c r="C25" s="5"/>
      <c r="D25" s="4" t="s">
        <v>55</v>
      </c>
      <c r="E25" s="4" t="str">
        <f aca="false">'AU-9-2'!B20</f>
        <v>Not Started</v>
      </c>
    </row>
    <row r="26" customFormat="false" ht="18" hidden="false" customHeight="true" outlineLevel="0" collapsed="false">
      <c r="A26" s="4" t="s">
        <v>56</v>
      </c>
      <c r="B26" s="5" t="s">
        <v>53</v>
      </c>
      <c r="C26" s="5"/>
      <c r="D26" s="4" t="s">
        <v>57</v>
      </c>
      <c r="E26" s="4" t="str">
        <f aca="false">'AU-9-4'!B20</f>
        <v>Not Started</v>
      </c>
    </row>
    <row r="27" customFormat="false" ht="18" hidden="false" customHeight="true" outlineLevel="0" collapsed="false">
      <c r="A27" s="4" t="s">
        <v>58</v>
      </c>
      <c r="B27" s="5" t="s">
        <v>59</v>
      </c>
      <c r="C27" s="5"/>
      <c r="D27" s="4" t="s">
        <v>58</v>
      </c>
      <c r="E27" s="4" t="str">
        <f aca="false">'AU-11'!B20</f>
        <v>Not Started</v>
      </c>
    </row>
    <row r="28" customFormat="false" ht="18" hidden="false" customHeight="true" outlineLevel="0" collapsed="false">
      <c r="A28" s="4" t="s">
        <v>60</v>
      </c>
      <c r="B28" s="5" t="s">
        <v>61</v>
      </c>
      <c r="C28" s="5"/>
      <c r="D28" s="4" t="s">
        <v>60</v>
      </c>
      <c r="E28" s="4" t="str">
        <f aca="false">'AU-12'!B20</f>
        <v>Not Started</v>
      </c>
    </row>
    <row r="29" customFormat="false" ht="18" hidden="false" customHeight="true" outlineLevel="0" collapsed="false">
      <c r="A29" s="4" t="s">
        <v>62</v>
      </c>
      <c r="B29" s="5" t="s">
        <v>63</v>
      </c>
      <c r="C29" s="5"/>
      <c r="D29" s="4" t="s">
        <v>64</v>
      </c>
      <c r="E29" s="4" t="str">
        <f aca="false">'CA-3-5'!B20</f>
        <v>Not Started</v>
      </c>
    </row>
    <row r="30" customFormat="false" ht="18" hidden="false" customHeight="true" outlineLevel="0" collapsed="false">
      <c r="A30" s="4" t="s">
        <v>65</v>
      </c>
      <c r="B30" s="5" t="s">
        <v>66</v>
      </c>
      <c r="C30" s="5"/>
      <c r="D30" s="4" t="s">
        <v>65</v>
      </c>
      <c r="E30" s="4" t="str">
        <f aca="false">'CA-9'!B20</f>
        <v>Not Started</v>
      </c>
    </row>
    <row r="31" customFormat="false" ht="18" hidden="false" customHeight="true" outlineLevel="0" collapsed="false">
      <c r="A31" s="4" t="s">
        <v>67</v>
      </c>
      <c r="B31" s="5" t="s">
        <v>68</v>
      </c>
      <c r="C31" s="5"/>
      <c r="D31" s="4" t="s">
        <v>69</v>
      </c>
      <c r="E31" s="4" t="str">
        <f aca="false">'CM-5-1'!B20</f>
        <v>Not Started</v>
      </c>
    </row>
    <row r="32" customFormat="false" ht="18" hidden="false" customHeight="true" outlineLevel="0" collapsed="false">
      <c r="A32" s="4" t="s">
        <v>70</v>
      </c>
      <c r="B32" s="5" t="s">
        <v>71</v>
      </c>
      <c r="C32" s="5"/>
      <c r="D32" s="4" t="s">
        <v>70</v>
      </c>
      <c r="E32" s="4" t="str">
        <f aca="false">'CM-6'!B20</f>
        <v>Not Started</v>
      </c>
    </row>
    <row r="33" customFormat="false" ht="18" hidden="false" customHeight="true" outlineLevel="0" collapsed="false">
      <c r="A33" s="4" t="s">
        <v>72</v>
      </c>
      <c r="B33" s="5" t="s">
        <v>73</v>
      </c>
      <c r="C33" s="5"/>
      <c r="D33" s="4" t="s">
        <v>72</v>
      </c>
      <c r="E33" s="4" t="str">
        <f aca="false">'CM-7'!B20</f>
        <v>Not Started</v>
      </c>
    </row>
    <row r="34" customFormat="false" ht="18" hidden="false" customHeight="true" outlineLevel="0" collapsed="false">
      <c r="A34" s="4" t="s">
        <v>74</v>
      </c>
      <c r="B34" s="5" t="s">
        <v>73</v>
      </c>
      <c r="C34" s="5"/>
      <c r="D34" s="4" t="s">
        <v>75</v>
      </c>
      <c r="E34" s="4" t="str">
        <f aca="false">'CM-7-1'!B20</f>
        <v>Not Started</v>
      </c>
    </row>
    <row r="35" customFormat="false" ht="18" hidden="false" customHeight="true" outlineLevel="0" collapsed="false">
      <c r="A35" s="4" t="s">
        <v>76</v>
      </c>
      <c r="B35" s="5" t="s">
        <v>77</v>
      </c>
      <c r="C35" s="5"/>
      <c r="D35" s="4" t="s">
        <v>76</v>
      </c>
      <c r="E35" s="4" t="str">
        <f aca="false">'CM-10'!B20</f>
        <v>Not Started</v>
      </c>
    </row>
    <row r="36" customFormat="false" ht="18" hidden="false" customHeight="true" outlineLevel="0" collapsed="false">
      <c r="A36" s="4" t="s">
        <v>78</v>
      </c>
      <c r="B36" s="5" t="s">
        <v>79</v>
      </c>
      <c r="C36" s="5"/>
      <c r="D36" s="4" t="s">
        <v>78</v>
      </c>
      <c r="E36" s="4" t="str">
        <f aca="false">'CP-6'!B20</f>
        <v>Not Started</v>
      </c>
    </row>
    <row r="37" customFormat="false" ht="18" hidden="false" customHeight="true" outlineLevel="0" collapsed="false">
      <c r="A37" s="4" t="s">
        <v>80</v>
      </c>
      <c r="B37" s="5" t="s">
        <v>79</v>
      </c>
      <c r="C37" s="5"/>
      <c r="D37" s="4" t="s">
        <v>81</v>
      </c>
      <c r="E37" s="4" t="str">
        <f aca="false">'CP-6-2'!B20</f>
        <v>Not Started</v>
      </c>
    </row>
    <row r="38" customFormat="false" ht="18" hidden="false" customHeight="true" outlineLevel="0" collapsed="false">
      <c r="A38" s="4" t="s">
        <v>82</v>
      </c>
      <c r="B38" s="5" t="s">
        <v>83</v>
      </c>
      <c r="C38" s="5"/>
      <c r="D38" s="4" t="s">
        <v>82</v>
      </c>
      <c r="E38" s="4" t="str">
        <f aca="false">'CP-7'!B20</f>
        <v>Not Started</v>
      </c>
    </row>
    <row r="39" customFormat="false" ht="18" hidden="false" customHeight="true" outlineLevel="0" collapsed="false">
      <c r="A39" s="4" t="s">
        <v>84</v>
      </c>
      <c r="B39" s="5" t="s">
        <v>83</v>
      </c>
      <c r="C39" s="5"/>
      <c r="D39" s="4" t="s">
        <v>85</v>
      </c>
      <c r="E39" s="4" t="str">
        <f aca="false">'CP-7-4'!B20</f>
        <v>Not Started</v>
      </c>
    </row>
    <row r="40" customFormat="false" ht="18" hidden="false" customHeight="true" outlineLevel="0" collapsed="false">
      <c r="A40" s="4" t="s">
        <v>86</v>
      </c>
      <c r="B40" s="5" t="s">
        <v>87</v>
      </c>
      <c r="C40" s="5"/>
      <c r="D40" s="4" t="s">
        <v>86</v>
      </c>
      <c r="E40" s="4" t="str">
        <f aca="false">'CP-10'!B20</f>
        <v>Not Started</v>
      </c>
    </row>
    <row r="41" customFormat="false" ht="18" hidden="false" customHeight="true" outlineLevel="0" collapsed="false">
      <c r="A41" s="4" t="s">
        <v>88</v>
      </c>
      <c r="B41" s="5" t="s">
        <v>87</v>
      </c>
      <c r="C41" s="5"/>
      <c r="D41" s="4" t="s">
        <v>89</v>
      </c>
      <c r="E41" s="4" t="str">
        <f aca="false">'CP-10-4'!B20</f>
        <v>Not Started</v>
      </c>
    </row>
    <row r="42" customFormat="false" ht="18" hidden="false" customHeight="true" outlineLevel="0" collapsed="false">
      <c r="A42" s="4" t="s">
        <v>90</v>
      </c>
      <c r="B42" s="5" t="s">
        <v>91</v>
      </c>
      <c r="C42" s="5"/>
      <c r="D42" s="4" t="s">
        <v>90</v>
      </c>
      <c r="E42" s="4" t="str">
        <f aca="false">'IA-3'!B20</f>
        <v>Not Started</v>
      </c>
    </row>
    <row r="43" customFormat="false" ht="18" hidden="false" customHeight="true" outlineLevel="0" collapsed="false">
      <c r="A43" s="4" t="s">
        <v>92</v>
      </c>
      <c r="B43" s="5" t="s">
        <v>93</v>
      </c>
      <c r="C43" s="5"/>
      <c r="D43" s="4" t="s">
        <v>94</v>
      </c>
      <c r="E43" s="4" t="str">
        <f aca="false">'IA-5-4'!B20</f>
        <v>Not Started</v>
      </c>
    </row>
    <row r="44" customFormat="false" ht="18" hidden="false" customHeight="true" outlineLevel="0" collapsed="false">
      <c r="A44" s="4" t="s">
        <v>95</v>
      </c>
      <c r="B44" s="5" t="s">
        <v>93</v>
      </c>
      <c r="C44" s="5"/>
      <c r="D44" s="4" t="s">
        <v>96</v>
      </c>
      <c r="E44" s="4" t="str">
        <f aca="false">'IA-5-6'!B20</f>
        <v>Not Started</v>
      </c>
    </row>
    <row r="45" customFormat="false" ht="18" hidden="false" customHeight="true" outlineLevel="0" collapsed="false">
      <c r="A45" s="4" t="s">
        <v>97</v>
      </c>
      <c r="B45" s="5" t="s">
        <v>98</v>
      </c>
      <c r="C45" s="5"/>
      <c r="D45" s="4" t="s">
        <v>99</v>
      </c>
      <c r="E45" s="4" t="str">
        <f aca="false">'MA-4-6'!B20</f>
        <v>Not Started</v>
      </c>
    </row>
    <row r="46" customFormat="false" ht="18" hidden="false" customHeight="true" outlineLevel="0" collapsed="false">
      <c r="A46" s="4" t="s">
        <v>100</v>
      </c>
      <c r="B46" s="5" t="s">
        <v>101</v>
      </c>
      <c r="C46" s="5"/>
      <c r="D46" s="4" t="s">
        <v>100</v>
      </c>
      <c r="E46" s="4" t="str">
        <f aca="false">'RA-5'!B20</f>
        <v>Not Started</v>
      </c>
    </row>
    <row r="47" customFormat="false" ht="18" hidden="false" customHeight="true" outlineLevel="0" collapsed="false">
      <c r="A47" s="4" t="s">
        <v>102</v>
      </c>
      <c r="B47" s="5" t="s">
        <v>101</v>
      </c>
      <c r="C47" s="5"/>
      <c r="D47" s="4" t="s">
        <v>103</v>
      </c>
      <c r="E47" s="4" t="str">
        <f aca="false">'RA-5-1'!B20</f>
        <v>Not Started</v>
      </c>
    </row>
    <row r="48" customFormat="false" ht="18" hidden="false" customHeight="true" outlineLevel="0" collapsed="false">
      <c r="A48" s="4" t="s">
        <v>104</v>
      </c>
      <c r="B48" s="5" t="s">
        <v>101</v>
      </c>
      <c r="C48" s="5"/>
      <c r="D48" s="4" t="s">
        <v>105</v>
      </c>
      <c r="E48" s="4" t="str">
        <f aca="false">'RA-5-2'!B20</f>
        <v>Not Started</v>
      </c>
    </row>
    <row r="49" customFormat="false" ht="18" hidden="false" customHeight="true" outlineLevel="0" collapsed="false">
      <c r="A49" s="4" t="s">
        <v>106</v>
      </c>
      <c r="B49" s="5" t="s">
        <v>101</v>
      </c>
      <c r="C49" s="5"/>
      <c r="D49" s="4" t="s">
        <v>107</v>
      </c>
      <c r="E49" s="4" t="str">
        <f aca="false">'RA-5-3'!B20</f>
        <v>Not Started</v>
      </c>
    </row>
    <row r="50" customFormat="false" ht="18" hidden="false" customHeight="true" outlineLevel="0" collapsed="false">
      <c r="A50" s="4" t="s">
        <v>108</v>
      </c>
      <c r="B50" s="5" t="s">
        <v>101</v>
      </c>
      <c r="C50" s="5"/>
      <c r="D50" s="4" t="s">
        <v>109</v>
      </c>
      <c r="E50" s="4" t="str">
        <f aca="false">'RA-5-5'!B20</f>
        <v>Not Started</v>
      </c>
    </row>
    <row r="51" customFormat="false" ht="18" hidden="false" customHeight="true" outlineLevel="0" collapsed="false">
      <c r="A51" s="4" t="s">
        <v>110</v>
      </c>
      <c r="B51" s="5" t="s">
        <v>101</v>
      </c>
      <c r="C51" s="5"/>
      <c r="D51" s="4" t="s">
        <v>111</v>
      </c>
      <c r="E51" s="4" t="str">
        <f aca="false">'RA-5-6'!B20</f>
        <v>Not Started</v>
      </c>
    </row>
    <row r="52" customFormat="false" ht="18" hidden="false" customHeight="true" outlineLevel="0" collapsed="false">
      <c r="A52" s="4" t="s">
        <v>112</v>
      </c>
      <c r="B52" s="5" t="s">
        <v>101</v>
      </c>
      <c r="C52" s="5"/>
      <c r="D52" s="4" t="s">
        <v>113</v>
      </c>
      <c r="E52" s="4" t="str">
        <f aca="false">'RA-5-8'!B20</f>
        <v>Not Started</v>
      </c>
    </row>
    <row r="53" customFormat="false" ht="18" hidden="false" customHeight="true" outlineLevel="0" collapsed="false">
      <c r="A53" s="4" t="s">
        <v>114</v>
      </c>
      <c r="B53" s="5" t="s">
        <v>115</v>
      </c>
      <c r="C53" s="5"/>
      <c r="D53" s="4" t="s">
        <v>116</v>
      </c>
      <c r="E53" s="4" t="str">
        <f aca="false">'SA-9-5'!B20</f>
        <v>Not Started</v>
      </c>
    </row>
    <row r="54" customFormat="false" ht="18" hidden="false" customHeight="true" outlineLevel="0" collapsed="false">
      <c r="A54" s="4" t="s">
        <v>117</v>
      </c>
      <c r="B54" s="5" t="s">
        <v>118</v>
      </c>
      <c r="C54" s="5"/>
      <c r="D54" s="4" t="s">
        <v>117</v>
      </c>
      <c r="E54" s="4" t="str">
        <f aca="false">'SC-2'!B20</f>
        <v>Not Started</v>
      </c>
    </row>
    <row r="55" customFormat="false" ht="18" hidden="false" customHeight="true" outlineLevel="0" collapsed="false">
      <c r="A55" s="4" t="s">
        <v>119</v>
      </c>
      <c r="B55" s="5" t="s">
        <v>120</v>
      </c>
      <c r="C55" s="5"/>
      <c r="D55" s="4" t="s">
        <v>119</v>
      </c>
      <c r="E55" s="4" t="str">
        <f aca="false">'SC-4'!B20</f>
        <v>Not Started</v>
      </c>
    </row>
    <row r="56" customFormat="false" ht="18" hidden="false" customHeight="true" outlineLevel="0" collapsed="false">
      <c r="A56" s="4" t="s">
        <v>121</v>
      </c>
      <c r="B56" s="5" t="s">
        <v>122</v>
      </c>
      <c r="C56" s="5"/>
      <c r="D56" s="4" t="s">
        <v>121</v>
      </c>
      <c r="E56" s="4" t="str">
        <f aca="false">'SC-5'!B20</f>
        <v>Not Started</v>
      </c>
    </row>
    <row r="57" customFormat="false" ht="18" hidden="false" customHeight="true" outlineLevel="0" collapsed="false">
      <c r="A57" s="4" t="s">
        <v>123</v>
      </c>
      <c r="B57" s="5" t="s">
        <v>124</v>
      </c>
      <c r="C57" s="5"/>
      <c r="D57" s="4" t="s">
        <v>123</v>
      </c>
      <c r="E57" s="4" t="str">
        <f aca="false">'SC-7'!B20</f>
        <v>Not Started</v>
      </c>
    </row>
    <row r="58" customFormat="false" ht="18" hidden="false" customHeight="true" outlineLevel="0" collapsed="false">
      <c r="A58" s="4" t="s">
        <v>125</v>
      </c>
      <c r="B58" s="5" t="s">
        <v>124</v>
      </c>
      <c r="C58" s="5"/>
      <c r="D58" s="4" t="s">
        <v>126</v>
      </c>
      <c r="E58" s="4" t="str">
        <f aca="false">'SC-7-3'!B20</f>
        <v>Not Started</v>
      </c>
    </row>
    <row r="59" customFormat="false" ht="18" hidden="false" customHeight="true" outlineLevel="0" collapsed="false">
      <c r="A59" s="4" t="s">
        <v>127</v>
      </c>
      <c r="B59" s="5" t="s">
        <v>124</v>
      </c>
      <c r="C59" s="5"/>
      <c r="D59" s="4" t="s">
        <v>128</v>
      </c>
      <c r="E59" s="4" t="str">
        <f aca="false">'SC-7-4'!B20</f>
        <v>Not Started</v>
      </c>
    </row>
    <row r="60" customFormat="false" ht="18" hidden="false" customHeight="true" outlineLevel="0" collapsed="false">
      <c r="A60" s="4" t="s">
        <v>129</v>
      </c>
      <c r="B60" s="5" t="s">
        <v>124</v>
      </c>
      <c r="C60" s="5"/>
      <c r="D60" s="4" t="s">
        <v>130</v>
      </c>
      <c r="E60" s="4" t="str">
        <f aca="false">'SC-7-5'!B20</f>
        <v>Not Started</v>
      </c>
    </row>
    <row r="61" customFormat="false" ht="18" hidden="false" customHeight="true" outlineLevel="0" collapsed="false">
      <c r="A61" s="4" t="s">
        <v>131</v>
      </c>
      <c r="B61" s="5" t="s">
        <v>124</v>
      </c>
      <c r="C61" s="5"/>
      <c r="D61" s="4" t="s">
        <v>132</v>
      </c>
      <c r="E61" s="4" t="str">
        <f aca="false">'SC-7-8'!B20</f>
        <v>Not Started</v>
      </c>
    </row>
    <row r="62" customFormat="false" ht="18" hidden="false" customHeight="true" outlineLevel="0" collapsed="false">
      <c r="A62" s="4" t="s">
        <v>133</v>
      </c>
      <c r="B62" s="5" t="s">
        <v>124</v>
      </c>
      <c r="C62" s="5"/>
      <c r="D62" s="4" t="s">
        <v>134</v>
      </c>
      <c r="E62" s="4" t="str">
        <f aca="false">'SC-7-18'!B20</f>
        <v>Not Started</v>
      </c>
    </row>
    <row r="63" customFormat="false" ht="18" hidden="false" customHeight="true" outlineLevel="0" collapsed="false">
      <c r="A63" s="4" t="s">
        <v>135</v>
      </c>
      <c r="B63" s="5" t="s">
        <v>136</v>
      </c>
      <c r="C63" s="5"/>
      <c r="D63" s="4" t="s">
        <v>135</v>
      </c>
      <c r="E63" s="4" t="str">
        <f aca="false">'SC-8'!B20</f>
        <v>Not Started</v>
      </c>
    </row>
    <row r="64" customFormat="false" ht="18" hidden="false" customHeight="true" outlineLevel="0" collapsed="false">
      <c r="A64" s="4" t="s">
        <v>137</v>
      </c>
      <c r="B64" s="5" t="s">
        <v>136</v>
      </c>
      <c r="C64" s="5"/>
      <c r="D64" s="4" t="s">
        <v>138</v>
      </c>
      <c r="E64" s="4" t="str">
        <f aca="false">'SC-8-1'!B20</f>
        <v>Not Started</v>
      </c>
    </row>
    <row r="65" customFormat="false" ht="18" hidden="false" customHeight="true" outlineLevel="0" collapsed="false">
      <c r="A65" s="4" t="s">
        <v>139</v>
      </c>
      <c r="B65" s="5" t="s">
        <v>140</v>
      </c>
      <c r="C65" s="5"/>
      <c r="D65" s="4" t="s">
        <v>139</v>
      </c>
      <c r="E65" s="4" t="str">
        <f aca="false">'SC-10'!B20</f>
        <v>Not Started</v>
      </c>
    </row>
    <row r="66" customFormat="false" ht="18" hidden="false" customHeight="true" outlineLevel="0" collapsed="false">
      <c r="A66" s="4" t="s">
        <v>141</v>
      </c>
      <c r="B66" s="5" t="s">
        <v>142</v>
      </c>
      <c r="C66" s="5"/>
      <c r="D66" s="4" t="s">
        <v>141</v>
      </c>
      <c r="E66" s="4" t="str">
        <f aca="false">'SC-12'!B20</f>
        <v>Not Started</v>
      </c>
    </row>
    <row r="67" customFormat="false" ht="18" hidden="false" customHeight="true" outlineLevel="0" collapsed="false">
      <c r="A67" s="4" t="s">
        <v>143</v>
      </c>
      <c r="B67" s="5" t="s">
        <v>142</v>
      </c>
      <c r="C67" s="5"/>
      <c r="D67" s="4" t="s">
        <v>144</v>
      </c>
      <c r="E67" s="4" t="str">
        <f aca="false">'SC-12-1'!B20</f>
        <v>Not Started</v>
      </c>
    </row>
    <row r="68" customFormat="false" ht="18" hidden="false" customHeight="true" outlineLevel="0" collapsed="false">
      <c r="A68" s="4" t="s">
        <v>145</v>
      </c>
      <c r="B68" s="5" t="s">
        <v>142</v>
      </c>
      <c r="C68" s="5"/>
      <c r="D68" s="4" t="s">
        <v>146</v>
      </c>
      <c r="E68" s="4" t="str">
        <f aca="false">'SC-12-2'!B20</f>
        <v>Not Started</v>
      </c>
    </row>
    <row r="69" customFormat="false" ht="18" hidden="false" customHeight="true" outlineLevel="0" collapsed="false">
      <c r="A69" s="4" t="s">
        <v>147</v>
      </c>
      <c r="B69" s="5" t="s">
        <v>142</v>
      </c>
      <c r="C69" s="5"/>
      <c r="D69" s="4" t="s">
        <v>148</v>
      </c>
      <c r="E69" s="4" t="str">
        <f aca="false">'SC-12-3'!B20</f>
        <v>Not Started</v>
      </c>
    </row>
    <row r="70" customFormat="false" ht="18" hidden="false" customHeight="true" outlineLevel="0" collapsed="false">
      <c r="A70" s="4" t="s">
        <v>149</v>
      </c>
      <c r="B70" s="5" t="s">
        <v>150</v>
      </c>
      <c r="C70" s="5"/>
      <c r="D70" s="4" t="s">
        <v>149</v>
      </c>
      <c r="E70" s="4" t="str">
        <f aca="false">'SC-13'!B20</f>
        <v>Not Started</v>
      </c>
    </row>
    <row r="71" customFormat="false" ht="18" hidden="false" customHeight="true" outlineLevel="0" collapsed="false">
      <c r="A71" s="4" t="s">
        <v>151</v>
      </c>
      <c r="B71" s="5" t="s">
        <v>152</v>
      </c>
      <c r="C71" s="5"/>
      <c r="D71" s="4" t="s">
        <v>151</v>
      </c>
      <c r="E71" s="4" t="str">
        <f aca="false">'SC-17'!B20</f>
        <v>Not Started</v>
      </c>
    </row>
    <row r="72" customFormat="false" ht="18" hidden="false" customHeight="true" outlineLevel="0" collapsed="false">
      <c r="A72" s="4" t="s">
        <v>153</v>
      </c>
      <c r="B72" s="5" t="s">
        <v>154</v>
      </c>
      <c r="C72" s="5"/>
      <c r="D72" s="4" t="s">
        <v>153</v>
      </c>
      <c r="E72" s="4" t="str">
        <f aca="false">'SC-18'!B20</f>
        <v>Not Started</v>
      </c>
    </row>
    <row r="73" customFormat="false" ht="18" hidden="false" customHeight="true" outlineLevel="0" collapsed="false">
      <c r="A73" s="4" t="s">
        <v>155</v>
      </c>
      <c r="B73" s="5" t="s">
        <v>156</v>
      </c>
      <c r="C73" s="5"/>
      <c r="D73" s="4" t="s">
        <v>155</v>
      </c>
      <c r="E73" s="4" t="str">
        <f aca="false">'SC-23'!B20</f>
        <v>Not Started</v>
      </c>
    </row>
    <row r="74" customFormat="false" ht="18" hidden="false" customHeight="true" outlineLevel="0" collapsed="false">
      <c r="A74" s="4" t="s">
        <v>157</v>
      </c>
      <c r="B74" s="5" t="s">
        <v>156</v>
      </c>
      <c r="C74" s="5"/>
      <c r="D74" s="4" t="s">
        <v>158</v>
      </c>
      <c r="E74" s="4" t="str">
        <f aca="false">'SC-23-1'!B20</f>
        <v>Not Started</v>
      </c>
    </row>
    <row r="75" customFormat="false" ht="18" hidden="false" customHeight="true" outlineLevel="0" collapsed="false">
      <c r="A75" s="4" t="s">
        <v>159</v>
      </c>
      <c r="B75" s="5" t="s">
        <v>160</v>
      </c>
      <c r="C75" s="5"/>
      <c r="D75" s="4" t="s">
        <v>159</v>
      </c>
      <c r="E75" s="4" t="str">
        <f aca="false">'SC-28'!B20</f>
        <v>Not Started</v>
      </c>
    </row>
    <row r="76" customFormat="false" ht="18" hidden="false" customHeight="true" outlineLevel="0" collapsed="false">
      <c r="A76" s="4" t="s">
        <v>161</v>
      </c>
      <c r="B76" s="5" t="s">
        <v>160</v>
      </c>
      <c r="C76" s="5"/>
      <c r="D76" s="4" t="s">
        <v>162</v>
      </c>
      <c r="E76" s="4" t="str">
        <f aca="false">'SC-28-1'!B20</f>
        <v>Not Started</v>
      </c>
    </row>
    <row r="77" customFormat="false" ht="18" hidden="false" customHeight="true" outlineLevel="0" collapsed="false">
      <c r="A77" s="4" t="s">
        <v>163</v>
      </c>
      <c r="B77" s="5" t="s">
        <v>164</v>
      </c>
      <c r="C77" s="5"/>
      <c r="D77" s="4" t="s">
        <v>163</v>
      </c>
      <c r="E77" s="4" t="str">
        <f aca="false">'SI-2'!B20</f>
        <v>Not Started</v>
      </c>
    </row>
    <row r="78" customFormat="false" ht="18" hidden="false" customHeight="true" outlineLevel="0" collapsed="false">
      <c r="A78" s="4" t="s">
        <v>165</v>
      </c>
      <c r="B78" s="5" t="s">
        <v>164</v>
      </c>
      <c r="C78" s="5"/>
      <c r="D78" s="4" t="s">
        <v>166</v>
      </c>
      <c r="E78" s="4" t="str">
        <f aca="false">'SI-2-2'!B20</f>
        <v>Not Started</v>
      </c>
    </row>
    <row r="79" customFormat="false" ht="18" hidden="false" customHeight="true" outlineLevel="0" collapsed="false">
      <c r="A79" s="4" t="s">
        <v>167</v>
      </c>
      <c r="B79" s="5" t="s">
        <v>168</v>
      </c>
      <c r="C79" s="5"/>
      <c r="D79" s="4" t="s">
        <v>167</v>
      </c>
      <c r="E79" s="4" t="str">
        <f aca="false">'SI-3'!B20</f>
        <v>Not Started</v>
      </c>
    </row>
    <row r="80" customFormat="false" ht="18" hidden="false" customHeight="true" outlineLevel="0" collapsed="false">
      <c r="A80" s="4" t="s">
        <v>169</v>
      </c>
      <c r="B80" s="5" t="s">
        <v>168</v>
      </c>
      <c r="C80" s="5"/>
      <c r="D80" s="4" t="s">
        <v>170</v>
      </c>
      <c r="E80" s="4" t="str">
        <f aca="false">'SI-3-1'!B20</f>
        <v>Not Started</v>
      </c>
    </row>
    <row r="81" customFormat="false" ht="18" hidden="false" customHeight="true" outlineLevel="0" collapsed="false">
      <c r="A81" s="4" t="s">
        <v>171</v>
      </c>
      <c r="B81" s="5" t="s">
        <v>168</v>
      </c>
      <c r="C81" s="5"/>
      <c r="D81" s="4" t="s">
        <v>172</v>
      </c>
      <c r="E81" s="4" t="str">
        <f aca="false">'SI-3-2'!B20</f>
        <v>Not Started</v>
      </c>
    </row>
    <row r="82" customFormat="false" ht="18" hidden="false" customHeight="true" outlineLevel="0" collapsed="false">
      <c r="A82" s="4" t="s">
        <v>173</v>
      </c>
      <c r="B82" s="5" t="s">
        <v>168</v>
      </c>
      <c r="C82" s="5"/>
      <c r="D82" s="4" t="s">
        <v>174</v>
      </c>
      <c r="E82" s="4" t="str">
        <f aca="false">'SI-3-7'!B20</f>
        <v>Not Started</v>
      </c>
    </row>
    <row r="83" customFormat="false" ht="18" hidden="false" customHeight="true" outlineLevel="0" collapsed="false">
      <c r="A83" s="4" t="s">
        <v>175</v>
      </c>
      <c r="B83" s="5" t="s">
        <v>176</v>
      </c>
      <c r="C83" s="5"/>
      <c r="D83" s="4" t="s">
        <v>175</v>
      </c>
      <c r="E83" s="4" t="str">
        <f aca="false">'SI-4'!B20</f>
        <v>Not Started</v>
      </c>
    </row>
    <row r="84" customFormat="false" ht="18" hidden="false" customHeight="true" outlineLevel="0" collapsed="false">
      <c r="A84" s="4" t="s">
        <v>177</v>
      </c>
      <c r="B84" s="5" t="s">
        <v>176</v>
      </c>
      <c r="C84" s="5"/>
      <c r="D84" s="4" t="s">
        <v>178</v>
      </c>
      <c r="E84" s="4" t="str">
        <f aca="false">'SI-4-1'!B20</f>
        <v>Not Started</v>
      </c>
    </row>
    <row r="85" customFormat="false" ht="18" hidden="false" customHeight="true" outlineLevel="0" collapsed="false">
      <c r="A85" s="4" t="s">
        <v>179</v>
      </c>
      <c r="B85" s="5" t="s">
        <v>176</v>
      </c>
      <c r="C85" s="5"/>
      <c r="D85" s="4" t="s">
        <v>180</v>
      </c>
      <c r="E85" s="4" t="str">
        <f aca="false">'SI-4-2'!B20</f>
        <v>Not Started</v>
      </c>
    </row>
    <row r="86" customFormat="false" ht="18" hidden="false" customHeight="true" outlineLevel="0" collapsed="false">
      <c r="A86" s="4" t="s">
        <v>181</v>
      </c>
      <c r="B86" s="5" t="s">
        <v>176</v>
      </c>
      <c r="C86" s="5"/>
      <c r="D86" s="4" t="s">
        <v>182</v>
      </c>
      <c r="E86" s="4" t="str">
        <f aca="false">'SI-4-4'!B20</f>
        <v>Not Started</v>
      </c>
    </row>
    <row r="87" customFormat="false" ht="18" hidden="false" customHeight="true" outlineLevel="0" collapsed="false">
      <c r="A87" s="4" t="s">
        <v>183</v>
      </c>
      <c r="B87" s="5" t="s">
        <v>176</v>
      </c>
      <c r="C87" s="5"/>
      <c r="D87" s="4" t="s">
        <v>184</v>
      </c>
      <c r="E87" s="4" t="str">
        <f aca="false">'SI-4-5'!B20</f>
        <v>Not Started</v>
      </c>
    </row>
    <row r="88" customFormat="false" ht="18" hidden="false" customHeight="true" outlineLevel="0" collapsed="false">
      <c r="A88" s="4" t="s">
        <v>185</v>
      </c>
      <c r="B88" s="5" t="s">
        <v>176</v>
      </c>
      <c r="C88" s="5"/>
      <c r="D88" s="4" t="s">
        <v>186</v>
      </c>
      <c r="E88" s="4" t="str">
        <f aca="false">'SI-4-11'!B20</f>
        <v>Not Started</v>
      </c>
    </row>
    <row r="89" customFormat="false" ht="18" hidden="false" customHeight="true" outlineLevel="0" collapsed="false">
      <c r="A89" s="4" t="s">
        <v>187</v>
      </c>
      <c r="B89" s="5" t="s">
        <v>188</v>
      </c>
      <c r="C89" s="5"/>
      <c r="D89" s="4" t="s">
        <v>187</v>
      </c>
      <c r="E89" s="4" t="str">
        <f aca="false">'SI-6'!B20</f>
        <v>Not Started</v>
      </c>
    </row>
    <row r="90" customFormat="false" ht="18" hidden="false" customHeight="true" outlineLevel="0" collapsed="false">
      <c r="A90" s="4" t="s">
        <v>189</v>
      </c>
      <c r="B90" s="5" t="s">
        <v>190</v>
      </c>
      <c r="C90" s="5"/>
      <c r="D90" s="4" t="s">
        <v>191</v>
      </c>
      <c r="E90" s="4" t="str">
        <f aca="false">'SI-7-7'!B20</f>
        <v>Not Started</v>
      </c>
    </row>
    <row r="91" customFormat="false" ht="18" hidden="false" customHeight="true" outlineLevel="0" collapsed="false">
      <c r="A91" s="4" t="s">
        <v>192</v>
      </c>
      <c r="B91" s="5" t="s">
        <v>193</v>
      </c>
      <c r="C91" s="5"/>
      <c r="D91" s="4" t="s">
        <v>192</v>
      </c>
      <c r="E91" s="4" t="str">
        <f aca="false">'SI-8'!B20</f>
        <v>Not Started</v>
      </c>
    </row>
    <row r="92" customFormat="false" ht="18" hidden="false" customHeight="true" outlineLevel="0" collapsed="false">
      <c r="A92" s="4" t="s">
        <v>194</v>
      </c>
      <c r="B92" s="5" t="s">
        <v>193</v>
      </c>
      <c r="C92" s="5"/>
      <c r="D92" s="4" t="s">
        <v>195</v>
      </c>
      <c r="E92" s="4" t="str">
        <f aca="false">'SI-8-1'!B20</f>
        <v>Not Started</v>
      </c>
    </row>
    <row r="93" customFormat="false" ht="18" hidden="false" customHeight="true" outlineLevel="0" collapsed="false">
      <c r="A93" s="4" t="s">
        <v>196</v>
      </c>
      <c r="B93" s="5" t="s">
        <v>193</v>
      </c>
      <c r="C93" s="5"/>
      <c r="D93" s="4" t="s">
        <v>197</v>
      </c>
      <c r="E93" s="4" t="str">
        <f aca="false">'SI-8-2'!B20</f>
        <v>Not Started</v>
      </c>
    </row>
    <row r="94" customFormat="false" ht="18" hidden="false" customHeight="true" outlineLevel="0" collapsed="false">
      <c r="A94" s="4" t="s">
        <v>198</v>
      </c>
      <c r="B94" s="5" t="s">
        <v>199</v>
      </c>
      <c r="C94" s="5"/>
      <c r="D94" s="4" t="s">
        <v>198</v>
      </c>
      <c r="E94" s="4" t="str">
        <f aca="false">'SI-11'!B20</f>
        <v>Not Started</v>
      </c>
    </row>
    <row r="96" customFormat="false" ht="21.75" hidden="false" customHeight="true" outlineLevel="0" collapsed="false">
      <c r="A96" s="6" t="s">
        <v>200</v>
      </c>
      <c r="B96" s="6"/>
      <c r="C96" s="6"/>
      <c r="D96" s="6"/>
      <c r="E96" s="6"/>
    </row>
    <row r="97" customFormat="false" ht="19.5" hidden="false" customHeight="true" outlineLevel="0" collapsed="false">
      <c r="A97" s="7" t="s">
        <v>201</v>
      </c>
      <c r="B97" s="7"/>
      <c r="C97" s="7"/>
      <c r="D97" s="7"/>
      <c r="E97" s="8" t="n">
        <f aca="false">92</f>
        <v>92</v>
      </c>
    </row>
    <row r="98" customFormat="false" ht="19.5" hidden="false" customHeight="true" outlineLevel="0" collapsed="false">
      <c r="A98" s="7" t="s">
        <v>202</v>
      </c>
      <c r="B98" s="7"/>
      <c r="C98" s="7"/>
      <c r="D98" s="7"/>
      <c r="E98" s="8" t="n">
        <f aca="false">COUNTIF(E3:E94,"Not Started")</f>
        <v>92</v>
      </c>
    </row>
    <row r="99" customFormat="false" ht="19.5" hidden="false" customHeight="true" outlineLevel="0" collapsed="false">
      <c r="A99" s="7" t="s">
        <v>203</v>
      </c>
      <c r="B99" s="7"/>
      <c r="C99" s="7"/>
      <c r="D99" s="7"/>
      <c r="E99" s="8" t="n">
        <f aca="false">COUNTIF(E3:E94,"In Progress")</f>
        <v>0</v>
      </c>
    </row>
    <row r="100" customFormat="false" ht="19.5" hidden="false" customHeight="true" outlineLevel="0" collapsed="false">
      <c r="A100" s="7" t="s">
        <v>204</v>
      </c>
      <c r="B100" s="7"/>
      <c r="C100" s="7"/>
      <c r="D100" s="7"/>
      <c r="E100" s="8" t="n">
        <f aca="false">COUNTIF(E3:E94,"Evidence Provided")</f>
        <v>0</v>
      </c>
    </row>
    <row r="101" customFormat="false" ht="19.5" hidden="false" customHeight="true" outlineLevel="0" collapsed="false">
      <c r="A101" s="7" t="s">
        <v>205</v>
      </c>
      <c r="B101" s="7"/>
      <c r="C101" s="7"/>
      <c r="D101" s="7"/>
      <c r="E101" s="8" t="n">
        <f aca="false">COUNTIF(E3:E94,"Under Review")</f>
        <v>0</v>
      </c>
    </row>
    <row r="102" customFormat="false" ht="19.5" hidden="false" customHeight="true" outlineLevel="0" collapsed="false">
      <c r="A102" s="7" t="s">
        <v>206</v>
      </c>
      <c r="B102" s="7"/>
      <c r="C102" s="7"/>
      <c r="D102" s="7"/>
      <c r="E102" s="8" t="n">
        <f aca="false">COUNTIF(E3:E94,"Passed")</f>
        <v>0</v>
      </c>
    </row>
    <row r="103" customFormat="false" ht="19.5" hidden="false" customHeight="true" outlineLevel="0" collapsed="false">
      <c r="A103" s="7" t="s">
        <v>207</v>
      </c>
      <c r="B103" s="7"/>
      <c r="C103" s="7"/>
      <c r="D103" s="7"/>
      <c r="E103" s="8" t="n">
        <f aca="false">COUNTIF(E3:E94,"Failed")</f>
        <v>0</v>
      </c>
    </row>
    <row r="104" customFormat="false" ht="19.5" hidden="false" customHeight="true" outlineLevel="0" collapsed="false">
      <c r="A104" s="7" t="s">
        <v>208</v>
      </c>
      <c r="B104" s="7"/>
      <c r="C104" s="7"/>
      <c r="D104" s="7"/>
      <c r="E104" s="8" t="n">
        <f aca="false">COUNTIF(E3:E94,"Accepted Exception")</f>
        <v>0</v>
      </c>
    </row>
    <row r="105" customFormat="false" ht="19.5" hidden="false" customHeight="true" outlineLevel="0" collapsed="false">
      <c r="A105" s="7" t="s">
        <v>209</v>
      </c>
      <c r="B105" s="7"/>
      <c r="C105" s="7"/>
      <c r="D105" s="7"/>
      <c r="E105" s="9" t="n">
        <f aca="false">IFERROR(COUNTIF(E3:E94,"Passed")/92,0)</f>
        <v>0</v>
      </c>
    </row>
    <row r="106" customFormat="false" ht="19.5" hidden="false" customHeight="true" outlineLevel="0" collapsed="false">
      <c r="A106" s="7" t="s">
        <v>210</v>
      </c>
      <c r="B106" s="7"/>
      <c r="C106" s="7"/>
      <c r="D106" s="7"/>
      <c r="E106" s="9" t="n">
        <f aca="false">IFERROR(COUNTIF(E3:E94,"Not Started")/92,0)</f>
        <v>1</v>
      </c>
    </row>
  </sheetData>
  <mergeCells count="12">
    <mergeCell ref="A1:E1"/>
    <mergeCell ref="A96:E96"/>
    <mergeCell ref="A97:D97"/>
    <mergeCell ref="A98:D98"/>
    <mergeCell ref="A99:D99"/>
    <mergeCell ref="A100:D100"/>
    <mergeCell ref="A101:D101"/>
    <mergeCell ref="A102:D102"/>
    <mergeCell ref="A103:D103"/>
    <mergeCell ref="A104:D104"/>
    <mergeCell ref="A105:D105"/>
    <mergeCell ref="A106:D10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8"/>
    <col collapsed="false" customWidth="true" hidden="false" outlineLevel="0" max="3" min="3" style="1" width="30"/>
    <col collapsed="false" customWidth="true" hidden="false" outlineLevel="0" max="4" min="4" style="1" width="18"/>
    <col collapsed="false" customWidth="true" hidden="false" outlineLevel="0" max="5" min="5" style="1" width="22"/>
  </cols>
  <sheetData>
    <row r="1" customFormat="false" ht="27.75" hidden="false" customHeight="true" outlineLevel="0" collapsed="false">
      <c r="A1" s="2" t="s">
        <v>211</v>
      </c>
      <c r="B1" s="2"/>
      <c r="C1" s="2"/>
      <c r="D1" s="2"/>
      <c r="E1" s="2"/>
    </row>
    <row r="2" customFormat="false" ht="21.75" hidden="false" customHeight="true" outlineLevel="0" collapsed="false">
      <c r="A2" s="3" t="s">
        <v>212</v>
      </c>
      <c r="B2" s="3" t="s">
        <v>213</v>
      </c>
      <c r="C2" s="3" t="s">
        <v>214</v>
      </c>
      <c r="D2" s="3" t="s">
        <v>215</v>
      </c>
      <c r="E2" s="3" t="s">
        <v>216</v>
      </c>
    </row>
    <row r="3" customFormat="false" ht="18" hidden="false" customHeight="true" outlineLevel="0" collapsed="false">
      <c r="A3" s="4" t="s">
        <v>6</v>
      </c>
      <c r="B3" s="5" t="s">
        <v>217</v>
      </c>
      <c r="C3" s="5"/>
      <c r="D3" s="4" t="s">
        <v>8</v>
      </c>
      <c r="E3" s="4" t="str">
        <f aca="false">'AC-2-4'!E20</f>
        <v>Non commencé</v>
      </c>
    </row>
    <row r="4" customFormat="false" ht="18" hidden="false" customHeight="true" outlineLevel="0" collapsed="false">
      <c r="A4" s="4" t="s">
        <v>9</v>
      </c>
      <c r="B4" s="5" t="s">
        <v>217</v>
      </c>
      <c r="C4" s="5"/>
      <c r="D4" s="4" t="s">
        <v>10</v>
      </c>
      <c r="E4" s="4" t="str">
        <f aca="false">'AC-2-5'!E20</f>
        <v>Non commencé</v>
      </c>
    </row>
    <row r="5" customFormat="false" ht="18" hidden="false" customHeight="true" outlineLevel="0" collapsed="false">
      <c r="A5" s="4" t="s">
        <v>11</v>
      </c>
      <c r="B5" s="5" t="s">
        <v>217</v>
      </c>
      <c r="C5" s="5"/>
      <c r="D5" s="4" t="s">
        <v>12</v>
      </c>
      <c r="E5" s="4" t="str">
        <f aca="false">'AC-2-7'!E20</f>
        <v>Non commencé</v>
      </c>
    </row>
    <row r="6" customFormat="false" ht="18" hidden="false" customHeight="true" outlineLevel="0" collapsed="false">
      <c r="A6" s="4" t="s">
        <v>13</v>
      </c>
      <c r="B6" s="5" t="s">
        <v>218</v>
      </c>
      <c r="C6" s="5"/>
      <c r="D6" s="4" t="s">
        <v>13</v>
      </c>
      <c r="E6" s="4" t="str">
        <f aca="false">'AC-4'!E20</f>
        <v>Non commencé</v>
      </c>
    </row>
    <row r="7" customFormat="false" ht="18" hidden="false" customHeight="true" outlineLevel="0" collapsed="false">
      <c r="A7" s="4" t="s">
        <v>15</v>
      </c>
      <c r="B7" s="5" t="s">
        <v>218</v>
      </c>
      <c r="C7" s="5"/>
      <c r="D7" s="4" t="s">
        <v>16</v>
      </c>
      <c r="E7" s="4" t="str">
        <f aca="false">'AC-4-21'!E20</f>
        <v>Non commencé</v>
      </c>
    </row>
    <row r="8" customFormat="false" ht="18" hidden="false" customHeight="true" outlineLevel="0" collapsed="false">
      <c r="A8" s="4" t="s">
        <v>17</v>
      </c>
      <c r="B8" s="5" t="s">
        <v>219</v>
      </c>
      <c r="C8" s="5"/>
      <c r="D8" s="4" t="s">
        <v>19</v>
      </c>
      <c r="E8" s="4" t="str">
        <f aca="false">'AC-6-9'!E20</f>
        <v>Non commencé</v>
      </c>
    </row>
    <row r="9" customFormat="false" ht="18" hidden="false" customHeight="true" outlineLevel="0" collapsed="false">
      <c r="A9" s="4" t="s">
        <v>20</v>
      </c>
      <c r="B9" s="5" t="s">
        <v>219</v>
      </c>
      <c r="C9" s="5"/>
      <c r="D9" s="4" t="s">
        <v>21</v>
      </c>
      <c r="E9" s="4" t="str">
        <f aca="false">'AC-6-10'!E20</f>
        <v>Non commencé</v>
      </c>
    </row>
    <row r="10" customFormat="false" ht="18" hidden="false" customHeight="true" outlineLevel="0" collapsed="false">
      <c r="A10" s="4" t="s">
        <v>22</v>
      </c>
      <c r="B10" s="5" t="s">
        <v>220</v>
      </c>
      <c r="C10" s="5"/>
      <c r="D10" s="4" t="s">
        <v>24</v>
      </c>
      <c r="E10" s="4" t="str">
        <f aca="false">'AC-17-1'!E20</f>
        <v>Non commencé</v>
      </c>
    </row>
    <row r="11" customFormat="false" ht="18" hidden="false" customHeight="true" outlineLevel="0" collapsed="false">
      <c r="A11" s="4" t="s">
        <v>25</v>
      </c>
      <c r="B11" s="5" t="s">
        <v>220</v>
      </c>
      <c r="C11" s="5"/>
      <c r="D11" s="4" t="s">
        <v>26</v>
      </c>
      <c r="E11" s="4" t="str">
        <f aca="false">'AC-17-2'!E20</f>
        <v>Non commencé</v>
      </c>
    </row>
    <row r="12" customFormat="false" ht="18" hidden="false" customHeight="true" outlineLevel="0" collapsed="false">
      <c r="A12" s="4" t="s">
        <v>27</v>
      </c>
      <c r="B12" s="5" t="s">
        <v>220</v>
      </c>
      <c r="C12" s="5"/>
      <c r="D12" s="4" t="s">
        <v>28</v>
      </c>
      <c r="E12" s="4" t="str">
        <f aca="false">'AC-17-3'!E20</f>
        <v>Non commencé</v>
      </c>
    </row>
    <row r="13" customFormat="false" ht="18" hidden="false" customHeight="true" outlineLevel="0" collapsed="false">
      <c r="A13" s="4" t="s">
        <v>29</v>
      </c>
      <c r="B13" s="5" t="s">
        <v>220</v>
      </c>
      <c r="C13" s="5"/>
      <c r="D13" s="4" t="s">
        <v>30</v>
      </c>
      <c r="E13" s="4" t="str">
        <f aca="false">'AC-17-9'!E20</f>
        <v>Non commencé</v>
      </c>
    </row>
    <row r="14" customFormat="false" ht="18" hidden="false" customHeight="true" outlineLevel="0" collapsed="false">
      <c r="A14" s="4" t="s">
        <v>31</v>
      </c>
      <c r="B14" s="5" t="s">
        <v>221</v>
      </c>
      <c r="C14" s="5"/>
      <c r="D14" s="4" t="s">
        <v>31</v>
      </c>
      <c r="E14" s="4" t="str">
        <f aca="false">'AU-2'!E20</f>
        <v>Non commencé</v>
      </c>
    </row>
    <row r="15" customFormat="false" ht="18" hidden="false" customHeight="true" outlineLevel="0" collapsed="false">
      <c r="A15" s="4" t="s">
        <v>33</v>
      </c>
      <c r="B15" s="5" t="s">
        <v>222</v>
      </c>
      <c r="C15" s="5"/>
      <c r="D15" s="4" t="s">
        <v>33</v>
      </c>
      <c r="E15" s="4" t="str">
        <f aca="false">'AU-3'!E20</f>
        <v>Non commencé</v>
      </c>
    </row>
    <row r="16" customFormat="false" ht="18" hidden="false" customHeight="true" outlineLevel="0" collapsed="false">
      <c r="A16" s="4" t="s">
        <v>35</v>
      </c>
      <c r="B16" s="5" t="s">
        <v>222</v>
      </c>
      <c r="C16" s="5"/>
      <c r="D16" s="4" t="s">
        <v>36</v>
      </c>
      <c r="E16" s="4" t="str">
        <f aca="false">'AU-3-1'!E20</f>
        <v>Non commencé</v>
      </c>
    </row>
    <row r="17" customFormat="false" ht="18" hidden="false" customHeight="true" outlineLevel="0" collapsed="false">
      <c r="A17" s="4" t="s">
        <v>37</v>
      </c>
      <c r="B17" s="5" t="s">
        <v>223</v>
      </c>
      <c r="C17" s="5"/>
      <c r="D17" s="4" t="s">
        <v>37</v>
      </c>
      <c r="E17" s="4" t="str">
        <f aca="false">'AU-5'!E20</f>
        <v>Non commencé</v>
      </c>
    </row>
    <row r="18" customFormat="false" ht="18" hidden="false" customHeight="true" outlineLevel="0" collapsed="false">
      <c r="A18" s="4" t="s">
        <v>39</v>
      </c>
      <c r="B18" s="5" t="s">
        <v>224</v>
      </c>
      <c r="C18" s="5"/>
      <c r="D18" s="4" t="s">
        <v>41</v>
      </c>
      <c r="E18" s="4" t="str">
        <f aca="false">'AU-6-1'!E20</f>
        <v>Non commencé</v>
      </c>
    </row>
    <row r="19" customFormat="false" ht="18" hidden="false" customHeight="true" outlineLevel="0" collapsed="false">
      <c r="A19" s="4" t="s">
        <v>42</v>
      </c>
      <c r="B19" s="5" t="s">
        <v>224</v>
      </c>
      <c r="C19" s="5"/>
      <c r="D19" s="4" t="s">
        <v>43</v>
      </c>
      <c r="E19" s="4" t="str">
        <f aca="false">'AU-6-3'!E20</f>
        <v>Non commencé</v>
      </c>
    </row>
    <row r="20" customFormat="false" ht="18" hidden="false" customHeight="true" outlineLevel="0" collapsed="false">
      <c r="A20" s="4" t="s">
        <v>44</v>
      </c>
      <c r="B20" s="5" t="s">
        <v>225</v>
      </c>
      <c r="C20" s="5"/>
      <c r="D20" s="4" t="s">
        <v>44</v>
      </c>
      <c r="E20" s="4" t="str">
        <f aca="false">'AU-7'!E20</f>
        <v>Non commencé</v>
      </c>
    </row>
    <row r="21" customFormat="false" ht="18" hidden="false" customHeight="true" outlineLevel="0" collapsed="false">
      <c r="A21" s="4" t="s">
        <v>46</v>
      </c>
      <c r="B21" s="5" t="s">
        <v>225</v>
      </c>
      <c r="C21" s="5"/>
      <c r="D21" s="4" t="s">
        <v>47</v>
      </c>
      <c r="E21" s="4" t="str">
        <f aca="false">'AU-7-1'!E20</f>
        <v>Non commencé</v>
      </c>
    </row>
    <row r="22" customFormat="false" ht="18" hidden="false" customHeight="true" outlineLevel="0" collapsed="false">
      <c r="A22" s="4" t="s">
        <v>48</v>
      </c>
      <c r="B22" s="5" t="s">
        <v>226</v>
      </c>
      <c r="C22" s="5"/>
      <c r="D22" s="4" t="s">
        <v>48</v>
      </c>
      <c r="E22" s="4" t="str">
        <f aca="false">'AU-8'!E20</f>
        <v>Non commencé</v>
      </c>
    </row>
    <row r="23" customFormat="false" ht="18" hidden="false" customHeight="true" outlineLevel="0" collapsed="false">
      <c r="A23" s="4" t="s">
        <v>50</v>
      </c>
      <c r="B23" s="5" t="s">
        <v>226</v>
      </c>
      <c r="C23" s="5"/>
      <c r="D23" s="4" t="s">
        <v>51</v>
      </c>
      <c r="E23" s="4" t="str">
        <f aca="false">'AU-8-1'!E20</f>
        <v>Non commencé</v>
      </c>
    </row>
    <row r="24" customFormat="false" ht="18" hidden="false" customHeight="true" outlineLevel="0" collapsed="false">
      <c r="A24" s="4" t="s">
        <v>52</v>
      </c>
      <c r="B24" s="5" t="s">
        <v>227</v>
      </c>
      <c r="C24" s="5"/>
      <c r="D24" s="4" t="s">
        <v>52</v>
      </c>
      <c r="E24" s="4" t="str">
        <f aca="false">'AU-9'!E20</f>
        <v>Non commencé</v>
      </c>
    </row>
    <row r="25" customFormat="false" ht="18" hidden="false" customHeight="true" outlineLevel="0" collapsed="false">
      <c r="A25" s="4" t="s">
        <v>54</v>
      </c>
      <c r="B25" s="5" t="s">
        <v>227</v>
      </c>
      <c r="C25" s="5"/>
      <c r="D25" s="4" t="s">
        <v>55</v>
      </c>
      <c r="E25" s="4" t="str">
        <f aca="false">'AU-9-2'!E20</f>
        <v>Non commencé</v>
      </c>
    </row>
    <row r="26" customFormat="false" ht="18" hidden="false" customHeight="true" outlineLevel="0" collapsed="false">
      <c r="A26" s="4" t="s">
        <v>56</v>
      </c>
      <c r="B26" s="5" t="s">
        <v>227</v>
      </c>
      <c r="C26" s="5"/>
      <c r="D26" s="4" t="s">
        <v>57</v>
      </c>
      <c r="E26" s="4" t="str">
        <f aca="false">'AU-9-4'!E20</f>
        <v>Non commencé</v>
      </c>
    </row>
    <row r="27" customFormat="false" ht="18" hidden="false" customHeight="true" outlineLevel="0" collapsed="false">
      <c r="A27" s="4" t="s">
        <v>58</v>
      </c>
      <c r="B27" s="5" t="s">
        <v>228</v>
      </c>
      <c r="C27" s="5"/>
      <c r="D27" s="4" t="s">
        <v>58</v>
      </c>
      <c r="E27" s="4" t="str">
        <f aca="false">'AU-11'!E20</f>
        <v>Non commencé</v>
      </c>
    </row>
    <row r="28" customFormat="false" ht="18" hidden="false" customHeight="true" outlineLevel="0" collapsed="false">
      <c r="A28" s="4" t="s">
        <v>60</v>
      </c>
      <c r="B28" s="5" t="s">
        <v>229</v>
      </c>
      <c r="C28" s="5"/>
      <c r="D28" s="4" t="s">
        <v>60</v>
      </c>
      <c r="E28" s="4" t="str">
        <f aca="false">'AU-12'!E20</f>
        <v>Non commencé</v>
      </c>
    </row>
    <row r="29" customFormat="false" ht="18" hidden="false" customHeight="true" outlineLevel="0" collapsed="false">
      <c r="A29" s="4" t="s">
        <v>62</v>
      </c>
      <c r="B29" s="5" t="s">
        <v>230</v>
      </c>
      <c r="C29" s="5"/>
      <c r="D29" s="4" t="s">
        <v>64</v>
      </c>
      <c r="E29" s="4" t="str">
        <f aca="false">'CA-3-5'!E20</f>
        <v>Non commencé</v>
      </c>
    </row>
    <row r="30" customFormat="false" ht="18" hidden="false" customHeight="true" outlineLevel="0" collapsed="false">
      <c r="A30" s="4" t="s">
        <v>65</v>
      </c>
      <c r="B30" s="5" t="s">
        <v>231</v>
      </c>
      <c r="C30" s="5"/>
      <c r="D30" s="4" t="s">
        <v>65</v>
      </c>
      <c r="E30" s="4" t="str">
        <f aca="false">'CA-9'!E20</f>
        <v>Non commencé</v>
      </c>
    </row>
    <row r="31" customFormat="false" ht="18" hidden="false" customHeight="true" outlineLevel="0" collapsed="false">
      <c r="A31" s="4" t="s">
        <v>67</v>
      </c>
      <c r="B31" s="5" t="s">
        <v>232</v>
      </c>
      <c r="C31" s="5"/>
      <c r="D31" s="4" t="s">
        <v>69</v>
      </c>
      <c r="E31" s="4" t="str">
        <f aca="false">'CM-5-1'!E20</f>
        <v>Non commencé</v>
      </c>
    </row>
    <row r="32" customFormat="false" ht="18" hidden="false" customHeight="true" outlineLevel="0" collapsed="false">
      <c r="A32" s="4" t="s">
        <v>70</v>
      </c>
      <c r="B32" s="5" t="s">
        <v>233</v>
      </c>
      <c r="C32" s="5"/>
      <c r="D32" s="4" t="s">
        <v>70</v>
      </c>
      <c r="E32" s="4" t="str">
        <f aca="false">'CM-6'!E20</f>
        <v>Non commencé</v>
      </c>
    </row>
    <row r="33" customFormat="false" ht="18" hidden="false" customHeight="true" outlineLevel="0" collapsed="false">
      <c r="A33" s="4" t="s">
        <v>72</v>
      </c>
      <c r="B33" s="5" t="s">
        <v>234</v>
      </c>
      <c r="C33" s="5"/>
      <c r="D33" s="4" t="s">
        <v>72</v>
      </c>
      <c r="E33" s="4" t="str">
        <f aca="false">'CM-7'!E20</f>
        <v>Non commencé</v>
      </c>
    </row>
    <row r="34" customFormat="false" ht="18" hidden="false" customHeight="true" outlineLevel="0" collapsed="false">
      <c r="A34" s="4" t="s">
        <v>74</v>
      </c>
      <c r="B34" s="5" t="s">
        <v>234</v>
      </c>
      <c r="C34" s="5"/>
      <c r="D34" s="4" t="s">
        <v>75</v>
      </c>
      <c r="E34" s="4" t="str">
        <f aca="false">'CM-7-1'!E20</f>
        <v>Non commencé</v>
      </c>
    </row>
    <row r="35" customFormat="false" ht="18" hidden="false" customHeight="true" outlineLevel="0" collapsed="false">
      <c r="A35" s="4" t="s">
        <v>76</v>
      </c>
      <c r="B35" s="5" t="s">
        <v>235</v>
      </c>
      <c r="C35" s="5"/>
      <c r="D35" s="4" t="s">
        <v>76</v>
      </c>
      <c r="E35" s="4" t="str">
        <f aca="false">'CM-10'!E20</f>
        <v>Non commencé</v>
      </c>
    </row>
    <row r="36" customFormat="false" ht="18" hidden="false" customHeight="true" outlineLevel="0" collapsed="false">
      <c r="A36" s="4" t="s">
        <v>78</v>
      </c>
      <c r="B36" s="5" t="s">
        <v>236</v>
      </c>
      <c r="C36" s="5"/>
      <c r="D36" s="4" t="s">
        <v>78</v>
      </c>
      <c r="E36" s="4" t="str">
        <f aca="false">'CP-6'!E20</f>
        <v>Non commencé</v>
      </c>
    </row>
    <row r="37" customFormat="false" ht="18" hidden="false" customHeight="true" outlineLevel="0" collapsed="false">
      <c r="A37" s="4" t="s">
        <v>80</v>
      </c>
      <c r="B37" s="5" t="s">
        <v>236</v>
      </c>
      <c r="C37" s="5"/>
      <c r="D37" s="4" t="s">
        <v>81</v>
      </c>
      <c r="E37" s="4" t="str">
        <f aca="false">'CP-6-2'!E20</f>
        <v>Non commencé</v>
      </c>
    </row>
    <row r="38" customFormat="false" ht="18" hidden="false" customHeight="true" outlineLevel="0" collapsed="false">
      <c r="A38" s="4" t="s">
        <v>82</v>
      </c>
      <c r="B38" s="5" t="s">
        <v>237</v>
      </c>
      <c r="C38" s="5"/>
      <c r="D38" s="4" t="s">
        <v>82</v>
      </c>
      <c r="E38" s="4" t="str">
        <f aca="false">'CP-7'!E20</f>
        <v>Non commencé</v>
      </c>
    </row>
    <row r="39" customFormat="false" ht="18" hidden="false" customHeight="true" outlineLevel="0" collapsed="false">
      <c r="A39" s="4" t="s">
        <v>84</v>
      </c>
      <c r="B39" s="5" t="s">
        <v>237</v>
      </c>
      <c r="C39" s="5"/>
      <c r="D39" s="4" t="s">
        <v>85</v>
      </c>
      <c r="E39" s="4" t="str">
        <f aca="false">'CP-7-4'!E20</f>
        <v>Non commencé</v>
      </c>
    </row>
    <row r="40" customFormat="false" ht="18" hidden="false" customHeight="true" outlineLevel="0" collapsed="false">
      <c r="A40" s="4" t="s">
        <v>86</v>
      </c>
      <c r="B40" s="5" t="s">
        <v>238</v>
      </c>
      <c r="C40" s="5"/>
      <c r="D40" s="4" t="s">
        <v>86</v>
      </c>
      <c r="E40" s="4" t="str">
        <f aca="false">'CP-10'!E20</f>
        <v>Non commencé</v>
      </c>
    </row>
    <row r="41" customFormat="false" ht="18" hidden="false" customHeight="true" outlineLevel="0" collapsed="false">
      <c r="A41" s="4" t="s">
        <v>88</v>
      </c>
      <c r="B41" s="5" t="s">
        <v>238</v>
      </c>
      <c r="C41" s="5"/>
      <c r="D41" s="4" t="s">
        <v>89</v>
      </c>
      <c r="E41" s="4" t="str">
        <f aca="false">'CP-10-4'!E20</f>
        <v>Non commencé</v>
      </c>
    </row>
    <row r="42" customFormat="false" ht="18" hidden="false" customHeight="true" outlineLevel="0" collapsed="false">
      <c r="A42" s="4" t="s">
        <v>90</v>
      </c>
      <c r="B42" s="5" t="s">
        <v>239</v>
      </c>
      <c r="C42" s="5"/>
      <c r="D42" s="4" t="s">
        <v>90</v>
      </c>
      <c r="E42" s="4" t="str">
        <f aca="false">'IA-3'!E20</f>
        <v>Non commencé</v>
      </c>
    </row>
    <row r="43" customFormat="false" ht="18" hidden="false" customHeight="true" outlineLevel="0" collapsed="false">
      <c r="A43" s="4" t="s">
        <v>92</v>
      </c>
      <c r="B43" s="5" t="s">
        <v>240</v>
      </c>
      <c r="C43" s="5"/>
      <c r="D43" s="4" t="s">
        <v>94</v>
      </c>
      <c r="E43" s="4" t="str">
        <f aca="false">'IA-5-4'!E20</f>
        <v>Non commencé</v>
      </c>
    </row>
    <row r="44" customFormat="false" ht="18" hidden="false" customHeight="true" outlineLevel="0" collapsed="false">
      <c r="A44" s="4" t="s">
        <v>95</v>
      </c>
      <c r="B44" s="5" t="s">
        <v>240</v>
      </c>
      <c r="C44" s="5"/>
      <c r="D44" s="4" t="s">
        <v>96</v>
      </c>
      <c r="E44" s="4" t="str">
        <f aca="false">'IA-5-6'!E20</f>
        <v>Non commencé</v>
      </c>
    </row>
    <row r="45" customFormat="false" ht="18" hidden="false" customHeight="true" outlineLevel="0" collapsed="false">
      <c r="A45" s="4" t="s">
        <v>97</v>
      </c>
      <c r="B45" s="5" t="s">
        <v>241</v>
      </c>
      <c r="C45" s="5"/>
      <c r="D45" s="4" t="s">
        <v>99</v>
      </c>
      <c r="E45" s="4" t="str">
        <f aca="false">'MA-4-6'!E20</f>
        <v>Non commencé</v>
      </c>
    </row>
    <row r="46" customFormat="false" ht="18" hidden="false" customHeight="true" outlineLevel="0" collapsed="false">
      <c r="A46" s="4" t="s">
        <v>100</v>
      </c>
      <c r="B46" s="5" t="s">
        <v>242</v>
      </c>
      <c r="C46" s="5"/>
      <c r="D46" s="4" t="s">
        <v>100</v>
      </c>
      <c r="E46" s="4" t="str">
        <f aca="false">'RA-5'!E20</f>
        <v>Non commencé</v>
      </c>
    </row>
    <row r="47" customFormat="false" ht="18" hidden="false" customHeight="true" outlineLevel="0" collapsed="false">
      <c r="A47" s="4" t="s">
        <v>102</v>
      </c>
      <c r="B47" s="5" t="s">
        <v>242</v>
      </c>
      <c r="C47" s="5"/>
      <c r="D47" s="4" t="s">
        <v>103</v>
      </c>
      <c r="E47" s="4" t="str">
        <f aca="false">'RA-5-1'!E20</f>
        <v>Non commencé</v>
      </c>
    </row>
    <row r="48" customFormat="false" ht="18" hidden="false" customHeight="true" outlineLevel="0" collapsed="false">
      <c r="A48" s="4" t="s">
        <v>104</v>
      </c>
      <c r="B48" s="5" t="s">
        <v>242</v>
      </c>
      <c r="C48" s="5"/>
      <c r="D48" s="4" t="s">
        <v>105</v>
      </c>
      <c r="E48" s="4" t="str">
        <f aca="false">'RA-5-2'!E20</f>
        <v>Non commencé</v>
      </c>
    </row>
    <row r="49" customFormat="false" ht="18" hidden="false" customHeight="true" outlineLevel="0" collapsed="false">
      <c r="A49" s="4" t="s">
        <v>106</v>
      </c>
      <c r="B49" s="5" t="s">
        <v>242</v>
      </c>
      <c r="C49" s="5"/>
      <c r="D49" s="4" t="s">
        <v>107</v>
      </c>
      <c r="E49" s="4" t="str">
        <f aca="false">'RA-5-3'!E20</f>
        <v>Non commencé</v>
      </c>
    </row>
    <row r="50" customFormat="false" ht="18" hidden="false" customHeight="true" outlineLevel="0" collapsed="false">
      <c r="A50" s="4" t="s">
        <v>108</v>
      </c>
      <c r="B50" s="5" t="s">
        <v>242</v>
      </c>
      <c r="C50" s="5"/>
      <c r="D50" s="4" t="s">
        <v>109</v>
      </c>
      <c r="E50" s="4" t="str">
        <f aca="false">'RA-5-5'!E20</f>
        <v>Non commencé</v>
      </c>
    </row>
    <row r="51" customFormat="false" ht="18" hidden="false" customHeight="true" outlineLevel="0" collapsed="false">
      <c r="A51" s="4" t="s">
        <v>110</v>
      </c>
      <c r="B51" s="5" t="s">
        <v>242</v>
      </c>
      <c r="C51" s="5"/>
      <c r="D51" s="4" t="s">
        <v>111</v>
      </c>
      <c r="E51" s="4" t="str">
        <f aca="false">'RA-5-6'!E20</f>
        <v>Non commencé</v>
      </c>
    </row>
    <row r="52" customFormat="false" ht="18" hidden="false" customHeight="true" outlineLevel="0" collapsed="false">
      <c r="A52" s="4" t="s">
        <v>112</v>
      </c>
      <c r="B52" s="5" t="s">
        <v>242</v>
      </c>
      <c r="C52" s="5"/>
      <c r="D52" s="4" t="s">
        <v>113</v>
      </c>
      <c r="E52" s="4" t="str">
        <f aca="false">'RA-5-8'!E20</f>
        <v>Non commencé</v>
      </c>
    </row>
    <row r="53" customFormat="false" ht="18" hidden="false" customHeight="true" outlineLevel="0" collapsed="false">
      <c r="A53" s="4" t="s">
        <v>114</v>
      </c>
      <c r="B53" s="5" t="s">
        <v>243</v>
      </c>
      <c r="C53" s="5"/>
      <c r="D53" s="4" t="s">
        <v>116</v>
      </c>
      <c r="E53" s="4" t="str">
        <f aca="false">'SA-9-5'!E20</f>
        <v>Non commencé</v>
      </c>
    </row>
    <row r="54" customFormat="false" ht="18" hidden="false" customHeight="true" outlineLevel="0" collapsed="false">
      <c r="A54" s="4" t="s">
        <v>117</v>
      </c>
      <c r="B54" s="5" t="s">
        <v>244</v>
      </c>
      <c r="C54" s="5"/>
      <c r="D54" s="4" t="s">
        <v>117</v>
      </c>
      <c r="E54" s="4" t="str">
        <f aca="false">'SC-2'!E20</f>
        <v>Non commencé</v>
      </c>
    </row>
    <row r="55" customFormat="false" ht="18" hidden="false" customHeight="true" outlineLevel="0" collapsed="false">
      <c r="A55" s="4" t="s">
        <v>119</v>
      </c>
      <c r="B55" s="5" t="s">
        <v>245</v>
      </c>
      <c r="C55" s="5"/>
      <c r="D55" s="4" t="s">
        <v>119</v>
      </c>
      <c r="E55" s="4" t="str">
        <f aca="false">'SC-4'!E20</f>
        <v>Non commencé</v>
      </c>
    </row>
    <row r="56" customFormat="false" ht="18" hidden="false" customHeight="true" outlineLevel="0" collapsed="false">
      <c r="A56" s="4" t="s">
        <v>121</v>
      </c>
      <c r="B56" s="5" t="s">
        <v>246</v>
      </c>
      <c r="C56" s="5"/>
      <c r="D56" s="4" t="s">
        <v>121</v>
      </c>
      <c r="E56" s="4" t="str">
        <f aca="false">'SC-5'!E20</f>
        <v>Non commencé</v>
      </c>
    </row>
    <row r="57" customFormat="false" ht="18" hidden="false" customHeight="true" outlineLevel="0" collapsed="false">
      <c r="A57" s="4" t="s">
        <v>123</v>
      </c>
      <c r="B57" s="5" t="s">
        <v>247</v>
      </c>
      <c r="C57" s="5"/>
      <c r="D57" s="4" t="s">
        <v>123</v>
      </c>
      <c r="E57" s="4" t="str">
        <f aca="false">'SC-7'!E20</f>
        <v>Non commencé</v>
      </c>
    </row>
    <row r="58" customFormat="false" ht="18" hidden="false" customHeight="true" outlineLevel="0" collapsed="false">
      <c r="A58" s="4" t="s">
        <v>125</v>
      </c>
      <c r="B58" s="5" t="s">
        <v>247</v>
      </c>
      <c r="C58" s="5"/>
      <c r="D58" s="4" t="s">
        <v>126</v>
      </c>
      <c r="E58" s="4" t="str">
        <f aca="false">'SC-7-3'!E20</f>
        <v>Non commencé</v>
      </c>
    </row>
    <row r="59" customFormat="false" ht="18" hidden="false" customHeight="true" outlineLevel="0" collapsed="false">
      <c r="A59" s="4" t="s">
        <v>127</v>
      </c>
      <c r="B59" s="5" t="s">
        <v>247</v>
      </c>
      <c r="C59" s="5"/>
      <c r="D59" s="4" t="s">
        <v>128</v>
      </c>
      <c r="E59" s="4" t="str">
        <f aca="false">'SC-7-4'!E20</f>
        <v>Non commencé</v>
      </c>
    </row>
    <row r="60" customFormat="false" ht="18" hidden="false" customHeight="true" outlineLevel="0" collapsed="false">
      <c r="A60" s="4" t="s">
        <v>129</v>
      </c>
      <c r="B60" s="5" t="s">
        <v>247</v>
      </c>
      <c r="C60" s="5"/>
      <c r="D60" s="4" t="s">
        <v>130</v>
      </c>
      <c r="E60" s="4" t="str">
        <f aca="false">'SC-7-5'!E20</f>
        <v>Non commencé</v>
      </c>
    </row>
    <row r="61" customFormat="false" ht="18" hidden="false" customHeight="true" outlineLevel="0" collapsed="false">
      <c r="A61" s="4" t="s">
        <v>131</v>
      </c>
      <c r="B61" s="5" t="s">
        <v>247</v>
      </c>
      <c r="C61" s="5"/>
      <c r="D61" s="4" t="s">
        <v>132</v>
      </c>
      <c r="E61" s="4" t="str">
        <f aca="false">'SC-7-8'!E20</f>
        <v>Non commencé</v>
      </c>
    </row>
    <row r="62" customFormat="false" ht="18" hidden="false" customHeight="true" outlineLevel="0" collapsed="false">
      <c r="A62" s="4" t="s">
        <v>133</v>
      </c>
      <c r="B62" s="5" t="s">
        <v>247</v>
      </c>
      <c r="C62" s="5"/>
      <c r="D62" s="4" t="s">
        <v>134</v>
      </c>
      <c r="E62" s="4" t="str">
        <f aca="false">'SC-7-18'!E20</f>
        <v>Non commencé</v>
      </c>
    </row>
    <row r="63" customFormat="false" ht="18" hidden="false" customHeight="true" outlineLevel="0" collapsed="false">
      <c r="A63" s="4" t="s">
        <v>135</v>
      </c>
      <c r="B63" s="5" t="s">
        <v>248</v>
      </c>
      <c r="C63" s="5"/>
      <c r="D63" s="4" t="s">
        <v>135</v>
      </c>
      <c r="E63" s="4" t="str">
        <f aca="false">'SC-8'!E20</f>
        <v>Non commencé</v>
      </c>
    </row>
    <row r="64" customFormat="false" ht="18" hidden="false" customHeight="true" outlineLevel="0" collapsed="false">
      <c r="A64" s="4" t="s">
        <v>137</v>
      </c>
      <c r="B64" s="5" t="s">
        <v>248</v>
      </c>
      <c r="C64" s="5"/>
      <c r="D64" s="4" t="s">
        <v>138</v>
      </c>
      <c r="E64" s="4" t="str">
        <f aca="false">'SC-8-1'!E20</f>
        <v>Non commencé</v>
      </c>
    </row>
    <row r="65" customFormat="false" ht="18" hidden="false" customHeight="true" outlineLevel="0" collapsed="false">
      <c r="A65" s="4" t="s">
        <v>139</v>
      </c>
      <c r="B65" s="5" t="s">
        <v>249</v>
      </c>
      <c r="C65" s="5"/>
      <c r="D65" s="4" t="s">
        <v>139</v>
      </c>
      <c r="E65" s="4" t="str">
        <f aca="false">'SC-10'!E20</f>
        <v>Non commencé</v>
      </c>
    </row>
    <row r="66" customFormat="false" ht="18" hidden="false" customHeight="true" outlineLevel="0" collapsed="false">
      <c r="A66" s="4" t="s">
        <v>141</v>
      </c>
      <c r="B66" s="5" t="s">
        <v>250</v>
      </c>
      <c r="C66" s="5"/>
      <c r="D66" s="4" t="s">
        <v>141</v>
      </c>
      <c r="E66" s="4" t="str">
        <f aca="false">'SC-12'!E20</f>
        <v>Non commencé</v>
      </c>
    </row>
    <row r="67" customFormat="false" ht="18" hidden="false" customHeight="true" outlineLevel="0" collapsed="false">
      <c r="A67" s="4" t="s">
        <v>143</v>
      </c>
      <c r="B67" s="5" t="s">
        <v>250</v>
      </c>
      <c r="C67" s="5"/>
      <c r="D67" s="4" t="s">
        <v>144</v>
      </c>
      <c r="E67" s="4" t="str">
        <f aca="false">'SC-12-1'!E20</f>
        <v>Non commencé</v>
      </c>
    </row>
    <row r="68" customFormat="false" ht="18" hidden="false" customHeight="true" outlineLevel="0" collapsed="false">
      <c r="A68" s="4" t="s">
        <v>145</v>
      </c>
      <c r="B68" s="5" t="s">
        <v>250</v>
      </c>
      <c r="C68" s="5"/>
      <c r="D68" s="4" t="s">
        <v>146</v>
      </c>
      <c r="E68" s="4" t="str">
        <f aca="false">'SC-12-2'!E20</f>
        <v>Non commencé</v>
      </c>
    </row>
    <row r="69" customFormat="false" ht="18" hidden="false" customHeight="true" outlineLevel="0" collapsed="false">
      <c r="A69" s="4" t="s">
        <v>147</v>
      </c>
      <c r="B69" s="5" t="s">
        <v>250</v>
      </c>
      <c r="C69" s="5"/>
      <c r="D69" s="4" t="s">
        <v>148</v>
      </c>
      <c r="E69" s="4" t="str">
        <f aca="false">'SC-12-3'!E20</f>
        <v>Non commencé</v>
      </c>
    </row>
    <row r="70" customFormat="false" ht="18" hidden="false" customHeight="true" outlineLevel="0" collapsed="false">
      <c r="A70" s="4" t="s">
        <v>149</v>
      </c>
      <c r="B70" s="5" t="s">
        <v>251</v>
      </c>
      <c r="C70" s="5"/>
      <c r="D70" s="4" t="s">
        <v>149</v>
      </c>
      <c r="E70" s="4" t="str">
        <f aca="false">'SC-13'!E20</f>
        <v>Non commencé</v>
      </c>
    </row>
    <row r="71" customFormat="false" ht="18" hidden="false" customHeight="true" outlineLevel="0" collapsed="false">
      <c r="A71" s="4" t="s">
        <v>151</v>
      </c>
      <c r="B71" s="5" t="s">
        <v>252</v>
      </c>
      <c r="C71" s="5"/>
      <c r="D71" s="4" t="s">
        <v>151</v>
      </c>
      <c r="E71" s="4" t="str">
        <f aca="false">'SC-17'!E20</f>
        <v>Non commencé</v>
      </c>
    </row>
    <row r="72" customFormat="false" ht="18" hidden="false" customHeight="true" outlineLevel="0" collapsed="false">
      <c r="A72" s="4" t="s">
        <v>153</v>
      </c>
      <c r="B72" s="5" t="s">
        <v>253</v>
      </c>
      <c r="C72" s="5"/>
      <c r="D72" s="4" t="s">
        <v>153</v>
      </c>
      <c r="E72" s="4" t="str">
        <f aca="false">'SC-18'!E20</f>
        <v>Non commencé</v>
      </c>
    </row>
    <row r="73" customFormat="false" ht="18" hidden="false" customHeight="true" outlineLevel="0" collapsed="false">
      <c r="A73" s="4" t="s">
        <v>155</v>
      </c>
      <c r="B73" s="5" t="s">
        <v>254</v>
      </c>
      <c r="C73" s="5"/>
      <c r="D73" s="4" t="s">
        <v>155</v>
      </c>
      <c r="E73" s="4" t="str">
        <f aca="false">'SC-23'!E20</f>
        <v>Non commencé</v>
      </c>
    </row>
    <row r="74" customFormat="false" ht="18" hidden="false" customHeight="true" outlineLevel="0" collapsed="false">
      <c r="A74" s="4" t="s">
        <v>157</v>
      </c>
      <c r="B74" s="5" t="s">
        <v>254</v>
      </c>
      <c r="C74" s="5"/>
      <c r="D74" s="4" t="s">
        <v>158</v>
      </c>
      <c r="E74" s="4" t="str">
        <f aca="false">'SC-23-1'!E20</f>
        <v>Non commencé</v>
      </c>
    </row>
    <row r="75" customFormat="false" ht="18" hidden="false" customHeight="true" outlineLevel="0" collapsed="false">
      <c r="A75" s="4" t="s">
        <v>159</v>
      </c>
      <c r="B75" s="5" t="s">
        <v>255</v>
      </c>
      <c r="C75" s="5"/>
      <c r="D75" s="4" t="s">
        <v>159</v>
      </c>
      <c r="E75" s="4" t="str">
        <f aca="false">'SC-28'!E20</f>
        <v>Non commencé</v>
      </c>
    </row>
    <row r="76" customFormat="false" ht="18" hidden="false" customHeight="true" outlineLevel="0" collapsed="false">
      <c r="A76" s="4" t="s">
        <v>161</v>
      </c>
      <c r="B76" s="5" t="s">
        <v>255</v>
      </c>
      <c r="C76" s="5"/>
      <c r="D76" s="4" t="s">
        <v>162</v>
      </c>
      <c r="E76" s="4" t="str">
        <f aca="false">'SC-28-1'!E20</f>
        <v>Non commencé</v>
      </c>
    </row>
    <row r="77" customFormat="false" ht="18" hidden="false" customHeight="true" outlineLevel="0" collapsed="false">
      <c r="A77" s="4" t="s">
        <v>163</v>
      </c>
      <c r="B77" s="5" t="s">
        <v>256</v>
      </c>
      <c r="C77" s="5"/>
      <c r="D77" s="4" t="s">
        <v>163</v>
      </c>
      <c r="E77" s="4" t="str">
        <f aca="false">'SI-2'!E20</f>
        <v>Non commencé</v>
      </c>
    </row>
    <row r="78" customFormat="false" ht="18" hidden="false" customHeight="true" outlineLevel="0" collapsed="false">
      <c r="A78" s="4" t="s">
        <v>165</v>
      </c>
      <c r="B78" s="5" t="s">
        <v>256</v>
      </c>
      <c r="C78" s="5"/>
      <c r="D78" s="4" t="s">
        <v>166</v>
      </c>
      <c r="E78" s="4" t="str">
        <f aca="false">'SI-2-2'!E20</f>
        <v>Non commencé</v>
      </c>
    </row>
    <row r="79" customFormat="false" ht="18" hidden="false" customHeight="true" outlineLevel="0" collapsed="false">
      <c r="A79" s="4" t="s">
        <v>167</v>
      </c>
      <c r="B79" s="5" t="s">
        <v>257</v>
      </c>
      <c r="C79" s="5"/>
      <c r="D79" s="4" t="s">
        <v>167</v>
      </c>
      <c r="E79" s="4" t="str">
        <f aca="false">'SI-3'!E20</f>
        <v>Non commencé</v>
      </c>
    </row>
    <row r="80" customFormat="false" ht="18" hidden="false" customHeight="true" outlineLevel="0" collapsed="false">
      <c r="A80" s="4" t="s">
        <v>169</v>
      </c>
      <c r="B80" s="5" t="s">
        <v>257</v>
      </c>
      <c r="C80" s="5"/>
      <c r="D80" s="4" t="s">
        <v>170</v>
      </c>
      <c r="E80" s="4" t="str">
        <f aca="false">'SI-3-1'!E20</f>
        <v>Non commencé</v>
      </c>
    </row>
    <row r="81" customFormat="false" ht="18" hidden="false" customHeight="true" outlineLevel="0" collapsed="false">
      <c r="A81" s="4" t="s">
        <v>171</v>
      </c>
      <c r="B81" s="5" t="s">
        <v>257</v>
      </c>
      <c r="C81" s="5"/>
      <c r="D81" s="4" t="s">
        <v>172</v>
      </c>
      <c r="E81" s="4" t="str">
        <f aca="false">'SI-3-2'!E20</f>
        <v>Non commencé</v>
      </c>
    </row>
    <row r="82" customFormat="false" ht="18" hidden="false" customHeight="true" outlineLevel="0" collapsed="false">
      <c r="A82" s="4" t="s">
        <v>173</v>
      </c>
      <c r="B82" s="5" t="s">
        <v>257</v>
      </c>
      <c r="C82" s="5"/>
      <c r="D82" s="4" t="s">
        <v>174</v>
      </c>
      <c r="E82" s="4" t="str">
        <f aca="false">'SI-3-7'!E20</f>
        <v>Non commencé</v>
      </c>
    </row>
    <row r="83" customFormat="false" ht="18" hidden="false" customHeight="true" outlineLevel="0" collapsed="false">
      <c r="A83" s="4" t="s">
        <v>175</v>
      </c>
      <c r="B83" s="5" t="s">
        <v>258</v>
      </c>
      <c r="C83" s="5"/>
      <c r="D83" s="4" t="s">
        <v>175</v>
      </c>
      <c r="E83" s="4" t="str">
        <f aca="false">'SI-4'!E20</f>
        <v>Non commencé</v>
      </c>
    </row>
    <row r="84" customFormat="false" ht="18" hidden="false" customHeight="true" outlineLevel="0" collapsed="false">
      <c r="A84" s="4" t="s">
        <v>177</v>
      </c>
      <c r="B84" s="5" t="s">
        <v>258</v>
      </c>
      <c r="C84" s="5"/>
      <c r="D84" s="4" t="s">
        <v>178</v>
      </c>
      <c r="E84" s="4" t="str">
        <f aca="false">'SI-4-1'!E20</f>
        <v>Non commencé</v>
      </c>
    </row>
    <row r="85" customFormat="false" ht="18" hidden="false" customHeight="true" outlineLevel="0" collapsed="false">
      <c r="A85" s="4" t="s">
        <v>179</v>
      </c>
      <c r="B85" s="5" t="s">
        <v>258</v>
      </c>
      <c r="C85" s="5"/>
      <c r="D85" s="4" t="s">
        <v>180</v>
      </c>
      <c r="E85" s="4" t="str">
        <f aca="false">'SI-4-2'!E20</f>
        <v>Non commencé</v>
      </c>
    </row>
    <row r="86" customFormat="false" ht="18" hidden="false" customHeight="true" outlineLevel="0" collapsed="false">
      <c r="A86" s="4" t="s">
        <v>181</v>
      </c>
      <c r="B86" s="5" t="s">
        <v>258</v>
      </c>
      <c r="C86" s="5"/>
      <c r="D86" s="4" t="s">
        <v>182</v>
      </c>
      <c r="E86" s="4" t="str">
        <f aca="false">'SI-4-4'!E20</f>
        <v>Non commencé</v>
      </c>
    </row>
    <row r="87" customFormat="false" ht="18" hidden="false" customHeight="true" outlineLevel="0" collapsed="false">
      <c r="A87" s="4" t="s">
        <v>183</v>
      </c>
      <c r="B87" s="5" t="s">
        <v>258</v>
      </c>
      <c r="C87" s="5"/>
      <c r="D87" s="4" t="s">
        <v>184</v>
      </c>
      <c r="E87" s="4" t="str">
        <f aca="false">'SI-4-5'!E20</f>
        <v>Non commencé</v>
      </c>
    </row>
    <row r="88" customFormat="false" ht="18" hidden="false" customHeight="true" outlineLevel="0" collapsed="false">
      <c r="A88" s="4" t="s">
        <v>185</v>
      </c>
      <c r="B88" s="5" t="s">
        <v>258</v>
      </c>
      <c r="C88" s="5"/>
      <c r="D88" s="4" t="s">
        <v>186</v>
      </c>
      <c r="E88" s="4" t="str">
        <f aca="false">'SI-4-11'!E20</f>
        <v>Non commencé</v>
      </c>
    </row>
    <row r="89" customFormat="false" ht="18" hidden="false" customHeight="true" outlineLevel="0" collapsed="false">
      <c r="A89" s="4" t="s">
        <v>187</v>
      </c>
      <c r="B89" s="5" t="s">
        <v>259</v>
      </c>
      <c r="C89" s="5"/>
      <c r="D89" s="4" t="s">
        <v>187</v>
      </c>
      <c r="E89" s="4" t="str">
        <f aca="false">'SI-6'!E20</f>
        <v>Non commencé</v>
      </c>
    </row>
    <row r="90" customFormat="false" ht="18" hidden="false" customHeight="true" outlineLevel="0" collapsed="false">
      <c r="A90" s="4" t="s">
        <v>189</v>
      </c>
      <c r="B90" s="5" t="s">
        <v>260</v>
      </c>
      <c r="C90" s="5"/>
      <c r="D90" s="4" t="s">
        <v>191</v>
      </c>
      <c r="E90" s="4" t="str">
        <f aca="false">'SI-7-7'!E20</f>
        <v>Non commencé</v>
      </c>
    </row>
    <row r="91" customFormat="false" ht="18" hidden="false" customHeight="true" outlineLevel="0" collapsed="false">
      <c r="A91" s="4" t="s">
        <v>192</v>
      </c>
      <c r="B91" s="5" t="s">
        <v>261</v>
      </c>
      <c r="C91" s="5"/>
      <c r="D91" s="4" t="s">
        <v>192</v>
      </c>
      <c r="E91" s="4" t="str">
        <f aca="false">'SI-8'!E20</f>
        <v>Non commencé</v>
      </c>
    </row>
    <row r="92" customFormat="false" ht="18" hidden="false" customHeight="true" outlineLevel="0" collapsed="false">
      <c r="A92" s="4" t="s">
        <v>194</v>
      </c>
      <c r="B92" s="5" t="s">
        <v>261</v>
      </c>
      <c r="C92" s="5"/>
      <c r="D92" s="4" t="s">
        <v>195</v>
      </c>
      <c r="E92" s="4" t="str">
        <f aca="false">'SI-8-1'!E20</f>
        <v>Non commencé</v>
      </c>
    </row>
    <row r="93" customFormat="false" ht="18" hidden="false" customHeight="true" outlineLevel="0" collapsed="false">
      <c r="A93" s="4" t="s">
        <v>196</v>
      </c>
      <c r="B93" s="5" t="s">
        <v>261</v>
      </c>
      <c r="C93" s="5"/>
      <c r="D93" s="4" t="s">
        <v>197</v>
      </c>
      <c r="E93" s="4" t="str">
        <f aca="false">'SI-8-2'!E20</f>
        <v>Non commencé</v>
      </c>
    </row>
    <row r="94" customFormat="false" ht="18" hidden="false" customHeight="true" outlineLevel="0" collapsed="false">
      <c r="A94" s="4" t="s">
        <v>198</v>
      </c>
      <c r="B94" s="5" t="s">
        <v>262</v>
      </c>
      <c r="C94" s="5"/>
      <c r="D94" s="4" t="s">
        <v>198</v>
      </c>
      <c r="E94" s="4" t="str">
        <f aca="false">'SI-11'!E20</f>
        <v>Non commencé</v>
      </c>
    </row>
    <row r="96" customFormat="false" ht="21.75" hidden="false" customHeight="true" outlineLevel="0" collapsed="false">
      <c r="A96" s="6" t="s">
        <v>263</v>
      </c>
      <c r="B96" s="6"/>
      <c r="C96" s="6"/>
      <c r="D96" s="6"/>
      <c r="E96" s="6"/>
    </row>
    <row r="97" customFormat="false" ht="19.5" hidden="false" customHeight="true" outlineLevel="0" collapsed="false">
      <c r="A97" s="7" t="s">
        <v>264</v>
      </c>
      <c r="B97" s="7"/>
      <c r="C97" s="7"/>
      <c r="D97" s="7"/>
      <c r="E97" s="8" t="n">
        <f aca="false">92</f>
        <v>92</v>
      </c>
    </row>
    <row r="98" customFormat="false" ht="19.5" hidden="false" customHeight="true" outlineLevel="0" collapsed="false">
      <c r="A98" s="7" t="s">
        <v>265</v>
      </c>
      <c r="B98" s="7"/>
      <c r="C98" s="7"/>
      <c r="D98" s="7"/>
      <c r="E98" s="8" t="n">
        <f aca="false">COUNTIF(E3:E94,"Non commencé")</f>
        <v>92</v>
      </c>
    </row>
    <row r="99" customFormat="false" ht="19.5" hidden="false" customHeight="true" outlineLevel="0" collapsed="false">
      <c r="A99" s="7" t="s">
        <v>266</v>
      </c>
      <c r="B99" s="7"/>
      <c r="C99" s="7"/>
      <c r="D99" s="7"/>
      <c r="E99" s="8" t="n">
        <f aca="false">COUNTIF(E3:E94,"En cours")</f>
        <v>0</v>
      </c>
    </row>
    <row r="100" customFormat="false" ht="19.5" hidden="false" customHeight="true" outlineLevel="0" collapsed="false">
      <c r="A100" s="7" t="s">
        <v>267</v>
      </c>
      <c r="B100" s="7"/>
      <c r="C100" s="7"/>
      <c r="D100" s="7"/>
      <c r="E100" s="8" t="n">
        <f aca="false">COUNTIF(E3:E94,"Preuve fournie")</f>
        <v>0</v>
      </c>
    </row>
    <row r="101" customFormat="false" ht="19.5" hidden="false" customHeight="true" outlineLevel="0" collapsed="false">
      <c r="A101" s="7" t="s">
        <v>268</v>
      </c>
      <c r="B101" s="7"/>
      <c r="C101" s="7"/>
      <c r="D101" s="7"/>
      <c r="E101" s="8" t="n">
        <f aca="false">COUNTIF(E3:E94,"En révision")</f>
        <v>0</v>
      </c>
    </row>
    <row r="102" customFormat="false" ht="19.5" hidden="false" customHeight="true" outlineLevel="0" collapsed="false">
      <c r="A102" s="7" t="s">
        <v>269</v>
      </c>
      <c r="B102" s="7"/>
      <c r="C102" s="7"/>
      <c r="D102" s="7"/>
      <c r="E102" s="8" t="n">
        <f aca="false">COUNTIF(E3:E94,"Réussi")</f>
        <v>0</v>
      </c>
    </row>
    <row r="103" customFormat="false" ht="19.5" hidden="false" customHeight="true" outlineLevel="0" collapsed="false">
      <c r="A103" s="7" t="s">
        <v>270</v>
      </c>
      <c r="B103" s="7"/>
      <c r="C103" s="7"/>
      <c r="D103" s="7"/>
      <c r="E103" s="8" t="n">
        <f aca="false">COUNTIF(E3:E94,"Échec")</f>
        <v>0</v>
      </c>
    </row>
    <row r="104" customFormat="false" ht="19.5" hidden="false" customHeight="true" outlineLevel="0" collapsed="false">
      <c r="A104" s="7" t="s">
        <v>271</v>
      </c>
      <c r="B104" s="7"/>
      <c r="C104" s="7"/>
      <c r="D104" s="7"/>
      <c r="E104" s="8" t="n">
        <f aca="false">COUNTIF(E3:E94,"Exception acceptée")</f>
        <v>0</v>
      </c>
    </row>
    <row r="105" customFormat="false" ht="19.5" hidden="false" customHeight="true" outlineLevel="0" collapsed="false">
      <c r="A105" s="7" t="s">
        <v>272</v>
      </c>
      <c r="B105" s="7"/>
      <c r="C105" s="7"/>
      <c r="D105" s="7"/>
      <c r="E105" s="9" t="n">
        <f aca="false">IFERROR(COUNTIF(E3:E94,"Réussi")/92,0)</f>
        <v>0</v>
      </c>
    </row>
    <row r="106" customFormat="false" ht="19.5" hidden="false" customHeight="true" outlineLevel="0" collapsed="false">
      <c r="A106" s="7" t="s">
        <v>273</v>
      </c>
      <c r="B106" s="7"/>
      <c r="C106" s="7"/>
      <c r="D106" s="7"/>
      <c r="E106" s="9" t="n">
        <f aca="false">IFERROR(COUNTIF(E3:E94,"Non commencé")/92,0)</f>
        <v>1</v>
      </c>
    </row>
  </sheetData>
  <mergeCells count="12">
    <mergeCell ref="A1:E1"/>
    <mergeCell ref="A96:E96"/>
    <mergeCell ref="A97:D97"/>
    <mergeCell ref="A98:D98"/>
    <mergeCell ref="A99:D99"/>
    <mergeCell ref="A100:D100"/>
    <mergeCell ref="A101:D101"/>
    <mergeCell ref="A102:D102"/>
    <mergeCell ref="A103:D103"/>
    <mergeCell ref="A104:D104"/>
    <mergeCell ref="A105:D105"/>
    <mergeCell ref="A106:D10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274</v>
      </c>
      <c r="B1" s="10"/>
      <c r="D1" s="10" t="s">
        <v>275</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6</v>
      </c>
      <c r="D3" s="12" t="s">
        <v>279</v>
      </c>
      <c r="E3" s="13" t="s">
        <v>6</v>
      </c>
    </row>
    <row r="4" customFormat="false" ht="21.75" hidden="false" customHeight="true" outlineLevel="0" collapsed="false">
      <c r="A4" s="12" t="s">
        <v>280</v>
      </c>
      <c r="B4" s="13" t="s">
        <v>7</v>
      </c>
      <c r="D4" s="12" t="s">
        <v>281</v>
      </c>
      <c r="E4" s="13" t="s">
        <v>217</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64.5" hidden="false" customHeight="true" outlineLevel="0" collapsed="false">
      <c r="A8" s="12" t="s">
        <v>290</v>
      </c>
      <c r="B8" s="13" t="s">
        <v>291</v>
      </c>
      <c r="D8" s="12" t="s">
        <v>292</v>
      </c>
      <c r="E8" s="13" t="s">
        <v>293</v>
      </c>
    </row>
    <row r="9" customFormat="false" ht="45" hidden="false" customHeight="true" outlineLevel="0" collapsed="false">
      <c r="A9" s="12" t="s">
        <v>294</v>
      </c>
      <c r="B9" s="13"/>
      <c r="D9" s="12" t="s">
        <v>295</v>
      </c>
      <c r="E9" s="13"/>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299</v>
      </c>
      <c r="D11" s="12" t="s">
        <v>298</v>
      </c>
      <c r="E11" s="13" t="s">
        <v>299</v>
      </c>
    </row>
    <row r="12" customFormat="false" ht="21.75" hidden="false" customHeight="true" outlineLevel="0" collapsed="false">
      <c r="A12" s="12" t="s">
        <v>300</v>
      </c>
      <c r="B12" s="13" t="s">
        <v>6</v>
      </c>
      <c r="D12" s="12" t="s">
        <v>301</v>
      </c>
      <c r="E12" s="13" t="s">
        <v>6</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3D69B"/>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317</v>
      </c>
      <c r="B1" s="10"/>
      <c r="D1" s="10" t="s">
        <v>318</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9</v>
      </c>
      <c r="D3" s="12" t="s">
        <v>279</v>
      </c>
      <c r="E3" s="13" t="s">
        <v>9</v>
      </c>
    </row>
    <row r="4" customFormat="false" ht="21.75" hidden="false" customHeight="true" outlineLevel="0" collapsed="false">
      <c r="A4" s="12" t="s">
        <v>280</v>
      </c>
      <c r="B4" s="13" t="s">
        <v>7</v>
      </c>
      <c r="D4" s="12" t="s">
        <v>281</v>
      </c>
      <c r="E4" s="13" t="s">
        <v>217</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51.75" hidden="false" customHeight="true" outlineLevel="0" collapsed="false">
      <c r="A8" s="12" t="s">
        <v>290</v>
      </c>
      <c r="B8" s="13" t="s">
        <v>319</v>
      </c>
      <c r="D8" s="12" t="s">
        <v>292</v>
      </c>
      <c r="E8" s="13" t="s">
        <v>320</v>
      </c>
    </row>
    <row r="9" customFormat="false" ht="45" hidden="false" customHeight="true" outlineLevel="0" collapsed="false">
      <c r="A9" s="12" t="s">
        <v>294</v>
      </c>
      <c r="B9" s="13"/>
      <c r="D9" s="12" t="s">
        <v>295</v>
      </c>
      <c r="E9" s="13"/>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321</v>
      </c>
      <c r="D11" s="12" t="s">
        <v>298</v>
      </c>
      <c r="E11" s="13" t="s">
        <v>321</v>
      </c>
    </row>
    <row r="12" customFormat="false" ht="21.75" hidden="false" customHeight="true" outlineLevel="0" collapsed="false">
      <c r="A12" s="12" t="s">
        <v>300</v>
      </c>
      <c r="B12" s="13" t="s">
        <v>9</v>
      </c>
      <c r="D12" s="12" t="s">
        <v>301</v>
      </c>
      <c r="E12" s="13" t="s">
        <v>9</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322</v>
      </c>
      <c r="B1" s="10"/>
      <c r="D1" s="10" t="s">
        <v>323</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11</v>
      </c>
      <c r="D3" s="12" t="s">
        <v>279</v>
      </c>
      <c r="E3" s="13" t="s">
        <v>11</v>
      </c>
    </row>
    <row r="4" customFormat="false" ht="21.75" hidden="false" customHeight="true" outlineLevel="0" collapsed="false">
      <c r="A4" s="12" t="s">
        <v>280</v>
      </c>
      <c r="B4" s="13" t="s">
        <v>7</v>
      </c>
      <c r="D4" s="12" t="s">
        <v>281</v>
      </c>
      <c r="E4" s="13" t="s">
        <v>217</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103.5" hidden="false" customHeight="true" outlineLevel="0" collapsed="false">
      <c r="A8" s="12" t="s">
        <v>290</v>
      </c>
      <c r="B8" s="13" t="s">
        <v>324</v>
      </c>
      <c r="D8" s="12" t="s">
        <v>292</v>
      </c>
      <c r="E8" s="13" t="s">
        <v>325</v>
      </c>
    </row>
    <row r="9" customFormat="false" ht="90.75" hidden="false" customHeight="true" outlineLevel="0" collapsed="false">
      <c r="A9" s="12" t="s">
        <v>294</v>
      </c>
      <c r="B9" s="13" t="s">
        <v>326</v>
      </c>
      <c r="D9" s="12" t="s">
        <v>295</v>
      </c>
      <c r="E9" s="13" t="s">
        <v>327</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328</v>
      </c>
      <c r="D11" s="12" t="s">
        <v>298</v>
      </c>
      <c r="E11" s="13" t="s">
        <v>328</v>
      </c>
    </row>
    <row r="12" customFormat="false" ht="21.75" hidden="false" customHeight="true" outlineLevel="0" collapsed="false">
      <c r="A12" s="12" t="s">
        <v>300</v>
      </c>
      <c r="B12" s="13" t="s">
        <v>11</v>
      </c>
      <c r="D12" s="12" t="s">
        <v>301</v>
      </c>
      <c r="E12" s="13" t="s">
        <v>11</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329</v>
      </c>
      <c r="B1" s="10"/>
      <c r="D1" s="10" t="s">
        <v>330</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13</v>
      </c>
      <c r="D3" s="12" t="s">
        <v>279</v>
      </c>
      <c r="E3" s="13" t="s">
        <v>13</v>
      </c>
    </row>
    <row r="4" customFormat="false" ht="21.75" hidden="false" customHeight="true" outlineLevel="0" collapsed="false">
      <c r="A4" s="12" t="s">
        <v>280</v>
      </c>
      <c r="B4" s="13" t="s">
        <v>14</v>
      </c>
      <c r="D4" s="12" t="s">
        <v>281</v>
      </c>
      <c r="E4" s="13" t="s">
        <v>218</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51.75" hidden="false" customHeight="true" outlineLevel="0" collapsed="false">
      <c r="A8" s="12" t="s">
        <v>290</v>
      </c>
      <c r="B8" s="13" t="s">
        <v>331</v>
      </c>
      <c r="D8" s="12" t="s">
        <v>292</v>
      </c>
      <c r="E8" s="13" t="s">
        <v>332</v>
      </c>
    </row>
    <row r="9" customFormat="false" ht="300" hidden="false" customHeight="true" outlineLevel="0" collapsed="false">
      <c r="A9" s="12" t="s">
        <v>294</v>
      </c>
      <c r="B9" s="13" t="s">
        <v>333</v>
      </c>
      <c r="D9" s="12" t="s">
        <v>295</v>
      </c>
      <c r="E9" s="13" t="s">
        <v>334</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335</v>
      </c>
      <c r="D11" s="12" t="s">
        <v>298</v>
      </c>
      <c r="E11" s="13" t="s">
        <v>335</v>
      </c>
    </row>
    <row r="12" customFormat="false" ht="21.75" hidden="false" customHeight="true" outlineLevel="0" collapsed="false">
      <c r="A12" s="12" t="s">
        <v>300</v>
      </c>
      <c r="B12" s="13" t="s">
        <v>13</v>
      </c>
      <c r="D12" s="12" t="s">
        <v>301</v>
      </c>
      <c r="E12" s="13" t="s">
        <v>13</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336</v>
      </c>
      <c r="B1" s="10"/>
      <c r="D1" s="10" t="s">
        <v>337</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15</v>
      </c>
      <c r="D3" s="12" t="s">
        <v>279</v>
      </c>
      <c r="E3" s="13" t="s">
        <v>15</v>
      </c>
    </row>
    <row r="4" customFormat="false" ht="21.75" hidden="false" customHeight="true" outlineLevel="0" collapsed="false">
      <c r="A4" s="12" t="s">
        <v>280</v>
      </c>
      <c r="B4" s="13" t="s">
        <v>14</v>
      </c>
      <c r="D4" s="12" t="s">
        <v>281</v>
      </c>
      <c r="E4" s="13" t="s">
        <v>218</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51.75" hidden="false" customHeight="true" outlineLevel="0" collapsed="false">
      <c r="A8" s="12" t="s">
        <v>290</v>
      </c>
      <c r="B8" s="13" t="s">
        <v>338</v>
      </c>
      <c r="D8" s="12" t="s">
        <v>292</v>
      </c>
      <c r="E8" s="13" t="s">
        <v>339</v>
      </c>
    </row>
    <row r="9" customFormat="false" ht="103.5" hidden="false" customHeight="true" outlineLevel="0" collapsed="false">
      <c r="A9" s="12" t="s">
        <v>294</v>
      </c>
      <c r="B9" s="13" t="s">
        <v>340</v>
      </c>
      <c r="D9" s="12" t="s">
        <v>295</v>
      </c>
      <c r="E9" s="13" t="s">
        <v>341</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342</v>
      </c>
      <c r="D11" s="12" t="s">
        <v>298</v>
      </c>
      <c r="E11" s="13" t="s">
        <v>342</v>
      </c>
    </row>
    <row r="12" customFormat="false" ht="21.75" hidden="false" customHeight="true" outlineLevel="0" collapsed="false">
      <c r="A12" s="12" t="s">
        <v>300</v>
      </c>
      <c r="B12" s="13" t="s">
        <v>15</v>
      </c>
      <c r="D12" s="12" t="s">
        <v>301</v>
      </c>
      <c r="E12" s="13" t="s">
        <v>15</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343</v>
      </c>
      <c r="B1" s="10"/>
      <c r="D1" s="10" t="s">
        <v>344</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17</v>
      </c>
      <c r="D3" s="12" t="s">
        <v>279</v>
      </c>
      <c r="E3" s="13" t="s">
        <v>17</v>
      </c>
    </row>
    <row r="4" customFormat="false" ht="21.75" hidden="false" customHeight="true" outlineLevel="0" collapsed="false">
      <c r="A4" s="12" t="s">
        <v>280</v>
      </c>
      <c r="B4" s="13" t="s">
        <v>18</v>
      </c>
      <c r="D4" s="12" t="s">
        <v>281</v>
      </c>
      <c r="E4" s="13" t="s">
        <v>219</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45" hidden="false" customHeight="true" outlineLevel="0" collapsed="false">
      <c r="A8" s="12" t="s">
        <v>290</v>
      </c>
      <c r="B8" s="13" t="s">
        <v>345</v>
      </c>
      <c r="D8" s="12" t="s">
        <v>292</v>
      </c>
      <c r="E8" s="13" t="s">
        <v>346</v>
      </c>
    </row>
    <row r="9" customFormat="false" ht="103.5" hidden="false" customHeight="true" outlineLevel="0" collapsed="false">
      <c r="A9" s="12" t="s">
        <v>294</v>
      </c>
      <c r="B9" s="13" t="s">
        <v>347</v>
      </c>
      <c r="D9" s="12" t="s">
        <v>295</v>
      </c>
      <c r="E9" s="13" t="s">
        <v>348</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349</v>
      </c>
      <c r="D11" s="12" t="s">
        <v>298</v>
      </c>
      <c r="E11" s="13" t="s">
        <v>349</v>
      </c>
    </row>
    <row r="12" customFormat="false" ht="21.75" hidden="false" customHeight="true" outlineLevel="0" collapsed="false">
      <c r="A12" s="12" t="s">
        <v>300</v>
      </c>
      <c r="B12" s="13" t="s">
        <v>17</v>
      </c>
      <c r="D12" s="12" t="s">
        <v>301</v>
      </c>
      <c r="E12" s="13" t="s">
        <v>17</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350</v>
      </c>
      <c r="B1" s="10"/>
      <c r="D1" s="10" t="s">
        <v>351</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20</v>
      </c>
      <c r="D3" s="12" t="s">
        <v>279</v>
      </c>
      <c r="E3" s="13" t="s">
        <v>20</v>
      </c>
    </row>
    <row r="4" customFormat="false" ht="21.75" hidden="false" customHeight="true" outlineLevel="0" collapsed="false">
      <c r="A4" s="12" t="s">
        <v>280</v>
      </c>
      <c r="B4" s="13" t="s">
        <v>18</v>
      </c>
      <c r="D4" s="12" t="s">
        <v>281</v>
      </c>
      <c r="E4" s="13" t="s">
        <v>219</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64.5" hidden="false" customHeight="true" outlineLevel="0" collapsed="false">
      <c r="A8" s="12" t="s">
        <v>290</v>
      </c>
      <c r="B8" s="13" t="s">
        <v>352</v>
      </c>
      <c r="D8" s="12" t="s">
        <v>292</v>
      </c>
      <c r="E8" s="13" t="s">
        <v>353</v>
      </c>
    </row>
    <row r="9" customFormat="false" ht="117" hidden="false" customHeight="true" outlineLevel="0" collapsed="false">
      <c r="A9" s="12" t="s">
        <v>294</v>
      </c>
      <c r="B9" s="13" t="s">
        <v>354</v>
      </c>
      <c r="D9" s="12" t="s">
        <v>295</v>
      </c>
      <c r="E9" s="13" t="s">
        <v>355</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356</v>
      </c>
      <c r="D11" s="12" t="s">
        <v>298</v>
      </c>
      <c r="E11" s="13" t="s">
        <v>356</v>
      </c>
    </row>
    <row r="12" customFormat="false" ht="21.75" hidden="false" customHeight="true" outlineLevel="0" collapsed="false">
      <c r="A12" s="12" t="s">
        <v>300</v>
      </c>
      <c r="B12" s="13" t="s">
        <v>20</v>
      </c>
      <c r="D12" s="12" t="s">
        <v>301</v>
      </c>
      <c r="E12" s="13" t="s">
        <v>20</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357</v>
      </c>
      <c r="B1" s="10"/>
      <c r="D1" s="10" t="s">
        <v>358</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22</v>
      </c>
      <c r="D3" s="12" t="s">
        <v>279</v>
      </c>
      <c r="E3" s="13" t="s">
        <v>22</v>
      </c>
    </row>
    <row r="4" customFormat="false" ht="21.75" hidden="false" customHeight="true" outlineLevel="0" collapsed="false">
      <c r="A4" s="12" t="s">
        <v>280</v>
      </c>
      <c r="B4" s="13" t="s">
        <v>23</v>
      </c>
      <c r="D4" s="12" t="s">
        <v>281</v>
      </c>
      <c r="E4" s="13" t="s">
        <v>220</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45" hidden="false" customHeight="true" outlineLevel="0" collapsed="false">
      <c r="A8" s="12" t="s">
        <v>290</v>
      </c>
      <c r="B8" s="13" t="s">
        <v>359</v>
      </c>
      <c r="D8" s="12" t="s">
        <v>292</v>
      </c>
      <c r="E8" s="13" t="s">
        <v>360</v>
      </c>
    </row>
    <row r="9" customFormat="false" ht="90.75" hidden="false" customHeight="true" outlineLevel="0" collapsed="false">
      <c r="A9" s="12" t="s">
        <v>294</v>
      </c>
      <c r="B9" s="13" t="s">
        <v>361</v>
      </c>
      <c r="D9" s="12" t="s">
        <v>295</v>
      </c>
      <c r="E9" s="13" t="s">
        <v>362</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363</v>
      </c>
      <c r="D11" s="12" t="s">
        <v>298</v>
      </c>
      <c r="E11" s="13" t="s">
        <v>363</v>
      </c>
    </row>
    <row r="12" customFormat="false" ht="21.75" hidden="false" customHeight="true" outlineLevel="0" collapsed="false">
      <c r="A12" s="12" t="s">
        <v>300</v>
      </c>
      <c r="B12" s="13" t="s">
        <v>22</v>
      </c>
      <c r="D12" s="12" t="s">
        <v>301</v>
      </c>
      <c r="E12" s="13" t="s">
        <v>22</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364</v>
      </c>
      <c r="B1" s="10"/>
      <c r="D1" s="10" t="s">
        <v>365</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25</v>
      </c>
      <c r="D3" s="12" t="s">
        <v>279</v>
      </c>
      <c r="E3" s="13" t="s">
        <v>25</v>
      </c>
    </row>
    <row r="4" customFormat="false" ht="21.75" hidden="false" customHeight="true" outlineLevel="0" collapsed="false">
      <c r="A4" s="12" t="s">
        <v>280</v>
      </c>
      <c r="B4" s="13" t="s">
        <v>23</v>
      </c>
      <c r="D4" s="12" t="s">
        <v>281</v>
      </c>
      <c r="E4" s="13" t="s">
        <v>220</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64.5" hidden="false" customHeight="true" outlineLevel="0" collapsed="false">
      <c r="A8" s="12" t="s">
        <v>290</v>
      </c>
      <c r="B8" s="13" t="s">
        <v>366</v>
      </c>
      <c r="D8" s="12" t="s">
        <v>292</v>
      </c>
      <c r="E8" s="13" t="s">
        <v>367</v>
      </c>
    </row>
    <row r="9" customFormat="false" ht="45" hidden="false" customHeight="true" outlineLevel="0" collapsed="false">
      <c r="A9" s="12" t="s">
        <v>294</v>
      </c>
      <c r="B9" s="13" t="s">
        <v>368</v>
      </c>
      <c r="D9" s="12" t="s">
        <v>295</v>
      </c>
      <c r="E9" s="13" t="s">
        <v>369</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370</v>
      </c>
      <c r="D11" s="12" t="s">
        <v>298</v>
      </c>
      <c r="E11" s="13" t="s">
        <v>370</v>
      </c>
    </row>
    <row r="12" customFormat="false" ht="21.75" hidden="false" customHeight="true" outlineLevel="0" collapsed="false">
      <c r="A12" s="12" t="s">
        <v>300</v>
      </c>
      <c r="B12" s="13" t="s">
        <v>25</v>
      </c>
      <c r="D12" s="12" t="s">
        <v>301</v>
      </c>
      <c r="E12" s="13" t="s">
        <v>25</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371</v>
      </c>
      <c r="B1" s="10"/>
      <c r="D1" s="10" t="s">
        <v>372</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27</v>
      </c>
      <c r="D3" s="12" t="s">
        <v>279</v>
      </c>
      <c r="E3" s="13" t="s">
        <v>27</v>
      </c>
    </row>
    <row r="4" customFormat="false" ht="21.75" hidden="false" customHeight="true" outlineLevel="0" collapsed="false">
      <c r="A4" s="12" t="s">
        <v>280</v>
      </c>
      <c r="B4" s="13" t="s">
        <v>23</v>
      </c>
      <c r="D4" s="12" t="s">
        <v>281</v>
      </c>
      <c r="E4" s="13" t="s">
        <v>220</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45" hidden="false" customHeight="true" outlineLevel="0" collapsed="false">
      <c r="A8" s="12" t="s">
        <v>290</v>
      </c>
      <c r="B8" s="13" t="s">
        <v>373</v>
      </c>
      <c r="D8" s="12" t="s">
        <v>292</v>
      </c>
      <c r="E8" s="13" t="s">
        <v>374</v>
      </c>
    </row>
    <row r="9" customFormat="false" ht="45" hidden="false" customHeight="true" outlineLevel="0" collapsed="false">
      <c r="A9" s="12" t="s">
        <v>294</v>
      </c>
      <c r="B9" s="13" t="s">
        <v>375</v>
      </c>
      <c r="D9" s="12" t="s">
        <v>295</v>
      </c>
      <c r="E9" s="13" t="s">
        <v>376</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377</v>
      </c>
      <c r="D11" s="12" t="s">
        <v>298</v>
      </c>
      <c r="E11" s="13" t="s">
        <v>377</v>
      </c>
    </row>
    <row r="12" customFormat="false" ht="21.75" hidden="false" customHeight="true" outlineLevel="0" collapsed="false">
      <c r="A12" s="12" t="s">
        <v>300</v>
      </c>
      <c r="B12" s="13" t="s">
        <v>27</v>
      </c>
      <c r="D12" s="12" t="s">
        <v>301</v>
      </c>
      <c r="E12" s="13" t="s">
        <v>27</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378</v>
      </c>
      <c r="B1" s="10"/>
      <c r="D1" s="10" t="s">
        <v>379</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29</v>
      </c>
      <c r="D3" s="12" t="s">
        <v>279</v>
      </c>
      <c r="E3" s="13" t="s">
        <v>29</v>
      </c>
    </row>
    <row r="4" customFormat="false" ht="21.75" hidden="false" customHeight="true" outlineLevel="0" collapsed="false">
      <c r="A4" s="12" t="s">
        <v>280</v>
      </c>
      <c r="B4" s="13" t="s">
        <v>23</v>
      </c>
      <c r="D4" s="12" t="s">
        <v>281</v>
      </c>
      <c r="E4" s="13" t="s">
        <v>220</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45" hidden="false" customHeight="true" outlineLevel="0" collapsed="false">
      <c r="A8" s="12" t="s">
        <v>290</v>
      </c>
      <c r="B8" s="13" t="s">
        <v>380</v>
      </c>
      <c r="D8" s="12" t="s">
        <v>292</v>
      </c>
      <c r="E8" s="13" t="s">
        <v>381</v>
      </c>
    </row>
    <row r="9" customFormat="false" ht="90.75" hidden="false" customHeight="true" outlineLevel="0" collapsed="false">
      <c r="A9" s="12" t="s">
        <v>294</v>
      </c>
      <c r="B9" s="13" t="s">
        <v>382</v>
      </c>
      <c r="D9" s="12" t="s">
        <v>295</v>
      </c>
      <c r="E9" s="13" t="s">
        <v>383</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384</v>
      </c>
      <c r="D11" s="12" t="s">
        <v>298</v>
      </c>
      <c r="E11" s="13" t="s">
        <v>384</v>
      </c>
    </row>
    <row r="12" customFormat="false" ht="21.75" hidden="false" customHeight="true" outlineLevel="0" collapsed="false">
      <c r="A12" s="12" t="s">
        <v>300</v>
      </c>
      <c r="B12" s="13" t="s">
        <v>29</v>
      </c>
      <c r="D12" s="12" t="s">
        <v>301</v>
      </c>
      <c r="E12" s="13" t="s">
        <v>29</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385</v>
      </c>
      <c r="B1" s="10"/>
      <c r="D1" s="10" t="s">
        <v>386</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31</v>
      </c>
      <c r="D3" s="12" t="s">
        <v>279</v>
      </c>
      <c r="E3" s="13" t="s">
        <v>31</v>
      </c>
    </row>
    <row r="4" customFormat="false" ht="21.75" hidden="false" customHeight="true" outlineLevel="0" collapsed="false">
      <c r="A4" s="12" t="s">
        <v>280</v>
      </c>
      <c r="B4" s="13" t="s">
        <v>32</v>
      </c>
      <c r="D4" s="12" t="s">
        <v>281</v>
      </c>
      <c r="E4" s="13" t="s">
        <v>221</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234" hidden="false" customHeight="true" outlineLevel="0" collapsed="false">
      <c r="A8" s="12" t="s">
        <v>290</v>
      </c>
      <c r="B8" s="13" t="s">
        <v>387</v>
      </c>
      <c r="D8" s="12" t="s">
        <v>292</v>
      </c>
      <c r="E8" s="13" t="s">
        <v>388</v>
      </c>
    </row>
    <row r="9" customFormat="false" ht="300" hidden="false" customHeight="true" outlineLevel="0" collapsed="false">
      <c r="A9" s="12" t="s">
        <v>294</v>
      </c>
      <c r="B9" s="13" t="s">
        <v>389</v>
      </c>
      <c r="D9" s="12" t="s">
        <v>295</v>
      </c>
      <c r="E9" s="13" t="s">
        <v>390</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391</v>
      </c>
      <c r="D11" s="12" t="s">
        <v>298</v>
      </c>
      <c r="E11" s="13" t="s">
        <v>391</v>
      </c>
    </row>
    <row r="12" customFormat="false" ht="21.75" hidden="false" customHeight="true" outlineLevel="0" collapsed="false">
      <c r="A12" s="12" t="s">
        <v>300</v>
      </c>
      <c r="B12" s="13" t="s">
        <v>31</v>
      </c>
      <c r="D12" s="12" t="s">
        <v>301</v>
      </c>
      <c r="E12" s="13" t="s">
        <v>31</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392</v>
      </c>
      <c r="B1" s="10"/>
      <c r="D1" s="10" t="s">
        <v>393</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33</v>
      </c>
      <c r="D3" s="12" t="s">
        <v>279</v>
      </c>
      <c r="E3" s="13" t="s">
        <v>33</v>
      </c>
    </row>
    <row r="4" customFormat="false" ht="21.75" hidden="false" customHeight="true" outlineLevel="0" collapsed="false">
      <c r="A4" s="12" t="s">
        <v>280</v>
      </c>
      <c r="B4" s="13" t="s">
        <v>34</v>
      </c>
      <c r="D4" s="12" t="s">
        <v>281</v>
      </c>
      <c r="E4" s="13" t="s">
        <v>222</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64.5" hidden="false" customHeight="true" outlineLevel="0" collapsed="false">
      <c r="A8" s="12" t="s">
        <v>290</v>
      </c>
      <c r="B8" s="13" t="s">
        <v>394</v>
      </c>
      <c r="D8" s="12" t="s">
        <v>292</v>
      </c>
      <c r="E8" s="13" t="s">
        <v>395</v>
      </c>
    </row>
    <row r="9" customFormat="false" ht="129.75" hidden="false" customHeight="true" outlineLevel="0" collapsed="false">
      <c r="A9" s="12" t="s">
        <v>294</v>
      </c>
      <c r="B9" s="13" t="s">
        <v>396</v>
      </c>
      <c r="D9" s="12" t="s">
        <v>295</v>
      </c>
      <c r="E9" s="13" t="s">
        <v>397</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398</v>
      </c>
      <c r="D11" s="12" t="s">
        <v>298</v>
      </c>
      <c r="E11" s="13" t="s">
        <v>398</v>
      </c>
    </row>
    <row r="12" customFormat="false" ht="21.75" hidden="false" customHeight="true" outlineLevel="0" collapsed="false">
      <c r="A12" s="12" t="s">
        <v>300</v>
      </c>
      <c r="B12" s="13" t="s">
        <v>33</v>
      </c>
      <c r="D12" s="12" t="s">
        <v>301</v>
      </c>
      <c r="E12" s="13" t="s">
        <v>33</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399</v>
      </c>
      <c r="B1" s="10"/>
      <c r="D1" s="10" t="s">
        <v>400</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35</v>
      </c>
      <c r="D3" s="12" t="s">
        <v>279</v>
      </c>
      <c r="E3" s="13" t="s">
        <v>35</v>
      </c>
    </row>
    <row r="4" customFormat="false" ht="21.75" hidden="false" customHeight="true" outlineLevel="0" collapsed="false">
      <c r="A4" s="12" t="s">
        <v>280</v>
      </c>
      <c r="B4" s="13" t="s">
        <v>34</v>
      </c>
      <c r="D4" s="12" t="s">
        <v>281</v>
      </c>
      <c r="E4" s="13" t="s">
        <v>222</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103.5" hidden="false" customHeight="true" outlineLevel="0" collapsed="false">
      <c r="A8" s="12" t="s">
        <v>290</v>
      </c>
      <c r="B8" s="13" t="s">
        <v>401</v>
      </c>
      <c r="D8" s="12" t="s">
        <v>292</v>
      </c>
      <c r="E8" s="13" t="s">
        <v>402</v>
      </c>
    </row>
    <row r="9" customFormat="false" ht="181.5" hidden="false" customHeight="true" outlineLevel="0" collapsed="false">
      <c r="A9" s="12" t="s">
        <v>294</v>
      </c>
      <c r="B9" s="13" t="s">
        <v>403</v>
      </c>
      <c r="D9" s="12" t="s">
        <v>295</v>
      </c>
      <c r="E9" s="13" t="s">
        <v>404</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405</v>
      </c>
      <c r="D11" s="12" t="s">
        <v>298</v>
      </c>
      <c r="E11" s="13" t="s">
        <v>405</v>
      </c>
    </row>
    <row r="12" customFormat="false" ht="21.75" hidden="false" customHeight="true" outlineLevel="0" collapsed="false">
      <c r="A12" s="12" t="s">
        <v>300</v>
      </c>
      <c r="B12" s="13" t="s">
        <v>35</v>
      </c>
      <c r="D12" s="12" t="s">
        <v>301</v>
      </c>
      <c r="E12" s="13" t="s">
        <v>35</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406</v>
      </c>
      <c r="B1" s="10"/>
      <c r="D1" s="10" t="s">
        <v>407</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37</v>
      </c>
      <c r="D3" s="12" t="s">
        <v>279</v>
      </c>
      <c r="E3" s="13" t="s">
        <v>37</v>
      </c>
    </row>
    <row r="4" customFormat="false" ht="21.75" hidden="false" customHeight="true" outlineLevel="0" collapsed="false">
      <c r="A4" s="12" t="s">
        <v>280</v>
      </c>
      <c r="B4" s="13" t="s">
        <v>38</v>
      </c>
      <c r="D4" s="12" t="s">
        <v>281</v>
      </c>
      <c r="E4" s="13" t="s">
        <v>223</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51.75" hidden="false" customHeight="true" outlineLevel="0" collapsed="false">
      <c r="A8" s="12" t="s">
        <v>290</v>
      </c>
      <c r="B8" s="13" t="s">
        <v>408</v>
      </c>
      <c r="D8" s="12" t="s">
        <v>292</v>
      </c>
      <c r="E8" s="13" t="s">
        <v>409</v>
      </c>
    </row>
    <row r="9" customFormat="false" ht="168.75" hidden="false" customHeight="true" outlineLevel="0" collapsed="false">
      <c r="A9" s="12" t="s">
        <v>294</v>
      </c>
      <c r="B9" s="13" t="s">
        <v>410</v>
      </c>
      <c r="D9" s="12" t="s">
        <v>295</v>
      </c>
      <c r="E9" s="13" t="s">
        <v>411</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412</v>
      </c>
      <c r="D11" s="12" t="s">
        <v>298</v>
      </c>
      <c r="E11" s="13" t="s">
        <v>412</v>
      </c>
    </row>
    <row r="12" customFormat="false" ht="21.75" hidden="false" customHeight="true" outlineLevel="0" collapsed="false">
      <c r="A12" s="12" t="s">
        <v>300</v>
      </c>
      <c r="B12" s="13" t="s">
        <v>37</v>
      </c>
      <c r="D12" s="12" t="s">
        <v>301</v>
      </c>
      <c r="E12" s="13" t="s">
        <v>37</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413</v>
      </c>
      <c r="B1" s="10"/>
      <c r="D1" s="10" t="s">
        <v>414</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39</v>
      </c>
      <c r="D3" s="12" t="s">
        <v>279</v>
      </c>
      <c r="E3" s="13" t="s">
        <v>39</v>
      </c>
    </row>
    <row r="4" customFormat="false" ht="21.75" hidden="false" customHeight="true" outlineLevel="0" collapsed="false">
      <c r="A4" s="12" t="s">
        <v>280</v>
      </c>
      <c r="B4" s="13" t="s">
        <v>40</v>
      </c>
      <c r="D4" s="12" t="s">
        <v>281</v>
      </c>
      <c r="E4" s="13" t="s">
        <v>224</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64.5" hidden="false" customHeight="true" outlineLevel="0" collapsed="false">
      <c r="A8" s="12" t="s">
        <v>290</v>
      </c>
      <c r="B8" s="13" t="s">
        <v>415</v>
      </c>
      <c r="D8" s="12" t="s">
        <v>292</v>
      </c>
      <c r="E8" s="13" t="s">
        <v>416</v>
      </c>
    </row>
    <row r="9" customFormat="false" ht="51.75" hidden="false" customHeight="true" outlineLevel="0" collapsed="false">
      <c r="A9" s="12" t="s">
        <v>294</v>
      </c>
      <c r="B9" s="13" t="s">
        <v>417</v>
      </c>
      <c r="D9" s="12" t="s">
        <v>295</v>
      </c>
      <c r="E9" s="13" t="s">
        <v>418</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419</v>
      </c>
      <c r="D11" s="12" t="s">
        <v>298</v>
      </c>
      <c r="E11" s="13" t="s">
        <v>419</v>
      </c>
    </row>
    <row r="12" customFormat="false" ht="21.75" hidden="false" customHeight="true" outlineLevel="0" collapsed="false">
      <c r="A12" s="12" t="s">
        <v>300</v>
      </c>
      <c r="B12" s="13" t="s">
        <v>39</v>
      </c>
      <c r="D12" s="12" t="s">
        <v>301</v>
      </c>
      <c r="E12" s="13" t="s">
        <v>39</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420</v>
      </c>
      <c r="B1" s="10"/>
      <c r="D1" s="10" t="s">
        <v>421</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42</v>
      </c>
      <c r="D3" s="12" t="s">
        <v>279</v>
      </c>
      <c r="E3" s="13" t="s">
        <v>42</v>
      </c>
    </row>
    <row r="4" customFormat="false" ht="21.75" hidden="false" customHeight="true" outlineLevel="0" collapsed="false">
      <c r="A4" s="12" t="s">
        <v>280</v>
      </c>
      <c r="B4" s="13" t="s">
        <v>40</v>
      </c>
      <c r="D4" s="12" t="s">
        <v>281</v>
      </c>
      <c r="E4" s="13" t="s">
        <v>224</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64.5" hidden="false" customHeight="true" outlineLevel="0" collapsed="false">
      <c r="A8" s="12" t="s">
        <v>290</v>
      </c>
      <c r="B8" s="13" t="s">
        <v>422</v>
      </c>
      <c r="D8" s="12" t="s">
        <v>292</v>
      </c>
      <c r="E8" s="13" t="s">
        <v>423</v>
      </c>
    </row>
    <row r="9" customFormat="false" ht="64.5" hidden="false" customHeight="true" outlineLevel="0" collapsed="false">
      <c r="A9" s="12" t="s">
        <v>294</v>
      </c>
      <c r="B9" s="13" t="s">
        <v>424</v>
      </c>
      <c r="D9" s="12" t="s">
        <v>295</v>
      </c>
      <c r="E9" s="13" t="s">
        <v>425</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426</v>
      </c>
      <c r="D11" s="12" t="s">
        <v>298</v>
      </c>
      <c r="E11" s="13" t="s">
        <v>426</v>
      </c>
    </row>
    <row r="12" customFormat="false" ht="21.75" hidden="false" customHeight="true" outlineLevel="0" collapsed="false">
      <c r="A12" s="12" t="s">
        <v>300</v>
      </c>
      <c r="B12" s="13" t="s">
        <v>42</v>
      </c>
      <c r="D12" s="12" t="s">
        <v>301</v>
      </c>
      <c r="E12" s="13" t="s">
        <v>42</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427</v>
      </c>
      <c r="B1" s="10"/>
      <c r="D1" s="10" t="s">
        <v>428</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44</v>
      </c>
      <c r="D3" s="12" t="s">
        <v>279</v>
      </c>
      <c r="E3" s="13" t="s">
        <v>44</v>
      </c>
    </row>
    <row r="4" customFormat="false" ht="21.75" hidden="false" customHeight="true" outlineLevel="0" collapsed="false">
      <c r="A4" s="12" t="s">
        <v>280</v>
      </c>
      <c r="B4" s="13" t="s">
        <v>45</v>
      </c>
      <c r="D4" s="12" t="s">
        <v>281</v>
      </c>
      <c r="E4" s="13" t="s">
        <v>225</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90.75" hidden="false" customHeight="true" outlineLevel="0" collapsed="false">
      <c r="A8" s="12" t="s">
        <v>290</v>
      </c>
      <c r="B8" s="13" t="s">
        <v>429</v>
      </c>
      <c r="D8" s="12" t="s">
        <v>292</v>
      </c>
      <c r="E8" s="13" t="s">
        <v>430</v>
      </c>
    </row>
    <row r="9" customFormat="false" ht="181.5" hidden="false" customHeight="true" outlineLevel="0" collapsed="false">
      <c r="A9" s="12" t="s">
        <v>294</v>
      </c>
      <c r="B9" s="13" t="s">
        <v>431</v>
      </c>
      <c r="D9" s="12" t="s">
        <v>295</v>
      </c>
      <c r="E9" s="13" t="s">
        <v>432</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433</v>
      </c>
      <c r="D11" s="12" t="s">
        <v>298</v>
      </c>
      <c r="E11" s="13" t="s">
        <v>433</v>
      </c>
    </row>
    <row r="12" customFormat="false" ht="21.75" hidden="false" customHeight="true" outlineLevel="0" collapsed="false">
      <c r="A12" s="12" t="s">
        <v>300</v>
      </c>
      <c r="B12" s="13" t="s">
        <v>44</v>
      </c>
      <c r="D12" s="12" t="s">
        <v>301</v>
      </c>
      <c r="E12" s="13" t="s">
        <v>44</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434</v>
      </c>
      <c r="B1" s="10"/>
      <c r="D1" s="10" t="s">
        <v>435</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46</v>
      </c>
      <c r="D3" s="12" t="s">
        <v>279</v>
      </c>
      <c r="E3" s="13" t="s">
        <v>46</v>
      </c>
    </row>
    <row r="4" customFormat="false" ht="21.75" hidden="false" customHeight="true" outlineLevel="0" collapsed="false">
      <c r="A4" s="12" t="s">
        <v>280</v>
      </c>
      <c r="B4" s="13" t="s">
        <v>45</v>
      </c>
      <c r="D4" s="12" t="s">
        <v>281</v>
      </c>
      <c r="E4" s="13" t="s">
        <v>225</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51.75" hidden="false" customHeight="true" outlineLevel="0" collapsed="false">
      <c r="A8" s="12" t="s">
        <v>290</v>
      </c>
      <c r="B8" s="13" t="s">
        <v>436</v>
      </c>
      <c r="D8" s="12" t="s">
        <v>292</v>
      </c>
      <c r="E8" s="13" t="s">
        <v>437</v>
      </c>
    </row>
    <row r="9" customFormat="false" ht="142.5" hidden="false" customHeight="true" outlineLevel="0" collapsed="false">
      <c r="A9" s="12" t="s">
        <v>294</v>
      </c>
      <c r="B9" s="13" t="s">
        <v>438</v>
      </c>
      <c r="D9" s="12" t="s">
        <v>295</v>
      </c>
      <c r="E9" s="13" t="s">
        <v>439</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440</v>
      </c>
      <c r="D11" s="12" t="s">
        <v>298</v>
      </c>
      <c r="E11" s="13" t="s">
        <v>440</v>
      </c>
    </row>
    <row r="12" customFormat="false" ht="21.75" hidden="false" customHeight="true" outlineLevel="0" collapsed="false">
      <c r="A12" s="12" t="s">
        <v>300</v>
      </c>
      <c r="B12" s="13" t="s">
        <v>46</v>
      </c>
      <c r="D12" s="12" t="s">
        <v>301</v>
      </c>
      <c r="E12" s="13" t="s">
        <v>46</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441</v>
      </c>
      <c r="B1" s="10"/>
      <c r="D1" s="10" t="s">
        <v>442</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48</v>
      </c>
      <c r="D3" s="12" t="s">
        <v>279</v>
      </c>
      <c r="E3" s="13" t="s">
        <v>48</v>
      </c>
    </row>
    <row r="4" customFormat="false" ht="21.75" hidden="false" customHeight="true" outlineLevel="0" collapsed="false">
      <c r="A4" s="12" t="s">
        <v>280</v>
      </c>
      <c r="B4" s="13" t="s">
        <v>49</v>
      </c>
      <c r="D4" s="12" t="s">
        <v>281</v>
      </c>
      <c r="E4" s="13" t="s">
        <v>226</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78" hidden="false" customHeight="true" outlineLevel="0" collapsed="false">
      <c r="A8" s="12" t="s">
        <v>290</v>
      </c>
      <c r="B8" s="13" t="s">
        <v>443</v>
      </c>
      <c r="D8" s="12" t="s">
        <v>292</v>
      </c>
      <c r="E8" s="13" t="s">
        <v>444</v>
      </c>
    </row>
    <row r="9" customFormat="false" ht="156" hidden="false" customHeight="true" outlineLevel="0" collapsed="false">
      <c r="A9" s="12" t="s">
        <v>294</v>
      </c>
      <c r="B9" s="13" t="s">
        <v>445</v>
      </c>
      <c r="D9" s="12" t="s">
        <v>295</v>
      </c>
      <c r="E9" s="13" t="s">
        <v>446</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447</v>
      </c>
      <c r="D11" s="12" t="s">
        <v>298</v>
      </c>
      <c r="E11" s="13" t="s">
        <v>447</v>
      </c>
    </row>
    <row r="12" customFormat="false" ht="21.75" hidden="false" customHeight="true" outlineLevel="0" collapsed="false">
      <c r="A12" s="12" t="s">
        <v>300</v>
      </c>
      <c r="B12" s="13" t="s">
        <v>48</v>
      </c>
      <c r="D12" s="12" t="s">
        <v>301</v>
      </c>
      <c r="E12" s="13" t="s">
        <v>48</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448</v>
      </c>
      <c r="B1" s="10"/>
      <c r="D1" s="10" t="s">
        <v>449</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50</v>
      </c>
      <c r="D3" s="12" t="s">
        <v>279</v>
      </c>
      <c r="E3" s="13" t="s">
        <v>50</v>
      </c>
    </row>
    <row r="4" customFormat="false" ht="21.75" hidden="false" customHeight="true" outlineLevel="0" collapsed="false">
      <c r="A4" s="12" t="s">
        <v>280</v>
      </c>
      <c r="B4" s="13" t="s">
        <v>49</v>
      </c>
      <c r="D4" s="12" t="s">
        <v>281</v>
      </c>
      <c r="E4" s="13" t="s">
        <v>226</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90.75" hidden="false" customHeight="true" outlineLevel="0" collapsed="false">
      <c r="A8" s="12" t="s">
        <v>290</v>
      </c>
      <c r="B8" s="13" t="s">
        <v>450</v>
      </c>
      <c r="D8" s="12" t="s">
        <v>292</v>
      </c>
      <c r="E8" s="13" t="s">
        <v>451</v>
      </c>
    </row>
    <row r="9" customFormat="false" ht="45" hidden="false" customHeight="true" outlineLevel="0" collapsed="false">
      <c r="A9" s="12" t="s">
        <v>294</v>
      </c>
      <c r="B9" s="13" t="s">
        <v>452</v>
      </c>
      <c r="D9" s="12" t="s">
        <v>295</v>
      </c>
      <c r="E9" s="13" t="s">
        <v>453</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454</v>
      </c>
      <c r="D11" s="12" t="s">
        <v>298</v>
      </c>
      <c r="E11" s="13" t="s">
        <v>454</v>
      </c>
    </row>
    <row r="12" customFormat="false" ht="21.75" hidden="false" customHeight="true" outlineLevel="0" collapsed="false">
      <c r="A12" s="12" t="s">
        <v>300</v>
      </c>
      <c r="B12" s="13" t="s">
        <v>50</v>
      </c>
      <c r="D12" s="12" t="s">
        <v>301</v>
      </c>
      <c r="E12" s="13" t="s">
        <v>50</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455</v>
      </c>
      <c r="B1" s="10"/>
      <c r="D1" s="10" t="s">
        <v>456</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52</v>
      </c>
      <c r="D3" s="12" t="s">
        <v>279</v>
      </c>
      <c r="E3" s="13" t="s">
        <v>52</v>
      </c>
    </row>
    <row r="4" customFormat="false" ht="21.75" hidden="false" customHeight="true" outlineLevel="0" collapsed="false">
      <c r="A4" s="12" t="s">
        <v>280</v>
      </c>
      <c r="B4" s="13" t="s">
        <v>53</v>
      </c>
      <c r="D4" s="12" t="s">
        <v>281</v>
      </c>
      <c r="E4" s="13" t="s">
        <v>227</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45" hidden="false" customHeight="true" outlineLevel="0" collapsed="false">
      <c r="A8" s="12" t="s">
        <v>290</v>
      </c>
      <c r="B8" s="13" t="s">
        <v>457</v>
      </c>
      <c r="D8" s="12" t="s">
        <v>292</v>
      </c>
      <c r="E8" s="13" t="s">
        <v>458</v>
      </c>
    </row>
    <row r="9" customFormat="false" ht="117" hidden="false" customHeight="true" outlineLevel="0" collapsed="false">
      <c r="A9" s="12" t="s">
        <v>294</v>
      </c>
      <c r="B9" s="13" t="s">
        <v>459</v>
      </c>
      <c r="D9" s="12" t="s">
        <v>295</v>
      </c>
      <c r="E9" s="13" t="s">
        <v>460</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461</v>
      </c>
      <c r="D11" s="12" t="s">
        <v>298</v>
      </c>
      <c r="E11" s="13" t="s">
        <v>461</v>
      </c>
    </row>
    <row r="12" customFormat="false" ht="21.75" hidden="false" customHeight="true" outlineLevel="0" collapsed="false">
      <c r="A12" s="12" t="s">
        <v>300</v>
      </c>
      <c r="B12" s="13" t="s">
        <v>52</v>
      </c>
      <c r="D12" s="12" t="s">
        <v>301</v>
      </c>
      <c r="E12" s="13" t="s">
        <v>52</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462</v>
      </c>
      <c r="B1" s="10"/>
      <c r="D1" s="10" t="s">
        <v>463</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54</v>
      </c>
      <c r="D3" s="12" t="s">
        <v>279</v>
      </c>
      <c r="E3" s="13" t="s">
        <v>54</v>
      </c>
    </row>
    <row r="4" customFormat="false" ht="21.75" hidden="false" customHeight="true" outlineLevel="0" collapsed="false">
      <c r="A4" s="12" t="s">
        <v>280</v>
      </c>
      <c r="B4" s="13" t="s">
        <v>53</v>
      </c>
      <c r="D4" s="12" t="s">
        <v>281</v>
      </c>
      <c r="E4" s="13" t="s">
        <v>227</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64.5" hidden="false" customHeight="true" outlineLevel="0" collapsed="false">
      <c r="A8" s="12" t="s">
        <v>290</v>
      </c>
      <c r="B8" s="13" t="s">
        <v>464</v>
      </c>
      <c r="D8" s="12" t="s">
        <v>292</v>
      </c>
      <c r="E8" s="13" t="s">
        <v>465</v>
      </c>
    </row>
    <row r="9" customFormat="false" ht="51.75" hidden="false" customHeight="true" outlineLevel="0" collapsed="false">
      <c r="A9" s="12" t="s">
        <v>294</v>
      </c>
      <c r="B9" s="13" t="s">
        <v>466</v>
      </c>
      <c r="D9" s="12" t="s">
        <v>295</v>
      </c>
      <c r="E9" s="13" t="s">
        <v>467</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468</v>
      </c>
      <c r="D11" s="12" t="s">
        <v>298</v>
      </c>
      <c r="E11" s="13" t="s">
        <v>468</v>
      </c>
    </row>
    <row r="12" customFormat="false" ht="21.75" hidden="false" customHeight="true" outlineLevel="0" collapsed="false">
      <c r="A12" s="12" t="s">
        <v>300</v>
      </c>
      <c r="B12" s="13" t="s">
        <v>54</v>
      </c>
      <c r="D12" s="12" t="s">
        <v>301</v>
      </c>
      <c r="E12" s="13" t="s">
        <v>54</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469</v>
      </c>
      <c r="B1" s="10"/>
      <c r="D1" s="10" t="s">
        <v>470</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56</v>
      </c>
      <c r="D3" s="12" t="s">
        <v>279</v>
      </c>
      <c r="E3" s="13" t="s">
        <v>56</v>
      </c>
    </row>
    <row r="4" customFormat="false" ht="21.75" hidden="false" customHeight="true" outlineLevel="0" collapsed="false">
      <c r="A4" s="12" t="s">
        <v>280</v>
      </c>
      <c r="B4" s="13" t="s">
        <v>53</v>
      </c>
      <c r="D4" s="12" t="s">
        <v>281</v>
      </c>
      <c r="E4" s="13" t="s">
        <v>227</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51.75" hidden="false" customHeight="true" outlineLevel="0" collapsed="false">
      <c r="A8" s="12" t="s">
        <v>290</v>
      </c>
      <c r="B8" s="13" t="s">
        <v>471</v>
      </c>
      <c r="D8" s="12" t="s">
        <v>292</v>
      </c>
      <c r="E8" s="13" t="s">
        <v>472</v>
      </c>
    </row>
    <row r="9" customFormat="false" ht="103.5" hidden="false" customHeight="true" outlineLevel="0" collapsed="false">
      <c r="A9" s="12" t="s">
        <v>294</v>
      </c>
      <c r="B9" s="13" t="s">
        <v>473</v>
      </c>
      <c r="D9" s="12" t="s">
        <v>295</v>
      </c>
      <c r="E9" s="13" t="s">
        <v>474</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475</v>
      </c>
      <c r="D11" s="12" t="s">
        <v>298</v>
      </c>
      <c r="E11" s="13" t="s">
        <v>475</v>
      </c>
    </row>
    <row r="12" customFormat="false" ht="21.75" hidden="false" customHeight="true" outlineLevel="0" collapsed="false">
      <c r="A12" s="12" t="s">
        <v>300</v>
      </c>
      <c r="B12" s="13" t="s">
        <v>56</v>
      </c>
      <c r="D12" s="12" t="s">
        <v>301</v>
      </c>
      <c r="E12" s="13" t="s">
        <v>56</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476</v>
      </c>
      <c r="B1" s="10"/>
      <c r="D1" s="10" t="s">
        <v>477</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58</v>
      </c>
      <c r="D3" s="12" t="s">
        <v>279</v>
      </c>
      <c r="E3" s="13" t="s">
        <v>58</v>
      </c>
    </row>
    <row r="4" customFormat="false" ht="21.75" hidden="false" customHeight="true" outlineLevel="0" collapsed="false">
      <c r="A4" s="12" t="s">
        <v>280</v>
      </c>
      <c r="B4" s="13" t="s">
        <v>59</v>
      </c>
      <c r="D4" s="12" t="s">
        <v>281</v>
      </c>
      <c r="E4" s="13" t="s">
        <v>228</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103.5" hidden="false" customHeight="true" outlineLevel="0" collapsed="false">
      <c r="A8" s="12" t="s">
        <v>290</v>
      </c>
      <c r="B8" s="13" t="s">
        <v>478</v>
      </c>
      <c r="D8" s="12" t="s">
        <v>292</v>
      </c>
      <c r="E8" s="13" t="s">
        <v>479</v>
      </c>
    </row>
    <row r="9" customFormat="false" ht="129.75" hidden="false" customHeight="true" outlineLevel="0" collapsed="false">
      <c r="A9" s="12" t="s">
        <v>294</v>
      </c>
      <c r="B9" s="13" t="s">
        <v>480</v>
      </c>
      <c r="D9" s="12" t="s">
        <v>295</v>
      </c>
      <c r="E9" s="13" t="s">
        <v>481</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482</v>
      </c>
      <c r="D11" s="12" t="s">
        <v>298</v>
      </c>
      <c r="E11" s="13" t="s">
        <v>482</v>
      </c>
    </row>
    <row r="12" customFormat="false" ht="21.75" hidden="false" customHeight="true" outlineLevel="0" collapsed="false">
      <c r="A12" s="12" t="s">
        <v>300</v>
      </c>
      <c r="B12" s="13" t="s">
        <v>58</v>
      </c>
      <c r="D12" s="12" t="s">
        <v>301</v>
      </c>
      <c r="E12" s="13" t="s">
        <v>58</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483</v>
      </c>
      <c r="B1" s="10"/>
      <c r="D1" s="10" t="s">
        <v>484</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60</v>
      </c>
      <c r="D3" s="12" t="s">
        <v>279</v>
      </c>
      <c r="E3" s="13" t="s">
        <v>60</v>
      </c>
    </row>
    <row r="4" customFormat="false" ht="21.75" hidden="false" customHeight="true" outlineLevel="0" collapsed="false">
      <c r="A4" s="12" t="s">
        <v>280</v>
      </c>
      <c r="B4" s="13" t="s">
        <v>61</v>
      </c>
      <c r="D4" s="12" t="s">
        <v>281</v>
      </c>
      <c r="E4" s="13" t="s">
        <v>229</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117" hidden="false" customHeight="true" outlineLevel="0" collapsed="false">
      <c r="A8" s="12" t="s">
        <v>290</v>
      </c>
      <c r="B8" s="13" t="s">
        <v>485</v>
      </c>
      <c r="D8" s="12" t="s">
        <v>292</v>
      </c>
      <c r="E8" s="13" t="s">
        <v>486</v>
      </c>
    </row>
    <row r="9" customFormat="false" ht="90.75" hidden="false" customHeight="true" outlineLevel="0" collapsed="false">
      <c r="A9" s="12" t="s">
        <v>294</v>
      </c>
      <c r="B9" s="13" t="s">
        <v>487</v>
      </c>
      <c r="D9" s="12" t="s">
        <v>295</v>
      </c>
      <c r="E9" s="13" t="s">
        <v>488</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489</v>
      </c>
      <c r="D11" s="12" t="s">
        <v>298</v>
      </c>
      <c r="E11" s="13" t="s">
        <v>489</v>
      </c>
    </row>
    <row r="12" customFormat="false" ht="21.75" hidden="false" customHeight="true" outlineLevel="0" collapsed="false">
      <c r="A12" s="12" t="s">
        <v>300</v>
      </c>
      <c r="B12" s="13" t="s">
        <v>60</v>
      </c>
      <c r="D12" s="12" t="s">
        <v>301</v>
      </c>
      <c r="E12" s="13" t="s">
        <v>60</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490</v>
      </c>
      <c r="B1" s="10"/>
      <c r="D1" s="10" t="s">
        <v>491</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62</v>
      </c>
      <c r="D3" s="12" t="s">
        <v>279</v>
      </c>
      <c r="E3" s="13" t="s">
        <v>62</v>
      </c>
    </row>
    <row r="4" customFormat="false" ht="21.75" hidden="false" customHeight="true" outlineLevel="0" collapsed="false">
      <c r="A4" s="12" t="s">
        <v>280</v>
      </c>
      <c r="B4" s="13" t="s">
        <v>63</v>
      </c>
      <c r="D4" s="12" t="s">
        <v>281</v>
      </c>
      <c r="E4" s="13" t="s">
        <v>230</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51.75" hidden="false" customHeight="true" outlineLevel="0" collapsed="false">
      <c r="A8" s="12" t="s">
        <v>290</v>
      </c>
      <c r="B8" s="13" t="s">
        <v>492</v>
      </c>
      <c r="D8" s="12" t="s">
        <v>292</v>
      </c>
      <c r="E8" s="13" t="s">
        <v>493</v>
      </c>
    </row>
    <row r="9" customFormat="false" ht="103.5" hidden="false" customHeight="true" outlineLevel="0" collapsed="false">
      <c r="A9" s="12" t="s">
        <v>294</v>
      </c>
      <c r="B9" s="13" t="s">
        <v>494</v>
      </c>
      <c r="D9" s="12" t="s">
        <v>295</v>
      </c>
      <c r="E9" s="13" t="s">
        <v>495</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496</v>
      </c>
      <c r="D11" s="12" t="s">
        <v>298</v>
      </c>
      <c r="E11" s="13" t="s">
        <v>496</v>
      </c>
    </row>
    <row r="12" customFormat="false" ht="21.75" hidden="false" customHeight="true" outlineLevel="0" collapsed="false">
      <c r="A12" s="12" t="s">
        <v>300</v>
      </c>
      <c r="B12" s="13" t="s">
        <v>62</v>
      </c>
      <c r="D12" s="12" t="s">
        <v>301</v>
      </c>
      <c r="E12" s="13" t="s">
        <v>62</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497</v>
      </c>
      <c r="B1" s="10"/>
      <c r="D1" s="10" t="s">
        <v>498</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65</v>
      </c>
      <c r="D3" s="12" t="s">
        <v>279</v>
      </c>
      <c r="E3" s="13" t="s">
        <v>65</v>
      </c>
    </row>
    <row r="4" customFormat="false" ht="21.75" hidden="false" customHeight="true" outlineLevel="0" collapsed="false">
      <c r="A4" s="12" t="s">
        <v>280</v>
      </c>
      <c r="B4" s="13" t="s">
        <v>66</v>
      </c>
      <c r="D4" s="12" t="s">
        <v>281</v>
      </c>
      <c r="E4" s="13" t="s">
        <v>231</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64.5" hidden="false" customHeight="true" outlineLevel="0" collapsed="false">
      <c r="A8" s="12" t="s">
        <v>290</v>
      </c>
      <c r="B8" s="13" t="s">
        <v>499</v>
      </c>
      <c r="D8" s="12" t="s">
        <v>292</v>
      </c>
      <c r="E8" s="13" t="s">
        <v>500</v>
      </c>
    </row>
    <row r="9" customFormat="false" ht="181.5" hidden="false" customHeight="true" outlineLevel="0" collapsed="false">
      <c r="A9" s="12" t="s">
        <v>294</v>
      </c>
      <c r="B9" s="13" t="s">
        <v>501</v>
      </c>
      <c r="D9" s="12" t="s">
        <v>295</v>
      </c>
      <c r="E9" s="13" t="s">
        <v>502</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503</v>
      </c>
      <c r="D11" s="12" t="s">
        <v>298</v>
      </c>
      <c r="E11" s="13" t="s">
        <v>503</v>
      </c>
    </row>
    <row r="12" customFormat="false" ht="21.75" hidden="false" customHeight="true" outlineLevel="0" collapsed="false">
      <c r="A12" s="12" t="s">
        <v>300</v>
      </c>
      <c r="B12" s="13" t="s">
        <v>65</v>
      </c>
      <c r="D12" s="12" t="s">
        <v>301</v>
      </c>
      <c r="E12" s="13" t="s">
        <v>65</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504</v>
      </c>
      <c r="B1" s="10"/>
      <c r="D1" s="10" t="s">
        <v>505</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67</v>
      </c>
      <c r="D3" s="12" t="s">
        <v>279</v>
      </c>
      <c r="E3" s="13" t="s">
        <v>67</v>
      </c>
    </row>
    <row r="4" customFormat="false" ht="21.75" hidden="false" customHeight="true" outlineLevel="0" collapsed="false">
      <c r="A4" s="12" t="s">
        <v>280</v>
      </c>
      <c r="B4" s="13" t="s">
        <v>68</v>
      </c>
      <c r="D4" s="12" t="s">
        <v>281</v>
      </c>
      <c r="E4" s="13" t="s">
        <v>232</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45" hidden="false" customHeight="true" outlineLevel="0" collapsed="false">
      <c r="A8" s="12" t="s">
        <v>290</v>
      </c>
      <c r="B8" s="13" t="s">
        <v>506</v>
      </c>
      <c r="D8" s="12" t="s">
        <v>292</v>
      </c>
      <c r="E8" s="13" t="s">
        <v>507</v>
      </c>
    </row>
    <row r="9" customFormat="false" ht="45" hidden="false" customHeight="true" outlineLevel="0" collapsed="false">
      <c r="A9" s="12" t="s">
        <v>294</v>
      </c>
      <c r="B9" s="13" t="s">
        <v>508</v>
      </c>
      <c r="D9" s="12" t="s">
        <v>295</v>
      </c>
      <c r="E9" s="13" t="s">
        <v>509</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510</v>
      </c>
      <c r="D11" s="12" t="s">
        <v>298</v>
      </c>
      <c r="E11" s="13" t="s">
        <v>510</v>
      </c>
    </row>
    <row r="12" customFormat="false" ht="21.75" hidden="false" customHeight="true" outlineLevel="0" collapsed="false">
      <c r="A12" s="12" t="s">
        <v>300</v>
      </c>
      <c r="B12" s="13" t="s">
        <v>67</v>
      </c>
      <c r="D12" s="12" t="s">
        <v>301</v>
      </c>
      <c r="E12" s="13" t="s">
        <v>67</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511</v>
      </c>
      <c r="B1" s="10"/>
      <c r="D1" s="10" t="s">
        <v>512</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70</v>
      </c>
      <c r="D3" s="12" t="s">
        <v>279</v>
      </c>
      <c r="E3" s="13" t="s">
        <v>70</v>
      </c>
    </row>
    <row r="4" customFormat="false" ht="21.75" hidden="false" customHeight="true" outlineLevel="0" collapsed="false">
      <c r="A4" s="12" t="s">
        <v>280</v>
      </c>
      <c r="B4" s="13" t="s">
        <v>71</v>
      </c>
      <c r="D4" s="12" t="s">
        <v>281</v>
      </c>
      <c r="E4" s="13" t="s">
        <v>233</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168.75" hidden="false" customHeight="true" outlineLevel="0" collapsed="false">
      <c r="A8" s="12" t="s">
        <v>290</v>
      </c>
      <c r="B8" s="13" t="s">
        <v>513</v>
      </c>
      <c r="D8" s="12" t="s">
        <v>292</v>
      </c>
      <c r="E8" s="13" t="s">
        <v>514</v>
      </c>
    </row>
    <row r="9" customFormat="false" ht="300" hidden="false" customHeight="true" outlineLevel="0" collapsed="false">
      <c r="A9" s="12" t="s">
        <v>294</v>
      </c>
      <c r="B9" s="13" t="s">
        <v>515</v>
      </c>
      <c r="D9" s="12" t="s">
        <v>295</v>
      </c>
      <c r="E9" s="13" t="s">
        <v>516</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517</v>
      </c>
      <c r="D11" s="12" t="s">
        <v>298</v>
      </c>
      <c r="E11" s="13" t="s">
        <v>517</v>
      </c>
    </row>
    <row r="12" customFormat="false" ht="21.75" hidden="false" customHeight="true" outlineLevel="0" collapsed="false">
      <c r="A12" s="12" t="s">
        <v>300</v>
      </c>
      <c r="B12" s="13" t="s">
        <v>70</v>
      </c>
      <c r="D12" s="12" t="s">
        <v>301</v>
      </c>
      <c r="E12" s="13" t="s">
        <v>70</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518</v>
      </c>
      <c r="B1" s="10"/>
      <c r="D1" s="10" t="s">
        <v>519</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72</v>
      </c>
      <c r="D3" s="12" t="s">
        <v>279</v>
      </c>
      <c r="E3" s="13" t="s">
        <v>72</v>
      </c>
    </row>
    <row r="4" customFormat="false" ht="21.75" hidden="false" customHeight="true" outlineLevel="0" collapsed="false">
      <c r="A4" s="12" t="s">
        <v>280</v>
      </c>
      <c r="B4" s="13" t="s">
        <v>73</v>
      </c>
      <c r="D4" s="12" t="s">
        <v>281</v>
      </c>
      <c r="E4" s="13" t="s">
        <v>234</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78" hidden="false" customHeight="true" outlineLevel="0" collapsed="false">
      <c r="A8" s="12" t="s">
        <v>290</v>
      </c>
      <c r="B8" s="13" t="s">
        <v>520</v>
      </c>
      <c r="D8" s="12" t="s">
        <v>292</v>
      </c>
      <c r="E8" s="13" t="s">
        <v>521</v>
      </c>
    </row>
    <row r="9" customFormat="false" ht="300" hidden="false" customHeight="true" outlineLevel="0" collapsed="false">
      <c r="A9" s="12" t="s">
        <v>294</v>
      </c>
      <c r="B9" s="13" t="s">
        <v>522</v>
      </c>
      <c r="D9" s="12" t="s">
        <v>295</v>
      </c>
      <c r="E9" s="13" t="s">
        <v>523</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524</v>
      </c>
      <c r="D11" s="12" t="s">
        <v>298</v>
      </c>
      <c r="E11" s="13" t="s">
        <v>524</v>
      </c>
    </row>
    <row r="12" customFormat="false" ht="21.75" hidden="false" customHeight="true" outlineLevel="0" collapsed="false">
      <c r="A12" s="12" t="s">
        <v>300</v>
      </c>
      <c r="B12" s="13" t="s">
        <v>72</v>
      </c>
      <c r="D12" s="12" t="s">
        <v>301</v>
      </c>
      <c r="E12" s="13" t="s">
        <v>72</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525</v>
      </c>
      <c r="B1" s="10"/>
      <c r="D1" s="10" t="s">
        <v>526</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74</v>
      </c>
      <c r="D3" s="12" t="s">
        <v>279</v>
      </c>
      <c r="E3" s="13" t="s">
        <v>74</v>
      </c>
    </row>
    <row r="4" customFormat="false" ht="21.75" hidden="false" customHeight="true" outlineLevel="0" collapsed="false">
      <c r="A4" s="12" t="s">
        <v>280</v>
      </c>
      <c r="B4" s="13" t="s">
        <v>73</v>
      </c>
      <c r="D4" s="12" t="s">
        <v>281</v>
      </c>
      <c r="E4" s="13" t="s">
        <v>234</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78" hidden="false" customHeight="true" outlineLevel="0" collapsed="false">
      <c r="A8" s="12" t="s">
        <v>290</v>
      </c>
      <c r="B8" s="13" t="s">
        <v>527</v>
      </c>
      <c r="D8" s="12" t="s">
        <v>292</v>
      </c>
      <c r="E8" s="13" t="s">
        <v>528</v>
      </c>
    </row>
    <row r="9" customFormat="false" ht="64.5" hidden="false" customHeight="true" outlineLevel="0" collapsed="false">
      <c r="A9" s="12" t="s">
        <v>294</v>
      </c>
      <c r="B9" s="13" t="s">
        <v>529</v>
      </c>
      <c r="D9" s="12" t="s">
        <v>295</v>
      </c>
      <c r="E9" s="13" t="s">
        <v>530</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531</v>
      </c>
      <c r="D11" s="12" t="s">
        <v>298</v>
      </c>
      <c r="E11" s="13" t="s">
        <v>531</v>
      </c>
    </row>
    <row r="12" customFormat="false" ht="21.75" hidden="false" customHeight="true" outlineLevel="0" collapsed="false">
      <c r="A12" s="12" t="s">
        <v>300</v>
      </c>
      <c r="B12" s="13" t="s">
        <v>74</v>
      </c>
      <c r="D12" s="12" t="s">
        <v>301</v>
      </c>
      <c r="E12" s="13" t="s">
        <v>74</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532</v>
      </c>
      <c r="B1" s="10"/>
      <c r="D1" s="10" t="s">
        <v>533</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76</v>
      </c>
      <c r="D3" s="12" t="s">
        <v>279</v>
      </c>
      <c r="E3" s="13" t="s">
        <v>76</v>
      </c>
    </row>
    <row r="4" customFormat="false" ht="21.75" hidden="false" customHeight="true" outlineLevel="0" collapsed="false">
      <c r="A4" s="12" t="s">
        <v>280</v>
      </c>
      <c r="B4" s="13" t="s">
        <v>77</v>
      </c>
      <c r="D4" s="12" t="s">
        <v>281</v>
      </c>
      <c r="E4" s="13" t="s">
        <v>235</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117" hidden="false" customHeight="true" outlineLevel="0" collapsed="false">
      <c r="A8" s="12" t="s">
        <v>290</v>
      </c>
      <c r="B8" s="13" t="s">
        <v>534</v>
      </c>
      <c r="D8" s="12" t="s">
        <v>292</v>
      </c>
      <c r="E8" s="13" t="s">
        <v>535</v>
      </c>
    </row>
    <row r="9" customFormat="false" ht="51.75" hidden="false" customHeight="true" outlineLevel="0" collapsed="false">
      <c r="A9" s="12" t="s">
        <v>294</v>
      </c>
      <c r="B9" s="13" t="s">
        <v>536</v>
      </c>
      <c r="D9" s="12" t="s">
        <v>295</v>
      </c>
      <c r="E9" s="13" t="s">
        <v>537</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538</v>
      </c>
      <c r="D11" s="12" t="s">
        <v>298</v>
      </c>
      <c r="E11" s="13" t="s">
        <v>538</v>
      </c>
    </row>
    <row r="12" customFormat="false" ht="21.75" hidden="false" customHeight="true" outlineLevel="0" collapsed="false">
      <c r="A12" s="12" t="s">
        <v>300</v>
      </c>
      <c r="B12" s="13" t="s">
        <v>76</v>
      </c>
      <c r="D12" s="12" t="s">
        <v>301</v>
      </c>
      <c r="E12" s="13" t="s">
        <v>76</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539</v>
      </c>
      <c r="B1" s="10"/>
      <c r="D1" s="10" t="s">
        <v>540</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78</v>
      </c>
      <c r="D3" s="12" t="s">
        <v>279</v>
      </c>
      <c r="E3" s="13" t="s">
        <v>78</v>
      </c>
    </row>
    <row r="4" customFormat="false" ht="21.75" hidden="false" customHeight="true" outlineLevel="0" collapsed="false">
      <c r="A4" s="12" t="s">
        <v>280</v>
      </c>
      <c r="B4" s="13" t="s">
        <v>79</v>
      </c>
      <c r="D4" s="12" t="s">
        <v>281</v>
      </c>
      <c r="E4" s="13" t="s">
        <v>236</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64.5" hidden="false" customHeight="true" outlineLevel="0" collapsed="false">
      <c r="A8" s="12" t="s">
        <v>290</v>
      </c>
      <c r="B8" s="13" t="s">
        <v>541</v>
      </c>
      <c r="D8" s="12" t="s">
        <v>292</v>
      </c>
      <c r="E8" s="13" t="s">
        <v>542</v>
      </c>
    </row>
    <row r="9" customFormat="false" ht="168.75" hidden="false" customHeight="true" outlineLevel="0" collapsed="false">
      <c r="A9" s="12" t="s">
        <v>294</v>
      </c>
      <c r="B9" s="13" t="s">
        <v>543</v>
      </c>
      <c r="D9" s="12" t="s">
        <v>295</v>
      </c>
      <c r="E9" s="13" t="s">
        <v>544</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545</v>
      </c>
      <c r="D11" s="12" t="s">
        <v>298</v>
      </c>
      <c r="E11" s="13" t="s">
        <v>545</v>
      </c>
    </row>
    <row r="12" customFormat="false" ht="21.75" hidden="false" customHeight="true" outlineLevel="0" collapsed="false">
      <c r="A12" s="12" t="s">
        <v>300</v>
      </c>
      <c r="B12" s="13" t="s">
        <v>78</v>
      </c>
      <c r="D12" s="12" t="s">
        <v>301</v>
      </c>
      <c r="E12" s="13" t="s">
        <v>78</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546</v>
      </c>
      <c r="B1" s="10"/>
      <c r="D1" s="10" t="s">
        <v>547</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80</v>
      </c>
      <c r="D3" s="12" t="s">
        <v>279</v>
      </c>
      <c r="E3" s="13" t="s">
        <v>80</v>
      </c>
    </row>
    <row r="4" customFormat="false" ht="21.75" hidden="false" customHeight="true" outlineLevel="0" collapsed="false">
      <c r="A4" s="12" t="s">
        <v>280</v>
      </c>
      <c r="B4" s="13" t="s">
        <v>79</v>
      </c>
      <c r="D4" s="12" t="s">
        <v>281</v>
      </c>
      <c r="E4" s="13" t="s">
        <v>236</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51.75" hidden="false" customHeight="true" outlineLevel="0" collapsed="false">
      <c r="A8" s="12" t="s">
        <v>290</v>
      </c>
      <c r="B8" s="13" t="s">
        <v>548</v>
      </c>
      <c r="D8" s="12" t="s">
        <v>292</v>
      </c>
      <c r="E8" s="13" t="s">
        <v>549</v>
      </c>
    </row>
    <row r="9" customFormat="false" ht="45" hidden="false" customHeight="true" outlineLevel="0" collapsed="false">
      <c r="A9" s="12" t="s">
        <v>294</v>
      </c>
      <c r="B9" s="13"/>
      <c r="D9" s="12" t="s">
        <v>295</v>
      </c>
      <c r="E9" s="13"/>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550</v>
      </c>
      <c r="D11" s="12" t="s">
        <v>298</v>
      </c>
      <c r="E11" s="13" t="s">
        <v>550</v>
      </c>
    </row>
    <row r="12" customFormat="false" ht="21.75" hidden="false" customHeight="true" outlineLevel="0" collapsed="false">
      <c r="A12" s="12" t="s">
        <v>300</v>
      </c>
      <c r="B12" s="13" t="s">
        <v>80</v>
      </c>
      <c r="D12" s="12" t="s">
        <v>301</v>
      </c>
      <c r="E12" s="13" t="s">
        <v>80</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551</v>
      </c>
      <c r="B1" s="10"/>
      <c r="D1" s="10" t="s">
        <v>552</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82</v>
      </c>
      <c r="D3" s="12" t="s">
        <v>279</v>
      </c>
      <c r="E3" s="13" t="s">
        <v>82</v>
      </c>
    </row>
    <row r="4" customFormat="false" ht="21.75" hidden="false" customHeight="true" outlineLevel="0" collapsed="false">
      <c r="A4" s="12" t="s">
        <v>280</v>
      </c>
      <c r="B4" s="13" t="s">
        <v>83</v>
      </c>
      <c r="D4" s="12" t="s">
        <v>281</v>
      </c>
      <c r="E4" s="13" t="s">
        <v>237</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181.5" hidden="false" customHeight="true" outlineLevel="0" collapsed="false">
      <c r="A8" s="12" t="s">
        <v>290</v>
      </c>
      <c r="B8" s="13" t="s">
        <v>553</v>
      </c>
      <c r="D8" s="12" t="s">
        <v>292</v>
      </c>
      <c r="E8" s="13" t="s">
        <v>554</v>
      </c>
    </row>
    <row r="9" customFormat="false" ht="168.75" hidden="false" customHeight="true" outlineLevel="0" collapsed="false">
      <c r="A9" s="12" t="s">
        <v>294</v>
      </c>
      <c r="B9" s="13" t="s">
        <v>555</v>
      </c>
      <c r="D9" s="12" t="s">
        <v>295</v>
      </c>
      <c r="E9" s="13" t="s">
        <v>556</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557</v>
      </c>
      <c r="D11" s="12" t="s">
        <v>298</v>
      </c>
      <c r="E11" s="13" t="s">
        <v>557</v>
      </c>
    </row>
    <row r="12" customFormat="false" ht="21.75" hidden="false" customHeight="true" outlineLevel="0" collapsed="false">
      <c r="A12" s="12" t="s">
        <v>300</v>
      </c>
      <c r="B12" s="13" t="s">
        <v>82</v>
      </c>
      <c r="D12" s="12" t="s">
        <v>301</v>
      </c>
      <c r="E12" s="13" t="s">
        <v>82</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558</v>
      </c>
      <c r="B1" s="10"/>
      <c r="D1" s="10" t="s">
        <v>559</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84</v>
      </c>
      <c r="D3" s="12" t="s">
        <v>279</v>
      </c>
      <c r="E3" s="13" t="s">
        <v>84</v>
      </c>
    </row>
    <row r="4" customFormat="false" ht="21.75" hidden="false" customHeight="true" outlineLevel="0" collapsed="false">
      <c r="A4" s="12" t="s">
        <v>280</v>
      </c>
      <c r="B4" s="13" t="s">
        <v>83</v>
      </c>
      <c r="D4" s="12" t="s">
        <v>281</v>
      </c>
      <c r="E4" s="13" t="s">
        <v>237</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51.75" hidden="false" customHeight="true" outlineLevel="0" collapsed="false">
      <c r="A8" s="12" t="s">
        <v>290</v>
      </c>
      <c r="B8" s="13" t="s">
        <v>560</v>
      </c>
      <c r="D8" s="12" t="s">
        <v>292</v>
      </c>
      <c r="E8" s="13" t="s">
        <v>561</v>
      </c>
    </row>
    <row r="9" customFormat="false" ht="78" hidden="false" customHeight="true" outlineLevel="0" collapsed="false">
      <c r="A9" s="12" t="s">
        <v>294</v>
      </c>
      <c r="B9" s="13" t="s">
        <v>562</v>
      </c>
      <c r="D9" s="12" t="s">
        <v>295</v>
      </c>
      <c r="E9" s="13" t="s">
        <v>563</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564</v>
      </c>
      <c r="D11" s="12" t="s">
        <v>298</v>
      </c>
      <c r="E11" s="13" t="s">
        <v>564</v>
      </c>
    </row>
    <row r="12" customFormat="false" ht="21.75" hidden="false" customHeight="true" outlineLevel="0" collapsed="false">
      <c r="A12" s="12" t="s">
        <v>300</v>
      </c>
      <c r="B12" s="13" t="s">
        <v>84</v>
      </c>
      <c r="D12" s="12" t="s">
        <v>301</v>
      </c>
      <c r="E12" s="13" t="s">
        <v>84</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565</v>
      </c>
      <c r="B1" s="10"/>
      <c r="D1" s="10" t="s">
        <v>566</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86</v>
      </c>
      <c r="D3" s="12" t="s">
        <v>279</v>
      </c>
      <c r="E3" s="13" t="s">
        <v>86</v>
      </c>
    </row>
    <row r="4" customFormat="false" ht="21.75" hidden="false" customHeight="true" outlineLevel="0" collapsed="false">
      <c r="A4" s="12" t="s">
        <v>280</v>
      </c>
      <c r="B4" s="13" t="s">
        <v>87</v>
      </c>
      <c r="D4" s="12" t="s">
        <v>281</v>
      </c>
      <c r="E4" s="13" t="s">
        <v>238</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45" hidden="false" customHeight="true" outlineLevel="0" collapsed="false">
      <c r="A8" s="12" t="s">
        <v>290</v>
      </c>
      <c r="B8" s="13" t="s">
        <v>567</v>
      </c>
      <c r="D8" s="12" t="s">
        <v>292</v>
      </c>
      <c r="E8" s="13" t="s">
        <v>568</v>
      </c>
    </row>
    <row r="9" customFormat="false" ht="246.75" hidden="false" customHeight="true" outlineLevel="0" collapsed="false">
      <c r="A9" s="12" t="s">
        <v>294</v>
      </c>
      <c r="B9" s="13" t="s">
        <v>569</v>
      </c>
      <c r="D9" s="12" t="s">
        <v>295</v>
      </c>
      <c r="E9" s="13" t="s">
        <v>570</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571</v>
      </c>
      <c r="D11" s="12" t="s">
        <v>298</v>
      </c>
      <c r="E11" s="13" t="s">
        <v>571</v>
      </c>
    </row>
    <row r="12" customFormat="false" ht="21.75" hidden="false" customHeight="true" outlineLevel="0" collapsed="false">
      <c r="A12" s="12" t="s">
        <v>300</v>
      </c>
      <c r="B12" s="13" t="s">
        <v>86</v>
      </c>
      <c r="D12" s="12" t="s">
        <v>301</v>
      </c>
      <c r="E12" s="13" t="s">
        <v>86</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572</v>
      </c>
      <c r="B1" s="10"/>
      <c r="D1" s="10" t="s">
        <v>573</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88</v>
      </c>
      <c r="D3" s="12" t="s">
        <v>279</v>
      </c>
      <c r="E3" s="13" t="s">
        <v>88</v>
      </c>
    </row>
    <row r="4" customFormat="false" ht="21.75" hidden="false" customHeight="true" outlineLevel="0" collapsed="false">
      <c r="A4" s="12" t="s">
        <v>280</v>
      </c>
      <c r="B4" s="13" t="s">
        <v>87</v>
      </c>
      <c r="D4" s="12" t="s">
        <v>281</v>
      </c>
      <c r="E4" s="13" t="s">
        <v>238</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78" hidden="false" customHeight="true" outlineLevel="0" collapsed="false">
      <c r="A8" s="12" t="s">
        <v>290</v>
      </c>
      <c r="B8" s="13" t="s">
        <v>574</v>
      </c>
      <c r="D8" s="12" t="s">
        <v>292</v>
      </c>
      <c r="E8" s="13" t="s">
        <v>575</v>
      </c>
    </row>
    <row r="9" customFormat="false" ht="45" hidden="false" customHeight="true" outlineLevel="0" collapsed="false">
      <c r="A9" s="12" t="s">
        <v>294</v>
      </c>
      <c r="B9" s="13" t="s">
        <v>576</v>
      </c>
      <c r="D9" s="12" t="s">
        <v>295</v>
      </c>
      <c r="E9" s="13" t="s">
        <v>577</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578</v>
      </c>
      <c r="D11" s="12" t="s">
        <v>298</v>
      </c>
      <c r="E11" s="13" t="s">
        <v>578</v>
      </c>
    </row>
    <row r="12" customFormat="false" ht="21.75" hidden="false" customHeight="true" outlineLevel="0" collapsed="false">
      <c r="A12" s="12" t="s">
        <v>300</v>
      </c>
      <c r="B12" s="13" t="s">
        <v>88</v>
      </c>
      <c r="D12" s="12" t="s">
        <v>301</v>
      </c>
      <c r="E12" s="13" t="s">
        <v>88</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579</v>
      </c>
      <c r="B1" s="10"/>
      <c r="D1" s="10" t="s">
        <v>580</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90</v>
      </c>
      <c r="D3" s="12" t="s">
        <v>279</v>
      </c>
      <c r="E3" s="13" t="s">
        <v>90</v>
      </c>
    </row>
    <row r="4" customFormat="false" ht="21.75" hidden="false" customHeight="true" outlineLevel="0" collapsed="false">
      <c r="A4" s="12" t="s">
        <v>280</v>
      </c>
      <c r="B4" s="13" t="s">
        <v>91</v>
      </c>
      <c r="D4" s="12" t="s">
        <v>281</v>
      </c>
      <c r="E4" s="13" t="s">
        <v>239</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45" hidden="false" customHeight="true" outlineLevel="0" collapsed="false">
      <c r="A8" s="12" t="s">
        <v>290</v>
      </c>
      <c r="B8" s="13" t="s">
        <v>581</v>
      </c>
      <c r="D8" s="12" t="s">
        <v>292</v>
      </c>
      <c r="E8" s="13" t="s">
        <v>582</v>
      </c>
    </row>
    <row r="9" customFormat="false" ht="195" hidden="false" customHeight="true" outlineLevel="0" collapsed="false">
      <c r="A9" s="12" t="s">
        <v>294</v>
      </c>
      <c r="B9" s="13" t="s">
        <v>583</v>
      </c>
      <c r="D9" s="12" t="s">
        <v>295</v>
      </c>
      <c r="E9" s="13" t="s">
        <v>584</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585</v>
      </c>
      <c r="D11" s="12" t="s">
        <v>298</v>
      </c>
      <c r="E11" s="13" t="s">
        <v>585</v>
      </c>
    </row>
    <row r="12" customFormat="false" ht="21.75" hidden="false" customHeight="true" outlineLevel="0" collapsed="false">
      <c r="A12" s="12" t="s">
        <v>300</v>
      </c>
      <c r="B12" s="13" t="s">
        <v>90</v>
      </c>
      <c r="D12" s="12" t="s">
        <v>301</v>
      </c>
      <c r="E12" s="13" t="s">
        <v>90</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586</v>
      </c>
      <c r="B1" s="10"/>
      <c r="D1" s="10" t="s">
        <v>587</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92</v>
      </c>
      <c r="D3" s="12" t="s">
        <v>279</v>
      </c>
      <c r="E3" s="13" t="s">
        <v>92</v>
      </c>
    </row>
    <row r="4" customFormat="false" ht="21.75" hidden="false" customHeight="true" outlineLevel="0" collapsed="false">
      <c r="A4" s="12" t="s">
        <v>280</v>
      </c>
      <c r="B4" s="13" t="s">
        <v>93</v>
      </c>
      <c r="D4" s="12" t="s">
        <v>281</v>
      </c>
      <c r="E4" s="13" t="s">
        <v>240</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78" hidden="false" customHeight="true" outlineLevel="0" collapsed="false">
      <c r="A8" s="12" t="s">
        <v>290</v>
      </c>
      <c r="B8" s="13" t="s">
        <v>588</v>
      </c>
      <c r="D8" s="12" t="s">
        <v>292</v>
      </c>
      <c r="E8" s="13" t="s">
        <v>589</v>
      </c>
    </row>
    <row r="9" customFormat="false" ht="64.5" hidden="false" customHeight="true" outlineLevel="0" collapsed="false">
      <c r="A9" s="12" t="s">
        <v>294</v>
      </c>
      <c r="B9" s="13" t="s">
        <v>590</v>
      </c>
      <c r="D9" s="12" t="s">
        <v>295</v>
      </c>
      <c r="E9" s="13" t="s">
        <v>591</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592</v>
      </c>
      <c r="D11" s="12" t="s">
        <v>298</v>
      </c>
      <c r="E11" s="13" t="s">
        <v>592</v>
      </c>
    </row>
    <row r="12" customFormat="false" ht="21.75" hidden="false" customHeight="true" outlineLevel="0" collapsed="false">
      <c r="A12" s="12" t="s">
        <v>300</v>
      </c>
      <c r="B12" s="13" t="s">
        <v>92</v>
      </c>
      <c r="D12" s="12" t="s">
        <v>301</v>
      </c>
      <c r="E12" s="13" t="s">
        <v>92</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593</v>
      </c>
      <c r="B1" s="10"/>
      <c r="D1" s="10" t="s">
        <v>594</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95</v>
      </c>
      <c r="D3" s="12" t="s">
        <v>279</v>
      </c>
      <c r="E3" s="13" t="s">
        <v>95</v>
      </c>
    </row>
    <row r="4" customFormat="false" ht="21.75" hidden="false" customHeight="true" outlineLevel="0" collapsed="false">
      <c r="A4" s="12" t="s">
        <v>280</v>
      </c>
      <c r="B4" s="13" t="s">
        <v>93</v>
      </c>
      <c r="D4" s="12" t="s">
        <v>281</v>
      </c>
      <c r="E4" s="13" t="s">
        <v>240</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51.75" hidden="false" customHeight="true" outlineLevel="0" collapsed="false">
      <c r="A8" s="12" t="s">
        <v>290</v>
      </c>
      <c r="B8" s="13" t="s">
        <v>595</v>
      </c>
      <c r="D8" s="12" t="s">
        <v>292</v>
      </c>
      <c r="E8" s="13" t="s">
        <v>596</v>
      </c>
    </row>
    <row r="9" customFormat="false" ht="64.5" hidden="false" customHeight="true" outlineLevel="0" collapsed="false">
      <c r="A9" s="12" t="s">
        <v>294</v>
      </c>
      <c r="B9" s="13" t="s">
        <v>597</v>
      </c>
      <c r="D9" s="12" t="s">
        <v>295</v>
      </c>
      <c r="E9" s="13" t="s">
        <v>598</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599</v>
      </c>
      <c r="D11" s="12" t="s">
        <v>298</v>
      </c>
      <c r="E11" s="13" t="s">
        <v>599</v>
      </c>
    </row>
    <row r="12" customFormat="false" ht="21.75" hidden="false" customHeight="true" outlineLevel="0" collapsed="false">
      <c r="A12" s="12" t="s">
        <v>300</v>
      </c>
      <c r="B12" s="13" t="s">
        <v>95</v>
      </c>
      <c r="D12" s="12" t="s">
        <v>301</v>
      </c>
      <c r="E12" s="13" t="s">
        <v>95</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600</v>
      </c>
      <c r="B1" s="10"/>
      <c r="D1" s="10" t="s">
        <v>601</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97</v>
      </c>
      <c r="D3" s="12" t="s">
        <v>279</v>
      </c>
      <c r="E3" s="13" t="s">
        <v>97</v>
      </c>
    </row>
    <row r="4" customFormat="false" ht="21.75" hidden="false" customHeight="true" outlineLevel="0" collapsed="false">
      <c r="A4" s="12" t="s">
        <v>280</v>
      </c>
      <c r="B4" s="13" t="s">
        <v>98</v>
      </c>
      <c r="D4" s="12" t="s">
        <v>281</v>
      </c>
      <c r="E4" s="13" t="s">
        <v>241</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51.75" hidden="false" customHeight="true" outlineLevel="0" collapsed="false">
      <c r="A8" s="12" t="s">
        <v>290</v>
      </c>
      <c r="B8" s="13" t="s">
        <v>602</v>
      </c>
      <c r="D8" s="12" t="s">
        <v>292</v>
      </c>
      <c r="E8" s="13" t="s">
        <v>603</v>
      </c>
    </row>
    <row r="9" customFormat="false" ht="45" hidden="false" customHeight="true" outlineLevel="0" collapsed="false">
      <c r="A9" s="12" t="s">
        <v>294</v>
      </c>
      <c r="B9" s="13" t="s">
        <v>604</v>
      </c>
      <c r="D9" s="12" t="s">
        <v>295</v>
      </c>
      <c r="E9" s="13" t="s">
        <v>605</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606</v>
      </c>
      <c r="D11" s="12" t="s">
        <v>298</v>
      </c>
      <c r="E11" s="13" t="s">
        <v>606</v>
      </c>
    </row>
    <row r="12" customFormat="false" ht="21.75" hidden="false" customHeight="true" outlineLevel="0" collapsed="false">
      <c r="A12" s="12" t="s">
        <v>300</v>
      </c>
      <c r="B12" s="13" t="s">
        <v>97</v>
      </c>
      <c r="D12" s="12" t="s">
        <v>301</v>
      </c>
      <c r="E12" s="13" t="s">
        <v>97</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607</v>
      </c>
      <c r="B1" s="10"/>
      <c r="D1" s="10" t="s">
        <v>608</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100</v>
      </c>
      <c r="D3" s="12" t="s">
        <v>279</v>
      </c>
      <c r="E3" s="13" t="s">
        <v>100</v>
      </c>
    </row>
    <row r="4" customFormat="false" ht="21.75" hidden="false" customHeight="true" outlineLevel="0" collapsed="false">
      <c r="A4" s="12" t="s">
        <v>280</v>
      </c>
      <c r="B4" s="13" t="s">
        <v>101</v>
      </c>
      <c r="D4" s="12" t="s">
        <v>281</v>
      </c>
      <c r="E4" s="13" t="s">
        <v>242</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298.5" hidden="false" customHeight="true" outlineLevel="0" collapsed="false">
      <c r="A8" s="12" t="s">
        <v>290</v>
      </c>
      <c r="B8" s="13" t="s">
        <v>609</v>
      </c>
      <c r="D8" s="12" t="s">
        <v>292</v>
      </c>
      <c r="E8" s="13" t="s">
        <v>610</v>
      </c>
    </row>
    <row r="9" customFormat="false" ht="220.5" hidden="false" customHeight="true" outlineLevel="0" collapsed="false">
      <c r="A9" s="12" t="s">
        <v>294</v>
      </c>
      <c r="B9" s="13" t="s">
        <v>611</v>
      </c>
      <c r="D9" s="12" t="s">
        <v>295</v>
      </c>
      <c r="E9" s="13" t="s">
        <v>612</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613</v>
      </c>
      <c r="D11" s="12" t="s">
        <v>298</v>
      </c>
      <c r="E11" s="13" t="s">
        <v>613</v>
      </c>
    </row>
    <row r="12" customFormat="false" ht="21.75" hidden="false" customHeight="true" outlineLevel="0" collapsed="false">
      <c r="A12" s="12" t="s">
        <v>300</v>
      </c>
      <c r="B12" s="13" t="s">
        <v>100</v>
      </c>
      <c r="D12" s="12" t="s">
        <v>301</v>
      </c>
      <c r="E12" s="13" t="s">
        <v>100</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614</v>
      </c>
      <c r="B1" s="10"/>
      <c r="D1" s="10" t="s">
        <v>615</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102</v>
      </c>
      <c r="D3" s="12" t="s">
        <v>279</v>
      </c>
      <c r="E3" s="13" t="s">
        <v>102</v>
      </c>
    </row>
    <row r="4" customFormat="false" ht="21.75" hidden="false" customHeight="true" outlineLevel="0" collapsed="false">
      <c r="A4" s="12" t="s">
        <v>280</v>
      </c>
      <c r="B4" s="13" t="s">
        <v>101</v>
      </c>
      <c r="D4" s="12" t="s">
        <v>281</v>
      </c>
      <c r="E4" s="13" t="s">
        <v>242</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51.75" hidden="false" customHeight="true" outlineLevel="0" collapsed="false">
      <c r="A8" s="12" t="s">
        <v>290</v>
      </c>
      <c r="B8" s="13" t="s">
        <v>616</v>
      </c>
      <c r="D8" s="12" t="s">
        <v>292</v>
      </c>
      <c r="E8" s="13" t="s">
        <v>617</v>
      </c>
    </row>
    <row r="9" customFormat="false" ht="78" hidden="false" customHeight="true" outlineLevel="0" collapsed="false">
      <c r="A9" s="12" t="s">
        <v>294</v>
      </c>
      <c r="B9" s="13" t="s">
        <v>618</v>
      </c>
      <c r="D9" s="12" t="s">
        <v>295</v>
      </c>
      <c r="E9" s="13" t="s">
        <v>619</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620</v>
      </c>
      <c r="D11" s="12" t="s">
        <v>298</v>
      </c>
      <c r="E11" s="13" t="s">
        <v>620</v>
      </c>
    </row>
    <row r="12" customFormat="false" ht="21.75" hidden="false" customHeight="true" outlineLevel="0" collapsed="false">
      <c r="A12" s="12" t="s">
        <v>300</v>
      </c>
      <c r="B12" s="13" t="s">
        <v>102</v>
      </c>
      <c r="D12" s="12" t="s">
        <v>301</v>
      </c>
      <c r="E12" s="13" t="s">
        <v>102</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621</v>
      </c>
      <c r="B1" s="10"/>
      <c r="D1" s="10" t="s">
        <v>622</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104</v>
      </c>
      <c r="D3" s="12" t="s">
        <v>279</v>
      </c>
      <c r="E3" s="13" t="s">
        <v>104</v>
      </c>
    </row>
    <row r="4" customFormat="false" ht="21.75" hidden="false" customHeight="true" outlineLevel="0" collapsed="false">
      <c r="A4" s="12" t="s">
        <v>280</v>
      </c>
      <c r="B4" s="13" t="s">
        <v>101</v>
      </c>
      <c r="D4" s="12" t="s">
        <v>281</v>
      </c>
      <c r="E4" s="13" t="s">
        <v>242</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51.75" hidden="false" customHeight="true" outlineLevel="0" collapsed="false">
      <c r="A8" s="12" t="s">
        <v>290</v>
      </c>
      <c r="B8" s="13" t="s">
        <v>623</v>
      </c>
      <c r="D8" s="12" t="s">
        <v>292</v>
      </c>
      <c r="E8" s="13" t="s">
        <v>624</v>
      </c>
    </row>
    <row r="9" customFormat="false" ht="45" hidden="false" customHeight="true" outlineLevel="0" collapsed="false">
      <c r="A9" s="12" t="s">
        <v>294</v>
      </c>
      <c r="B9" s="13" t="s">
        <v>625</v>
      </c>
      <c r="D9" s="12" t="s">
        <v>295</v>
      </c>
      <c r="E9" s="13" t="s">
        <v>626</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627</v>
      </c>
      <c r="D11" s="12" t="s">
        <v>298</v>
      </c>
      <c r="E11" s="13" t="s">
        <v>627</v>
      </c>
    </row>
    <row r="12" customFormat="false" ht="21.75" hidden="false" customHeight="true" outlineLevel="0" collapsed="false">
      <c r="A12" s="12" t="s">
        <v>300</v>
      </c>
      <c r="B12" s="13" t="s">
        <v>104</v>
      </c>
      <c r="D12" s="12" t="s">
        <v>301</v>
      </c>
      <c r="E12" s="13" t="s">
        <v>104</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628</v>
      </c>
      <c r="B1" s="10"/>
      <c r="D1" s="10" t="s">
        <v>629</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106</v>
      </c>
      <c r="D3" s="12" t="s">
        <v>279</v>
      </c>
      <c r="E3" s="13" t="s">
        <v>106</v>
      </c>
    </row>
    <row r="4" customFormat="false" ht="21.75" hidden="false" customHeight="true" outlineLevel="0" collapsed="false">
      <c r="A4" s="12" t="s">
        <v>280</v>
      </c>
      <c r="B4" s="13" t="s">
        <v>101</v>
      </c>
      <c r="D4" s="12" t="s">
        <v>281</v>
      </c>
      <c r="E4" s="13" t="s">
        <v>242</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64.5" hidden="false" customHeight="true" outlineLevel="0" collapsed="false">
      <c r="A8" s="12" t="s">
        <v>290</v>
      </c>
      <c r="B8" s="13" t="s">
        <v>630</v>
      </c>
      <c r="D8" s="12" t="s">
        <v>292</v>
      </c>
      <c r="E8" s="13" t="s">
        <v>631</v>
      </c>
    </row>
    <row r="9" customFormat="false" ht="45" hidden="false" customHeight="true" outlineLevel="0" collapsed="false">
      <c r="A9" s="12" t="s">
        <v>294</v>
      </c>
      <c r="B9" s="13"/>
      <c r="D9" s="12" t="s">
        <v>295</v>
      </c>
      <c r="E9" s="13"/>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632</v>
      </c>
      <c r="D11" s="12" t="s">
        <v>298</v>
      </c>
      <c r="E11" s="13" t="s">
        <v>632</v>
      </c>
    </row>
    <row r="12" customFormat="false" ht="21.75" hidden="false" customHeight="true" outlineLevel="0" collapsed="false">
      <c r="A12" s="12" t="s">
        <v>300</v>
      </c>
      <c r="B12" s="13" t="s">
        <v>106</v>
      </c>
      <c r="D12" s="12" t="s">
        <v>301</v>
      </c>
      <c r="E12" s="13" t="s">
        <v>106</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633</v>
      </c>
      <c r="B1" s="10"/>
      <c r="D1" s="10" t="s">
        <v>634</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108</v>
      </c>
      <c r="D3" s="12" t="s">
        <v>279</v>
      </c>
      <c r="E3" s="13" t="s">
        <v>108</v>
      </c>
    </row>
    <row r="4" customFormat="false" ht="21.75" hidden="false" customHeight="true" outlineLevel="0" collapsed="false">
      <c r="A4" s="12" t="s">
        <v>280</v>
      </c>
      <c r="B4" s="13" t="s">
        <v>101</v>
      </c>
      <c r="D4" s="12" t="s">
        <v>281</v>
      </c>
      <c r="E4" s="13" t="s">
        <v>242</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51.75" hidden="false" customHeight="true" outlineLevel="0" collapsed="false">
      <c r="A8" s="12" t="s">
        <v>290</v>
      </c>
      <c r="B8" s="13" t="s">
        <v>635</v>
      </c>
      <c r="D8" s="12" t="s">
        <v>292</v>
      </c>
      <c r="E8" s="13" t="s">
        <v>636</v>
      </c>
    </row>
    <row r="9" customFormat="false" ht="78" hidden="false" customHeight="true" outlineLevel="0" collapsed="false">
      <c r="A9" s="12" t="s">
        <v>294</v>
      </c>
      <c r="B9" s="13" t="s">
        <v>637</v>
      </c>
      <c r="D9" s="12" t="s">
        <v>295</v>
      </c>
      <c r="E9" s="13" t="s">
        <v>638</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639</v>
      </c>
      <c r="D11" s="12" t="s">
        <v>298</v>
      </c>
      <c r="E11" s="13" t="s">
        <v>639</v>
      </c>
    </row>
    <row r="12" customFormat="false" ht="21.75" hidden="false" customHeight="true" outlineLevel="0" collapsed="false">
      <c r="A12" s="12" t="s">
        <v>300</v>
      </c>
      <c r="B12" s="13" t="s">
        <v>108</v>
      </c>
      <c r="D12" s="12" t="s">
        <v>301</v>
      </c>
      <c r="E12" s="13" t="s">
        <v>108</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640</v>
      </c>
      <c r="B1" s="10"/>
      <c r="D1" s="10" t="s">
        <v>641</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110</v>
      </c>
      <c r="D3" s="12" t="s">
        <v>279</v>
      </c>
      <c r="E3" s="13" t="s">
        <v>110</v>
      </c>
    </row>
    <row r="4" customFormat="false" ht="21.75" hidden="false" customHeight="true" outlineLevel="0" collapsed="false">
      <c r="A4" s="12" t="s">
        <v>280</v>
      </c>
      <c r="B4" s="13" t="s">
        <v>101</v>
      </c>
      <c r="D4" s="12" t="s">
        <v>281</v>
      </c>
      <c r="E4" s="13" t="s">
        <v>242</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51.75" hidden="false" customHeight="true" outlineLevel="0" collapsed="false">
      <c r="A8" s="12" t="s">
        <v>290</v>
      </c>
      <c r="B8" s="13" t="s">
        <v>642</v>
      </c>
      <c r="D8" s="12" t="s">
        <v>292</v>
      </c>
      <c r="E8" s="13" t="s">
        <v>643</v>
      </c>
    </row>
    <row r="9" customFormat="false" ht="45" hidden="false" customHeight="true" outlineLevel="0" collapsed="false">
      <c r="A9" s="12" t="s">
        <v>294</v>
      </c>
      <c r="B9" s="13" t="s">
        <v>644</v>
      </c>
      <c r="D9" s="12" t="s">
        <v>295</v>
      </c>
      <c r="E9" s="13" t="s">
        <v>645</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646</v>
      </c>
      <c r="D11" s="12" t="s">
        <v>298</v>
      </c>
      <c r="E11" s="13" t="s">
        <v>646</v>
      </c>
    </row>
    <row r="12" customFormat="false" ht="21.75" hidden="false" customHeight="true" outlineLevel="0" collapsed="false">
      <c r="A12" s="12" t="s">
        <v>300</v>
      </c>
      <c r="B12" s="13" t="s">
        <v>110</v>
      </c>
      <c r="D12" s="12" t="s">
        <v>301</v>
      </c>
      <c r="E12" s="13" t="s">
        <v>110</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647</v>
      </c>
      <c r="B1" s="10"/>
      <c r="D1" s="10" t="s">
        <v>648</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112</v>
      </c>
      <c r="D3" s="12" t="s">
        <v>279</v>
      </c>
      <c r="E3" s="13" t="s">
        <v>112</v>
      </c>
    </row>
    <row r="4" customFormat="false" ht="21.75" hidden="false" customHeight="true" outlineLevel="0" collapsed="false">
      <c r="A4" s="12" t="s">
        <v>280</v>
      </c>
      <c r="B4" s="13" t="s">
        <v>101</v>
      </c>
      <c r="D4" s="12" t="s">
        <v>281</v>
      </c>
      <c r="E4" s="13" t="s">
        <v>242</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51.75" hidden="false" customHeight="true" outlineLevel="0" collapsed="false">
      <c r="A8" s="12" t="s">
        <v>290</v>
      </c>
      <c r="B8" s="13" t="s">
        <v>649</v>
      </c>
      <c r="D8" s="12" t="s">
        <v>292</v>
      </c>
      <c r="E8" s="13" t="s">
        <v>650</v>
      </c>
    </row>
    <row r="9" customFormat="false" ht="45" hidden="false" customHeight="true" outlineLevel="0" collapsed="false">
      <c r="A9" s="12" t="s">
        <v>294</v>
      </c>
      <c r="B9" s="13" t="s">
        <v>651</v>
      </c>
      <c r="D9" s="12" t="s">
        <v>295</v>
      </c>
      <c r="E9" s="13" t="s">
        <v>652</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653</v>
      </c>
      <c r="D11" s="12" t="s">
        <v>298</v>
      </c>
      <c r="E11" s="13" t="s">
        <v>653</v>
      </c>
    </row>
    <row r="12" customFormat="false" ht="21.75" hidden="false" customHeight="true" outlineLevel="0" collapsed="false">
      <c r="A12" s="12" t="s">
        <v>300</v>
      </c>
      <c r="B12" s="13" t="s">
        <v>112</v>
      </c>
      <c r="D12" s="12" t="s">
        <v>301</v>
      </c>
      <c r="E12" s="13" t="s">
        <v>112</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654</v>
      </c>
      <c r="B1" s="10"/>
      <c r="D1" s="10" t="s">
        <v>655</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114</v>
      </c>
      <c r="D3" s="12" t="s">
        <v>279</v>
      </c>
      <c r="E3" s="13" t="s">
        <v>114</v>
      </c>
    </row>
    <row r="4" customFormat="false" ht="21.75" hidden="false" customHeight="true" outlineLevel="0" collapsed="false">
      <c r="A4" s="12" t="s">
        <v>280</v>
      </c>
      <c r="B4" s="13" t="s">
        <v>115</v>
      </c>
      <c r="D4" s="12" t="s">
        <v>281</v>
      </c>
      <c r="E4" s="13" t="s">
        <v>243</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103.5" hidden="false" customHeight="true" outlineLevel="0" collapsed="false">
      <c r="A8" s="12" t="s">
        <v>290</v>
      </c>
      <c r="B8" s="13" t="s">
        <v>656</v>
      </c>
      <c r="D8" s="12" t="s">
        <v>292</v>
      </c>
      <c r="E8" s="13" t="s">
        <v>657</v>
      </c>
    </row>
    <row r="9" customFormat="false" ht="234" hidden="false" customHeight="true" outlineLevel="0" collapsed="false">
      <c r="A9" s="12" t="s">
        <v>294</v>
      </c>
      <c r="B9" s="13" t="s">
        <v>658</v>
      </c>
      <c r="D9" s="12" t="s">
        <v>295</v>
      </c>
      <c r="E9" s="13" t="s">
        <v>659</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660</v>
      </c>
      <c r="D11" s="12" t="s">
        <v>298</v>
      </c>
      <c r="E11" s="13" t="s">
        <v>660</v>
      </c>
    </row>
    <row r="12" customFormat="false" ht="21.75" hidden="false" customHeight="true" outlineLevel="0" collapsed="false">
      <c r="A12" s="12" t="s">
        <v>300</v>
      </c>
      <c r="B12" s="13" t="s">
        <v>114</v>
      </c>
      <c r="D12" s="12" t="s">
        <v>301</v>
      </c>
      <c r="E12" s="13" t="s">
        <v>114</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661</v>
      </c>
      <c r="B1" s="10"/>
      <c r="D1" s="10" t="s">
        <v>662</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117</v>
      </c>
      <c r="D3" s="12" t="s">
        <v>279</v>
      </c>
      <c r="E3" s="13" t="s">
        <v>117</v>
      </c>
    </row>
    <row r="4" customFormat="false" ht="21.75" hidden="false" customHeight="true" outlineLevel="0" collapsed="false">
      <c r="A4" s="12" t="s">
        <v>280</v>
      </c>
      <c r="B4" s="13" t="s">
        <v>118</v>
      </c>
      <c r="D4" s="12" t="s">
        <v>281</v>
      </c>
      <c r="E4" s="13" t="s">
        <v>244</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45" hidden="false" customHeight="true" outlineLevel="0" collapsed="false">
      <c r="A8" s="12" t="s">
        <v>290</v>
      </c>
      <c r="B8" s="13" t="s">
        <v>663</v>
      </c>
      <c r="D8" s="12" t="s">
        <v>292</v>
      </c>
      <c r="E8" s="13" t="s">
        <v>664</v>
      </c>
    </row>
    <row r="9" customFormat="false" ht="259.5" hidden="false" customHeight="true" outlineLevel="0" collapsed="false">
      <c r="A9" s="12" t="s">
        <v>294</v>
      </c>
      <c r="B9" s="13" t="s">
        <v>665</v>
      </c>
      <c r="D9" s="12" t="s">
        <v>295</v>
      </c>
      <c r="E9" s="13" t="s">
        <v>666</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667</v>
      </c>
      <c r="D11" s="12" t="s">
        <v>298</v>
      </c>
      <c r="E11" s="13" t="s">
        <v>667</v>
      </c>
    </row>
    <row r="12" customFormat="false" ht="21.75" hidden="false" customHeight="true" outlineLevel="0" collapsed="false">
      <c r="A12" s="12" t="s">
        <v>300</v>
      </c>
      <c r="B12" s="13" t="s">
        <v>117</v>
      </c>
      <c r="D12" s="12" t="s">
        <v>301</v>
      </c>
      <c r="E12" s="13" t="s">
        <v>117</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668</v>
      </c>
      <c r="B1" s="10"/>
      <c r="D1" s="10" t="s">
        <v>669</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119</v>
      </c>
      <c r="D3" s="12" t="s">
        <v>279</v>
      </c>
      <c r="E3" s="13" t="s">
        <v>119</v>
      </c>
    </row>
    <row r="4" customFormat="false" ht="21.75" hidden="false" customHeight="true" outlineLevel="0" collapsed="false">
      <c r="A4" s="12" t="s">
        <v>280</v>
      </c>
      <c r="B4" s="13" t="s">
        <v>120</v>
      </c>
      <c r="D4" s="12" t="s">
        <v>281</v>
      </c>
      <c r="E4" s="13" t="s">
        <v>245</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45" hidden="false" customHeight="true" outlineLevel="0" collapsed="false">
      <c r="A8" s="12" t="s">
        <v>290</v>
      </c>
      <c r="B8" s="13" t="s">
        <v>670</v>
      </c>
      <c r="D8" s="12" t="s">
        <v>292</v>
      </c>
      <c r="E8" s="13" t="s">
        <v>671</v>
      </c>
    </row>
    <row r="9" customFormat="false" ht="220.5" hidden="false" customHeight="true" outlineLevel="0" collapsed="false">
      <c r="A9" s="12" t="s">
        <v>294</v>
      </c>
      <c r="B9" s="13" t="s">
        <v>672</v>
      </c>
      <c r="D9" s="12" t="s">
        <v>295</v>
      </c>
      <c r="E9" s="13" t="s">
        <v>673</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674</v>
      </c>
      <c r="D11" s="12" t="s">
        <v>298</v>
      </c>
      <c r="E11" s="13" t="s">
        <v>674</v>
      </c>
    </row>
    <row r="12" customFormat="false" ht="21.75" hidden="false" customHeight="true" outlineLevel="0" collapsed="false">
      <c r="A12" s="12" t="s">
        <v>300</v>
      </c>
      <c r="B12" s="13" t="s">
        <v>119</v>
      </c>
      <c r="D12" s="12" t="s">
        <v>301</v>
      </c>
      <c r="E12" s="13" t="s">
        <v>119</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675</v>
      </c>
      <c r="B1" s="10"/>
      <c r="D1" s="10" t="s">
        <v>676</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121</v>
      </c>
      <c r="D3" s="12" t="s">
        <v>279</v>
      </c>
      <c r="E3" s="13" t="s">
        <v>121</v>
      </c>
    </row>
    <row r="4" customFormat="false" ht="21.75" hidden="false" customHeight="true" outlineLevel="0" collapsed="false">
      <c r="A4" s="12" t="s">
        <v>280</v>
      </c>
      <c r="B4" s="13" t="s">
        <v>122</v>
      </c>
      <c r="D4" s="12" t="s">
        <v>281</v>
      </c>
      <c r="E4" s="13" t="s">
        <v>246</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64.5" hidden="false" customHeight="true" outlineLevel="0" collapsed="false">
      <c r="A8" s="12" t="s">
        <v>290</v>
      </c>
      <c r="B8" s="13" t="s">
        <v>677</v>
      </c>
      <c r="D8" s="12" t="s">
        <v>292</v>
      </c>
      <c r="E8" s="13" t="s">
        <v>678</v>
      </c>
    </row>
    <row r="9" customFormat="false" ht="117" hidden="false" customHeight="true" outlineLevel="0" collapsed="false">
      <c r="A9" s="12" t="s">
        <v>294</v>
      </c>
      <c r="B9" s="13" t="s">
        <v>679</v>
      </c>
      <c r="D9" s="12" t="s">
        <v>295</v>
      </c>
      <c r="E9" s="13" t="s">
        <v>680</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681</v>
      </c>
      <c r="D11" s="12" t="s">
        <v>298</v>
      </c>
      <c r="E11" s="13" t="s">
        <v>681</v>
      </c>
    </row>
    <row r="12" customFormat="false" ht="21.75" hidden="false" customHeight="true" outlineLevel="0" collapsed="false">
      <c r="A12" s="12" t="s">
        <v>300</v>
      </c>
      <c r="B12" s="13" t="s">
        <v>121</v>
      </c>
      <c r="D12" s="12" t="s">
        <v>301</v>
      </c>
      <c r="E12" s="13" t="s">
        <v>121</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682</v>
      </c>
      <c r="B1" s="10"/>
      <c r="D1" s="10" t="s">
        <v>683</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123</v>
      </c>
      <c r="D3" s="12" t="s">
        <v>279</v>
      </c>
      <c r="E3" s="13" t="s">
        <v>123</v>
      </c>
    </row>
    <row r="4" customFormat="false" ht="21.75" hidden="false" customHeight="true" outlineLevel="0" collapsed="false">
      <c r="A4" s="12" t="s">
        <v>280</v>
      </c>
      <c r="B4" s="13" t="s">
        <v>124</v>
      </c>
      <c r="D4" s="12" t="s">
        <v>281</v>
      </c>
      <c r="E4" s="13" t="s">
        <v>247</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117" hidden="false" customHeight="true" outlineLevel="0" collapsed="false">
      <c r="A8" s="12" t="s">
        <v>290</v>
      </c>
      <c r="B8" s="13" t="s">
        <v>684</v>
      </c>
      <c r="D8" s="12" t="s">
        <v>292</v>
      </c>
      <c r="E8" s="13" t="s">
        <v>685</v>
      </c>
    </row>
    <row r="9" customFormat="false" ht="285.75" hidden="false" customHeight="true" outlineLevel="0" collapsed="false">
      <c r="A9" s="12" t="s">
        <v>294</v>
      </c>
      <c r="B9" s="13" t="s">
        <v>686</v>
      </c>
      <c r="D9" s="12" t="s">
        <v>295</v>
      </c>
      <c r="E9" s="13" t="s">
        <v>687</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688</v>
      </c>
      <c r="D11" s="12" t="s">
        <v>298</v>
      </c>
      <c r="E11" s="13" t="s">
        <v>688</v>
      </c>
    </row>
    <row r="12" customFormat="false" ht="21.75" hidden="false" customHeight="true" outlineLevel="0" collapsed="false">
      <c r="A12" s="12" t="s">
        <v>300</v>
      </c>
      <c r="B12" s="13" t="s">
        <v>123</v>
      </c>
      <c r="D12" s="12" t="s">
        <v>301</v>
      </c>
      <c r="E12" s="13" t="s">
        <v>123</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689</v>
      </c>
      <c r="B1" s="10"/>
      <c r="D1" s="10" t="s">
        <v>690</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125</v>
      </c>
      <c r="D3" s="12" t="s">
        <v>279</v>
      </c>
      <c r="E3" s="13" t="s">
        <v>125</v>
      </c>
    </row>
    <row r="4" customFormat="false" ht="21.75" hidden="false" customHeight="true" outlineLevel="0" collapsed="false">
      <c r="A4" s="12" t="s">
        <v>280</v>
      </c>
      <c r="B4" s="13" t="s">
        <v>124</v>
      </c>
      <c r="D4" s="12" t="s">
        <v>281</v>
      </c>
      <c r="E4" s="13" t="s">
        <v>247</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45" hidden="false" customHeight="true" outlineLevel="0" collapsed="false">
      <c r="A8" s="12" t="s">
        <v>290</v>
      </c>
      <c r="B8" s="13" t="s">
        <v>691</v>
      </c>
      <c r="D8" s="12" t="s">
        <v>292</v>
      </c>
      <c r="E8" s="13" t="s">
        <v>692</v>
      </c>
    </row>
    <row r="9" customFormat="false" ht="45" hidden="false" customHeight="true" outlineLevel="0" collapsed="false">
      <c r="A9" s="12" t="s">
        <v>294</v>
      </c>
      <c r="B9" s="13" t="s">
        <v>693</v>
      </c>
      <c r="D9" s="12" t="s">
        <v>295</v>
      </c>
      <c r="E9" s="13" t="s">
        <v>694</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695</v>
      </c>
      <c r="D11" s="12" t="s">
        <v>298</v>
      </c>
      <c r="E11" s="13" t="s">
        <v>695</v>
      </c>
    </row>
    <row r="12" customFormat="false" ht="21.75" hidden="false" customHeight="true" outlineLevel="0" collapsed="false">
      <c r="A12" s="12" t="s">
        <v>300</v>
      </c>
      <c r="B12" s="13" t="s">
        <v>125</v>
      </c>
      <c r="D12" s="12" t="s">
        <v>301</v>
      </c>
      <c r="E12" s="13" t="s">
        <v>125</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696</v>
      </c>
      <c r="B1" s="10"/>
      <c r="D1" s="10" t="s">
        <v>697</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127</v>
      </c>
      <c r="D3" s="12" t="s">
        <v>279</v>
      </c>
      <c r="E3" s="13" t="s">
        <v>127</v>
      </c>
    </row>
    <row r="4" customFormat="false" ht="21.75" hidden="false" customHeight="true" outlineLevel="0" collapsed="false">
      <c r="A4" s="12" t="s">
        <v>280</v>
      </c>
      <c r="B4" s="13" t="s">
        <v>124</v>
      </c>
      <c r="D4" s="12" t="s">
        <v>281</v>
      </c>
      <c r="E4" s="13" t="s">
        <v>247</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142.5" hidden="false" customHeight="true" outlineLevel="0" collapsed="false">
      <c r="A8" s="12" t="s">
        <v>290</v>
      </c>
      <c r="B8" s="13" t="s">
        <v>698</v>
      </c>
      <c r="D8" s="12" t="s">
        <v>292</v>
      </c>
      <c r="E8" s="13" t="s">
        <v>699</v>
      </c>
    </row>
    <row r="9" customFormat="false" ht="45" hidden="false" customHeight="true" outlineLevel="0" collapsed="false">
      <c r="A9" s="12" t="s">
        <v>294</v>
      </c>
      <c r="B9" s="13" t="s">
        <v>700</v>
      </c>
      <c r="D9" s="12" t="s">
        <v>295</v>
      </c>
      <c r="E9" s="13" t="s">
        <v>701</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702</v>
      </c>
      <c r="D11" s="12" t="s">
        <v>298</v>
      </c>
      <c r="E11" s="13" t="s">
        <v>702</v>
      </c>
    </row>
    <row r="12" customFormat="false" ht="21.75" hidden="false" customHeight="true" outlineLevel="0" collapsed="false">
      <c r="A12" s="12" t="s">
        <v>300</v>
      </c>
      <c r="B12" s="13" t="s">
        <v>127</v>
      </c>
      <c r="D12" s="12" t="s">
        <v>301</v>
      </c>
      <c r="E12" s="13" t="s">
        <v>127</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703</v>
      </c>
      <c r="B1" s="10"/>
      <c r="D1" s="10" t="s">
        <v>704</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129</v>
      </c>
      <c r="D3" s="12" t="s">
        <v>279</v>
      </c>
      <c r="E3" s="13" t="s">
        <v>129</v>
      </c>
    </row>
    <row r="4" customFormat="false" ht="21.75" hidden="false" customHeight="true" outlineLevel="0" collapsed="false">
      <c r="A4" s="12" t="s">
        <v>280</v>
      </c>
      <c r="B4" s="13" t="s">
        <v>124</v>
      </c>
      <c r="D4" s="12" t="s">
        <v>281</v>
      </c>
      <c r="E4" s="13" t="s">
        <v>247</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51.75" hidden="false" customHeight="true" outlineLevel="0" collapsed="false">
      <c r="A8" s="12" t="s">
        <v>290</v>
      </c>
      <c r="B8" s="13" t="s">
        <v>705</v>
      </c>
      <c r="D8" s="12" t="s">
        <v>292</v>
      </c>
      <c r="E8" s="13" t="s">
        <v>706</v>
      </c>
    </row>
    <row r="9" customFormat="false" ht="51.75" hidden="false" customHeight="true" outlineLevel="0" collapsed="false">
      <c r="A9" s="12" t="s">
        <v>294</v>
      </c>
      <c r="B9" s="13" t="s">
        <v>707</v>
      </c>
      <c r="D9" s="12" t="s">
        <v>295</v>
      </c>
      <c r="E9" s="13" t="s">
        <v>708</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709</v>
      </c>
      <c r="D11" s="12" t="s">
        <v>298</v>
      </c>
      <c r="E11" s="13" t="s">
        <v>709</v>
      </c>
    </row>
    <row r="12" customFormat="false" ht="21.75" hidden="false" customHeight="true" outlineLevel="0" collapsed="false">
      <c r="A12" s="12" t="s">
        <v>300</v>
      </c>
      <c r="B12" s="13" t="s">
        <v>129</v>
      </c>
      <c r="D12" s="12" t="s">
        <v>301</v>
      </c>
      <c r="E12" s="13" t="s">
        <v>129</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710</v>
      </c>
      <c r="B1" s="10"/>
      <c r="D1" s="10" t="s">
        <v>711</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131</v>
      </c>
      <c r="D3" s="12" t="s">
        <v>279</v>
      </c>
      <c r="E3" s="13" t="s">
        <v>131</v>
      </c>
    </row>
    <row r="4" customFormat="false" ht="21.75" hidden="false" customHeight="true" outlineLevel="0" collapsed="false">
      <c r="A4" s="12" t="s">
        <v>280</v>
      </c>
      <c r="B4" s="13" t="s">
        <v>124</v>
      </c>
      <c r="D4" s="12" t="s">
        <v>281</v>
      </c>
      <c r="E4" s="13" t="s">
        <v>247</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64.5" hidden="false" customHeight="true" outlineLevel="0" collapsed="false">
      <c r="A8" s="12" t="s">
        <v>290</v>
      </c>
      <c r="B8" s="13" t="s">
        <v>712</v>
      </c>
      <c r="D8" s="12" t="s">
        <v>292</v>
      </c>
      <c r="E8" s="13" t="s">
        <v>713</v>
      </c>
    </row>
    <row r="9" customFormat="false" ht="207.75" hidden="false" customHeight="true" outlineLevel="0" collapsed="false">
      <c r="A9" s="12" t="s">
        <v>294</v>
      </c>
      <c r="B9" s="13" t="s">
        <v>714</v>
      </c>
      <c r="D9" s="12" t="s">
        <v>295</v>
      </c>
      <c r="E9" s="13" t="s">
        <v>715</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716</v>
      </c>
      <c r="D11" s="12" t="s">
        <v>298</v>
      </c>
      <c r="E11" s="13" t="s">
        <v>716</v>
      </c>
    </row>
    <row r="12" customFormat="false" ht="21.75" hidden="false" customHeight="true" outlineLevel="0" collapsed="false">
      <c r="A12" s="12" t="s">
        <v>300</v>
      </c>
      <c r="B12" s="13" t="s">
        <v>131</v>
      </c>
      <c r="D12" s="12" t="s">
        <v>301</v>
      </c>
      <c r="E12" s="13" t="s">
        <v>131</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717</v>
      </c>
      <c r="B1" s="10"/>
      <c r="D1" s="10" t="s">
        <v>718</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133</v>
      </c>
      <c r="D3" s="12" t="s">
        <v>279</v>
      </c>
      <c r="E3" s="13" t="s">
        <v>133</v>
      </c>
    </row>
    <row r="4" customFormat="false" ht="21.75" hidden="false" customHeight="true" outlineLevel="0" collapsed="false">
      <c r="A4" s="12" t="s">
        <v>280</v>
      </c>
      <c r="B4" s="13" t="s">
        <v>124</v>
      </c>
      <c r="D4" s="12" t="s">
        <v>281</v>
      </c>
      <c r="E4" s="13" t="s">
        <v>247</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45" hidden="false" customHeight="true" outlineLevel="0" collapsed="false">
      <c r="A8" s="12" t="s">
        <v>290</v>
      </c>
      <c r="B8" s="13" t="s">
        <v>719</v>
      </c>
      <c r="D8" s="12" t="s">
        <v>292</v>
      </c>
      <c r="E8" s="13" t="s">
        <v>720</v>
      </c>
    </row>
    <row r="9" customFormat="false" ht="142.5" hidden="false" customHeight="true" outlineLevel="0" collapsed="false">
      <c r="A9" s="12" t="s">
        <v>294</v>
      </c>
      <c r="B9" s="13" t="s">
        <v>721</v>
      </c>
      <c r="D9" s="12" t="s">
        <v>295</v>
      </c>
      <c r="E9" s="13" t="s">
        <v>722</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723</v>
      </c>
      <c r="D11" s="12" t="s">
        <v>298</v>
      </c>
      <c r="E11" s="13" t="s">
        <v>723</v>
      </c>
    </row>
    <row r="12" customFormat="false" ht="21.75" hidden="false" customHeight="true" outlineLevel="0" collapsed="false">
      <c r="A12" s="12" t="s">
        <v>300</v>
      </c>
      <c r="B12" s="13" t="s">
        <v>133</v>
      </c>
      <c r="D12" s="12" t="s">
        <v>301</v>
      </c>
      <c r="E12" s="13" t="s">
        <v>133</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724</v>
      </c>
      <c r="B1" s="10"/>
      <c r="D1" s="10" t="s">
        <v>725</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135</v>
      </c>
      <c r="D3" s="12" t="s">
        <v>279</v>
      </c>
      <c r="E3" s="13" t="s">
        <v>135</v>
      </c>
    </row>
    <row r="4" customFormat="false" ht="21.75" hidden="false" customHeight="true" outlineLevel="0" collapsed="false">
      <c r="A4" s="12" t="s">
        <v>280</v>
      </c>
      <c r="B4" s="13" t="s">
        <v>136</v>
      </c>
      <c r="D4" s="12" t="s">
        <v>281</v>
      </c>
      <c r="E4" s="13" t="s">
        <v>248</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45" hidden="false" customHeight="true" outlineLevel="0" collapsed="false">
      <c r="A8" s="12" t="s">
        <v>290</v>
      </c>
      <c r="B8" s="13" t="s">
        <v>726</v>
      </c>
      <c r="D8" s="12" t="s">
        <v>292</v>
      </c>
      <c r="E8" s="13" t="s">
        <v>727</v>
      </c>
    </row>
    <row r="9" customFormat="false" ht="300" hidden="false" customHeight="true" outlineLevel="0" collapsed="false">
      <c r="A9" s="12" t="s">
        <v>294</v>
      </c>
      <c r="B9" s="13" t="s">
        <v>728</v>
      </c>
      <c r="D9" s="12" t="s">
        <v>295</v>
      </c>
      <c r="E9" s="13" t="s">
        <v>729</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730</v>
      </c>
      <c r="D11" s="12" t="s">
        <v>298</v>
      </c>
      <c r="E11" s="13" t="s">
        <v>730</v>
      </c>
    </row>
    <row r="12" customFormat="false" ht="21.75" hidden="false" customHeight="true" outlineLevel="0" collapsed="false">
      <c r="A12" s="12" t="s">
        <v>300</v>
      </c>
      <c r="B12" s="13" t="s">
        <v>135</v>
      </c>
      <c r="D12" s="12" t="s">
        <v>301</v>
      </c>
      <c r="E12" s="13" t="s">
        <v>135</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731</v>
      </c>
      <c r="B1" s="10"/>
      <c r="D1" s="10" t="s">
        <v>732</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137</v>
      </c>
      <c r="D3" s="12" t="s">
        <v>279</v>
      </c>
      <c r="E3" s="13" t="s">
        <v>137</v>
      </c>
    </row>
    <row r="4" customFormat="false" ht="21.75" hidden="false" customHeight="true" outlineLevel="0" collapsed="false">
      <c r="A4" s="12" t="s">
        <v>280</v>
      </c>
      <c r="B4" s="13" t="s">
        <v>136</v>
      </c>
      <c r="D4" s="12" t="s">
        <v>281</v>
      </c>
      <c r="E4" s="13" t="s">
        <v>248</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129.75" hidden="false" customHeight="true" outlineLevel="0" collapsed="false">
      <c r="A8" s="12" t="s">
        <v>290</v>
      </c>
      <c r="B8" s="13" t="s">
        <v>733</v>
      </c>
      <c r="D8" s="12" t="s">
        <v>292</v>
      </c>
      <c r="E8" s="13" t="s">
        <v>734</v>
      </c>
    </row>
    <row r="9" customFormat="false" ht="103.5" hidden="false" customHeight="true" outlineLevel="0" collapsed="false">
      <c r="A9" s="12" t="s">
        <v>294</v>
      </c>
      <c r="B9" s="13" t="s">
        <v>735</v>
      </c>
      <c r="D9" s="12" t="s">
        <v>295</v>
      </c>
      <c r="E9" s="13" t="s">
        <v>736</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737</v>
      </c>
      <c r="D11" s="12" t="s">
        <v>298</v>
      </c>
      <c r="E11" s="13" t="s">
        <v>737</v>
      </c>
    </row>
    <row r="12" customFormat="false" ht="21.75" hidden="false" customHeight="true" outlineLevel="0" collapsed="false">
      <c r="A12" s="12" t="s">
        <v>300</v>
      </c>
      <c r="B12" s="13" t="s">
        <v>137</v>
      </c>
      <c r="D12" s="12" t="s">
        <v>301</v>
      </c>
      <c r="E12" s="13" t="s">
        <v>137</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738</v>
      </c>
      <c r="B1" s="10"/>
      <c r="D1" s="10" t="s">
        <v>739</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139</v>
      </c>
      <c r="D3" s="12" t="s">
        <v>279</v>
      </c>
      <c r="E3" s="13" t="s">
        <v>139</v>
      </c>
    </row>
    <row r="4" customFormat="false" ht="21.75" hidden="false" customHeight="true" outlineLevel="0" collapsed="false">
      <c r="A4" s="12" t="s">
        <v>280</v>
      </c>
      <c r="B4" s="13" t="s">
        <v>140</v>
      </c>
      <c r="D4" s="12" t="s">
        <v>281</v>
      </c>
      <c r="E4" s="13" t="s">
        <v>249</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64.5" hidden="false" customHeight="true" outlineLevel="0" collapsed="false">
      <c r="A8" s="12" t="s">
        <v>290</v>
      </c>
      <c r="B8" s="13" t="s">
        <v>740</v>
      </c>
      <c r="D8" s="12" t="s">
        <v>292</v>
      </c>
      <c r="E8" s="13" t="s">
        <v>741</v>
      </c>
    </row>
    <row r="9" customFormat="false" ht="117" hidden="false" customHeight="true" outlineLevel="0" collapsed="false">
      <c r="A9" s="12" t="s">
        <v>294</v>
      </c>
      <c r="B9" s="13" t="s">
        <v>742</v>
      </c>
      <c r="D9" s="12" t="s">
        <v>295</v>
      </c>
      <c r="E9" s="13" t="s">
        <v>743</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744</v>
      </c>
      <c r="D11" s="12" t="s">
        <v>298</v>
      </c>
      <c r="E11" s="13" t="s">
        <v>744</v>
      </c>
    </row>
    <row r="12" customFormat="false" ht="21.75" hidden="false" customHeight="true" outlineLevel="0" collapsed="false">
      <c r="A12" s="12" t="s">
        <v>300</v>
      </c>
      <c r="B12" s="13" t="s">
        <v>139</v>
      </c>
      <c r="D12" s="12" t="s">
        <v>301</v>
      </c>
      <c r="E12" s="13" t="s">
        <v>139</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745</v>
      </c>
      <c r="B1" s="10"/>
      <c r="D1" s="10" t="s">
        <v>746</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141</v>
      </c>
      <c r="D3" s="12" t="s">
        <v>279</v>
      </c>
      <c r="E3" s="13" t="s">
        <v>141</v>
      </c>
    </row>
    <row r="4" customFormat="false" ht="21.75" hidden="false" customHeight="true" outlineLevel="0" collapsed="false">
      <c r="A4" s="12" t="s">
        <v>280</v>
      </c>
      <c r="B4" s="13" t="s">
        <v>142</v>
      </c>
      <c r="D4" s="12" t="s">
        <v>281</v>
      </c>
      <c r="E4" s="13" t="s">
        <v>250</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45" hidden="false" customHeight="true" outlineLevel="0" collapsed="false">
      <c r="A8" s="12" t="s">
        <v>290</v>
      </c>
      <c r="B8" s="13" t="s">
        <v>747</v>
      </c>
      <c r="D8" s="12" t="s">
        <v>292</v>
      </c>
      <c r="E8" s="13" t="s">
        <v>748</v>
      </c>
    </row>
    <row r="9" customFormat="false" ht="156" hidden="false" customHeight="true" outlineLevel="0" collapsed="false">
      <c r="A9" s="12" t="s">
        <v>294</v>
      </c>
      <c r="B9" s="13" t="s">
        <v>749</v>
      </c>
      <c r="D9" s="12" t="s">
        <v>295</v>
      </c>
      <c r="E9" s="13" t="s">
        <v>750</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751</v>
      </c>
      <c r="D11" s="12" t="s">
        <v>298</v>
      </c>
      <c r="E11" s="13" t="s">
        <v>751</v>
      </c>
    </row>
    <row r="12" customFormat="false" ht="21.75" hidden="false" customHeight="true" outlineLevel="0" collapsed="false">
      <c r="A12" s="12" t="s">
        <v>300</v>
      </c>
      <c r="B12" s="13" t="s">
        <v>141</v>
      </c>
      <c r="D12" s="12" t="s">
        <v>301</v>
      </c>
      <c r="E12" s="13" t="s">
        <v>141</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752</v>
      </c>
      <c r="B1" s="10"/>
      <c r="D1" s="10" t="s">
        <v>753</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143</v>
      </c>
      <c r="D3" s="12" t="s">
        <v>279</v>
      </c>
      <c r="E3" s="13" t="s">
        <v>143</v>
      </c>
    </row>
    <row r="4" customFormat="false" ht="21.75" hidden="false" customHeight="true" outlineLevel="0" collapsed="false">
      <c r="A4" s="12" t="s">
        <v>280</v>
      </c>
      <c r="B4" s="13" t="s">
        <v>142</v>
      </c>
      <c r="D4" s="12" t="s">
        <v>281</v>
      </c>
      <c r="E4" s="13" t="s">
        <v>250</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45" hidden="false" customHeight="true" outlineLevel="0" collapsed="false">
      <c r="A8" s="12" t="s">
        <v>290</v>
      </c>
      <c r="B8" s="13" t="s">
        <v>754</v>
      </c>
      <c r="D8" s="12" t="s">
        <v>292</v>
      </c>
      <c r="E8" s="13" t="s">
        <v>755</v>
      </c>
    </row>
    <row r="9" customFormat="false" ht="45" hidden="false" customHeight="true" outlineLevel="0" collapsed="false">
      <c r="A9" s="12" t="s">
        <v>294</v>
      </c>
      <c r="B9" s="13"/>
      <c r="D9" s="12" t="s">
        <v>295</v>
      </c>
      <c r="E9" s="13"/>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756</v>
      </c>
      <c r="D11" s="12" t="s">
        <v>298</v>
      </c>
      <c r="E11" s="13" t="s">
        <v>756</v>
      </c>
    </row>
    <row r="12" customFormat="false" ht="21.75" hidden="false" customHeight="true" outlineLevel="0" collapsed="false">
      <c r="A12" s="12" t="s">
        <v>300</v>
      </c>
      <c r="B12" s="13" t="s">
        <v>143</v>
      </c>
      <c r="D12" s="12" t="s">
        <v>301</v>
      </c>
      <c r="E12" s="13" t="s">
        <v>143</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757</v>
      </c>
      <c r="B1" s="10"/>
      <c r="D1" s="10" t="s">
        <v>758</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145</v>
      </c>
      <c r="D3" s="12" t="s">
        <v>279</v>
      </c>
      <c r="E3" s="13" t="s">
        <v>145</v>
      </c>
    </row>
    <row r="4" customFormat="false" ht="21.75" hidden="false" customHeight="true" outlineLevel="0" collapsed="false">
      <c r="A4" s="12" t="s">
        <v>280</v>
      </c>
      <c r="B4" s="13" t="s">
        <v>142</v>
      </c>
      <c r="D4" s="12" t="s">
        <v>281</v>
      </c>
      <c r="E4" s="13" t="s">
        <v>250</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51.75" hidden="false" customHeight="true" outlineLevel="0" collapsed="false">
      <c r="A8" s="12" t="s">
        <v>290</v>
      </c>
      <c r="B8" s="13" t="s">
        <v>759</v>
      </c>
      <c r="D8" s="12" t="s">
        <v>292</v>
      </c>
      <c r="E8" s="13" t="s">
        <v>760</v>
      </c>
    </row>
    <row r="9" customFormat="false" ht="45" hidden="false" customHeight="true" outlineLevel="0" collapsed="false">
      <c r="A9" s="12" t="s">
        <v>294</v>
      </c>
      <c r="B9" s="13"/>
      <c r="D9" s="12" t="s">
        <v>295</v>
      </c>
      <c r="E9" s="13"/>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761</v>
      </c>
      <c r="D11" s="12" t="s">
        <v>298</v>
      </c>
      <c r="E11" s="13" t="s">
        <v>761</v>
      </c>
    </row>
    <row r="12" customFormat="false" ht="21.75" hidden="false" customHeight="true" outlineLevel="0" collapsed="false">
      <c r="A12" s="12" t="s">
        <v>300</v>
      </c>
      <c r="B12" s="13" t="s">
        <v>145</v>
      </c>
      <c r="D12" s="12" t="s">
        <v>301</v>
      </c>
      <c r="E12" s="13" t="s">
        <v>145</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762</v>
      </c>
      <c r="B1" s="10"/>
      <c r="D1" s="10" t="s">
        <v>763</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147</v>
      </c>
      <c r="D3" s="12" t="s">
        <v>279</v>
      </c>
      <c r="E3" s="13" t="s">
        <v>147</v>
      </c>
    </row>
    <row r="4" customFormat="false" ht="21.75" hidden="false" customHeight="true" outlineLevel="0" collapsed="false">
      <c r="A4" s="12" t="s">
        <v>280</v>
      </c>
      <c r="B4" s="13" t="s">
        <v>142</v>
      </c>
      <c r="D4" s="12" t="s">
        <v>281</v>
      </c>
      <c r="E4" s="13" t="s">
        <v>250</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103.5" hidden="false" customHeight="true" outlineLevel="0" collapsed="false">
      <c r="A8" s="12" t="s">
        <v>290</v>
      </c>
      <c r="B8" s="13" t="s">
        <v>764</v>
      </c>
      <c r="D8" s="12" t="s">
        <v>292</v>
      </c>
      <c r="E8" s="13" t="s">
        <v>765</v>
      </c>
    </row>
    <row r="9" customFormat="false" ht="45" hidden="false" customHeight="true" outlineLevel="0" collapsed="false">
      <c r="A9" s="12" t="s">
        <v>294</v>
      </c>
      <c r="B9" s="13"/>
      <c r="D9" s="12" t="s">
        <v>295</v>
      </c>
      <c r="E9" s="13"/>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766</v>
      </c>
      <c r="D11" s="12" t="s">
        <v>298</v>
      </c>
      <c r="E11" s="13" t="s">
        <v>766</v>
      </c>
    </row>
    <row r="12" customFormat="false" ht="21.75" hidden="false" customHeight="true" outlineLevel="0" collapsed="false">
      <c r="A12" s="12" t="s">
        <v>300</v>
      </c>
      <c r="B12" s="13" t="s">
        <v>147</v>
      </c>
      <c r="D12" s="12" t="s">
        <v>301</v>
      </c>
      <c r="E12" s="13" t="s">
        <v>147</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767</v>
      </c>
      <c r="B1" s="10"/>
      <c r="D1" s="10" t="s">
        <v>768</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149</v>
      </c>
      <c r="D3" s="12" t="s">
        <v>279</v>
      </c>
      <c r="E3" s="13" t="s">
        <v>149</v>
      </c>
    </row>
    <row r="4" customFormat="false" ht="21.75" hidden="false" customHeight="true" outlineLevel="0" collapsed="false">
      <c r="A4" s="12" t="s">
        <v>280</v>
      </c>
      <c r="B4" s="13" t="s">
        <v>150</v>
      </c>
      <c r="D4" s="12" t="s">
        <v>281</v>
      </c>
      <c r="E4" s="13" t="s">
        <v>251</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45" hidden="false" customHeight="true" outlineLevel="0" collapsed="false">
      <c r="A8" s="12" t="s">
        <v>290</v>
      </c>
      <c r="B8" s="13" t="s">
        <v>769</v>
      </c>
      <c r="D8" s="12" t="s">
        <v>292</v>
      </c>
      <c r="E8" s="13" t="s">
        <v>770</v>
      </c>
    </row>
    <row r="9" customFormat="false" ht="234" hidden="false" customHeight="true" outlineLevel="0" collapsed="false">
      <c r="A9" s="12" t="s">
        <v>294</v>
      </c>
      <c r="B9" s="13" t="s">
        <v>771</v>
      </c>
      <c r="D9" s="12" t="s">
        <v>295</v>
      </c>
      <c r="E9" s="13" t="s">
        <v>772</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773</v>
      </c>
      <c r="D11" s="12" t="s">
        <v>298</v>
      </c>
      <c r="E11" s="13" t="s">
        <v>773</v>
      </c>
    </row>
    <row r="12" customFormat="false" ht="21.75" hidden="false" customHeight="true" outlineLevel="0" collapsed="false">
      <c r="A12" s="12" t="s">
        <v>300</v>
      </c>
      <c r="B12" s="13" t="s">
        <v>149</v>
      </c>
      <c r="D12" s="12" t="s">
        <v>301</v>
      </c>
      <c r="E12" s="13" t="s">
        <v>149</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774</v>
      </c>
      <c r="B1" s="10"/>
      <c r="D1" s="10" t="s">
        <v>775</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151</v>
      </c>
      <c r="D3" s="12" t="s">
        <v>279</v>
      </c>
      <c r="E3" s="13" t="s">
        <v>151</v>
      </c>
    </row>
    <row r="4" customFormat="false" ht="21.75" hidden="false" customHeight="true" outlineLevel="0" collapsed="false">
      <c r="A4" s="12" t="s">
        <v>280</v>
      </c>
      <c r="B4" s="13" t="s">
        <v>152</v>
      </c>
      <c r="D4" s="12" t="s">
        <v>281</v>
      </c>
      <c r="E4" s="13" t="s">
        <v>252</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51.75" hidden="false" customHeight="true" outlineLevel="0" collapsed="false">
      <c r="A8" s="12" t="s">
        <v>290</v>
      </c>
      <c r="B8" s="13" t="s">
        <v>776</v>
      </c>
      <c r="D8" s="12" t="s">
        <v>292</v>
      </c>
      <c r="E8" s="13" t="s">
        <v>777</v>
      </c>
    </row>
    <row r="9" customFormat="false" ht="90.75" hidden="false" customHeight="true" outlineLevel="0" collapsed="false">
      <c r="A9" s="12" t="s">
        <v>294</v>
      </c>
      <c r="B9" s="13" t="s">
        <v>778</v>
      </c>
      <c r="D9" s="12" t="s">
        <v>295</v>
      </c>
      <c r="E9" s="13" t="s">
        <v>779</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780</v>
      </c>
      <c r="D11" s="12" t="s">
        <v>298</v>
      </c>
      <c r="E11" s="13" t="s">
        <v>780</v>
      </c>
    </row>
    <row r="12" customFormat="false" ht="21.75" hidden="false" customHeight="true" outlineLevel="0" collapsed="false">
      <c r="A12" s="12" t="s">
        <v>300</v>
      </c>
      <c r="B12" s="13" t="s">
        <v>151</v>
      </c>
      <c r="D12" s="12" t="s">
        <v>301</v>
      </c>
      <c r="E12" s="13" t="s">
        <v>151</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781</v>
      </c>
      <c r="B1" s="10"/>
      <c r="D1" s="10" t="s">
        <v>782</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153</v>
      </c>
      <c r="D3" s="12" t="s">
        <v>279</v>
      </c>
      <c r="E3" s="13" t="s">
        <v>153</v>
      </c>
    </row>
    <row r="4" customFormat="false" ht="21.75" hidden="false" customHeight="true" outlineLevel="0" collapsed="false">
      <c r="A4" s="12" t="s">
        <v>280</v>
      </c>
      <c r="B4" s="13" t="s">
        <v>154</v>
      </c>
      <c r="D4" s="12" t="s">
        <v>281</v>
      </c>
      <c r="E4" s="13" t="s">
        <v>253</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78" hidden="false" customHeight="true" outlineLevel="0" collapsed="false">
      <c r="A8" s="12" t="s">
        <v>290</v>
      </c>
      <c r="B8" s="13" t="s">
        <v>783</v>
      </c>
      <c r="D8" s="12" t="s">
        <v>292</v>
      </c>
      <c r="E8" s="13" t="s">
        <v>784</v>
      </c>
    </row>
    <row r="9" customFormat="false" ht="168.75" hidden="false" customHeight="true" outlineLevel="0" collapsed="false">
      <c r="A9" s="12" t="s">
        <v>294</v>
      </c>
      <c r="B9" s="13" t="s">
        <v>785</v>
      </c>
      <c r="D9" s="12" t="s">
        <v>295</v>
      </c>
      <c r="E9" s="13" t="s">
        <v>786</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787</v>
      </c>
      <c r="D11" s="12" t="s">
        <v>298</v>
      </c>
      <c r="E11" s="13" t="s">
        <v>787</v>
      </c>
    </row>
    <row r="12" customFormat="false" ht="21.75" hidden="false" customHeight="true" outlineLevel="0" collapsed="false">
      <c r="A12" s="12" t="s">
        <v>300</v>
      </c>
      <c r="B12" s="13" t="s">
        <v>153</v>
      </c>
      <c r="D12" s="12" t="s">
        <v>301</v>
      </c>
      <c r="E12" s="13" t="s">
        <v>153</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788</v>
      </c>
      <c r="B1" s="10"/>
      <c r="D1" s="10" t="s">
        <v>789</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155</v>
      </c>
      <c r="D3" s="12" t="s">
        <v>279</v>
      </c>
      <c r="E3" s="13" t="s">
        <v>155</v>
      </c>
    </row>
    <row r="4" customFormat="false" ht="21.75" hidden="false" customHeight="true" outlineLevel="0" collapsed="false">
      <c r="A4" s="12" t="s">
        <v>280</v>
      </c>
      <c r="B4" s="13" t="s">
        <v>156</v>
      </c>
      <c r="D4" s="12" t="s">
        <v>281</v>
      </c>
      <c r="E4" s="13" t="s">
        <v>254</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45" hidden="false" customHeight="true" outlineLevel="0" collapsed="false">
      <c r="A8" s="12" t="s">
        <v>290</v>
      </c>
      <c r="B8" s="13" t="s">
        <v>790</v>
      </c>
      <c r="D8" s="12" t="s">
        <v>292</v>
      </c>
      <c r="E8" s="13" t="s">
        <v>791</v>
      </c>
    </row>
    <row r="9" customFormat="false" ht="117" hidden="false" customHeight="true" outlineLevel="0" collapsed="false">
      <c r="A9" s="12" t="s">
        <v>294</v>
      </c>
      <c r="B9" s="13" t="s">
        <v>792</v>
      </c>
      <c r="D9" s="12" t="s">
        <v>295</v>
      </c>
      <c r="E9" s="13" t="s">
        <v>793</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794</v>
      </c>
      <c r="D11" s="12" t="s">
        <v>298</v>
      </c>
      <c r="E11" s="13" t="s">
        <v>794</v>
      </c>
    </row>
    <row r="12" customFormat="false" ht="21.75" hidden="false" customHeight="true" outlineLevel="0" collapsed="false">
      <c r="A12" s="12" t="s">
        <v>300</v>
      </c>
      <c r="B12" s="13" t="s">
        <v>155</v>
      </c>
      <c r="D12" s="12" t="s">
        <v>301</v>
      </c>
      <c r="E12" s="13" t="s">
        <v>155</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795</v>
      </c>
      <c r="B1" s="10"/>
      <c r="D1" s="10" t="s">
        <v>796</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157</v>
      </c>
      <c r="D3" s="12" t="s">
        <v>279</v>
      </c>
      <c r="E3" s="13" t="s">
        <v>157</v>
      </c>
    </row>
    <row r="4" customFormat="false" ht="21.75" hidden="false" customHeight="true" outlineLevel="0" collapsed="false">
      <c r="A4" s="12" t="s">
        <v>280</v>
      </c>
      <c r="B4" s="13" t="s">
        <v>156</v>
      </c>
      <c r="D4" s="12" t="s">
        <v>281</v>
      </c>
      <c r="E4" s="13" t="s">
        <v>254</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51.75" hidden="false" customHeight="true" outlineLevel="0" collapsed="false">
      <c r="A8" s="12" t="s">
        <v>290</v>
      </c>
      <c r="B8" s="13" t="s">
        <v>797</v>
      </c>
      <c r="D8" s="12" t="s">
        <v>292</v>
      </c>
      <c r="E8" s="13" t="s">
        <v>798</v>
      </c>
    </row>
    <row r="9" customFormat="false" ht="45" hidden="false" customHeight="true" outlineLevel="0" collapsed="false">
      <c r="A9" s="12" t="s">
        <v>294</v>
      </c>
      <c r="B9" s="13" t="s">
        <v>799</v>
      </c>
      <c r="D9" s="12" t="s">
        <v>295</v>
      </c>
      <c r="E9" s="13" t="s">
        <v>800</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801</v>
      </c>
      <c r="D11" s="12" t="s">
        <v>298</v>
      </c>
      <c r="E11" s="13" t="s">
        <v>801</v>
      </c>
    </row>
    <row r="12" customFormat="false" ht="21.75" hidden="false" customHeight="true" outlineLevel="0" collapsed="false">
      <c r="A12" s="12" t="s">
        <v>300</v>
      </c>
      <c r="B12" s="13" t="s">
        <v>157</v>
      </c>
      <c r="D12" s="12" t="s">
        <v>301</v>
      </c>
      <c r="E12" s="13" t="s">
        <v>157</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802</v>
      </c>
      <c r="B1" s="10"/>
      <c r="D1" s="10" t="s">
        <v>803</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159</v>
      </c>
      <c r="D3" s="12" t="s">
        <v>279</v>
      </c>
      <c r="E3" s="13" t="s">
        <v>159</v>
      </c>
    </row>
    <row r="4" customFormat="false" ht="21.75" hidden="false" customHeight="true" outlineLevel="0" collapsed="false">
      <c r="A4" s="12" t="s">
        <v>280</v>
      </c>
      <c r="B4" s="13" t="s">
        <v>160</v>
      </c>
      <c r="D4" s="12" t="s">
        <v>281</v>
      </c>
      <c r="E4" s="13" t="s">
        <v>255</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51.75" hidden="false" customHeight="true" outlineLevel="0" collapsed="false">
      <c r="A8" s="12" t="s">
        <v>290</v>
      </c>
      <c r="B8" s="13" t="s">
        <v>804</v>
      </c>
      <c r="D8" s="12" t="s">
        <v>292</v>
      </c>
      <c r="E8" s="13" t="s">
        <v>805</v>
      </c>
    </row>
    <row r="9" customFormat="false" ht="259.5" hidden="false" customHeight="true" outlineLevel="0" collapsed="false">
      <c r="A9" s="12" t="s">
        <v>294</v>
      </c>
      <c r="B9" s="13" t="s">
        <v>806</v>
      </c>
      <c r="D9" s="12" t="s">
        <v>295</v>
      </c>
      <c r="E9" s="13" t="s">
        <v>807</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808</v>
      </c>
      <c r="D11" s="12" t="s">
        <v>298</v>
      </c>
      <c r="E11" s="13" t="s">
        <v>808</v>
      </c>
    </row>
    <row r="12" customFormat="false" ht="21.75" hidden="false" customHeight="true" outlineLevel="0" collapsed="false">
      <c r="A12" s="12" t="s">
        <v>300</v>
      </c>
      <c r="B12" s="13" t="s">
        <v>159</v>
      </c>
      <c r="D12" s="12" t="s">
        <v>301</v>
      </c>
      <c r="E12" s="13" t="s">
        <v>159</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809</v>
      </c>
      <c r="B1" s="10"/>
      <c r="D1" s="10" t="s">
        <v>810</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161</v>
      </c>
      <c r="D3" s="12" t="s">
        <v>279</v>
      </c>
      <c r="E3" s="13" t="s">
        <v>161</v>
      </c>
    </row>
    <row r="4" customFormat="false" ht="21.75" hidden="false" customHeight="true" outlineLevel="0" collapsed="false">
      <c r="A4" s="12" t="s">
        <v>280</v>
      </c>
      <c r="B4" s="13" t="s">
        <v>160</v>
      </c>
      <c r="D4" s="12" t="s">
        <v>281</v>
      </c>
      <c r="E4" s="13" t="s">
        <v>255</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78" hidden="false" customHeight="true" outlineLevel="0" collapsed="false">
      <c r="A8" s="12" t="s">
        <v>290</v>
      </c>
      <c r="B8" s="13" t="s">
        <v>811</v>
      </c>
      <c r="D8" s="12" t="s">
        <v>292</v>
      </c>
      <c r="E8" s="13" t="s">
        <v>812</v>
      </c>
    </row>
    <row r="9" customFormat="false" ht="207.75" hidden="false" customHeight="true" outlineLevel="0" collapsed="false">
      <c r="A9" s="12" t="s">
        <v>294</v>
      </c>
      <c r="B9" s="13" t="s">
        <v>813</v>
      </c>
      <c r="D9" s="12" t="s">
        <v>295</v>
      </c>
      <c r="E9" s="13" t="s">
        <v>814</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815</v>
      </c>
      <c r="D11" s="12" t="s">
        <v>298</v>
      </c>
      <c r="E11" s="13" t="s">
        <v>815</v>
      </c>
    </row>
    <row r="12" customFormat="false" ht="21.75" hidden="false" customHeight="true" outlineLevel="0" collapsed="false">
      <c r="A12" s="12" t="s">
        <v>300</v>
      </c>
      <c r="B12" s="13" t="s">
        <v>161</v>
      </c>
      <c r="D12" s="12" t="s">
        <v>301</v>
      </c>
      <c r="E12" s="13" t="s">
        <v>161</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816</v>
      </c>
      <c r="B1" s="10"/>
      <c r="D1" s="10" t="s">
        <v>817</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163</v>
      </c>
      <c r="D3" s="12" t="s">
        <v>279</v>
      </c>
      <c r="E3" s="13" t="s">
        <v>163</v>
      </c>
    </row>
    <row r="4" customFormat="false" ht="21.75" hidden="false" customHeight="true" outlineLevel="0" collapsed="false">
      <c r="A4" s="12" t="s">
        <v>280</v>
      </c>
      <c r="B4" s="13" t="s">
        <v>164</v>
      </c>
      <c r="D4" s="12" t="s">
        <v>281</v>
      </c>
      <c r="E4" s="13" t="s">
        <v>256</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117" hidden="false" customHeight="true" outlineLevel="0" collapsed="false">
      <c r="A8" s="12" t="s">
        <v>290</v>
      </c>
      <c r="B8" s="13" t="s">
        <v>818</v>
      </c>
      <c r="D8" s="12" t="s">
        <v>292</v>
      </c>
      <c r="E8" s="13" t="s">
        <v>819</v>
      </c>
    </row>
    <row r="9" customFormat="false" ht="300" hidden="false" customHeight="true" outlineLevel="0" collapsed="false">
      <c r="A9" s="12" t="s">
        <v>294</v>
      </c>
      <c r="B9" s="13" t="s">
        <v>820</v>
      </c>
      <c r="D9" s="12" t="s">
        <v>295</v>
      </c>
      <c r="E9" s="13" t="s">
        <v>821</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822</v>
      </c>
      <c r="D11" s="12" t="s">
        <v>298</v>
      </c>
      <c r="E11" s="13" t="s">
        <v>822</v>
      </c>
    </row>
    <row r="12" customFormat="false" ht="21.75" hidden="false" customHeight="true" outlineLevel="0" collapsed="false">
      <c r="A12" s="12" t="s">
        <v>300</v>
      </c>
      <c r="B12" s="13" t="s">
        <v>163</v>
      </c>
      <c r="D12" s="12" t="s">
        <v>301</v>
      </c>
      <c r="E12" s="13" t="s">
        <v>163</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823</v>
      </c>
      <c r="B1" s="10"/>
      <c r="D1" s="10" t="s">
        <v>824</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165</v>
      </c>
      <c r="D3" s="12" t="s">
        <v>279</v>
      </c>
      <c r="E3" s="13" t="s">
        <v>165</v>
      </c>
    </row>
    <row r="4" customFormat="false" ht="21.75" hidden="false" customHeight="true" outlineLevel="0" collapsed="false">
      <c r="A4" s="12" t="s">
        <v>280</v>
      </c>
      <c r="B4" s="13" t="s">
        <v>164</v>
      </c>
      <c r="D4" s="12" t="s">
        <v>281</v>
      </c>
      <c r="E4" s="13" t="s">
        <v>256</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51.75" hidden="false" customHeight="true" outlineLevel="0" collapsed="false">
      <c r="A8" s="12" t="s">
        <v>290</v>
      </c>
      <c r="B8" s="13" t="s">
        <v>825</v>
      </c>
      <c r="D8" s="12" t="s">
        <v>292</v>
      </c>
      <c r="E8" s="13" t="s">
        <v>826</v>
      </c>
    </row>
    <row r="9" customFormat="false" ht="45" hidden="false" customHeight="true" outlineLevel="0" collapsed="false">
      <c r="A9" s="12" t="s">
        <v>294</v>
      </c>
      <c r="B9" s="13" t="s">
        <v>827</v>
      </c>
      <c r="D9" s="12" t="s">
        <v>295</v>
      </c>
      <c r="E9" s="13" t="s">
        <v>828</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829</v>
      </c>
      <c r="D11" s="12" t="s">
        <v>298</v>
      </c>
      <c r="E11" s="13" t="s">
        <v>829</v>
      </c>
    </row>
    <row r="12" customFormat="false" ht="21.75" hidden="false" customHeight="true" outlineLevel="0" collapsed="false">
      <c r="A12" s="12" t="s">
        <v>300</v>
      </c>
      <c r="B12" s="13" t="s">
        <v>165</v>
      </c>
      <c r="D12" s="12" t="s">
        <v>301</v>
      </c>
      <c r="E12" s="13" t="s">
        <v>165</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830</v>
      </c>
      <c r="B1" s="10"/>
      <c r="D1" s="10" t="s">
        <v>831</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167</v>
      </c>
      <c r="D3" s="12" t="s">
        <v>279</v>
      </c>
      <c r="E3" s="13" t="s">
        <v>167</v>
      </c>
    </row>
    <row r="4" customFormat="false" ht="21.75" hidden="false" customHeight="true" outlineLevel="0" collapsed="false">
      <c r="A4" s="12" t="s">
        <v>280</v>
      </c>
      <c r="B4" s="13" t="s">
        <v>168</v>
      </c>
      <c r="D4" s="12" t="s">
        <v>281</v>
      </c>
      <c r="E4" s="13" t="s">
        <v>257</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246.75" hidden="false" customHeight="true" outlineLevel="0" collapsed="false">
      <c r="A8" s="12" t="s">
        <v>290</v>
      </c>
      <c r="B8" s="13" t="s">
        <v>832</v>
      </c>
      <c r="D8" s="12" t="s">
        <v>292</v>
      </c>
      <c r="E8" s="13" t="s">
        <v>833</v>
      </c>
    </row>
    <row r="9" customFormat="false" ht="300" hidden="false" customHeight="true" outlineLevel="0" collapsed="false">
      <c r="A9" s="12" t="s">
        <v>294</v>
      </c>
      <c r="B9" s="13" t="s">
        <v>834</v>
      </c>
      <c r="D9" s="12" t="s">
        <v>295</v>
      </c>
      <c r="E9" s="13" t="s">
        <v>835</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836</v>
      </c>
      <c r="D11" s="12" t="s">
        <v>298</v>
      </c>
      <c r="E11" s="13" t="s">
        <v>836</v>
      </c>
    </row>
    <row r="12" customFormat="false" ht="21.75" hidden="false" customHeight="true" outlineLevel="0" collapsed="false">
      <c r="A12" s="12" t="s">
        <v>300</v>
      </c>
      <c r="B12" s="13" t="s">
        <v>167</v>
      </c>
      <c r="D12" s="12" t="s">
        <v>301</v>
      </c>
      <c r="E12" s="13" t="s">
        <v>167</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837</v>
      </c>
      <c r="B1" s="10"/>
      <c r="D1" s="10" t="s">
        <v>838</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169</v>
      </c>
      <c r="D3" s="12" t="s">
        <v>279</v>
      </c>
      <c r="E3" s="13" t="s">
        <v>169</v>
      </c>
    </row>
    <row r="4" customFormat="false" ht="21.75" hidden="false" customHeight="true" outlineLevel="0" collapsed="false">
      <c r="A4" s="12" t="s">
        <v>280</v>
      </c>
      <c r="B4" s="13" t="s">
        <v>168</v>
      </c>
      <c r="D4" s="12" t="s">
        <v>281</v>
      </c>
      <c r="E4" s="13" t="s">
        <v>257</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45" hidden="false" customHeight="true" outlineLevel="0" collapsed="false">
      <c r="A8" s="12" t="s">
        <v>290</v>
      </c>
      <c r="B8" s="13" t="s">
        <v>839</v>
      </c>
      <c r="D8" s="12" t="s">
        <v>292</v>
      </c>
      <c r="E8" s="13" t="s">
        <v>840</v>
      </c>
    </row>
    <row r="9" customFormat="false" ht="78" hidden="false" customHeight="true" outlineLevel="0" collapsed="false">
      <c r="A9" s="12" t="s">
        <v>294</v>
      </c>
      <c r="B9" s="13" t="s">
        <v>841</v>
      </c>
      <c r="D9" s="12" t="s">
        <v>295</v>
      </c>
      <c r="E9" s="13" t="s">
        <v>842</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843</v>
      </c>
      <c r="D11" s="12" t="s">
        <v>298</v>
      </c>
      <c r="E11" s="13" t="s">
        <v>843</v>
      </c>
    </row>
    <row r="12" customFormat="false" ht="21.75" hidden="false" customHeight="true" outlineLevel="0" collapsed="false">
      <c r="A12" s="12" t="s">
        <v>300</v>
      </c>
      <c r="B12" s="13" t="s">
        <v>169</v>
      </c>
      <c r="D12" s="12" t="s">
        <v>301</v>
      </c>
      <c r="E12" s="13" t="s">
        <v>169</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844</v>
      </c>
      <c r="B1" s="10"/>
      <c r="D1" s="10" t="s">
        <v>845</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171</v>
      </c>
      <c r="D3" s="12" t="s">
        <v>279</v>
      </c>
      <c r="E3" s="13" t="s">
        <v>171</v>
      </c>
    </row>
    <row r="4" customFormat="false" ht="21.75" hidden="false" customHeight="true" outlineLevel="0" collapsed="false">
      <c r="A4" s="12" t="s">
        <v>280</v>
      </c>
      <c r="B4" s="13" t="s">
        <v>168</v>
      </c>
      <c r="D4" s="12" t="s">
        <v>281</v>
      </c>
      <c r="E4" s="13" t="s">
        <v>257</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45" hidden="false" customHeight="true" outlineLevel="0" collapsed="false">
      <c r="A8" s="12" t="s">
        <v>290</v>
      </c>
      <c r="B8" s="13" t="s">
        <v>846</v>
      </c>
      <c r="D8" s="12" t="s">
        <v>292</v>
      </c>
      <c r="E8" s="13" t="s">
        <v>847</v>
      </c>
    </row>
    <row r="9" customFormat="false" ht="64.5" hidden="false" customHeight="true" outlineLevel="0" collapsed="false">
      <c r="A9" s="12" t="s">
        <v>294</v>
      </c>
      <c r="B9" s="13" t="s">
        <v>848</v>
      </c>
      <c r="D9" s="12" t="s">
        <v>295</v>
      </c>
      <c r="E9" s="13" t="s">
        <v>849</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850</v>
      </c>
      <c r="D11" s="12" t="s">
        <v>298</v>
      </c>
      <c r="E11" s="13" t="s">
        <v>850</v>
      </c>
    </row>
    <row r="12" customFormat="false" ht="21.75" hidden="false" customHeight="true" outlineLevel="0" collapsed="false">
      <c r="A12" s="12" t="s">
        <v>300</v>
      </c>
      <c r="B12" s="13" t="s">
        <v>171</v>
      </c>
      <c r="D12" s="12" t="s">
        <v>301</v>
      </c>
      <c r="E12" s="13" t="s">
        <v>171</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851</v>
      </c>
      <c r="B1" s="10"/>
      <c r="D1" s="10" t="s">
        <v>852</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173</v>
      </c>
      <c r="D3" s="12" t="s">
        <v>279</v>
      </c>
      <c r="E3" s="13" t="s">
        <v>173</v>
      </c>
    </row>
    <row r="4" customFormat="false" ht="21.75" hidden="false" customHeight="true" outlineLevel="0" collapsed="false">
      <c r="A4" s="12" t="s">
        <v>280</v>
      </c>
      <c r="B4" s="13" t="s">
        <v>168</v>
      </c>
      <c r="D4" s="12" t="s">
        <v>281</v>
      </c>
      <c r="E4" s="13" t="s">
        <v>257</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51.75" hidden="false" customHeight="true" outlineLevel="0" collapsed="false">
      <c r="A8" s="12" t="s">
        <v>290</v>
      </c>
      <c r="B8" s="13" t="s">
        <v>853</v>
      </c>
      <c r="D8" s="12" t="s">
        <v>292</v>
      </c>
      <c r="E8" s="13" t="s">
        <v>854</v>
      </c>
    </row>
    <row r="9" customFormat="false" ht="129.75" hidden="false" customHeight="true" outlineLevel="0" collapsed="false">
      <c r="A9" s="12" t="s">
        <v>294</v>
      </c>
      <c r="B9" s="13" t="s">
        <v>855</v>
      </c>
      <c r="D9" s="12" t="s">
        <v>295</v>
      </c>
      <c r="E9" s="13" t="s">
        <v>856</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857</v>
      </c>
      <c r="D11" s="12" t="s">
        <v>298</v>
      </c>
      <c r="E11" s="13" t="s">
        <v>857</v>
      </c>
    </row>
    <row r="12" customFormat="false" ht="21.75" hidden="false" customHeight="true" outlineLevel="0" collapsed="false">
      <c r="A12" s="12" t="s">
        <v>300</v>
      </c>
      <c r="B12" s="13" t="s">
        <v>173</v>
      </c>
      <c r="D12" s="12" t="s">
        <v>301</v>
      </c>
      <c r="E12" s="13" t="s">
        <v>173</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858</v>
      </c>
      <c r="B1" s="10"/>
      <c r="D1" s="10" t="s">
        <v>859</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175</v>
      </c>
      <c r="D3" s="12" t="s">
        <v>279</v>
      </c>
      <c r="E3" s="13" t="s">
        <v>175</v>
      </c>
    </row>
    <row r="4" customFormat="false" ht="21.75" hidden="false" customHeight="true" outlineLevel="0" collapsed="false">
      <c r="A4" s="12" t="s">
        <v>280</v>
      </c>
      <c r="B4" s="13" t="s">
        <v>176</v>
      </c>
      <c r="D4" s="12" t="s">
        <v>281</v>
      </c>
      <c r="E4" s="13" t="s">
        <v>258</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300" hidden="false" customHeight="true" outlineLevel="0" collapsed="false">
      <c r="A8" s="12" t="s">
        <v>290</v>
      </c>
      <c r="B8" s="13" t="s">
        <v>860</v>
      </c>
      <c r="D8" s="12" t="s">
        <v>292</v>
      </c>
      <c r="E8" s="13" t="s">
        <v>861</v>
      </c>
    </row>
    <row r="9" customFormat="false" ht="300" hidden="false" customHeight="true" outlineLevel="0" collapsed="false">
      <c r="A9" s="12" t="s">
        <v>294</v>
      </c>
      <c r="B9" s="13" t="s">
        <v>862</v>
      </c>
      <c r="D9" s="12" t="s">
        <v>295</v>
      </c>
      <c r="E9" s="13" t="s">
        <v>863</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864</v>
      </c>
      <c r="D11" s="12" t="s">
        <v>298</v>
      </c>
      <c r="E11" s="13" t="s">
        <v>864</v>
      </c>
    </row>
    <row r="12" customFormat="false" ht="21.75" hidden="false" customHeight="true" outlineLevel="0" collapsed="false">
      <c r="A12" s="12" t="s">
        <v>300</v>
      </c>
      <c r="B12" s="13" t="s">
        <v>175</v>
      </c>
      <c r="D12" s="12" t="s">
        <v>301</v>
      </c>
      <c r="E12" s="13" t="s">
        <v>175</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865</v>
      </c>
      <c r="B1" s="10"/>
      <c r="D1" s="10" t="s">
        <v>866</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177</v>
      </c>
      <c r="D3" s="12" t="s">
        <v>279</v>
      </c>
      <c r="E3" s="13" t="s">
        <v>177</v>
      </c>
    </row>
    <row r="4" customFormat="false" ht="21.75" hidden="false" customHeight="true" outlineLevel="0" collapsed="false">
      <c r="A4" s="12" t="s">
        <v>280</v>
      </c>
      <c r="B4" s="13" t="s">
        <v>176</v>
      </c>
      <c r="D4" s="12" t="s">
        <v>281</v>
      </c>
      <c r="E4" s="13" t="s">
        <v>258</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51.75" hidden="false" customHeight="true" outlineLevel="0" collapsed="false">
      <c r="A8" s="12" t="s">
        <v>290</v>
      </c>
      <c r="B8" s="13" t="s">
        <v>867</v>
      </c>
      <c r="D8" s="12" t="s">
        <v>292</v>
      </c>
      <c r="E8" s="13" t="s">
        <v>868</v>
      </c>
    </row>
    <row r="9" customFormat="false" ht="45" hidden="false" customHeight="true" outlineLevel="0" collapsed="false">
      <c r="A9" s="12" t="s">
        <v>294</v>
      </c>
      <c r="B9" s="13"/>
      <c r="D9" s="12" t="s">
        <v>295</v>
      </c>
      <c r="E9" s="13"/>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869</v>
      </c>
      <c r="D11" s="12" t="s">
        <v>298</v>
      </c>
      <c r="E11" s="13" t="s">
        <v>869</v>
      </c>
    </row>
    <row r="12" customFormat="false" ht="21.75" hidden="false" customHeight="true" outlineLevel="0" collapsed="false">
      <c r="A12" s="12" t="s">
        <v>300</v>
      </c>
      <c r="B12" s="13" t="s">
        <v>177</v>
      </c>
      <c r="D12" s="12" t="s">
        <v>301</v>
      </c>
      <c r="E12" s="13" t="s">
        <v>177</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870</v>
      </c>
      <c r="B1" s="10"/>
      <c r="D1" s="10" t="s">
        <v>871</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179</v>
      </c>
      <c r="D3" s="12" t="s">
        <v>279</v>
      </c>
      <c r="E3" s="13" t="s">
        <v>179</v>
      </c>
    </row>
    <row r="4" customFormat="false" ht="21.75" hidden="false" customHeight="true" outlineLevel="0" collapsed="false">
      <c r="A4" s="12" t="s">
        <v>280</v>
      </c>
      <c r="B4" s="13" t="s">
        <v>176</v>
      </c>
      <c r="D4" s="12" t="s">
        <v>281</v>
      </c>
      <c r="E4" s="13" t="s">
        <v>258</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45" hidden="false" customHeight="true" outlineLevel="0" collapsed="false">
      <c r="A8" s="12" t="s">
        <v>290</v>
      </c>
      <c r="B8" s="13" t="s">
        <v>872</v>
      </c>
      <c r="D8" s="12" t="s">
        <v>292</v>
      </c>
      <c r="E8" s="13" t="s">
        <v>873</v>
      </c>
    </row>
    <row r="9" customFormat="false" ht="78" hidden="false" customHeight="true" outlineLevel="0" collapsed="false">
      <c r="A9" s="12" t="s">
        <v>294</v>
      </c>
      <c r="B9" s="13" t="s">
        <v>874</v>
      </c>
      <c r="D9" s="12" t="s">
        <v>295</v>
      </c>
      <c r="E9" s="13" t="s">
        <v>875</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876</v>
      </c>
      <c r="D11" s="12" t="s">
        <v>298</v>
      </c>
      <c r="E11" s="13" t="s">
        <v>876</v>
      </c>
    </row>
    <row r="12" customFormat="false" ht="21.75" hidden="false" customHeight="true" outlineLevel="0" collapsed="false">
      <c r="A12" s="12" t="s">
        <v>300</v>
      </c>
      <c r="B12" s="13" t="s">
        <v>179</v>
      </c>
      <c r="D12" s="12" t="s">
        <v>301</v>
      </c>
      <c r="E12" s="13" t="s">
        <v>179</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877</v>
      </c>
      <c r="B1" s="10"/>
      <c r="D1" s="10" t="s">
        <v>878</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181</v>
      </c>
      <c r="D3" s="12" t="s">
        <v>279</v>
      </c>
      <c r="E3" s="13" t="s">
        <v>181</v>
      </c>
    </row>
    <row r="4" customFormat="false" ht="21.75" hidden="false" customHeight="true" outlineLevel="0" collapsed="false">
      <c r="A4" s="12" t="s">
        <v>280</v>
      </c>
      <c r="B4" s="13" t="s">
        <v>176</v>
      </c>
      <c r="D4" s="12" t="s">
        <v>281</v>
      </c>
      <c r="E4" s="13" t="s">
        <v>258</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51.75" hidden="false" customHeight="true" outlineLevel="0" collapsed="false">
      <c r="A8" s="12" t="s">
        <v>290</v>
      </c>
      <c r="B8" s="13" t="s">
        <v>879</v>
      </c>
      <c r="D8" s="12" t="s">
        <v>292</v>
      </c>
      <c r="E8" s="13" t="s">
        <v>880</v>
      </c>
    </row>
    <row r="9" customFormat="false" ht="117" hidden="false" customHeight="true" outlineLevel="0" collapsed="false">
      <c r="A9" s="12" t="s">
        <v>294</v>
      </c>
      <c r="B9" s="13" t="s">
        <v>881</v>
      </c>
      <c r="D9" s="12" t="s">
        <v>295</v>
      </c>
      <c r="E9" s="13" t="s">
        <v>882</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883</v>
      </c>
      <c r="D11" s="12" t="s">
        <v>298</v>
      </c>
      <c r="E11" s="13" t="s">
        <v>883</v>
      </c>
    </row>
    <row r="12" customFormat="false" ht="21.75" hidden="false" customHeight="true" outlineLevel="0" collapsed="false">
      <c r="A12" s="12" t="s">
        <v>300</v>
      </c>
      <c r="B12" s="13" t="s">
        <v>181</v>
      </c>
      <c r="D12" s="12" t="s">
        <v>301</v>
      </c>
      <c r="E12" s="13" t="s">
        <v>181</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884</v>
      </c>
      <c r="B1" s="10"/>
      <c r="D1" s="10" t="s">
        <v>885</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183</v>
      </c>
      <c r="D3" s="12" t="s">
        <v>279</v>
      </c>
      <c r="E3" s="13" t="s">
        <v>183</v>
      </c>
    </row>
    <row r="4" customFormat="false" ht="21.75" hidden="false" customHeight="true" outlineLevel="0" collapsed="false">
      <c r="A4" s="12" t="s">
        <v>280</v>
      </c>
      <c r="B4" s="13" t="s">
        <v>176</v>
      </c>
      <c r="D4" s="12" t="s">
        <v>281</v>
      </c>
      <c r="E4" s="13" t="s">
        <v>258</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64.5" hidden="false" customHeight="true" outlineLevel="0" collapsed="false">
      <c r="A8" s="12" t="s">
        <v>290</v>
      </c>
      <c r="B8" s="13" t="s">
        <v>886</v>
      </c>
      <c r="D8" s="12" t="s">
        <v>292</v>
      </c>
      <c r="E8" s="13" t="s">
        <v>887</v>
      </c>
    </row>
    <row r="9" customFormat="false" ht="142.5" hidden="false" customHeight="true" outlineLevel="0" collapsed="false">
      <c r="A9" s="12" t="s">
        <v>294</v>
      </c>
      <c r="B9" s="13" t="s">
        <v>888</v>
      </c>
      <c r="D9" s="12" t="s">
        <v>295</v>
      </c>
      <c r="E9" s="13" t="s">
        <v>889</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890</v>
      </c>
      <c r="D11" s="12" t="s">
        <v>298</v>
      </c>
      <c r="E11" s="13" t="s">
        <v>890</v>
      </c>
    </row>
    <row r="12" customFormat="false" ht="21.75" hidden="false" customHeight="true" outlineLevel="0" collapsed="false">
      <c r="A12" s="12" t="s">
        <v>300</v>
      </c>
      <c r="B12" s="13" t="s">
        <v>183</v>
      </c>
      <c r="D12" s="12" t="s">
        <v>301</v>
      </c>
      <c r="E12" s="13" t="s">
        <v>183</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891</v>
      </c>
      <c r="B1" s="10"/>
      <c r="D1" s="10" t="s">
        <v>892</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185</v>
      </c>
      <c r="D3" s="12" t="s">
        <v>279</v>
      </c>
      <c r="E3" s="13" t="s">
        <v>185</v>
      </c>
    </row>
    <row r="4" customFormat="false" ht="21.75" hidden="false" customHeight="true" outlineLevel="0" collapsed="false">
      <c r="A4" s="12" t="s">
        <v>280</v>
      </c>
      <c r="B4" s="13" t="s">
        <v>176</v>
      </c>
      <c r="D4" s="12" t="s">
        <v>281</v>
      </c>
      <c r="E4" s="13" t="s">
        <v>258</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64.5" hidden="false" customHeight="true" outlineLevel="0" collapsed="false">
      <c r="A8" s="12" t="s">
        <v>290</v>
      </c>
      <c r="B8" s="13" t="s">
        <v>893</v>
      </c>
      <c r="D8" s="12" t="s">
        <v>292</v>
      </c>
      <c r="E8" s="13" t="s">
        <v>894</v>
      </c>
    </row>
    <row r="9" customFormat="false" ht="64.5" hidden="false" customHeight="true" outlineLevel="0" collapsed="false">
      <c r="A9" s="12" t="s">
        <v>294</v>
      </c>
      <c r="B9" s="13" t="s">
        <v>895</v>
      </c>
      <c r="D9" s="12" t="s">
        <v>295</v>
      </c>
      <c r="E9" s="13" t="s">
        <v>896</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897</v>
      </c>
      <c r="D11" s="12" t="s">
        <v>298</v>
      </c>
      <c r="E11" s="13" t="s">
        <v>897</v>
      </c>
    </row>
    <row r="12" customFormat="false" ht="21.75" hidden="false" customHeight="true" outlineLevel="0" collapsed="false">
      <c r="A12" s="12" t="s">
        <v>300</v>
      </c>
      <c r="B12" s="13" t="s">
        <v>185</v>
      </c>
      <c r="D12" s="12" t="s">
        <v>301</v>
      </c>
      <c r="E12" s="13" t="s">
        <v>185</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898</v>
      </c>
      <c r="B1" s="10"/>
      <c r="D1" s="10" t="s">
        <v>899</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187</v>
      </c>
      <c r="D3" s="12" t="s">
        <v>279</v>
      </c>
      <c r="E3" s="13" t="s">
        <v>187</v>
      </c>
    </row>
    <row r="4" customFormat="false" ht="21.75" hidden="false" customHeight="true" outlineLevel="0" collapsed="false">
      <c r="A4" s="12" t="s">
        <v>280</v>
      </c>
      <c r="B4" s="13" t="s">
        <v>188</v>
      </c>
      <c r="D4" s="12" t="s">
        <v>281</v>
      </c>
      <c r="E4" s="13" t="s">
        <v>259</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142.5" hidden="false" customHeight="true" outlineLevel="0" collapsed="false">
      <c r="A8" s="12" t="s">
        <v>290</v>
      </c>
      <c r="B8" s="13" t="s">
        <v>900</v>
      </c>
      <c r="D8" s="12" t="s">
        <v>292</v>
      </c>
      <c r="E8" s="13" t="s">
        <v>901</v>
      </c>
    </row>
    <row r="9" customFormat="false" ht="90.75" hidden="false" customHeight="true" outlineLevel="0" collapsed="false">
      <c r="A9" s="12" t="s">
        <v>294</v>
      </c>
      <c r="B9" s="13" t="s">
        <v>902</v>
      </c>
      <c r="D9" s="12" t="s">
        <v>295</v>
      </c>
      <c r="E9" s="13" t="s">
        <v>903</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904</v>
      </c>
      <c r="D11" s="12" t="s">
        <v>298</v>
      </c>
      <c r="E11" s="13" t="s">
        <v>904</v>
      </c>
    </row>
    <row r="12" customFormat="false" ht="21.75" hidden="false" customHeight="true" outlineLevel="0" collapsed="false">
      <c r="A12" s="12" t="s">
        <v>300</v>
      </c>
      <c r="B12" s="13" t="s">
        <v>187</v>
      </c>
      <c r="D12" s="12" t="s">
        <v>301</v>
      </c>
      <c r="E12" s="13" t="s">
        <v>187</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905</v>
      </c>
      <c r="B1" s="10"/>
      <c r="D1" s="10" t="s">
        <v>906</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189</v>
      </c>
      <c r="D3" s="12" t="s">
        <v>279</v>
      </c>
      <c r="E3" s="13" t="s">
        <v>189</v>
      </c>
    </row>
    <row r="4" customFormat="false" ht="21.75" hidden="false" customHeight="true" outlineLevel="0" collapsed="false">
      <c r="A4" s="12" t="s">
        <v>280</v>
      </c>
      <c r="B4" s="13" t="s">
        <v>190</v>
      </c>
      <c r="D4" s="12" t="s">
        <v>281</v>
      </c>
      <c r="E4" s="13" t="s">
        <v>260</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64.5" hidden="false" customHeight="true" outlineLevel="0" collapsed="false">
      <c r="A8" s="12" t="s">
        <v>290</v>
      </c>
      <c r="B8" s="13" t="s">
        <v>907</v>
      </c>
      <c r="D8" s="12" t="s">
        <v>292</v>
      </c>
      <c r="E8" s="13" t="s">
        <v>908</v>
      </c>
    </row>
    <row r="9" customFormat="false" ht="117" hidden="false" customHeight="true" outlineLevel="0" collapsed="false">
      <c r="A9" s="12" t="s">
        <v>294</v>
      </c>
      <c r="B9" s="13" t="s">
        <v>909</v>
      </c>
      <c r="D9" s="12" t="s">
        <v>295</v>
      </c>
      <c r="E9" s="13" t="s">
        <v>910</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911</v>
      </c>
      <c r="D11" s="12" t="s">
        <v>298</v>
      </c>
      <c r="E11" s="13" t="s">
        <v>911</v>
      </c>
    </row>
    <row r="12" customFormat="false" ht="21.75" hidden="false" customHeight="true" outlineLevel="0" collapsed="false">
      <c r="A12" s="12" t="s">
        <v>300</v>
      </c>
      <c r="B12" s="13" t="s">
        <v>189</v>
      </c>
      <c r="D12" s="12" t="s">
        <v>301</v>
      </c>
      <c r="E12" s="13" t="s">
        <v>189</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912</v>
      </c>
      <c r="B1" s="10"/>
      <c r="D1" s="10" t="s">
        <v>913</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192</v>
      </c>
      <c r="D3" s="12" t="s">
        <v>279</v>
      </c>
      <c r="E3" s="13" t="s">
        <v>192</v>
      </c>
    </row>
    <row r="4" customFormat="false" ht="21.75" hidden="false" customHeight="true" outlineLevel="0" collapsed="false">
      <c r="A4" s="12" t="s">
        <v>280</v>
      </c>
      <c r="B4" s="13" t="s">
        <v>193</v>
      </c>
      <c r="D4" s="12" t="s">
        <v>281</v>
      </c>
      <c r="E4" s="13" t="s">
        <v>261</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78" hidden="false" customHeight="true" outlineLevel="0" collapsed="false">
      <c r="A8" s="12" t="s">
        <v>290</v>
      </c>
      <c r="B8" s="13" t="s">
        <v>914</v>
      </c>
      <c r="D8" s="12" t="s">
        <v>292</v>
      </c>
      <c r="E8" s="13" t="s">
        <v>915</v>
      </c>
    </row>
    <row r="9" customFormat="false" ht="117" hidden="false" customHeight="true" outlineLevel="0" collapsed="false">
      <c r="A9" s="12" t="s">
        <v>294</v>
      </c>
      <c r="B9" s="13" t="s">
        <v>916</v>
      </c>
      <c r="D9" s="12" t="s">
        <v>295</v>
      </c>
      <c r="E9" s="13" t="s">
        <v>917</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918</v>
      </c>
      <c r="D11" s="12" t="s">
        <v>298</v>
      </c>
      <c r="E11" s="13" t="s">
        <v>918</v>
      </c>
    </row>
    <row r="12" customFormat="false" ht="21.75" hidden="false" customHeight="true" outlineLevel="0" collapsed="false">
      <c r="A12" s="12" t="s">
        <v>300</v>
      </c>
      <c r="B12" s="13" t="s">
        <v>192</v>
      </c>
      <c r="D12" s="12" t="s">
        <v>301</v>
      </c>
      <c r="E12" s="13" t="s">
        <v>192</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919</v>
      </c>
      <c r="B1" s="10"/>
      <c r="D1" s="10" t="s">
        <v>920</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194</v>
      </c>
      <c r="D3" s="12" t="s">
        <v>279</v>
      </c>
      <c r="E3" s="13" t="s">
        <v>194</v>
      </c>
    </row>
    <row r="4" customFormat="false" ht="21.75" hidden="false" customHeight="true" outlineLevel="0" collapsed="false">
      <c r="A4" s="12" t="s">
        <v>280</v>
      </c>
      <c r="B4" s="13" t="s">
        <v>193</v>
      </c>
      <c r="D4" s="12" t="s">
        <v>281</v>
      </c>
      <c r="E4" s="13" t="s">
        <v>261</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45" hidden="false" customHeight="true" outlineLevel="0" collapsed="false">
      <c r="A8" s="12" t="s">
        <v>290</v>
      </c>
      <c r="B8" s="13" t="s">
        <v>921</v>
      </c>
      <c r="D8" s="12" t="s">
        <v>292</v>
      </c>
      <c r="E8" s="13" t="s">
        <v>922</v>
      </c>
    </row>
    <row r="9" customFormat="false" ht="78" hidden="false" customHeight="true" outlineLevel="0" collapsed="false">
      <c r="A9" s="12" t="s">
        <v>294</v>
      </c>
      <c r="B9" s="13" t="s">
        <v>923</v>
      </c>
      <c r="D9" s="12" t="s">
        <v>295</v>
      </c>
      <c r="E9" s="13" t="s">
        <v>924</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925</v>
      </c>
      <c r="D11" s="12" t="s">
        <v>298</v>
      </c>
      <c r="E11" s="13" t="s">
        <v>925</v>
      </c>
    </row>
    <row r="12" customFormat="false" ht="21.75" hidden="false" customHeight="true" outlineLevel="0" collapsed="false">
      <c r="A12" s="12" t="s">
        <v>300</v>
      </c>
      <c r="B12" s="13" t="s">
        <v>194</v>
      </c>
      <c r="D12" s="12" t="s">
        <v>301</v>
      </c>
      <c r="E12" s="13" t="s">
        <v>194</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926</v>
      </c>
      <c r="B1" s="10"/>
      <c r="D1" s="10" t="s">
        <v>927</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196</v>
      </c>
      <c r="D3" s="12" t="s">
        <v>279</v>
      </c>
      <c r="E3" s="13" t="s">
        <v>196</v>
      </c>
    </row>
    <row r="4" customFormat="false" ht="21.75" hidden="false" customHeight="true" outlineLevel="0" collapsed="false">
      <c r="A4" s="12" t="s">
        <v>280</v>
      </c>
      <c r="B4" s="13" t="s">
        <v>193</v>
      </c>
      <c r="D4" s="12" t="s">
        <v>281</v>
      </c>
      <c r="E4" s="13" t="s">
        <v>261</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45" hidden="false" customHeight="true" outlineLevel="0" collapsed="false">
      <c r="A8" s="12" t="s">
        <v>290</v>
      </c>
      <c r="B8" s="13" t="s">
        <v>928</v>
      </c>
      <c r="D8" s="12" t="s">
        <v>292</v>
      </c>
      <c r="E8" s="13" t="s">
        <v>929</v>
      </c>
    </row>
    <row r="9" customFormat="false" ht="45" hidden="false" customHeight="true" outlineLevel="0" collapsed="false">
      <c r="A9" s="12" t="s">
        <v>294</v>
      </c>
      <c r="B9" s="13"/>
      <c r="D9" s="12" t="s">
        <v>295</v>
      </c>
      <c r="E9" s="13"/>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930</v>
      </c>
      <c r="D11" s="12" t="s">
        <v>298</v>
      </c>
      <c r="E11" s="13" t="s">
        <v>930</v>
      </c>
    </row>
    <row r="12" customFormat="false" ht="21.75" hidden="false" customHeight="true" outlineLevel="0" collapsed="false">
      <c r="A12" s="12" t="s">
        <v>300</v>
      </c>
      <c r="B12" s="13" t="s">
        <v>196</v>
      </c>
      <c r="D12" s="12" t="s">
        <v>301</v>
      </c>
      <c r="E12" s="13" t="s">
        <v>196</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931</v>
      </c>
      <c r="B1" s="10"/>
      <c r="D1" s="10" t="s">
        <v>932</v>
      </c>
      <c r="E1" s="10"/>
    </row>
    <row r="2" customFormat="false" ht="19.5" hidden="false" customHeight="true" outlineLevel="0" collapsed="false">
      <c r="A2" s="11" t="s">
        <v>276</v>
      </c>
      <c r="B2" s="11"/>
      <c r="D2" s="11" t="s">
        <v>277</v>
      </c>
      <c r="E2" s="11"/>
    </row>
    <row r="3" customFormat="false" ht="21.75" hidden="false" customHeight="true" outlineLevel="0" collapsed="false">
      <c r="A3" s="12" t="s">
        <v>278</v>
      </c>
      <c r="B3" s="13" t="s">
        <v>198</v>
      </c>
      <c r="D3" s="12" t="s">
        <v>279</v>
      </c>
      <c r="E3" s="13" t="s">
        <v>198</v>
      </c>
    </row>
    <row r="4" customFormat="false" ht="21.75" hidden="false" customHeight="true" outlineLevel="0" collapsed="false">
      <c r="A4" s="12" t="s">
        <v>280</v>
      </c>
      <c r="B4" s="13" t="s">
        <v>199</v>
      </c>
      <c r="D4" s="12" t="s">
        <v>281</v>
      </c>
      <c r="E4" s="13" t="s">
        <v>262</v>
      </c>
    </row>
    <row r="5" customFormat="false" ht="21.75" hidden="false" customHeight="true" outlineLevel="0" collapsed="false">
      <c r="A5" s="12" t="s">
        <v>282</v>
      </c>
      <c r="B5" s="13" t="s">
        <v>283</v>
      </c>
      <c r="D5" s="12" t="s">
        <v>284</v>
      </c>
      <c r="E5" s="13" t="s">
        <v>285</v>
      </c>
    </row>
    <row r="6" customFormat="false" ht="21.75" hidden="false" customHeight="true" outlineLevel="0" collapsed="false">
      <c r="A6" s="12" t="s">
        <v>286</v>
      </c>
      <c r="B6" s="13"/>
      <c r="D6" s="12" t="s">
        <v>287</v>
      </c>
      <c r="E6" s="13"/>
    </row>
    <row r="7" customFormat="false" ht="21.75" hidden="false" customHeight="true" outlineLevel="0" collapsed="false">
      <c r="A7" s="12" t="s">
        <v>288</v>
      </c>
      <c r="B7" s="13"/>
      <c r="D7" s="12" t="s">
        <v>289</v>
      </c>
      <c r="E7" s="13"/>
    </row>
    <row r="8" customFormat="false" ht="64.5" hidden="false" customHeight="true" outlineLevel="0" collapsed="false">
      <c r="A8" s="12" t="s">
        <v>290</v>
      </c>
      <c r="B8" s="13" t="s">
        <v>933</v>
      </c>
      <c r="D8" s="12" t="s">
        <v>292</v>
      </c>
      <c r="E8" s="13" t="s">
        <v>934</v>
      </c>
    </row>
    <row r="9" customFormat="false" ht="168.75" hidden="false" customHeight="true" outlineLevel="0" collapsed="false">
      <c r="A9" s="12" t="s">
        <v>294</v>
      </c>
      <c r="B9" s="13" t="s">
        <v>935</v>
      </c>
      <c r="D9" s="12" t="s">
        <v>295</v>
      </c>
      <c r="E9" s="13" t="s">
        <v>936</v>
      </c>
    </row>
    <row r="10" customFormat="false" ht="19.5" hidden="false" customHeight="true" outlineLevel="0" collapsed="false">
      <c r="A10" s="11" t="s">
        <v>296</v>
      </c>
      <c r="B10" s="11"/>
      <c r="D10" s="11" t="s">
        <v>297</v>
      </c>
      <c r="E10" s="11"/>
    </row>
    <row r="11" customFormat="false" ht="21.75" hidden="false" customHeight="true" outlineLevel="0" collapsed="false">
      <c r="A11" s="12" t="s">
        <v>298</v>
      </c>
      <c r="B11" s="13" t="s">
        <v>937</v>
      </c>
      <c r="D11" s="12" t="s">
        <v>298</v>
      </c>
      <c r="E11" s="13" t="s">
        <v>937</v>
      </c>
    </row>
    <row r="12" customFormat="false" ht="21.75" hidden="false" customHeight="true" outlineLevel="0" collapsed="false">
      <c r="A12" s="12" t="s">
        <v>300</v>
      </c>
      <c r="B12" s="13" t="s">
        <v>198</v>
      </c>
      <c r="D12" s="12" t="s">
        <v>301</v>
      </c>
      <c r="E12" s="13" t="s">
        <v>198</v>
      </c>
    </row>
    <row r="13" customFormat="false" ht="21.75" hidden="false" customHeight="true" outlineLevel="0" collapsed="false">
      <c r="A13" s="12" t="s">
        <v>302</v>
      </c>
      <c r="B13" s="13"/>
      <c r="D13" s="12" t="s">
        <v>303</v>
      </c>
      <c r="E13" s="13"/>
    </row>
    <row r="14" customFormat="false" ht="54.75" hidden="false" customHeight="true" outlineLevel="0" collapsed="false">
      <c r="A14" s="12" t="s">
        <v>304</v>
      </c>
      <c r="B14" s="13"/>
      <c r="D14" s="12" t="s">
        <v>305</v>
      </c>
      <c r="E14" s="13"/>
    </row>
    <row r="15" customFormat="false" ht="54.75" hidden="false" customHeight="true" outlineLevel="0" collapsed="false">
      <c r="A15" s="12" t="s">
        <v>306</v>
      </c>
      <c r="B15" s="13"/>
      <c r="D15" s="12" t="s">
        <v>307</v>
      </c>
      <c r="E15" s="13"/>
    </row>
    <row r="16" customFormat="false" ht="54.75" hidden="false" customHeight="true" outlineLevel="0" collapsed="false">
      <c r="A16" s="12" t="s">
        <v>204</v>
      </c>
      <c r="B16" s="13"/>
      <c r="D16" s="12" t="s">
        <v>267</v>
      </c>
      <c r="E16" s="13"/>
    </row>
    <row r="17" customFormat="false" ht="24.75" hidden="false" customHeight="true" outlineLevel="0" collapsed="false">
      <c r="A17" s="12" t="s">
        <v>308</v>
      </c>
      <c r="B17" s="13"/>
      <c r="D17" s="12" t="s">
        <v>309</v>
      </c>
      <c r="E17" s="13"/>
    </row>
    <row r="18" customFormat="false" ht="24.75" hidden="false" customHeight="true" outlineLevel="0" collapsed="false">
      <c r="A18" s="12" t="s">
        <v>310</v>
      </c>
      <c r="B18" s="13"/>
      <c r="D18" s="12" t="s">
        <v>311</v>
      </c>
      <c r="E18" s="13"/>
    </row>
    <row r="19" customFormat="false" ht="24.75" hidden="false" customHeight="true" outlineLevel="0" collapsed="false">
      <c r="A19" s="12" t="s">
        <v>312</v>
      </c>
      <c r="B19" s="13"/>
      <c r="D19" s="12" t="s">
        <v>313</v>
      </c>
      <c r="E19" s="13"/>
    </row>
    <row r="20" customFormat="false" ht="21.75" hidden="false" customHeight="true" outlineLevel="0" collapsed="false">
      <c r="A20" s="12" t="s">
        <v>5</v>
      </c>
      <c r="B20" s="13" t="s">
        <v>202</v>
      </c>
      <c r="D20" s="12" t="s">
        <v>216</v>
      </c>
      <c r="E20" s="13" t="s">
        <v>314</v>
      </c>
    </row>
    <row r="21" customFormat="false" ht="54.75" hidden="false" customHeight="true" outlineLevel="0" collapsed="false">
      <c r="A21" s="12" t="s">
        <v>315</v>
      </c>
      <c r="B21" s="13"/>
      <c r="D21" s="12" t="s">
        <v>316</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2026-05-29T18:34:01Z</dcterms:created>
  <dc:creator>openpyxl</dc:creator>
  <dc:description/>
  <dc:language>en-US</dc:language>
  <cp:lastModifiedBy/>
  <dcterms:modified xsi:type="dcterms:W3CDTF">2026-05-29T18:34:03Z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