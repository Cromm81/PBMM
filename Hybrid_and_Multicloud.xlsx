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3.xml" ContentType="application/vnd.openxmlformats-officedocument.spreadsheetml.worksheet+xml"/>
  <Override PartName="/xl/worksheets/sheet6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57.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72.xml" ContentType="application/vnd.openxmlformats-officedocument.spreadsheetml.worksheet+xml"/>
  <Override PartName="/xl/worksheets/sheet58.xml" ContentType="application/vnd.openxmlformats-officedocument.spreadsheetml.worksheet+xml"/>
  <Override PartName="/xl/worksheets/sheet71.xml" ContentType="application/vnd.openxmlformats-officedocument.spreadsheetml.worksheet+xml"/>
  <Override PartName="/xl/worksheets/sheet29.xml" ContentType="application/vnd.openxmlformats-officedocument.spreadsheetml.worksheet+xml"/>
  <Override PartName="/xl/worksheets/sheet69.xml" ContentType="application/vnd.openxmlformats-officedocument.spreadsheetml.worksheet+xml"/>
  <Override PartName="/xl/worksheets/sheet32.xml" ContentType="application/vnd.openxmlformats-officedocument.spreadsheetml.worksheet+xml"/>
  <Override PartName="/xl/worksheets/sheet70.xml" ContentType="application/vnd.openxmlformats-officedocument.spreadsheetml.worksheet+xml"/>
  <Override PartName="/xl/worksheets/sheet28.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66.xml" ContentType="application/vnd.openxmlformats-officedocument.spreadsheetml.worksheet+xml"/>
  <Override PartName="/xl/worksheets/sheet65.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26.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25.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2-4" sheetId="3" state="visible" r:id="rId5"/>
    <sheet name="AC-2-5" sheetId="4" state="visible" r:id="rId6"/>
    <sheet name="AC-2-7" sheetId="5" state="visible" r:id="rId7"/>
    <sheet name="AC-6" sheetId="6" state="visible" r:id="rId8"/>
    <sheet name="AC-6-1" sheetId="7" state="visible" r:id="rId9"/>
    <sheet name="AC-6-9" sheetId="8" state="visible" r:id="rId10"/>
    <sheet name="AC-17-1" sheetId="9" state="visible" r:id="rId11"/>
    <sheet name="AU-2" sheetId="10" state="visible" r:id="rId12"/>
    <sheet name="AU-3" sheetId="11" state="visible" r:id="rId13"/>
    <sheet name="AU-3-1" sheetId="12" state="visible" r:id="rId14"/>
    <sheet name="AU-5" sheetId="13" state="visible" r:id="rId15"/>
    <sheet name="AU-6-1" sheetId="14" state="visible" r:id="rId16"/>
    <sheet name="AU-6-3" sheetId="15" state="visible" r:id="rId17"/>
    <sheet name="AU-7" sheetId="16" state="visible" r:id="rId18"/>
    <sheet name="AU-7-1" sheetId="17" state="visible" r:id="rId19"/>
    <sheet name="AU-8" sheetId="18" state="visible" r:id="rId20"/>
    <sheet name="AU-8-1" sheetId="19" state="visible" r:id="rId21"/>
    <sheet name="AU-9" sheetId="20" state="visible" r:id="rId22"/>
    <sheet name="AU-9-2" sheetId="21" state="visible" r:id="rId23"/>
    <sheet name="AU-9-4" sheetId="22" state="visible" r:id="rId24"/>
    <sheet name="AU-11" sheetId="23" state="visible" r:id="rId25"/>
    <sheet name="AU-12" sheetId="24" state="visible" r:id="rId26"/>
    <sheet name="CA-9" sheetId="25" state="visible" r:id="rId27"/>
    <sheet name="CM-5-1" sheetId="26" state="visible" r:id="rId28"/>
    <sheet name="CM-5-6" sheetId="27" state="visible" r:id="rId29"/>
    <sheet name="CM-6" sheetId="28" state="visible" r:id="rId30"/>
    <sheet name="CM-7" sheetId="29" state="visible" r:id="rId31"/>
    <sheet name="CM-7-1" sheetId="30" state="visible" r:id="rId32"/>
    <sheet name="CP-6" sheetId="31" state="visible" r:id="rId33"/>
    <sheet name="CP-6-2" sheetId="32" state="visible" r:id="rId34"/>
    <sheet name="CP-7" sheetId="33" state="visible" r:id="rId35"/>
    <sheet name="CP-7-4" sheetId="34" state="visible" r:id="rId36"/>
    <sheet name="CP-9" sheetId="35" state="visible" r:id="rId37"/>
    <sheet name="CP-9-1" sheetId="36" state="visible" r:id="rId38"/>
    <sheet name="CP-9-2" sheetId="37" state="visible" r:id="rId39"/>
    <sheet name="CP-9-5" sheetId="38" state="visible" r:id="rId40"/>
    <sheet name="CP-10" sheetId="39" state="visible" r:id="rId41"/>
    <sheet name="CP-10-2" sheetId="40" state="visible" r:id="rId42"/>
    <sheet name="CP-10-4" sheetId="41" state="visible" r:id="rId43"/>
    <sheet name="IA-5-7" sheetId="42" state="visible" r:id="rId44"/>
    <sheet name="RA-5" sheetId="43" state="visible" r:id="rId45"/>
    <sheet name="RA-5-1" sheetId="44" state="visible" r:id="rId46"/>
    <sheet name="RA-5-2" sheetId="45" state="visible" r:id="rId47"/>
    <sheet name="RA-5-3" sheetId="46" state="visible" r:id="rId48"/>
    <sheet name="RA-5-5" sheetId="47" state="visible" r:id="rId49"/>
    <sheet name="RA-5-6" sheetId="48" state="visible" r:id="rId50"/>
    <sheet name="RA-5-8" sheetId="49" state="visible" r:id="rId51"/>
    <sheet name="SA-9-5" sheetId="50" state="visible" r:id="rId52"/>
    <sheet name="SA-11-1" sheetId="51" state="visible" r:id="rId53"/>
    <sheet name="SA-11-8" sheetId="52" state="visible" r:id="rId54"/>
    <sheet name="SC-5" sheetId="53" state="visible" r:id="rId55"/>
    <sheet name="SC-7" sheetId="54" state="visible" r:id="rId56"/>
    <sheet name="SC-13" sheetId="55" state="visible" r:id="rId57"/>
    <sheet name="SC-28" sheetId="56" state="visible" r:id="rId58"/>
    <sheet name="SC-28-1" sheetId="57" state="visible" r:id="rId59"/>
    <sheet name="SI-2" sheetId="58" state="visible" r:id="rId60"/>
    <sheet name="SI-2-2" sheetId="59" state="visible" r:id="rId61"/>
    <sheet name="SI-3" sheetId="60" state="visible" r:id="rId62"/>
    <sheet name="SI-3-1" sheetId="61" state="visible" r:id="rId63"/>
    <sheet name="SI-3-2" sheetId="62" state="visible" r:id="rId64"/>
    <sheet name="SI-3-7" sheetId="63" state="visible" r:id="rId65"/>
    <sheet name="SI-4" sheetId="64" state="visible" r:id="rId66"/>
    <sheet name="SI-4-1" sheetId="65" state="visible" r:id="rId67"/>
    <sheet name="SI-4-2" sheetId="66" state="visible" r:id="rId68"/>
    <sheet name="SI-4-4" sheetId="67" state="visible" r:id="rId69"/>
    <sheet name="SI-4-5" sheetId="68" state="visible" r:id="rId70"/>
    <sheet name="SI-4-11" sheetId="69" state="visible" r:id="rId71"/>
    <sheet name="SI-6" sheetId="70" state="visible" r:id="rId72"/>
    <sheet name="SI-7-7" sheetId="71" state="visible" r:id="rId73"/>
    <sheet name="SI-11" sheetId="72" state="visible" r:id="rId7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<sst xmlns="http://schemas.openxmlformats.org/spreadsheetml/2006/main" count="4504" uniqueCount="732">
  <si>
    <t xml:space="preserve">DASHBOARD — PBMM Evidence: Hybrid + Multicloud</t>
  </si>
  <si>
    <t xml:space="preserve">Control ID</t>
  </si>
  <si>
    <t xml:space="preserve">Control Name</t>
  </si>
  <si>
    <t xml:space="preserve">Primary Tool</t>
  </si>
  <si>
    <t xml:space="preserve">Tab</t>
  </si>
  <si>
    <t xml:space="preserve">Status</t>
  </si>
  <si>
    <t xml:space="preserve">AC-2(4)</t>
  </si>
  <si>
    <t xml:space="preserve">Account Management</t>
  </si>
  <si>
    <t xml:space="preserve">AC-2-4</t>
  </si>
  <si>
    <t xml:space="preserve">AC-2(5)</t>
  </si>
  <si>
    <t xml:space="preserve">AC-2-5</t>
  </si>
  <si>
    <t xml:space="preserve">AC-2(7)</t>
  </si>
  <si>
    <t xml:space="preserve">AC-2-7</t>
  </si>
  <si>
    <t xml:space="preserve">AC-6</t>
  </si>
  <si>
    <t xml:space="preserve">Least Privilege</t>
  </si>
  <si>
    <t xml:space="preserve">AC-6(1)</t>
  </si>
  <si>
    <t xml:space="preserve">AC-6-1</t>
  </si>
  <si>
    <t xml:space="preserve">AC-6(9)</t>
  </si>
  <si>
    <t xml:space="preserve">AC-6-9</t>
  </si>
  <si>
    <t xml:space="preserve">AC-17(1)</t>
  </si>
  <si>
    <t xml:space="preserve">Remote Access</t>
  </si>
  <si>
    <t xml:space="preserve">AC-17-1</t>
  </si>
  <si>
    <t xml:space="preserve">AU-2</t>
  </si>
  <si>
    <t xml:space="preserve">Auditable Events</t>
  </si>
  <si>
    <t xml:space="preserve">AU-3</t>
  </si>
  <si>
    <t xml:space="preserve">Content of Audit Records</t>
  </si>
  <si>
    <t xml:space="preserve">AU-3(1)</t>
  </si>
  <si>
    <t xml:space="preserve">AU-3-1</t>
  </si>
  <si>
    <t xml:space="preserve">AU-5</t>
  </si>
  <si>
    <t xml:space="preserve">Response To Audit Processing Failures</t>
  </si>
  <si>
    <t xml:space="preserve">AU-6(1)</t>
  </si>
  <si>
    <t xml:space="preserve">Audit Review, Analysis, and Reporting</t>
  </si>
  <si>
    <t xml:space="preserve">AU-6-1</t>
  </si>
  <si>
    <t xml:space="preserve">AU-6(3)</t>
  </si>
  <si>
    <t xml:space="preserve">AU-6-3</t>
  </si>
  <si>
    <t xml:space="preserve">AU-7</t>
  </si>
  <si>
    <t xml:space="preserve">Audit Reduction and Report Generation</t>
  </si>
  <si>
    <t xml:space="preserve">AU-7(1)</t>
  </si>
  <si>
    <t xml:space="preserve">AU-7-1</t>
  </si>
  <si>
    <t xml:space="preserve">AU-8</t>
  </si>
  <si>
    <t xml:space="preserve">Time Stamps</t>
  </si>
  <si>
    <t xml:space="preserve">AU-8(1)</t>
  </si>
  <si>
    <t xml:space="preserve">AU-8-1</t>
  </si>
  <si>
    <t xml:space="preserve">AU-9</t>
  </si>
  <si>
    <t xml:space="preserve">Protection of Audit Information</t>
  </si>
  <si>
    <t xml:space="preserve">AU-9(2)</t>
  </si>
  <si>
    <t xml:space="preserve">AU-9-2</t>
  </si>
  <si>
    <t xml:space="preserve">AU-9(4)</t>
  </si>
  <si>
    <t xml:space="preserve">AU-9-4</t>
  </si>
  <si>
    <t xml:space="preserve">AU-11</t>
  </si>
  <si>
    <t xml:space="preserve">Audit Record Retention</t>
  </si>
  <si>
    <t xml:space="preserve">AU-12</t>
  </si>
  <si>
    <t xml:space="preserve">Audit Generation</t>
  </si>
  <si>
    <t xml:space="preserve">CA-9</t>
  </si>
  <si>
    <t xml:space="preserve">Internal System Connections</t>
  </si>
  <si>
    <t xml:space="preserve">CM-5(1)</t>
  </si>
  <si>
    <t xml:space="preserve">Access Restrictions for Change</t>
  </si>
  <si>
    <t xml:space="preserve">CM-5-1</t>
  </si>
  <si>
    <t xml:space="preserve">CM-5(6)</t>
  </si>
  <si>
    <t xml:space="preserve">CM-5-6</t>
  </si>
  <si>
    <t xml:space="preserve">CM-6</t>
  </si>
  <si>
    <t xml:space="preserve">Configuration Settings</t>
  </si>
  <si>
    <t xml:space="preserve">CM-7</t>
  </si>
  <si>
    <t xml:space="preserve">Least Functionality</t>
  </si>
  <si>
    <t xml:space="preserve">CM-7(1)</t>
  </si>
  <si>
    <t xml:space="preserve">CM-7-1</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</si>
  <si>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</si>
  <si>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</si>
  <si>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</si>
  <si>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</si>
  <si>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</si>
  <si>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</si>
  <si>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</si>
  <si>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</si>
  <si>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</si>
  <si>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</si>
  <si>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</si>
  <si>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</si>
  <si>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</si>
  <si>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</si>
  <si>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CP-9(5)</t>
  </si>
  <si>
    <t xml:space="preserve">CP-9-5</t>
  </si>
  <si>
    <t xml:space="preserve">CP-10</t>
  </si>
  <si>
    <t xml:space="preserve">Information System Recovery and Reconstitution</t>
  </si>
  <si>
    <t xml:space="preserve">CP-10(2)</t>
  </si>
  <si>
    <t xml:space="preserve">CP-10-2</t>
  </si>
  <si>
    <t xml:space="preserve">CP-10(4)</t>
  </si>
  <si>
    <t xml:space="preserve">CP-10-4</t>
  </si>
  <si>
    <t xml:space="preserve">IA-5(7)</t>
  </si>
  <si>
    <t xml:space="preserve">Authenticator Management</t>
  </si>
  <si>
    <t xml:space="preserve">IA-5-7</t>
  </si>
  <si>
    <t xml:space="preserve">RA-5</t>
  </si>
  <si>
    <t xml:space="preserve">Vulnerability Scanning</t>
  </si>
  <si>
    <t xml:space="preserve">RA-5(1)</t>
  </si>
  <si>
    <t xml:space="preserve">RA-5-1</t>
  </si>
  <si>
    <t xml:space="preserve">RA-5(2)</t>
  </si>
  <si>
    <t xml:space="preserve">RA-5-2</t>
  </si>
  <si>
    <t xml:space="preserve">RA-5(3)</t>
  </si>
  <si>
    <t xml:space="preserve">RA-5-3</t>
  </si>
  <si>
    <t xml:space="preserve">RA-5(5)</t>
  </si>
  <si>
    <t xml:space="preserve">RA-5-5</t>
  </si>
  <si>
    <t xml:space="preserve">RA-5(6)</t>
  </si>
  <si>
    <t xml:space="preserve">RA-5-6</t>
  </si>
  <si>
    <t xml:space="preserve">RA-5(8)</t>
  </si>
  <si>
    <t xml:space="preserve">RA-5-8</t>
  </si>
  <si>
    <t xml:space="preserve">SA-9(5)</t>
  </si>
  <si>
    <t xml:space="preserve">External Information System Services</t>
  </si>
  <si>
    <t xml:space="preserve">SA-9-5</t>
  </si>
  <si>
    <t xml:space="preserve">SA-11(1)</t>
  </si>
  <si>
    <t xml:space="preserve">Developer Security Testing</t>
  </si>
  <si>
    <t xml:space="preserve">SA-11-1</t>
  </si>
  <si>
    <t xml:space="preserve">SA-11(8)</t>
  </si>
  <si>
    <t xml:space="preserve">SA-11-8</t>
  </si>
  <si>
    <t xml:space="preserve">SC-5</t>
  </si>
  <si>
    <t xml:space="preserve">Denial of Service Protection</t>
  </si>
  <si>
    <t xml:space="preserve">SC-7</t>
  </si>
  <si>
    <t xml:space="preserve">Boundary Protection</t>
  </si>
  <si>
    <t xml:space="preserve">SC-13</t>
  </si>
  <si>
    <t xml:space="preserve">Cryptographic Protection</t>
  </si>
  <si>
    <t xml:space="preserve">SC-28</t>
  </si>
  <si>
    <t xml:space="preserve">Protection of Information At Rest</t>
  </si>
  <si>
    <t xml:space="preserve">SC-28(1)</t>
  </si>
  <si>
    <t xml:space="preserve">SC-28-1</t>
  </si>
  <si>
    <t xml:space="preserve">SI-2</t>
  </si>
  <si>
    <t xml:space="preserve">Flaw Remediation</t>
  </si>
  <si>
    <t xml:space="preserve">SI-2(2)</t>
  </si>
  <si>
    <t xml:space="preserve">SI-2-2</t>
  </si>
  <si>
    <t xml:space="preserve">SI-3</t>
  </si>
  <si>
    <t xml:space="preserve">Malicious Code Protection</t>
  </si>
  <si>
    <t xml:space="preserve">SI-3(1)</t>
  </si>
  <si>
    <t xml:space="preserve">SI-3-1</t>
  </si>
  <si>
    <t xml:space="preserve">SI-3(2)</t>
  </si>
  <si>
    <t xml:space="preserve">SI-3-2</t>
  </si>
  <si>
    <t xml:space="preserve">SI-3(7)</t>
  </si>
  <si>
    <t xml:space="preserve">SI-3-7</t>
  </si>
  <si>
    <t xml:space="preserve">SI-4</t>
  </si>
  <si>
    <t xml:space="preserve">Information System Monitoring</t>
  </si>
  <si>
    <t xml:space="preserve">SI-4(1)</t>
  </si>
  <si>
    <t xml:space="preserve">SI-4-1</t>
  </si>
  <si>
    <t xml:space="preserve">SI-4(2)</t>
  </si>
  <si>
    <t xml:space="preserve">SI-4-2</t>
  </si>
  <si>
    <t xml:space="preserve">SI-4(4)</t>
  </si>
  <si>
    <t xml:space="preserve">SI-4-4</t>
  </si>
  <si>
    <t xml:space="preserve">SI-4(5)</t>
  </si>
  <si>
    <t xml:space="preserve">SI-4-5</t>
  </si>
  <si>
    <t xml:space="preserve">SI-4(11)</t>
  </si>
  <si>
    <t xml:space="preserve">SI-4-11</t>
  </si>
  <si>
    <t xml:space="preserve">SI-6</t>
  </si>
  <si>
    <t xml:space="preserve">Security Functional Verification</t>
  </si>
  <si>
    <t xml:space="preserve">SI-7(7)</t>
  </si>
  <si>
    <t xml:space="preserve">Software, Firmware, and Information Integrity</t>
  </si>
  <si>
    <t xml:space="preserve">SI-7-7</t>
  </si>
  <si>
    <t xml:space="preserve">SI-11</t>
  </si>
  <si>
    <t xml:space="preserve">Error Handling</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</si>
  <si>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</si>
  <si>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</si>
  <si>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</si>
  <si>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</si>
  <si>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</si>
  <si>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</si>
  <si>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</si>
  <si>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</si>
  <si>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</si>
  <si>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</si>
  <si>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</si>
  <si>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Hybrid + Multicloud</t>
  </si>
  <si>
    <t xml:space="preserve">ID Contrôle</t>
  </si>
  <si>
    <t xml:space="preserve">Nom du contrôle</t>
  </si>
  <si>
    <t xml:space="preserve">Outil principal</t>
  </si>
  <si>
    <t xml:space="preserve">Onglet</t>
  </si>
  <si>
    <t xml:space="preserve">Statut</t>
  </si>
  <si>
    <t xml:space="preserve">Gestion des comptes</t>
  </si>
  <si>
    <t xml:space="preserve">Moindre privilège</t>
  </si>
  <si>
    <t xml:space="preserve">Accès à distance</t>
  </si>
  <si>
    <t xml:space="preserve">Événements vérifiables</t>
  </si>
  <si>
    <t xml:space="preserve">Contenu des enregistrements de vérification</t>
  </si>
  <si>
    <t xml:space="preserve">Réponse aux échecs de traitement de vérification</t>
  </si>
  <si>
    <t xml:space="preserve">Examen, analyse et rapport de vérification</t>
  </si>
  <si>
    <t xml:space="preserve">Réduction des vérifications et production de rapports</t>
  </si>
  <si>
    <t xml:space="preserve">Estampilles temporelles</t>
  </si>
  <si>
    <t xml:space="preserve">Protection des renseignements de vérification</t>
  </si>
  <si>
    <t xml:space="preserve">Conservation des enregistrements de vérification</t>
  </si>
  <si>
    <t xml:space="preserve">Génération des vérifications</t>
  </si>
  <si>
    <t xml:space="preserve">Connexions internes au système</t>
  </si>
  <si>
    <t xml:space="preserve">Restrictions d’accès pour les changements</t>
  </si>
  <si>
    <t xml:space="preserve">Paramètres de configuration</t>
  </si>
  <si>
    <t xml:space="preserve">Moindre fonctionnalité</t>
  </si>
  <si>
    <t xml:space="preserve">Site de stockage auxiliaire</t>
  </si>
  <si>
    <t xml:space="preserve">Site de traitement auxiliaire</t>
  </si>
  <si>
    <t xml:space="preserve">Sauvegarde du système d’information</t>
  </si>
  <si>
    <t xml:space="preserve">Reprise et reconstitution du système d’information</t>
  </si>
  <si>
    <t xml:space="preserve">Gestion des authentifiants</t>
  </si>
  <si>
    <t xml:space="preserve">Analyse des vulnérabilités</t>
  </si>
  <si>
    <t xml:space="preserve">Services de systèmes d’information externes</t>
  </si>
  <si>
    <t xml:space="preserve">Essais de sécurité du développeur</t>
  </si>
  <si>
    <t xml:space="preserve">Protection contre le déni de service</t>
  </si>
  <si>
    <t xml:space="preserve">Protection des frontières</t>
  </si>
  <si>
    <t xml:space="preserve">Protection cryptographique</t>
  </si>
  <si>
    <t xml:space="preserve">Protection de l’information inactive</t>
  </si>
  <si>
    <t xml:space="preserve">Correction des défauts</t>
  </si>
  <si>
    <t xml:space="preserve">Protection contre le code malveillant</t>
  </si>
  <si>
    <t xml:space="preserve">Surveillance du système d’information</t>
  </si>
  <si>
    <t xml:space="preserve">Vérification fonctionnelle de la sécurité</t>
  </si>
  <si>
    <t xml:space="preserve">Logiciels, micrologiciels et intégrité de l’information</t>
  </si>
  <si>
    <t xml:space="preserve">Traitement des erreurs</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</si>
  <si>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</si>
  <si>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</si>
  <si>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</si>
  <si>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</si>
  <si>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</si>
  <si>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</si>
  <si>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</si>
  <si>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</si>
  <si>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</si>
  <si>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</si>
  <si>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</si>
  <si>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AC-2(4) — Evidence Tracking</t>
  </si>
  <si>
    <t xml:space="preserve">Contrôle AC-2(4)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</si>
  <si>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</si>
  <si>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</si>
  <si>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</si>
  <si>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</si>
  <si>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</si>
  <si>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</si>
  <si>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</si>
  <si>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</si>
  <si>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</si>
  <si>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</si>
  <si>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</si>
  <si>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</si>
  <si>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</si>
  <si>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</si>
  <si>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</si>
  <si>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ACCOUNT MANAGEMENT | AUTOMATED AUDIT ACTIONS
The information system automatically audits account creation, modification, enabling, disabling, and removal actions, and notifies responsible managers. Related controls: AU-2, AU-12.</t>
  </si>
  <si>
    <t xml:space="preserve">Description du contrôle</t>
  </si>
  <si>
    <t xml:space="preserve">GESTION DES COMPTES | MESURES DE VÉRIFICATION AUTOMATISÉES
Le système d’information vérifie automatiquement les opérations de création, de modification, d’activation, de désactivation et de retrait des comptes, et avise les gestionnaires responsables. Contrôles connexes : AU-2, AU-12.</t>
  </si>
  <si>
    <t xml:space="preserve">Supplemental Guidance</t>
  </si>
  <si>
    <t xml:space="preserve">Directives supplémentaires</t>
  </si>
  <si>
    <t xml:space="preserve">Test Case</t>
  </si>
  <si>
    <t xml:space="preserve">Cas de test</t>
  </si>
  <si>
    <t xml:space="preserve">Test</t>
  </si>
  <si>
    <t xml:space="preserve">TEST-AC-2(4)</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</si>
  <si>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</si>
  <si>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</si>
  <si>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</si>
  <si>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</si>
  <si>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</si>
  <si>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</si>
  <si>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</si>
  <si>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</si>
  <si>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</si>
  <si>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</si>
  <si>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</si>
  <si>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</si>
  <si>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</si>
  <si>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</si>
  <si>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</si>
  <si>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</si>
  <si>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</si>
  <si>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AC-2(5) — Evidence Tracking</t>
  </si>
  <si>
    <t xml:space="preserve">Contrôle AC-2(5) — Suivi des preuves</t>
  </si>
  <si>
    <t xml:space="preserve">ACCOUNT MANAGEMENT | INACTIVITY LOGOUT
The organization requires that users log out at the end of the users’ standard work period unless otherwise defined in formal organizational policy. Related controls: SC-23</t>
  </si>
  <si>
    <t xml:space="preserve">GESTION DES COMPTES | FERMETURE DE SESSION INACTIVE
L’organisation exige que les utilisateurs ferment leur session à la fin de leur période de travail normale, à moins d’indication contraire dans la politique officielle de l’organisation. Contrôles connexes : SC-23</t>
  </si>
  <si>
    <t xml:space="preserve">TEST-AC-2(5)</t>
  </si>
  <si>
    <t xml:space="preserve">Control AC-2(7) — Evidence Tracking</t>
  </si>
  <si>
    <t xml:space="preserve">Contrôle AC-2(7) — Suivi des preuves</t>
  </si>
  <si>
    <t xml:space="preserve">ACCOUNT MANAGEMENT | ROLE-BASED SCHEMES
(a)
The organization establishes and administers privileged user accounts in accordance with a role-based access scheme that organizes allowed information system access and privileges into roles;
(b)
The organization monitors privileged role assignments; and
(c) The organization disables (or revokes) privileged user assignments within 24 hours or sooner when privileged role assignments are no longer appropriate.</t>
  </si>
  <si>
    <t xml:space="preserve">GESTION DES COMPTES | SCHÉMAS FONDÉS SUR LES RÔLES
(a) L’organisation établit et administre les comptes d’utilisateurs privilégiés conformément à un système d’accès basé sur les rôles qui organise les autorisations d’accès au système d’information et les privilèges en fonction des rôles;
(b) L’organisation surveille les affectations de rôles privilégiés;
(c) L’organisation désactive (ou révoque) les affectations d’utilisateurs privilégiés dans les 24 heures ou plus lorsque les affectations de rôles privilégiés ne sont plus appropriées.</t>
  </si>
  <si>
    <t xml:space="preserve">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</si>
  <si>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 xml:space="preserve">Les rôles privilégiés sont des rôles définis par l’organisation et attribués à des personnes pour leur permettre d’exécuter certaines fonctions ayant une influence sur la sécurité que les utilisateurs ordinaires ne sont pas autorisés à exécuter. Ces rôles privilégiés comprennent, par exemple, la gestion des clés, la gestion des comptes, l’administration des réseaux et des systèmes, l’administration des bases de données et l’administration Web.</t>
  </si>
  <si>
    <t xml:space="preserve">TEST-AC-2(7)</t>
  </si>
  <si>
    <t xml:space="preserve">Control AC-6 — Evidence Tracking</t>
  </si>
  <si>
    <t xml:space="preserve">Contrôle AC-6 — Suivi des preuves</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</si>
  <si>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</si>
  <si>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</si>
  <si>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</si>
  <si>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</si>
  <si>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TEST-AC-6</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</si>
  <si>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</si>
  <si>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</si>
  <si>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</si>
  <si>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</si>
  <si>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</si>
  <si>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</si>
  <si>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</si>
  <si>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AC-6(9) — Evidence Tracking</t>
  </si>
  <si>
    <t xml:space="preserve">Contrôle AC-6(9) — Suivi des preuves</t>
  </si>
  <si>
    <t xml:space="preserve">LEAST PRIVILEGE | AUDITING USE OF PRIVILEGED FUNCTIONS
The information system audits the execution of privileged functions.</t>
  </si>
  <si>
    <t xml:space="preserve">MOINDRE PRIVILÈGE | VÉRIFICATION DE L’UTILISATION DES FONCTIONS PRIVILÉGIÉES
Le système d’information vérifie l’exécution des fonctions privilégiées.</t>
  </si>
  <si>
    <t xml:space="preserve">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</si>
  <si>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 xml:space="preserve">L’utilisation abusive des fonctions privilégiées, intentionnellement ou non, par des utilisateurs autorisés ou par des entités externes non autorisées qui ont compromis des comptes de système d’information, est une préoccupation grave et constante qui peut avoir des répercussions négatives importantes sur les organisations. La vérification de l’utilisation des fonctions privilégiées est une façon de détecter un tel abus et, ce faisant, de contribuer à atténuer le risque de menaces internes et de menaces persistantes avancées (MPA). Contrôle connexe : AU-2.</t>
  </si>
  <si>
    <t xml:space="preserve">TEST-AC-6(9)</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</si>
  <si>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</si>
  <si>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</si>
  <si>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</si>
  <si>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</si>
  <si>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</si>
  <si>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</si>
  <si>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</si>
  <si>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</si>
  <si>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</si>
  <si>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</si>
  <si>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</si>
  <si>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</si>
  <si>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</si>
  <si>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</si>
  <si>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</si>
  <si>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</si>
  <si>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</si>
  <si>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</si>
  <si>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</si>
  <si>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</si>
  <si>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</si>
  <si>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</si>
  <si>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</si>
  <si>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</si>
  <si>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</si>
  <si>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</si>
  <si>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</si>
  <si>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</si>
  <si>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AU-5 — Evidence Tracking</t>
  </si>
  <si>
    <t xml:space="preserve">Contrôle AU-5 — Suivi des preuves</t>
  </si>
  <si>
    <t xml:space="preserve">(A) The information system alerts organization-defined personnel or roles in the event of an audit processing failure; and
(B) The information system overwrites the oldest audit records.</t>
  </si>
  <si>
    <t xml:space="preserve">(A) Le système d’information alerte le personnel ou les rôles définis par l’organisation en cas d’échec de traitement de vérification;
(B) Le système d’information écrase les enregistrements de vérification les plus anciens.</t>
  </si>
  <si>
    <t xml:space="preserve">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</si>
  <si>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 xml:space="preserve">Les échecs de traitement de vérification comprennent, par exemple, les erreurs de logiciel ou de matériel, les défaillances des mécanismes de saisie des vérifications et la capacité de stockage atteinte ou dépassée pour les vérifications. Les organisations peuvent choisir de définir des mesures supplémentaires pour différents échecs de traitement de vérification (p. ex., par type, par emplacement, par gravité ou une combinaison de ces facteurs). Ce contrôle s’applique à chaque répertoire de stockage des données de vérification (c.-à -d. à chaque composant distinct du système d’information dans lequel les enregistrements de vérification sont conservés), à la capacité totale de stockage des vérifications des organisations (c.-à-d. tous les répertoires de stockage des données de vérification combinés), ou aux deux. Contrôles connexes : AU-4, SI-12</t>
  </si>
  <si>
    <t xml:space="preserve">TEST-AU-5</t>
  </si>
  <si>
    <t xml:space="preserve">Control AU-6(1) — Evidence Tracking</t>
  </si>
  <si>
    <t xml:space="preserve">Contrôle AU-6(1) — Suivi des preuves</t>
  </si>
  <si>
    <t xml:space="preserve">AUDIT REVIEW, ANALYSIS, AND REPORTING | PROCESS INTEGRATION
The organization employs automated mechanisms to integrate audit review, analysis, and reporting processes to support organizational processes for investigation and response to suspicious activities.</t>
  </si>
  <si>
    <t xml:space="preserve">EXAMEN, ANALYSE ET RAPPORT DE VÉRIFICATION | INTÉGRATION DES PROCESSUS
L’organisation utilise des mécanismes automatisés pour intégrer les processus d’examen, d’analyse et de production de rapports de vérification afin de soutenir les processus organisationnels d’enquête et d’intervention en cas d’activités suspectes.</t>
  </si>
  <si>
    <t xml:space="preserve">Organizational processes benefiting from integrated audit review, analysis, and reporting include, for example, incident response, continuous monitoring, and contingency planning. Related control: AU-12.</t>
  </si>
  <si>
    <t xml:space="preserve">Les processus organisationnels qui bénéficient de l’intégration de l’examen, de l’analyse et de la production de rapports de vérification sont notamment l’intervention en cas d’incident, la surveillance continue et la planification d’urgence. Contrôle connexe : AU-12.</t>
  </si>
  <si>
    <t xml:space="preserve">TEST-AU-6(1)</t>
  </si>
  <si>
    <t xml:space="preserve">Control AU-6(3) — Evidence Tracking</t>
  </si>
  <si>
    <t xml:space="preserve">Contrôle AU-6(3) — Suivi des preuves</t>
  </si>
  <si>
    <t xml:space="preserve">AUDIT REVIEW, ANALYSIS, AND REPORTING | CORRELATE AUDIT REPOSITORIES
The organization analyzes and correlates audit records across different repositories to gain organization-wide situational awareness.</t>
  </si>
  <si>
    <t xml:space="preserve">EXAMEN, ANALYSE ET RAPPORT DE VÉRIFICATION | MISE EN CORRÉLATION DES RÉPERTOIRES DE VÉRIFICATION
L’organisation analyse et met en corrélation les enregistrements de vérification entre les différents répertoires afin d’acquérir une connaissance globale de la situation dans l’ensemble de l’organisation.</t>
  </si>
  <si>
    <t xml:space="preserve">Organization-wide situational awareness includes awareness across all three tiers of risk management (i.e., organizational, mission/business process, and information system) and supports cross-organization awareness. Related controls: AU-12, IR-4.</t>
  </si>
  <si>
    <t xml:space="preserve">La connaissance de la situation dans l’ensemble de l’organisation comprend la connaissance aux trois niveaux de la gestion des risques (c.-à-d. au niveau de l’organisation, de la mission/des processus opérationnels, et du système d’information) et appuie une connaissance transorganisationnelle de la situation. Contrôles connexes : AU-12, IR-4.</t>
  </si>
  <si>
    <t xml:space="preserve">TEST-AU-6(3)</t>
  </si>
  <si>
    <t xml:space="preserve">Control AU-7 — Evidence Tracking</t>
  </si>
  <si>
    <t xml:space="preserve">Contrôle AU-7 — Suivi des preuves</t>
  </si>
  <si>
    <t xml:space="preserve">(A)
The information system provides an audit reduction and report generation capability that supports on-demand audit review, analysis, and reporting requirements and after-the-fact investigations of security incidents.
(B)
The information system provides an audit reduction and report generation capability that does not alter the original content or time ordering of audit records.</t>
  </si>
  <si>
    <t xml:space="preserve">(A) Le système d’information offre une capacité de réduction des vérifications et de production de rapports prenant en charge les examens, les analyses et les rapports de vérification sur demande ainsi que les enquêtes à la suite d’incidents de sécurité.
(B) Le système d’information offre une capacité de réduction de la vérification et de production de rapports qui ne modifie pas le contenu original ou l’ordre chronologique des enregistrements de vérification.</t>
  </si>
  <si>
    <t xml:space="preserve">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behaviour in audit records. The report generation capability provided by the information system can generate customizable reports. Time ordering of audit records can be a significant issue if the granularity of the timestamp in the record is insufficient. Related control: AU-6</t>
  </si>
  <si>
    <t xml:space="preserve">La réduction de la vérification est un processus qui permet de manipuler l’information recueillie et de l’organiser dans un format sommaire plus significatif pour les analystes. Les capacités de réduction des vérifications et de production de rapports ne proviennent pas toujours du système d’information ou des entités organisationnelles qui mènent les activités de vérification. La capacité de réduction des vérifications peut comprendre, par exemple, des techniques modernes d’exploration de données avec filtres de données avancés pour déceler les comportements anormaux dans les enregistrements de vérification. La capacité de production de rapports fournie par le système d’information permet de générer des rapports personnalisables. L’ordre chronologique des enregistrements de vérification peut poser un problème important si la granularité de l’estampille temporelle dans l’enregistrement est insuffisante. Contrôle connexe : AU-6</t>
  </si>
  <si>
    <t xml:space="preserve">TEST-AU-7</t>
  </si>
  <si>
    <t xml:space="preserve">Control AU-7(1) — Evidence Tracking</t>
  </si>
  <si>
    <t xml:space="preserve">Contrôle AU-7(1) — Suivi des preuves</t>
  </si>
  <si>
    <t xml:space="preserve">AUDIT REDUCTION AND REPORT GENERATION | AUTOMATIC PROCESSING
The information system provides the capability to process audit records for events of interest based on all audit fields specified in AU-2, AU-3 and AU-3(1).</t>
  </si>
  <si>
    <t xml:space="preserve">RÉDUCTION DES VÉRIFICATIONS ET PRODUCTION DE RAPPORTS | TRAITEMENT AUTOMATIQUE
Le système d’information permet de traiter les enregistrements de vérification relatifs aux événements d’intérêt en fonction de tous les champs de vérification précisés dans AU-2, AU-3 et AU-3(1).</t>
  </si>
  <si>
    <t xml:space="preserve">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Related controls: AU-2, AU-12.</t>
  </si>
  <si>
    <t xml:space="preserve">Les événements d’intérêt peuvent être définis par le contenu des champs particuliers de l’enregistrement de vérification, y compris, par exemple, les identités des personnes, les types d’événements, les emplacements des événements, les heures des événements, les dates des événements, les ressources du système en cause, les adresses IP en cause ou les objets d’information consultés. Les organisations peuvent définir les critères des événements de vérification à n’importe quel degré de granularité requis, par exemple, les emplacements que l’on peut sélectionner par emplacement de réseautique général (p. ex., par réseau ou sous-réseau) ou par composant de système d’information particulier. Contrôles connexes : AU-2, AU-12.</t>
  </si>
  <si>
    <t xml:space="preserve">TEST-AU-7(1)</t>
  </si>
  <si>
    <t xml:space="preserve">Control AU-8 — Evidence Tracking</t>
  </si>
  <si>
    <t xml:space="preserve">Contrôle AU-8 — Suivi des preuves</t>
  </si>
  <si>
    <t xml:space="preserve">(A)
The information system uses internal system clocks to generate time stamps for audit records.
(B)
The information system records time stamps for audit records that can be mapped to Coordinated Universal Time (UTC) or Greenwich Mean Time (GMT) within 1 second precision.</t>
  </si>
  <si>
    <t xml:space="preserve">(A) Le système d’information utilise les horloges système internes afin de générer les estampilles temporelles pour les enregistrements de vérification.
(B) Le système d’information enregistre des estampilles temporelles pour les enregistrements de vérification qui peuvent être mappées sur le temps universel coordonné (UTC) ou l’heure moyenne de Greenwich (GMT) à la seconde près.</t>
  </si>
  <si>
    <t xml:space="preserve">Time stamps generated by the information system include date and time. Time is commonly expressed in Coordinated Universal Time (UTC)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Related controls: AU-3, AU-12</t>
  </si>
  <si>
    <t xml:space="preserve">Les estampilles temporelles générées par le système d’information comprennent la date et l’heure. L’heure est généralement exprimée en temps universel coordonné (UTC) ou selon l’heure locale avec indication du décalage par rapport à l’UTC. La granularité des mesures du temps désigne le niveau de synchronisation entre les horloges du système d’information et les horloges de référence, par exemple, des horloges synchronisées à quelques centaines ou dizaines de millisecondes près. Les organisations peuvent définir différentes granularités temporelles pour différents composants du système. Le service de l’heure peut également être essentiel à d’autres capacités de sécurité comme le contrôle d’accès, l’identification et l’authentification, selon la nature des mécanismes utilisés pour soutenir ces capacités. Contrôles connexes : AU-3, AU-12</t>
  </si>
  <si>
    <t xml:space="preserve">TEST-AU-8</t>
  </si>
  <si>
    <t xml:space="preserve">Control AU-8(1) — Evidence Tracking</t>
  </si>
  <si>
    <t xml:space="preserve">Contrôle AU-8(1) — Suivi des preuves</t>
  </si>
  <si>
    <t xml:space="preserve">TIME STAMPS | SYNCHRONIZATION WITH AUTHORITATIVE TIME SOURCE
(a)
The information system compares the internal information system clocks at least every 24 hours with an organization-defined authoritative time source; and
(b)
The information system synchronizes the internal system clocks to the authoritative time source when the time difference is greater than 1 millisecond.</t>
  </si>
  <si>
    <t xml:space="preserve">ESTAMPILLES TEMPORELLES | SYNCHRONISATION AVEC UNE SOURCE D’HORODATAGE RECONNUE
(a) Le système d’information compare les horloges internes du système d’information au moins toutes les 24 heures avec une source d’horodatage reconnue définie par l’organisation.
(b) Le système d’information synchronise les horloges internes du système avec la source d’horodatage reconnue lorsque la différence de temps est supérieure à 1 milliseconde.</t>
  </si>
  <si>
    <t xml:space="preserve">This control enhancement provides uniformity of time stamps for information systems with multiple system clocks and systems connected over a network.</t>
  </si>
  <si>
    <t xml:space="preserve">Cette amélioration du contrôle assure l’uniformité des estampilles temporelles pour les systèmes d’information dotés de nombreuses horloges et les systèmes sur un réseau.</t>
  </si>
  <si>
    <t xml:space="preserve">TEST-AU-8(1)</t>
  </si>
  <si>
    <t xml:space="preserve">Control AU-9 — Evidence Tracking</t>
  </si>
  <si>
    <t xml:space="preserve">Contrôle AU-9 — Suivi des preuves</t>
  </si>
  <si>
    <t xml:space="preserve">(A)
The information system protects audit information and audit tools from unauthorized access, modification, and deletion.</t>
  </si>
  <si>
    <t xml:space="preserve">(A) Le système d’information protège les renseignements de vérification et les outils de vérification contre l’accès, la modification et la suppression non autorisés.</t>
  </si>
  <si>
    <t xml:space="preserve">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</si>
  <si>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 xml:space="preserve">Les renseignements de vérification comprennent tous les renseignements (p. ex., les enregistrements de vérification, les paramètres de vérification et les rapports de vérification) nécessaires pour vérifier avec succès l’activité du système d’information. Ce contrôle est axé sur la protection technique des renseignements de vérification. La protection physique des renseignements de vérification est assurée par des contrôles de protection des supports et des contrôles de protection physique et environnementale. Contrôles connexes : AC-3, AC-6, MP-2, MP-4, PE-2, PE-3, PE-6</t>
  </si>
  <si>
    <t xml:space="preserve">TEST-AU-9</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</si>
  <si>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</si>
  <si>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</si>
  <si>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</si>
  <si>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</si>
  <si>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</si>
  <si>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</si>
  <si>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</si>
  <si>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AU-9(4) — Evidence Tracking</t>
  </si>
  <si>
    <t xml:space="preserve">Contrôle AU-9(4) — Suivi des preuves</t>
  </si>
  <si>
    <t xml:space="preserve">PROTECTION OF AUDIT INFORMATION | ACCESS BY SUBSET OF PRIVILEGED USERS
The organization authorizes access to management of audit functionality to only an organization-defined subset of privileged users.</t>
  </si>
  <si>
    <t xml:space="preserve">PROTECTION DES RENSEIGNEMENTS DE VÉRIFICATION | ACCÈS PAR SOUS-ENSEMBLE D’UTILISATEURS PRIVILÉGIÉS
L’organisation n’autorise l’accès à la fonction de gestion de la vérification qu’à un sous-ensemble d’utilisateurs privilégiés défini par l’organisation seulement.</t>
  </si>
  <si>
    <t xml:space="preserve">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</si>
  <si>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 xml:space="preserve">Les personnes qui ont un accès privilégié à un système d’information et qui font également l’objet d’une vérification par ce système peuvent nuire à la fiabilité de l’information de vérification en entravant les activités de vérification ou en modifiant les enregistrements de vérification. Cette amélioration du contrôle exige que l’accès privilégié soit mieux défini entre les privilèges liés à la vérification et les autres privilèges, de manière à limiter le nombre d’utilisateurs ayant des privilèges liés à la vérification. Contrôle connexe : AC-5.</t>
  </si>
  <si>
    <t xml:space="preserve">TEST-AU-9(4)</t>
  </si>
  <si>
    <t xml:space="preserve">Control AU-11 — Evidence Tracking</t>
  </si>
  <si>
    <t xml:space="preserve">Contrôle AU-11 — Suivi des preuves</t>
  </si>
  <si>
    <t xml:space="preserve">(A) The CSP retains audit records for at least 90 days to provide support for after-the-fact investigations of security incidents and to meet regulatory and organizational information retention requirements.
(B) The client retains audit records and logs for at least 3 months online and at least 6 months in storage.
(C) The client retains all audit records and logs associated with a security incident for at least 5 years.</t>
  </si>
  <si>
    <t xml:space="preserve">(A) Le FSI conserve les enregistrements de vérification pendant au moins 90 jours afin de soutenir les enquêtes faisant suite aux incidents de sécurité et de respecter les exigences réglementaires et organisationnelles en matière de conservation de l’information.
(B) Le client conserve les enregistrements et les journaux de vérification pendant au moins 3 mois en ligne et au moins 6 mois en mémoire.
(C) Le client conserve pendant au moins 5 ans tous les enregistrements et journaux de vérification associés à un incident de sécurité.</t>
  </si>
  <si>
    <t xml:space="preserve">Organizations retain audit records until it is determined that they are no longer needed for administrative, legal, audit, or other operational purposes. This includes, for example, retention and availability of audit records relative to legal requests, subpoenas, and law enforcement actions. Organizations develop standard categories of audit records relative to such types of actions and standard response processes for each type of action. Related controls: AU-4, AU-5, AU-9, MP-6</t>
  </si>
  <si>
    <t xml:space="preserve">Les organisations conservent les enregistrements de vérification jusqu’à ce qu’il soit déterminé qu’ils ne sont plus nécessaires à des fins administratives, juridiques, de vérification ou à d’autres fins opérationnelles. Cela comprend, par exemple, la conservation et la disponibilité des enregistrements de vérification relatifs aux demandes légales, aux citations à comparaître et aux mesures d’application de la loi. Les organisations établissent des catégories normalisées d’enregistrements de vérification par rapport à ces types de mesures ainsi que des processus de réponse normalisés pour chaque type de mesure. Contrôles connexes : AU-4, AU-5, AU-9, MP-6</t>
  </si>
  <si>
    <t xml:space="preserve">TEST-AU-11</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</si>
  <si>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</si>
  <si>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</si>
  <si>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</si>
  <si>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</si>
  <si>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</si>
  <si>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</si>
  <si>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</si>
  <si>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</si>
  <si>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</si>
  <si>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</si>
  <si>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</si>
  <si>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</si>
  <si>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</si>
  <si>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</si>
  <si>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CM-5(1) — Evidence Tracking</t>
  </si>
  <si>
    <t xml:space="preserve">Contrôle CM-5(1) — Suivi des preuves</t>
  </si>
  <si>
    <t xml:space="preserve">ACCESS RESTRICTIONS FOR CHANGE | AUTOMATED ACCESS ENFORCEMENT / AUDITING
The information system enforces access restrictions and supports auditing of the enforcement actions.</t>
  </si>
  <si>
    <t xml:space="preserve">RESTRICTIONS D’ACCÈS POUR LES CHANGEMENTS | CONTRÔLE AUTOMATISÉ DE L’ACCÈS/VÉRIFICATION
Le système d’information applique les restrictions d’accès et prend en charge la vérification des contrôles appliqués.</t>
  </si>
  <si>
    <t xml:space="preserve">Related controls: AU-2, AU-12, AU-6, CM-3, and CM-6.</t>
  </si>
  <si>
    <t xml:space="preserve">Contrôles connexes : AU-2, AU-12, AU-6, CM-3 et CM-6.</t>
  </si>
  <si>
    <t xml:space="preserve">TEST-CM-5(1)</t>
  </si>
  <si>
    <t xml:space="preserve">Control CM-5(6) — Evidence Tracking</t>
  </si>
  <si>
    <t xml:space="preserve">Contrôle CM-5(6) — Suivi des preuves</t>
  </si>
  <si>
    <t xml:space="preserve">ACCESS RESTRICTIONS FOR CHANGE | LIMIT LIBRARY PRIVILEGES
The organization limits privileges to change software resident within software libraries.</t>
  </si>
  <si>
    <t xml:space="preserve">RESTRICTIONS D’ACCÈS POUR LES CHANGEMENTS | LIMITER LES PRIVILÈGES RELATIFS AUX BIBLIOTHÈQUES
L’organisation limite les privilèges relatifs aux modifications du logiciel résidant dans les bibliothèques de logiciels.</t>
  </si>
  <si>
    <t xml:space="preserve">Software libraries include privileged programs. Related control: AC-2.</t>
  </si>
  <si>
    <t xml:space="preserve">Les bibliothèques de logiciels comprennent des programmes privilégiés. Contrôle connexe : AC-2.</t>
  </si>
  <si>
    <t xml:space="preserve">TEST-CM-5(6)</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</si>
  <si>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</si>
  <si>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</si>
  <si>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</si>
  <si>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</si>
  <si>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</si>
  <si>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</si>
  <si>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</si>
  <si>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</si>
  <si>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</si>
  <si>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</si>
  <si>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</si>
  <si>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</si>
  <si>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</si>
  <si>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</si>
  <si>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</si>
  <si>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</si>
  <si>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</si>
  <si>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</si>
  <si>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</si>
  <si>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</si>
  <si>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</si>
  <si>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</si>
  <si>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</si>
  <si>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</si>
  <si>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</si>
  <si>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</si>
  <si>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</si>
  <si>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</si>
  <si>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</si>
  <si>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</si>
  <si>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</si>
  <si>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</si>
  <si>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</si>
  <si>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</si>
  <si>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</si>
  <si>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</si>
  <si>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</si>
  <si>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</si>
  <si>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</si>
  <si>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</si>
  <si>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</si>
  <si>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</si>
  <si>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</si>
  <si>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</si>
  <si>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</si>
  <si>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</si>
  <si>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</si>
  <si>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</si>
  <si>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</si>
  <si>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</si>
  <si>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</si>
  <si>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</si>
  <si>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</si>
  <si>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</si>
  <si>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</si>
  <si>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</si>
  <si>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</si>
  <si>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</si>
  <si>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</si>
  <si>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</si>
  <si>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</si>
  <si>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</si>
  <si>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</si>
  <si>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</si>
  <si>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</si>
  <si>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</si>
  <si>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</si>
  <si>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</si>
  <si>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</si>
  <si>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</si>
  <si>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</si>
  <si>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</si>
  <si>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</si>
  <si>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</si>
  <si>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</si>
  <si>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</si>
  <si>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</si>
  <si>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</si>
  <si>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</si>
  <si>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</si>
  <si>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CP-10(2) — Evidence Tracking</t>
  </si>
  <si>
    <t xml:space="preserve">Contrôle CP-10(2) — Suivi des preuves</t>
  </si>
  <si>
    <t xml:space="preserve">INFORMATION SYSTEM RECOVERY AND RECONSTITUTION | TRANSACTION RECOVERY
The information system implements transaction recovery for systems that are transaction-based.</t>
  </si>
  <si>
    <t xml:space="preserve">REPRISE ET RECONSTITUTION DU SYSTÈME D’INFORMATION | RÉCUPÉRATION DES TRANSACTIONS
Le système d’information applique la récupération des transactions pour les systèmes transactionnels.</t>
  </si>
  <si>
    <t xml:space="preserve">Transaction-based information systems include, for example, database management systems and transaction processing systems. Mechanisms supporting transaction recovery include, for example, transaction rollback and transaction journaling.</t>
  </si>
  <si>
    <t xml:space="preserve">Les systèmes d’information transactionnels comprennent, par exemple, les systèmes de gestion des bases de données et les systèmes transactionnels. Les mécanismes prenant en charge la récupération des transactions comprennent, par exemple, le retour arrière programmé et la journalisation des transactions.</t>
  </si>
  <si>
    <t xml:space="preserve">TEST-CP-10(2)</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</si>
  <si>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</si>
  <si>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</si>
  <si>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</si>
  <si>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</si>
  <si>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</si>
  <si>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</si>
  <si>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</si>
  <si>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</si>
  <si>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</si>
  <si>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</si>
  <si>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</si>
  <si>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</si>
  <si>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</si>
  <si>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</si>
  <si>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RA-5 — Evidence Tracking</t>
  </si>
  <si>
    <t xml:space="preserve">Contrôle RA-5 — Suivi des preuves</t>
  </si>
  <si>
    <t xml:space="preserve">(A)
The organization scans for vulnerabilities in the information system and hosted applications monthly for operating systems/infrastructure, web applications, and database management systems and when new vulnerabilities potentially affecting the system/applications are identified and reported.
(B)
The organization employs vulnerability scanning tools and techniques that facilitate interoperability among tools and automate parts of the vulnerability management process by using standards for:
(a)
Enumerating platforms, software flaws, and improper configurations;
(b)
Formatting checklists and test procedures; and
(c)
Measuring vulnerability impact.
(C)
The organization analyzes vulnerability scan reports and results from security control assessments.
(D)
The organization remediates legitimate vulnerabilities within 30 days for high-risk vulnerabilities and 90 days for moderate-risk vulnerabilities from the date of discovery in accordance with an organizational assessment of risk.
(E)
The organization shares information obtained from the vulnerability scanning process and security control assessments with organization-defined personnel or roles to help eliminate similar vulnerabilities in other information systems (i.e., systemic weaknesses or deficiencies).</t>
  </si>
  <si>
    <t xml:space="preserve">(A) L’organisation analyse chaque mois les vulnérabilités du système d’information et des applications hébergées pour les systèmes et l’infrastructure d’exploitation, les applications Web et les systèmes de gestion de base de données, ainsi que les cas où de nouvelles vulnérabilités susceptibles d’affecter le système ou les applications sont repérées et signalées.
(B) L’organisation utilise des outils et des techniques d’analyse des vulnérabilités qui facilitent l’interopérabilité entre les outils et automatisent des parties du processus de gestion des vulnérabilités en utilisant des normes pour :
(a) recenser les plateformes, les failles logicielles et les configurations inadéquates;
(b) formater les listes de contrôle et les procédures d’essai;
(c) mesurer les répercussions des vulnérabilités.
(C) L’organisation analyse les rapports d’analyse des vulnérabilités et les résultats des évaluations des contrôles de sécurité.
(D) L’organisation remédie aux vulnérabilités légitimes dans les 30 jours pour les vulnérabilités présentant un risque élevé et dans les 90 jours pour les vulnérabilités présentant un risque modéré à partir de la date de découverte, conformément à une évaluation du risque par l’organisation.
(E) L’organisation partage l’information obtenue dans le cadre du processus d’analyse des vulnérabilités et des évaluations des contrôles de sécurité avec le personnel ou les rôles définis par l’organisation pour aider à éliminer des vulnérabilités semblables dans d’autres systèmes d’information (c.-à-d. des faiblesses ou des lacunes systémiques).</t>
  </si>
  <si>
    <t xml:space="preserve">Security categorization of information systems guides the frequency and comprehensiveness of vulnerability scans. Organizations determine the required vulnerability scanning for all information system components, ensuring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 Vulnerability scanning includes, for example: (i) scanning for patch levels; (ii) scanning for functions, ports, protocols, and services that should not be accessible to users or devices; and (iii) scanning for improperly configured or incorrectly operating information flow control mechanisms</t>
  </si>
  <si>
    <t xml:space="preserve">La catégorisation de la sécurité des systèmes d’information détermine la fréquence et l’exhaustivité des analyses de vulnérabilité. Les organisations déterminent le balayage des vulnérabilités requis pour tous les composants du système d’information, en veillant à ce que les sources potentielles de vulnérabilités comme les imprimantes en réseau, les numériseurs et les photocopieurs ne soient pas négligées. Les analyses de vulnérabilité pour les applications logicielles personnalisées peuvent nécessiter des approches supplémentaires comme l’analyse statique, l’analyse dynamique, l’analyse binaire ou un hybride des trois approches. Les organisations peuvent utiliser ces approches d’analyse dans divers outils (p. ex., numériseurs d’applications Web, outils d’analyse statique, analyseurs binaires) et dans l’examen des codes sources. La détection des vulnérabilités comprend, par exemple : (i) la détection des niveaux de correctifs; (ii) le balayage à la recherche de fonctions, de ports, de protocoles et de services qui ne devraient pas être accessibles aux utilisateurs ou aux appareils; (iii) la détection de mécanismes de contrôle du flux d’information mal configurés ou défectueux</t>
  </si>
  <si>
    <t xml:space="preserve">TEST-RA-5</t>
  </si>
  <si>
    <t xml:space="preserve">Control RA-5(1) — Evidence Tracking</t>
  </si>
  <si>
    <t xml:space="preserve">Contrôle RA-5(1) — Suivi des preuves</t>
  </si>
  <si>
    <t xml:space="preserve">VULNERABILITY SCANNING | UPDATE TOOL CAPABILITY
The organization employs vulnerability scanning tools that include the capability to readily update the information system vulnerabilities to be scanned.</t>
  </si>
  <si>
    <t xml:space="preserve">ANALYSE DES VULNÉRABILITÉS | CAPACITÉ DE MISE À JOUR DES OUTILS
L’organisation utilise des outils de balayage des vulnérabilités qui comprennent la capacité de mettre rapidement à jour les vulnérabilités du système d’information à analyser.</t>
  </si>
  <si>
    <t xml:space="preserve">The vulnerabilities to be scanned need to be readily updated as new vulnerabilities are discovered, announced, and scanning methods developed. This updating process helps to ensure that potential vulnerabilities in the information system are identified and addressed as quickly as possible. Related controls: SI-3, SI-7.</t>
  </si>
  <si>
    <t xml:space="preserve">Les vulnérabilités à analyser doivent être rapidement mises à jour dès que de nouvelles vulnérabilités sont découvertes et annoncées, et que de nouvelles méthodes de balayage sont élaborées. Ce processus de mise à jour permet de s’assurer que les vulnérabilités potentielles dans le système d’information sont repérées et traitées le plus rapidement possible. Contrôles connexes : SI-3, SI-7.</t>
  </si>
  <si>
    <t xml:space="preserve">TEST-RA-5(1)</t>
  </si>
  <si>
    <t xml:space="preserve">Control RA-5(2) — Evidence Tracking</t>
  </si>
  <si>
    <t xml:space="preserve">Contrôle RA-5(2) — Suivi des preuves</t>
  </si>
  <si>
    <t xml:space="preserve">VULNERABILITY SCANNING | UPDATE BY FREQUENCY / PRIOR TO NEW SCAN / WHEN IDENTIFIED
The organization updates the information system vulnerabilities scanned prior to a new scan.</t>
  </si>
  <si>
    <t xml:space="preserve">ANALYSE DES VULNÉRABILITÉS | MISE À JOUR EN FONCTION DE LA FRÉQUENCE, AVANT UN NOUVEAU BALAYAGE, ET DÈS QUE DES VULNÉRABILITÉS SONT REPÉRÉES
L’organisation met à jour les vulnérabilités du système d’information repérées avant un nouveau balayage.</t>
  </si>
  <si>
    <t xml:space="preserve">Related controls: SI-3, SI-5.</t>
  </si>
  <si>
    <t xml:space="preserve">Contrôles connexes : SI-3, SI-5.</t>
  </si>
  <si>
    <t xml:space="preserve">TEST-RA-5(2)</t>
  </si>
  <si>
    <t xml:space="preserve">Control RA-5(3) — Evidence Tracking</t>
  </si>
  <si>
    <t xml:space="preserve">Contrôle RA-5(3) — Suivi des preuves</t>
  </si>
  <si>
    <t xml:space="preserve">VULNERABILITY SCANNING | BREADTH / DEPTH OF COVERAGE
The organization employs vulnerability scanning procedures that can identify the breadth and depth of coverage (i.e., information system components scanned and vulnerabilities checked).</t>
  </si>
  <si>
    <t xml:space="preserve">ANALYSE DES VULNÉRABILITÉS | ÉTENDUE/PROFONDEUR DE LA COUVERTURE
L’organisation utilise des procédures de balayage des vulnérabilités qui peuvent déterminer l’étendue et la profondeur de la couverture (c.-à-d. les composants du système d’information balayés et les vulnérabilités vérifiées).</t>
  </si>
  <si>
    <t xml:space="preserve">TEST-RA-5(3)</t>
  </si>
  <si>
    <t xml:space="preserve">Control RA-5(5) — Evidence Tracking</t>
  </si>
  <si>
    <t xml:space="preserve">Contrôle RA-5(5) — Suivi des preuves</t>
  </si>
  <si>
    <t xml:space="preserve">VULNERABILITY SCANNING | PRIVILEGED ACCESS
The information system implements privileged access authorization to operating systems, web applications, databases for selected all scans.</t>
  </si>
  <si>
    <t xml:space="preserve">ANALYSE DES VULNÉRABILITÉS | ACCÈS PRIVILÉGIÉ
Le système d’information applique l’autorisation d’accès privilégié aux systèmes d’exploitation, aux applications Web et aux bases de données pour tous les balayages sélectionnés.</t>
  </si>
  <si>
    <t xml:space="preserve">In certain situations, the nature of the vulnerability scanning may be more intrusive or the information system component that is the subject of the scanning may contain highly sensitive information. Privileged access authorization to selected system components facilitates more thorough vulnerability scanning and also protects the sensitive nature of such scanning.</t>
  </si>
  <si>
    <t xml:space="preserve">Dans certaines situations, la nature du balayage des vulnérabilités peut être plus intrusive, ou le composant du système d’information qui fait l’objet du balayage peut contenir des renseignements de nature très sensible. L’autorisation d’accès privilégié à certains composants du système facilite un balayage plus approfondi des vulnérabilités et protège également la nature sensible de ce balayage.</t>
  </si>
  <si>
    <t xml:space="preserve">TEST-RA-5(5)</t>
  </si>
  <si>
    <t xml:space="preserve">Control RA-5(6) — Evidence Tracking</t>
  </si>
  <si>
    <t xml:space="preserve">Contrôle RA-5(6) — Suivi des preuves</t>
  </si>
  <si>
    <t xml:space="preserve">VULNERABILITY SCANNING | AUTOMATED TREND ANALYSES
The organization employs automated mechanisms to compare the results of vulnerability scans over time to determine trends in information system vulnerabilities.</t>
  </si>
  <si>
    <t xml:space="preserve">ANALYSE DES VULNÉRABILITÉS | ANALYSES AUTOMATISÉES DES TENDANCES
L’organisation utilise des mécanismes automatisés pour comparer les résultats des analyses de vulnérabilité au fil du temps afin de déterminer les tendances dans les vulnérabilités du système d’information.</t>
  </si>
  <si>
    <t xml:space="preserve">Related controls: IR-4, IR-5, SI-4.</t>
  </si>
  <si>
    <t xml:space="preserve">Contrôles connexes : IR-4, IR-5, SI-4.</t>
  </si>
  <si>
    <t xml:space="preserve">TEST-RA-5(6)</t>
  </si>
  <si>
    <t xml:space="preserve">Control RA-5(8) — Evidence Tracking</t>
  </si>
  <si>
    <t xml:space="preserve">Contrôle RA-5(8) — Suivi des preuves</t>
  </si>
  <si>
    <t xml:space="preserve">VULNERABILITY SCANNING | REVIEW HISTORIC AUDIT LOGS
The organization reviews historic audit logs to determine if a vulnerability identified in the information system has been previously exploited.</t>
  </si>
  <si>
    <t xml:space="preserve">ANALYSE DES VULNÉRABILITÉS | EXAMEN DES JOURNAUX DE VÉRIFICATION HISTORIQUES
L’organisation examine les journaux de vérification historiques pour déterminer si une vulnérabilité repérée dans le système d’information a déjà été exploitée.</t>
  </si>
  <si>
    <t xml:space="preserve">Related control: AU-6.</t>
  </si>
  <si>
    <t xml:space="preserve">Contrôle connexe : AU-6.</t>
  </si>
  <si>
    <t xml:space="preserve">TEST-RA-5(8)</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</si>
  <si>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</si>
  <si>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</si>
  <si>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</si>
  <si>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</si>
  <si>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</si>
  <si>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</si>
  <si>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</si>
  <si>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SA-11(1) — Evidence Tracking</t>
  </si>
  <si>
    <t xml:space="preserve">Contrôle SA-11(1) — Suivi des preuves</t>
  </si>
  <si>
    <t xml:space="preserve">DEVELOPER SECURITY TESTING AND EVALUATION | STATIC CODE ANALYSIS
The organization requires the developer of the information system, system component, or information system service to employ static code analysis tools to identify common flaws and document the results of the analysis.</t>
  </si>
  <si>
    <t xml:space="preserve">ESSAIS ET ÉVALUATION DE LA SÉCURITÉ PAR LE DÉVELOPPEUR | ANALYSE DU CODE STATIQUE
L’organisation exige que le développeur du système d’information, du composant du système ou du service du système d’information utilise des outils d’analyse du code statique pour repérer les défauts courants et documenter les résultats de l’analyse.</t>
  </si>
  <si>
    <t xml:space="preserve">Static code analysis provides a technology and methodology for security reviews. Such analysis can be used to identify security vulnerabilities and enforce security coding practices. Static code analysis is most effective when used early in the development process, when each code change can be automatically scanned for potential weaknesses. Static analysis can provide clear remediation guidance along with defects to enable developers to fix such defects. Evidence of correct implementation of static analysis can include, for example, aggregate defect density for critical defect types, evidence that defects were inspected by developers or security professionals, and evidence that defects were fixed. An excessively high density of ignored findings (commonly referred to as ignored or false positives) indicates a potential problem with the analysis process or tool. In such cases, organizations weigh the validity of the evidence against evidence from other sources.</t>
  </si>
  <si>
    <t xml:space="preserve">L’analyse du code statique fournit une technologie et une méthodologie pour les examens de sécurité. Une telle analyse peut servir à déterminer les vulnérabilités en matière de sécurité et à appliquer les pratiques de codage de sécurité. L’analyse du code statique sera plus efficace si elle est utilisée tôt dans le processus de développement, alors que chaque changement de code peut automatiquement être soumis à un balayage permettant de déceler les faiblesses potentielles. L’analyse statique peut fournir des directives claires sur les mesures correctives ainsi que sur les défauts afin de permettre aux développeurs de corriger ces défauts. Les preuves de la mise en œuvre correcte de l’analyse statique peuvent comprendre, par exemple, la densité globale des défauts pour les types de défauts critiques, des preuves que les défauts ont été inspectés par des développeurs ou des professionnels de la sécurité, et des preuves que les défauts ont été corrigés. Une densité excessivement élevée de résultats ignorés (communément appelés faux positifs) indique un problème potentiel avec le processus ou l’outil d’analyse. Dans de tels cas, les organisations évaluent la validité de la preuve par rapport à celle d’autres sources.</t>
  </si>
  <si>
    <t xml:space="preserve">TEST-SA-11(1)</t>
  </si>
  <si>
    <t xml:space="preserve">Control SA-11(8) — Evidence Tracking</t>
  </si>
  <si>
    <t xml:space="preserve">Contrôle SA-11(8) — Suivi des preuves</t>
  </si>
  <si>
    <t xml:space="preserve">DEVELOPER SECURITY TESTING AND EVALUATION | DYNAMIC CODE ANALYSIS
The organization requires the developer of the information system, system component, or information system service to employ dynamic code analysis tools to identify common flaws and document the results of the analysis.</t>
  </si>
  <si>
    <t xml:space="preserve">ESSAIS ET ÉVALUATION DE LA SÉCURITÉ PAR LE DÉVELOPPEUR | ANALYSE DU CODE DYNAMIQUE
L’organisation exige que le développeur du système d’information, du composant du système ou du service du système d’information utilise des outils d’analyse du code dynamique pour repérer les vulnérabilités courantes et documenter les résultats de l’analyse.</t>
  </si>
  <si>
    <t xml:space="preserve">Dynamic code analysis provides run-time verification of software programs, using tools capable of monitoring programs for memory corruption, user privilege issues, and other potential security problems. Dynamic code analysis employs run-time tools to help to ensure that security functionality performs in the manner in which it was designed. A specialized type of dynamic analysis, known as fuzz testing, induces program failures by deliberately introducing malformed or random data into software programs. Fuzz testing strategies derive from the intended use of applications and the functional and design specifications for the applications. To understand the scope of dynamic code analysis and hence the assurance provided, organizations may also consider conducting code coverage analysis (checking the degree to which the code has been tested using metrics such as percent of subroutines tested or percent of program statements called during execution of the test suite) and/or concordance analysis.</t>
  </si>
  <si>
    <t xml:space="preserve">L’analyse du code dynamique permet de vérifier le temps d’exécution des programmes logiciels à l’aide d’outils capables de surveiller les programmes en ce qui a trait à la corruption de la mémoire, aux problèmes liés aux privilèges d’utilisateur et à d’autres problèmes de sécurité potentiels. L’analyse dynamique du code fait appel à des outils à l’exécution pour s’assurer que les fonctionnalités de sécurité fonctionnent de la façon dont elles ont été conçues. Un type spécialisé d’analyse dynamique, connu sous le nom de test à données aléatoires (fuzz testing), induit des échecs du programme en introduisant délibérément des données erronées ou aléatoires dans des programmes logiciels. Les stratégies de test à données aléatoires déployées dépendent de l’utilisation prévue des applications et des spécifications fonctionnelles et de conception pour les applications. Pour comprendre la portée de l’analyse dynamique du code et, par conséquent, l’assurance fournie, les organisations peuvent également envisager d’effectuer une analyse de la couverture du code (en vérifiant la mesure dans laquelle le code a été mis à l’essai à l’aide de paramètres comme le pourcentage des sous-programmes testés ou le pourcentage des instructions du programme appelées pendant l’exécution de la série d’essais) ou une analyse de concordance.</t>
  </si>
  <si>
    <t xml:space="preserve">TEST-SA-11(8)</t>
  </si>
  <si>
    <t xml:space="preserve">Control SC-5 — Evidence Tracking</t>
  </si>
  <si>
    <t xml:space="preserve">Contrôle SC-5 — Suivi des preuves</t>
  </si>
  <si>
    <t xml:space="preserve">(A)
The information system protects against or limits the effects of the following denial of service attempts that attack bandwidth, transactional capacity and storage by employing geo-replication, IP address blocking, and network-based DDoS protections.</t>
  </si>
  <si>
    <t xml:space="preserve">(A) Le système d’information assure une protection ou limite les effets des tentatives de déni de service suivantes qui s’attaquent à la largeur de bande, à la capacité transactionnelle et au stockage en utilisant la géoréplication, le blocage d’adresses IP et les protections de DDoS réseau.</t>
  </si>
  <si>
    <t xml:space="preserve">A variety of technologies exist to limit, or in some cases, eliminate the effects of denial of service attacks. For example, boundary protection devices can filter certain types of packets to protect information system components on internal organizational networks from being directly affected by denial of service attacks. Employing increased capacity and bandwidth combined with service redundancy may also reduce the susceptibility to denial of service attacks. Related controls: SC-6, SC-7</t>
  </si>
  <si>
    <t xml:space="preserve">Diverses technologies existent pour limiter ou, dans certains cas, éliminer les effets des attaques par déni de service. Par exemple, les dispositifs de protection des frontières peuvent filtrer certains types de paquets afin de protéger les composants du système d’information des réseaux organisationnels internes contre les répercussions directes des attaques par déni de service. L’utilisation d’une capacité et d’une bande passante accrues combinée à la redondance des services peut également réduire la susceptibilité aux attaques par déni de service. Contrôles connexes : SC-6, SC-7</t>
  </si>
  <si>
    <t xml:space="preserve">TEST-SC-5</t>
  </si>
  <si>
    <t xml:space="preserve">Control SC-7 — Evidence Tracking</t>
  </si>
  <si>
    <t xml:space="preserve">Contrôle SC-7 — Suivi des preuves</t>
  </si>
  <si>
    <t xml:space="preserve">(A)
The information system monitors and controls communications at the external boundary of the system and at key internal boundaries within the system.
(B)
The information system implements sub-networks for publicly accessible system components that are physically or logically separated from internal organizational networks.
(C)
The information system connects to external networks or information systems only through managed interfaces consisting of boundary protection devices arranged in accordance with an organizational security architecture.</t>
  </si>
  <si>
    <t xml:space="preserve">(A) Le système d’information surveille et contrôle les communications à la frontière externe du système et aux frontières internes clés du système.
(B) Le système d’information met en œuvre des sous-réseaux pour des composants du système accessibles au public qui sont physiquement ou logiquement séparés des réseaux organisationnels internes.
(C) Le système d’information ne se connecte à des réseaux ou à des systèmes d’information externes que par des interfaces gérées comprenant des dispositifs de protection des frontières organisés conformément à une architecture de sécurité organisationnelle.</t>
  </si>
  <si>
    <t xml:space="preserve">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</si>
  <si>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 xml:space="preserve">Les interfaces gérées comprennent, par exemple, les passerelles, les routeurs, les pare-feu, les gardiens, les systèmes d’analyse et de virtualisation de codes malveillants basés sur le réseau, ou les tunnels chiffrés mis en œuvre dans une architecture de sécurité (p. ex., les routeurs protégeant les pare-feu ou les passerelles d’application résidant sur des sous-réseaux protégés). Les sous-réseaux qui sont physiquement ou logiquement séparés des réseaux internes sont appelés « zones démilitarisées » ou « ZD ». La restriction ou l’interdiction des interfaces dans les systèmes d’information de l’organisation comprend, par exemple, la restriction du trafic Web externe aux serveurs Web désignés dans les interfaces gérées et l’interdiction du trafic externe qui semble usurper les adresses internes. Les organisations tiennent compte de la nature commune des services de télécommunications commerciaux dans la mise en œuvre des contrôles de sécurité associés à l’utilisation de tels services. Les services de télécommunications commerciaux sont généralement fondés sur des composants de réseau et des systèmes de gestion consolidés partagés par tous les clients commerciaux attenants, et peuvent également comprendre des lignes d’accès fournies par des tiers et d’autres éléments de service. Ces services de transmission peuvent représenter des sources de risque accru malgré les dispositions relatives à la sécurité dans les contrats. Contrôles connexes : AC-4, AC-17, CA-3, CM-7, CP-8, IR-4, RA-3, SC-5, SC-13</t>
  </si>
  <si>
    <t xml:space="preserve">TEST-SC-7</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</si>
  <si>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</si>
  <si>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</si>
  <si>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</si>
  <si>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</si>
  <si>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</si>
  <si>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</si>
  <si>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</si>
  <si>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</si>
  <si>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</si>
  <si>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</si>
  <si>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</si>
  <si>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</si>
  <si>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</si>
  <si>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</si>
  <si>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</si>
  <si>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</si>
  <si>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</si>
  <si>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</si>
  <si>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</si>
  <si>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</si>
  <si>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</si>
  <si>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SI-2 — Evidence Tracking</t>
  </si>
  <si>
    <t xml:space="preserve">Contrôle SI-2 — Suivi des preuves</t>
  </si>
  <si>
    <t xml:space="preserve">(A)
The organization identifies, reports, and corrects information system flaws.
(B)
The organization tests software and firmware updates related to flaw remediation for effectiveness and potential side effects before installation.
(C)
The organization installs security-relevant software and firmware updates within 30 days of release of the release of the updates.
(D)
The organization incorporates flaw remediation into the organizational configuration management process.</t>
  </si>
  <si>
    <t xml:space="preserve">(A) L’organisation identifie, signale et corrige les défauts du système d’information.
(B) L’organisation met à l’essai les mises à jour des logiciels et des micrologiciels liées à la correction des défauts pour en vérifier l’efficacité et les effets secondaires potentiels avant l’installation.
(C) L’organisation installe les mises à jour de logiciels et de micrologiciels qui sont pertinentes pour la sécurité dans les 30 jours suivant la diffusion des mises à jour.
(D) L’organisation intègre la correction des défauts au processus de gestion de la configuration de l’organisation.</t>
  </si>
  <si>
    <t xml:space="preserve">Organizations identify information systems affected by announced software flaws including potential vulnerabilities resulting from those flaws, and report this information to designated organizational personnel with information security responsibilities. Security-relevant software updates include, for example, patches, service packs, hot fixes, and anti-virus signatures. Organizations also address flaws discovered during security assessments, continuous monitoring, incident response activities, and system error handling. Organizations take advantage of available resources such as the Common Weakness Enumeration (CWE) or Common Vulnerabilities and Exposures (CVE) databases in remediating flaws discovered in organizational information systems. By incorporating flaw remediation into ongoing configuration management processes, required/anticipated remediation actions can be tracked and verified. Flaw remediation actions that can be tracked and verified include, for example, determining whether organizations follow US-CERT guidance and Information Assurance Vulnerability Alerts. Organization-defined time periods for updating security-relevant software and firmware may vary based on a variety of factors including, for example, the security category of the information system or the criticality of the update (i.e., severity of the vulnerability related to the discovered flaw). Some types of flaw remediation may require more testing than other types. Organizations determine the degree and type of testing needed for the specific type of flaw remediation activity under consideration and also the types of changes that are to be configuration-managed. In some situations, organizations may determine that the testing of software and/or firmware updates is not necessary or practical, for example, when implementing simple anti-virus signature updates. Organizations may also consider in testing decisions, whether security-relevant software or firmware updates are obtained from authorized sources with appropriate digital signatures. Related controls: CA-2, CA-7, CM-3, CM-5, CM-8, MA-2, IR-4, RA-5, SA-10, SA-11, SI-11</t>
  </si>
  <si>
    <t xml:space="preserve">Les organisations identifient les systèmes d’information touchés par les défauts logiciels annoncés, y compris les vulnérabilités potentielles découlant de ces défauts, et communiquent cette information au personnel désigné de l’organisation ayant des responsabilités en matière de sécurité de l’information. Les mises à jour logicielles pertinentes pour la sécurité comprennent, par exemple, des correctifs, des ensembles de services, des correctifs d’urgence et des signatures antivirus. Les organisations corrigent également les défauts relevés pendant les évaluations de sécurité, la surveillance continue, les activités d’intervention en cas d’incident et le traitement des erreurs de système. Les organisations tirent parti des ressources disponibles, comme les bases de données Common Weakness Enumeration (CWE) ou Common Vulnerabilities Exposures (CVE) pour corriger les défauts décelés dans les systèmes d’information de l’organisation. En intégrant la correction des défauts aux processus continus de gestion de la configuration, on peut suivre et vérifier les mesures correctives requises ou prévues. Les mesures correctives qui peuvent faire l’objet d’un suivi et d’une vérification comprennent, par exemple, la détermination des organisations qui suivent les directives de l’US-CERT et les alertes IAVA (Information Assurance Vulnerability Alert). Les périodes définies par l’organisation pour la mise à jour des logiciels et des micrologiciels pertinents pour la sécurité peuvent varier en fonction de divers facteurs, notamment, la catégorie de sécurité du système d’information ou la criticité de la mise à jour (c.-à-d. la gravité de la vulnérabilité liée au défaut découvert). Certains types de correction des défauts peuvent nécessiter plus de tests que d’autres types. Les organisations déterminent le degré et le type de tests nécessaires pour le type particulier d’activité de correction des défauts à l’étude, ainsi que les types de changements devant être soumis à une gestion de la configuration. Dans certaines situations, les organisations peuvent déterminer que la mise à l’essai des mises à jour des logiciels et/ou des micrologiciels n’est pas nécessaire ou pratique, par exemple, lors de la mise en œuvre de simples mises à jour de la signature antivirus. Dans leurs décisions relatives aux essais, les organisations peuvent également se demander si les mises à jour de logiciels ou de micrologiciels pertinents pour la sécurité sont obtenues de sources autorisées ayant les signatures numériques appropriées. Contrôles connexes : CA-2, CA-7, CM-3, CM-5, CM-8, MA-2, IR-4, RA-5, SA-10, SA-11, SI-11</t>
  </si>
  <si>
    <t xml:space="preserve">TEST-SI-2</t>
  </si>
  <si>
    <t xml:space="preserve">Control SI-2(2) — Evidence Tracking</t>
  </si>
  <si>
    <t xml:space="preserve">Contrôle SI-2(2) — Suivi des preuves</t>
  </si>
  <si>
    <t xml:space="preserve">FLAW REMEDIATION | AUTOMATED FLAW REMEDIATION STATUS
The organization employs automated mechanisms at least monthly to determine the state of information system components with regard to flaw remediation.</t>
  </si>
  <si>
    <t xml:space="preserve">CORRECTION DES DÉFAUTS | ÉTAT DE LA CORRECTION AUTOMATIQUE DES DÉFAUTS
L’organisation utilise des mécanismes automatisés au moins une fois par mois pour déterminer l’état des composants du système d’information en ce qui concerne la correction des défauts.</t>
  </si>
  <si>
    <t xml:space="preserve">Related controls: CM-6, SI-4.</t>
  </si>
  <si>
    <t xml:space="preserve">Contrôles connexes : CM-6, SI-4.</t>
  </si>
  <si>
    <t xml:space="preserve">TEST-SI-2(2)</t>
  </si>
  <si>
    <t xml:space="preserve">Control SI-3 — Evidence Tracking</t>
  </si>
  <si>
    <t xml:space="preserve">Contrôle SI-3 — Suivi des preuves</t>
  </si>
  <si>
    <t xml:space="preserve">(A)
The organization employs malicious code protection mechanisms at information system entry and exit points to detect and eradicate malicious code.
(B)
The organization updates malicious code protection mechanisms whenever new releases are available in accordance with organizational configuration management policy and procedures.
(C)
The organization configures malicious code protection mechanisms to:
(a)
Perform periodic scans of the information system at least weekly and real-time scans of files from external sources at endpoints and network entry/exit points as the files are downloaded, opened, or executed in accordance with organizational security policy; and
(b) Block and quarantine malicious code; send alert to the key role as defined in the system and information integrity policy in response to malicious code detection.
(D)
The organization addresses the receipt of false positives during malicious code detection and eradication and the resulting potential impact on the availability of the information system.</t>
  </si>
  <si>
    <t xml:space="preserve">(A) L’organisation utilise des mécanismes de protection contre le code malveillant aux points d’entrée et de sortie du système d’information pour détecter et éradiquer le code malveillant.
(B) L’organisation met à jour les mécanismes de protection contre le code malveillant chaque fois que de nouvelles versions sont disponibles, conformément à la politique et aux procédures de gestion de la configuration de l’organisation.
(C) L’organisation configure des mécanismes de protection contre le code malveillant pour :
(a) effectuer des balayages périodiques du système d’information au moins une fois par semaine et des balayages en temps réel des fichiers provenant de sources externes aux extrémités et aux points d’entrée et de sortie du réseau à mesure que les fichiers sont téléchargés, ouverts ou exécutés, conformément à la politique sur la sécurité de l’organisation;
(b) bloquer et mettre en quarantaine le code malveillant; envoyer une alerte au rôle clé tel que défini dans la politique sur l’intégrité du système et de l’information en réponse à la détection du code malveillant.
(D) L’organisation résout les faux positifs reçus lors de la détection et de l’éradication du code malveillant ainsi que l’incidence potentielle sur la disponibilité du système d’information.</t>
  </si>
  <si>
    <t xml:space="preserve">Information system entry and exit points include, for example, firewalls, electronic mail servers, web servers, proxy servers, remote-access servers, workstations, notebook computers, and mobile devices. Malicious code includes, for example, viruses, worms, Trojan horses, and spyware. Malicious code can also be encoded in various formats (e.g., UUENCODE, Unicode), contained within compressed or hidden files, or hidden in files using steganography. Malicious code can be transported by different means including, for example, web accesses, electronic mail, electronic mail attachments, and portable storage devices. Malicious code insertions occur through the exploitation of information system vulnerabilities. Malicious code protection mechanisms include, for example,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for example, logic bombs, back doors, and other types of cyber-attacks that could affect organizational missions/business functions. Traditional malicious code protection mechanisms cannot always detect such code. In these situations, organizations rely instead on other safeguards including, for example, secure coding practices, configuration management and control, trusted procurement processes, and monitoring practices to help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actions in response to detection of malicious downloads, and/or actions in response to detection of maliciousness when attempting to open or execute files. Related controls: CM-3, MP-2, SA-4, SA-8, SA-12, SA-13, SC-7, SC-26, SC-44, SI-2, SI-4, SI-7.</t>
  </si>
  <si>
    <t xml:space="preserve">Les points d’entrée et de sortie du système d’information comprennent, par exemple, les pare-feu, les serveurs de courrier électronique, les serveurs Web, les serveurs mandataires, les serveurs à accès à distance, les postes de travail, les ordinateurs portatifs et les appareils mobiles. Le code malveillant comprend, par exemple, les virus, les vers, les chevaux de Troie et les logiciels espions. Le code malveillant peut également avoir divers formats (p. ex., UUENCODE, Unicode), et être intégré à des fichiers compressés ou cachés, ou être dissimulé dans des fichiers par stéganographie. Le code malveillant peut être transporté par différents moyens, y compris, par exemple, les accès Web, le courrier électronique, les pièces jointes de courrier électronique et les dispositifs de stockage portatifs. Le code malveillant est inséré en exploitant les vulnérabilités du système d’information. Les mécanismes de protection contre le code malveillant comprennent, par exemple, les définitions de signature antivirus et les technologies fondées sur la réputation. Diverses technologies et méthodes permettent de limiter ou d’éliminer les effets du code malveillant. Une gestion généralisée de la configuration et des contrôles d’intégrité du logiciel exhaustifs peuvent être efficaces pour prévenir l’exécution de code non autorisé. En plus des logiciels commerciaux, le code malveillant peut également être présent dans les logiciels développés sur mesure. Cela pourrait comprendre, par exemple, des bombes logiques, des portes dérobées et d’autres types de cyberattaques qui pourraient avoir une incidence sur les missions et les fonctions opérationnelles de l’organisation. Les mécanismes traditionnels de protection contre le code malveillant ne peuvent pas toujours détecter ce type de code. Dans ces situations, les organisations se fient plutôt à d’autres mesures de protection, comme des pratiques de codage sécurisé, une gestion et un contrôle de la configuration, des processus d’approvisionnement auprès de fournisseurs de confiance et des pratiques de surveillance pour veiller à ce que les logiciels n’exécutent pas de fonctions autres que celles prévues. Les organisations peuvent déterminer que différentes mesures sont justifiées en réponse à la détection du code malveillant. Par exemple, les organisations peuvent définir des mesures en réponse à la détection de code malveillant lors des balayages périodiques, des mesures en réponse à la détection de téléchargements malveillants ou des mesures en réponse à la détection de malveillance lorsqu’on tente d’ouvrir ou d’exécuter des fichiers. Contrôles connexes : CM-3, MP-2, SA-4, SA-8, SA-12, SA-13, SC-7, SC-26, SC-44, SI-2, SI-4, SI-7.</t>
  </si>
  <si>
    <t xml:space="preserve">TEST-SI-3</t>
  </si>
  <si>
    <t xml:space="preserve">Control SI-3(1) — Evidence Tracking</t>
  </si>
  <si>
    <t xml:space="preserve">Contrôle SI-3(1) — Suivi des preuves</t>
  </si>
  <si>
    <t xml:space="preserve">MALICIOUS CODE PROTECTION | CENTRAL MANAGEMENT
The organization centrally manages malicious code protection mechanisms.</t>
  </si>
  <si>
    <t xml:space="preserve">PROTECTION CONTRE LE CODE MALVEILLANT | GESTION CENTRALISÉE
L’organisation applique une gestion centralisée des mécanismes de protection contre le code malveillant.</t>
  </si>
  <si>
    <t xml:space="preserve">Central management is the organization-wide management and implementation of malicious code protection mechanisms. Central management includes planning, implementing, assessing, authorizing, and monitoring the organization-defined, centrally managed flaw malicious code protection security controls. Related controls: AU-2, SI-8.</t>
  </si>
  <si>
    <t xml:space="preserve">La gestion centralisée est la gestion et la mise en œuvre de mécanismes de protection contre le code malveillant à l’échelle de l’organisation. La gestion centralisée comprend la planification, la mise en œuvre, l’évaluation, l’autorisation et la surveillance de contrôles de sécurité définis par l’organisation et gérés de façon centralisée pour la protection contre le code malveillant. Contrôles connexes : AU-2, SI-8.</t>
  </si>
  <si>
    <t xml:space="preserve">TEST-SI-3(1)</t>
  </si>
  <si>
    <t xml:space="preserve">Control SI-3(2) — Evidence Tracking</t>
  </si>
  <si>
    <t xml:space="preserve">Contrôle SI-3(2) — Suivi des preuves</t>
  </si>
  <si>
    <t xml:space="preserve">MALICIOUS CODE PROTECTION | AUTOMATIC UPDATES
The information system automatically updates malicious code protection mechanisms.</t>
  </si>
  <si>
    <t xml:space="preserve">PROTECTION CONTRE LE CODE MALVEILLANT | MISES À JOUR AUTOMATIQUES
Le système d’information met automatiquement à jour les mécanismes de protection contre le code malveillant.</t>
  </si>
  <si>
    <t xml:space="preserve">Malicious code protection mechanisms include, for example, signature definitions. Due to information system integrity and availability concerns, organizations give careful consideration to the methodology used to carry out automatic updates. Related control: SI-8.</t>
  </si>
  <si>
    <t xml:space="preserve">Les mécanismes de protection contre le code malveillant comprennent, par exemple, des définitions de signature. En raison des préoccupations relatives à l’intégrité et à la disponibilité du système d’information, les organisations examinent attentivement la méthodologie utilisée pour effectuer les mises à jour automatiques. Contrôle connexe : SI-8.</t>
  </si>
  <si>
    <t xml:space="preserve">TEST-SI-3(2)</t>
  </si>
  <si>
    <t xml:space="preserve">Control SI-3(7) — Evidence Tracking</t>
  </si>
  <si>
    <t xml:space="preserve">Contrôle SI-3(7) — Suivi des preuves</t>
  </si>
  <si>
    <t xml:space="preserve">MALICIOUS CODE PROTECTION | NONSIGNATURE-BASED DETECTION
The information system implements non-signature-based malicious code detection mechanisms.</t>
  </si>
  <si>
    <t xml:space="preserve">PROTECTION CONTRE LE CODE MALVEILLANT | DÉTECTION NON BASÉE SUR LA RECONNAISSANCE DES SIGNATURES
Le système d’information met en œuvre des mécanismes de détection du code malveillant non basés sur la reconnaissance des signatures.</t>
  </si>
  <si>
    <t xml:space="preserve">Non-signature-based detection mechanisms include, for example, the use of heuristics to detect, analyze, and describe the characteristics or behaviour of malicious code and to provide safeguards against malicious code for which signatures do not yet exist or for which existing signatures may not be effective. This includes polymorphic malicious code (i.e., code that changes signatures when it replicates). This control enhancement does not preclude the use of signature-based detection mechanisms.</t>
  </si>
  <si>
    <t xml:space="preserve">Les mécanismes de détection non basés sur la reconnaissance des signatures comprennent, par exemple, l’utilisation de l’heuristique pour détecter, analyser et décrire les caractéristiques ou le comportement du code malveillant et pour fournir des mesures de protection contre le code malveillant pour lequel il n’existe pas encore de signatures ou pour lequel les signatures existantes pourraient ne pas être efficaces. Cela comprend le code malveillant polymorphe (c.-à-d. un code qui change les signatures lorsqu’il se reproduit). Cette amélioration de contrôle n’empêche pas l’utilisation de mécanismes de détection basés sur la reconnaissance des signatures.</t>
  </si>
  <si>
    <t xml:space="preserve">TEST-SI-3(7)</t>
  </si>
  <si>
    <t xml:space="preserve">Control SI-4 — Evidence Tracking</t>
  </si>
  <si>
    <t xml:space="preserve">Contrôle SI-4 — Suivi des preuves</t>
  </si>
  <si>
    <t xml:space="preserve">(A)
The organization monitors the information system to detect:
(a)
Attacks and indicators of potential attacks in accordance with organization-defined monitoring objectives; and
(b)
Unauthorized local, network, and remote connections;
(B)
The organization identifies unauthorized use of the information system through organization-defined techniques and methods.
(C)
The organization deploys monitoring devices: (i) strategically within the information system to collect organization-determined essential information; and (ii) at ad hoc locations within the system to track specific types of transactions of interest to the organization.
(D)
The organization protects information obtained from intrusion-monitoring tools from unauthorized access, modification, and deletion.
(E)
The organization heightens the level of information system monitoring activity whenever there is an indication of increased risk to organizational operations and assets, individuals, other organizations, or Canada based on law enforcement information, intelligence information, or other credible sources of information.
(F)
The organization obtains legal opinion with regard to information system monitoring activities in accordance with orgnanizational policies, directives and standards.
(G)
The organization provides organization-defined information system monitoring information to organization-defined personnel or roles at an organization-defined frequency.</t>
  </si>
  <si>
    <t xml:space="preserve">(A) L’organisation surveille le système d’information pour détecter :
(a) les attaques et indicateurs d’attaques potentielles conformément aux objectifs de surveillance définis par l’organisation;
(b) les connexions locales, de réseau et à distance non autorisées;
(B) L’organisation détecte l’utilisation non autorisée du système d’information au moyen de techniques et de méthodes définies par l’organisation.
(C) L’organisation déploie des dispositifs de surveillance : (i) de façon stratégique au sein du système d’information pour recueillir les renseignements essentiels déterminés par l’organisation; (ii) à des endroits spéciaux dans le système pour faire le suivi de certains types de transactions d’intérêt pour l’organisation.
(D) L’organisation protège l’information obtenue des outils de surveillance des intrusions contre l’accès, la modification et la suppression non autorisés.
(E) L’organisation augmente le niveau de l’activité de surveillance du système d’information chaque fois qu’il y a indication d’un risque accru pour les opérations et les biens de l’organisation, les personnes, les autres organisations ou le Canada sur la base de renseignements concernant l’application de la loi, de renseignements de sécurité ou d’autres sources d’information crédibles.
(F) L’organisation obtient un avis juridique concernant les activités de surveillance du système d’information conformément aux politiques, aux directives et aux normes de l’organisation.
(G) L’organisation fournit les renseignements relatifs à la surveillance du système d’information définis par l’organisation au personnel ou aux rôles définis par l’organisation à une fréquence définie par l’organisation.</t>
  </si>
  <si>
    <t xml:space="preserve">Information system monitoring includes external and internal monitoring. External monitoring includes the observation of events occurring at the information system boundary (i.e., part of perimeter defence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The granularity of monitoring information collected is based on organizational monitoring objectives and the capability of information systems to support such objectives. Specific types of transactions of interest include, for example,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</si>
  <si>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 xml:space="preserve">La surveillance du système d’information comprend la surveillance externe et interne. La surveillance externe comprend l’observation d’événements qui se produisent à la frontière du système d’information (c.-à-d. qu’elle fait partie de la défense du périmètre et de la protection des frontières). La surveillance interne comprend l’observation des événements qui se produisent au sein du système d’information. Les organisations peuvent surveiller les systèmes d’information, par exemple en observant les activités de vérification en temps réel ou en observant d’autres aspects du système, comme les profils d’accès, les caractéristiques de l’accès et d’autres mesures. Les objectifs de surveillance peuvent guider la détermination des événements. La capacité de surveillance des systèmes d’information est assurée par divers outils et techniques (p. ex., systèmes de détection des intrusions, systèmes de prévention des intrusions, logiciels de protection contre le code malveillant, outils de balayage, logiciel de surveillance des enregistrements de vérification, logiciel de surveillance de réseau). Les emplacements stratégiques pour les dispositifs de surveillance comprennent, par exemple, des emplacements périmétriques choisis et près des grappes de serveurs prenant en charge les applications critiques, ces dispositifs étant habituellement utilisés aux interfaces gérées associées aux contrôles SC-7 et AC-17. La granularité des données de surveillance recueillies est fonction des objectifs de surveillance de l’organisation et de la capacité des systèmes d’information à appuyer de tels objectifs. Les types particuliers de transactions d’intérêt comprennent, par exemple, le trafic HTTP qui contourne les mandataires HTTP. La surveillance du système d’information fait partie intégrante des programmes de surveillance continue et d’intervention en cas d’incident de l’organisation. Les résultats de la surveillance des systèmes servent d’intrants aux programmes de surveillance continue et d’intervention en cas d’incident. Une connexion réseau est toute connexion avec un appareil qui communique par l’entremise d’un réseau (p. ex., réseau local, Internet). Une connexion distante est toute connexion avec un appareil qui communique par l’entremise d’un réseau externe (p. ex., Internet). Les connexions locales, réseau et distantes peuvent être câblées ou sans fil. Contrôles connexes : AC-3, AC-4, AC-8, AC-17, AU-2, AU-6, AU-7, AU-9, AU-12, CA-7, IR-4, PE-3, RA-5, SC-7, SC-26, SC-35, SI-3, SI-7</t>
  </si>
  <si>
    <t xml:space="preserve">TEST-SI-4</t>
  </si>
  <si>
    <t xml:space="preserve">Control SI-4(1) — Evidence Tracking</t>
  </si>
  <si>
    <t xml:space="preserve">Contrôle SI-4(1) — Suivi des preuves</t>
  </si>
  <si>
    <t xml:space="preserve">INFORMATION SYSTEM MONITORING | SYSTEM-WIDE INTRUSION DETECTION SYSTEM
The organization connects and configures individual intrusion detection tools into an information system-wide intrusion detection system.</t>
  </si>
  <si>
    <t xml:space="preserve">SURVEILLANCE DU SYSTÈME D’INFORMATION | SYSTÈME DE DÉTECTION DES INTRUSIONS À L’ÉCHELLE DU SYSTÈME
L’organisation connecte et configure les outils de détection d’intrusion individuels en un système de détection d’intrusion global pour l’ensemble du système d’information.</t>
  </si>
  <si>
    <t xml:space="preserve">TEST-SI-4(1)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</si>
  <si>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</si>
  <si>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</si>
  <si>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</si>
  <si>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</si>
  <si>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</si>
  <si>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</si>
  <si>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</si>
  <si>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</si>
  <si>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</si>
  <si>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</si>
  <si>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</si>
  <si>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</si>
  <si>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</si>
  <si>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</si>
  <si>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SI-4(5) — Evidence Tracking</t>
  </si>
  <si>
    <t xml:space="preserve">Contrôle SI-4(5) — Suivi des preuves</t>
  </si>
  <si>
    <t xml:space="preserve">INFORMATION SYSTEM MONITORING | SYSTEM-GENERATED ALERTS
The information system alerts  organization-defined personnel or roles and client governance bodies when organization-defined compromise or potential compromise indicators occur.</t>
  </si>
  <si>
    <t xml:space="preserve">SURVEILLANCE DU SYSTÈME D’INFORMATION | ALERTES GÉNÉRÉES PAR LE SYSTÈME
Le système d’information alerte le personnel ou les rôles définis par l’organisation et les organes de gouvernance du client lorsque des indicateurs de compromission ou de compromission potentielle définis par l’organisation sont détectés.</t>
  </si>
  <si>
    <t xml:space="preserve">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</si>
  <si>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 xml:space="preserve">Les alertes peuvent provenir de diverses sources, y compris, par exemple, des enregistrements de vérification ou des données provenant de mécanismes de protection contre le code malveillant, de mécanismes de détection ou de prévention des intrusions, ou de dispositifs de protection des frontières comme les pare-feu, les passerelles et les routeurs. Les alertes peuvent être transmises, par exemple, par téléphone, par courrier électronique ou par messagerie texte. Le personnel de l’organisation figurant sur la liste de notification peut comprendre, par exemple, des administrateurs de système, des responsables opérationnels ou de mission, des propriétaires de système ou des agents de sécurité de système d’information. Contrôles connexes : AU-5, PE-6.</t>
  </si>
  <si>
    <t xml:space="preserve">TEST-SI-4(5)</t>
  </si>
  <si>
    <t xml:space="preserve">Control SI-4(11) — Evidence Tracking</t>
  </si>
  <si>
    <t xml:space="preserve">Contrôle SI-4(11) — Suivi des preuves</t>
  </si>
  <si>
    <t xml:space="preserve">INFORMATION SYSTEM MONITORING | ANALYZE COMMUNICATIONS TRAFFIC ANOMALIES
The organization analyzes outbound communications traffic at the external boundary of the information system and selected organization-defined interior points within the system (e.g., sub-networks, subsystems) to discover anomalies.</t>
  </si>
  <si>
    <t xml:space="preserve">SURVEILLANCE DU SYSTÈME D’INFORMATION | ANALYSE DES ANOMALIES DANS LES COMMUNICATIONS
L’organisation analyse les communications sortantes à la frontière externe du système d’information et à certains points définis par l’organisation à l’intérieur du système (p. ex. sous-réseaux, sous-systèmes) pour découvrir des anomalies.</t>
  </si>
  <si>
    <t xml:space="preserve">Anomalies within organizational information systems include, for example, large file transfers, long-time persistent connections, unusual protocols and ports in use, and attempted communications with suspected malicious external addresses.</t>
  </si>
  <si>
    <t xml:space="preserve">Les anomalies dans les systèmes d’information de l’organisation comprennent, par exemple, les transferts de fichiers volumineux, les connexions persistantes de longue durée, les protocoles et les ports inhabituels utilisés et les tentatives de communication avec des adresses externes soupçonnées de malveillance.</t>
  </si>
  <si>
    <t xml:space="preserve">TEST-SI-4(11)</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</si>
  <si>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</si>
  <si>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</si>
  <si>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</si>
  <si>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</si>
  <si>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</si>
  <si>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</si>
  <si>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</si>
  <si>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SI-7(7) — Evidence Tracking</t>
  </si>
  <si>
    <t xml:space="preserve">Contrôle SI-7(7) — Suivi des preuves</t>
  </si>
  <si>
    <t xml:space="preserve">SOFTWARE, FIRMWARE, AND INFORMATION INTEGRITY | INTEGRATION OF DETECTION AND RESPONSE
The organization incorporates the detection of unauthorized organization-defined security-relevant changes to the information system into the organizational incident response capability.</t>
  </si>
  <si>
    <t xml:space="preserve">INTÉGRITÉ DES LOGICIELS, DES MICROLOGICIELS ET DE L’INFORMATION | INTÉGRATION DE LA DÉTECTION ET DE L’INTERVENTION
L’organisation intègre la détection des changements non autorisés qu’elle définit comme pertinents pour la sécurité du système d’information dans sa capacité d’intervention en cas d’incident.</t>
  </si>
  <si>
    <t xml:space="preserve">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 Related controls: IR-4, IR-5, SI-4.</t>
  </si>
  <si>
    <t xml:space="preserve">Cette amélioration du contrôle permet de s’assurer que les événements détectés sont suivis, surveillés, corrigés et disponibles à des fins historiques. Il est important de tenir des registres de l’historique pour être en mesure d’identifier et de discerner les actions adverses sur une période prolongée et pour d’éventuelles actions en justice. Les changements pertinents pour la sécurité comprennent, par exemple, les changements non autorisés aux paramètres de configuration établis ou l’élévation non autorisée des privilèges du système d’information. Contrôles connexes : IR-4, IR-5, SI-4.</t>
  </si>
  <si>
    <t xml:space="preserve">TEST-SI-7(7)</t>
  </si>
  <si>
    <t xml:space="preserve">Control SI-11 — Evidence Tracking</t>
  </si>
  <si>
    <t xml:space="preserve">Contrôle SI-11 — Suivi des preuves</t>
  </si>
  <si>
    <t xml:space="preserve">(A)
The information system generates error messages that provide information necessary for corrective actions without revealing information that could be exploited by adversaries.
(B)
The information system reveals error messages only to organization-defined personnel or roles.</t>
  </si>
  <si>
    <t xml:space="preserve">(A) Le système d’information génère des messages d’erreur qui fournissent l’information nécessaire aux mesures correctives sans révéler l’information qui pourrait être exploitée par des adversaires.
(B) Le système d’information ne révèle les messages d’erreur qu’au personnel ou aux rôles définis par l’organisation.</t>
  </si>
  <si>
    <t xml:space="preserve">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</si>
  <si>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 xml:space="preserve">Les organisations examinent attentivement la structure et le contenu des messages d’erreur. La mesure dans laquelle les systèmes d’information peuvent déterminer et gérer les conditions d’erreur est fonction des politiques et des exigences opérationnelles de l’organisation. Les renseignements qui pourraient être exploités par des adversaires comprennent, par exemple, les tentatives d’ouverture de session erronées avec des mots de passe entrés par erreur en tant que nom d’utilisateur, des renseignements sur la mission ou les opérations qui peuvent être déduits de (voire être explicitement indiqués par) l’information saisie, et des renseignements personnels comme des numéros de compte, des numéros de sécurité sociale et des numéros de carte de crédit. De plus, les messages d’erreur peuvent servir de voie secrète pour transmettre de l’information. Contrôles connexes : AU-2, AU-3, SC-31</t>
  </si>
  <si>
    <t xml:space="preserve">TEST-SI-11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</si>
</sst>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C3D69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8</v>
      </c>
      <c r="E3" s="3" t="str">
        <f aca="false">'AC-2-4'!B20</f>
        <v>Not Started</v>
      </c>
    </row>
    <row r="4" customFormat="false" ht="18" hidden="false" customHeight="true" outlineLevel="0" collapsed="false">
      <c r="A4" s="3" t="s">
        <v>9</v>
      </c>
      <c r="B4" s="4" t="s">
        <v>7</v>
      </c>
      <c r="C4" s="4"/>
      <c r="D4" s="3" t="s">
        <v>10</v>
      </c>
      <c r="E4" s="3" t="str">
        <f aca="false">'AC-2-5'!B20</f>
        <v>Not Started</v>
      </c>
    </row>
    <row r="5" customFormat="false" ht="18" hidden="false" customHeight="true" outlineLevel="0" collapsed="false">
      <c r="A5" s="3" t="s">
        <v>11</v>
      </c>
      <c r="B5" s="4" t="s">
        <v>7</v>
      </c>
      <c r="C5" s="4"/>
      <c r="D5" s="3" t="s">
        <v>12</v>
      </c>
      <c r="E5" s="3" t="str">
        <f aca="false">'AC-2-7'!B20</f>
        <v>Not Started</v>
      </c>
    </row>
    <row r="6" customFormat="false" ht="18" hidden="false" customHeight="true" outlineLevel="0" collapsed="false">
      <c r="A6" s="3" t="s">
        <v>13</v>
      </c>
      <c r="B6" s="4" t="s">
        <v>14</v>
      </c>
      <c r="C6" s="4"/>
      <c r="D6" s="3" t="s">
        <v>13</v>
      </c>
      <c r="E6" s="3" t="str">
        <f aca="false">'AC-6'!B20</f>
        <v>Not Started</v>
      </c>
    </row>
    <row r="7" customFormat="false" ht="18" hidden="false" customHeight="true" outlineLevel="0" collapsed="false">
      <c r="A7" s="3" t="s">
        <v>15</v>
      </c>
      <c r="B7" s="4" t="s">
        <v>14</v>
      </c>
      <c r="C7" s="4"/>
      <c r="D7" s="3" t="s">
        <v>16</v>
      </c>
      <c r="E7" s="3" t="str">
        <f aca="false">'AC-6-1'!B20</f>
        <v>Not Started</v>
      </c>
    </row>
    <row r="8" customFormat="false" ht="18" hidden="false" customHeight="true" outlineLevel="0" collapsed="false">
      <c r="A8" s="3" t="s">
        <v>17</v>
      </c>
      <c r="B8" s="4" t="s">
        <v>14</v>
      </c>
      <c r="C8" s="4"/>
      <c r="D8" s="3" t="s">
        <v>18</v>
      </c>
      <c r="E8" s="3" t="str">
        <f aca="false">'AC-6-9'!B20</f>
        <v>Not Started</v>
      </c>
    </row>
    <row r="9" customFormat="false" ht="18" hidden="false" customHeight="true" outlineLevel="0" collapsed="false">
      <c r="A9" s="3" t="s">
        <v>19</v>
      </c>
      <c r="B9" s="4" t="s">
        <v>20</v>
      </c>
      <c r="C9" s="4"/>
      <c r="D9" s="3" t="s">
        <v>21</v>
      </c>
      <c r="E9" s="3" t="str">
        <f aca="false">'AC-17-1'!B20</f>
        <v>Not Started</v>
      </c>
    </row>
    <row r="10" customFormat="false" ht="18" hidden="false" customHeight="true" outlineLevel="0" collapsed="false">
      <c r="A10" s="3" t="s">
        <v>22</v>
      </c>
      <c r="B10" s="4" t="s">
        <v>23</v>
      </c>
      <c r="C10" s="4"/>
      <c r="D10" s="3" t="s">
        <v>22</v>
      </c>
      <c r="E10" s="3" t="str">
        <f aca="false">'AU-2'!B20</f>
        <v>Not Started</v>
      </c>
    </row>
    <row r="11" customFormat="false" ht="18" hidden="false" customHeight="true" outlineLevel="0" collapsed="false">
      <c r="A11" s="3" t="s">
        <v>24</v>
      </c>
      <c r="B11" s="4" t="s">
        <v>25</v>
      </c>
      <c r="C11" s="4"/>
      <c r="D11" s="3" t="s">
        <v>24</v>
      </c>
      <c r="E11" s="3" t="str">
        <f aca="false">'AU-3'!B20</f>
        <v>Not Started</v>
      </c>
    </row>
    <row r="12" customFormat="false" ht="18" hidden="false" customHeight="true" outlineLevel="0" collapsed="false">
      <c r="A12" s="3" t="s">
        <v>26</v>
      </c>
      <c r="B12" s="4" t="s">
        <v>25</v>
      </c>
      <c r="C12" s="4"/>
      <c r="D12" s="3" t="s">
        <v>27</v>
      </c>
      <c r="E12" s="3" t="str">
        <f aca="false">'AU-3-1'!B20</f>
        <v>Not Started</v>
      </c>
    </row>
    <row r="13" customFormat="false" ht="18" hidden="false" customHeight="true" outlineLevel="0" collapsed="false">
      <c r="A13" s="3" t="s">
        <v>28</v>
      </c>
      <c r="B13" s="4" t="s">
        <v>29</v>
      </c>
      <c r="C13" s="4"/>
      <c r="D13" s="3" t="s">
        <v>28</v>
      </c>
      <c r="E13" s="3" t="str">
        <f aca="false">'AU-5'!B20</f>
        <v>Not Started</v>
      </c>
    </row>
    <row r="14" customFormat="false" ht="18" hidden="false" customHeight="true" outlineLevel="0" collapsed="false">
      <c r="A14" s="3" t="s">
        <v>30</v>
      </c>
      <c r="B14" s="4" t="s">
        <v>31</v>
      </c>
      <c r="C14" s="4"/>
      <c r="D14" s="3" t="s">
        <v>32</v>
      </c>
      <c r="E14" s="3" t="str">
        <f aca="false">'AU-6-1'!B20</f>
        <v>Not Started</v>
      </c>
    </row>
    <row r="15" customFormat="false" ht="18" hidden="false" customHeight="true" outlineLevel="0" collapsed="false">
      <c r="A15" s="3" t="s">
        <v>33</v>
      </c>
      <c r="B15" s="4" t="s">
        <v>31</v>
      </c>
      <c r="C15" s="4"/>
      <c r="D15" s="3" t="s">
        <v>34</v>
      </c>
      <c r="E15" s="3" t="str">
        <f aca="false">'AU-6-3'!B20</f>
        <v>Not Started</v>
      </c>
    </row>
    <row r="16" customFormat="false" ht="18" hidden="false" customHeight="true" outlineLevel="0" collapsed="false">
      <c r="A16" s="3" t="s">
        <v>35</v>
      </c>
      <c r="B16" s="4" t="s">
        <v>36</v>
      </c>
      <c r="C16" s="4"/>
      <c r="D16" s="3" t="s">
        <v>35</v>
      </c>
      <c r="E16" s="3" t="str">
        <f aca="false">'AU-7'!B20</f>
        <v>Not Started</v>
      </c>
    </row>
    <row r="17" customFormat="false" ht="18" hidden="false" customHeight="true" outlineLevel="0" collapsed="false">
      <c r="A17" s="3" t="s">
        <v>37</v>
      </c>
      <c r="B17" s="4" t="s">
        <v>36</v>
      </c>
      <c r="C17" s="4"/>
      <c r="D17" s="3" t="s">
        <v>38</v>
      </c>
      <c r="E17" s="3" t="str">
        <f aca="false">'AU-7-1'!B20</f>
        <v>Not Started</v>
      </c>
    </row>
    <row r="18" customFormat="false" ht="18" hidden="false" customHeight="true" outlineLevel="0" collapsed="false">
      <c r="A18" s="3" t="s">
        <v>39</v>
      </c>
      <c r="B18" s="4" t="s">
        <v>40</v>
      </c>
      <c r="C18" s="4"/>
      <c r="D18" s="3" t="s">
        <v>39</v>
      </c>
      <c r="E18" s="3" t="str">
        <f aca="false">'AU-8'!B20</f>
        <v>Not Started</v>
      </c>
    </row>
    <row r="19" customFormat="false" ht="18" hidden="false" customHeight="true" outlineLevel="0" collapsed="false">
      <c r="A19" s="3" t="s">
        <v>41</v>
      </c>
      <c r="B19" s="4" t="s">
        <v>40</v>
      </c>
      <c r="C19" s="4"/>
      <c r="D19" s="3" t="s">
        <v>42</v>
      </c>
      <c r="E19" s="3" t="str">
        <f aca="false">'AU-8-1'!B20</f>
        <v>Not Started</v>
      </c>
    </row>
    <row r="20" customFormat="false" ht="18" hidden="false" customHeight="true" outlineLevel="0" collapsed="false">
      <c r="A20" s="3" t="s">
        <v>43</v>
      </c>
      <c r="B20" s="4" t="s">
        <v>44</v>
      </c>
      <c r="C20" s="4"/>
      <c r="D20" s="3" t="s">
        <v>43</v>
      </c>
      <c r="E20" s="3" t="str">
        <f aca="false">'AU-9'!B20</f>
        <v>Not Started</v>
      </c>
    </row>
    <row r="21" customFormat="false" ht="18" hidden="false" customHeight="true" outlineLevel="0" collapsed="false">
      <c r="A21" s="3" t="s">
        <v>45</v>
      </c>
      <c r="B21" s="4" t="s">
        <v>44</v>
      </c>
      <c r="C21" s="4"/>
      <c r="D21" s="3" t="s">
        <v>46</v>
      </c>
      <c r="E21" s="3" t="str">
        <f aca="false">'AU-9-2'!B20</f>
        <v>Not Started</v>
      </c>
    </row>
    <row r="22" customFormat="false" ht="18" hidden="false" customHeight="true" outlineLevel="0" collapsed="false">
      <c r="A22" s="3" t="s">
        <v>47</v>
      </c>
      <c r="B22" s="4" t="s">
        <v>44</v>
      </c>
      <c r="C22" s="4"/>
      <c r="D22" s="3" t="s">
        <v>48</v>
      </c>
      <c r="E22" s="3" t="str">
        <f aca="false">'AU-9-4'!B20</f>
        <v>Not Started</v>
      </c>
    </row>
    <row r="23" customFormat="false" ht="18" hidden="false" customHeight="true" outlineLevel="0" collapsed="false">
      <c r="A23" s="3" t="s">
        <v>49</v>
      </c>
      <c r="B23" s="4" t="s">
        <v>50</v>
      </c>
      <c r="C23" s="4"/>
      <c r="D23" s="3" t="s">
        <v>49</v>
      </c>
      <c r="E23" s="3" t="str">
        <f aca="false">'AU-11'!B20</f>
        <v>Not Started</v>
      </c>
    </row>
    <row r="24" customFormat="false" ht="18" hidden="false" customHeight="true" outlineLevel="0" collapsed="false">
      <c r="A24" s="3" t="s">
        <v>51</v>
      </c>
      <c r="B24" s="4" t="s">
        <v>52</v>
      </c>
      <c r="C24" s="4"/>
      <c r="D24" s="3" t="s">
        <v>51</v>
      </c>
      <c r="E24" s="3" t="str">
        <f aca="false">'AU-12'!B20</f>
        <v>Not Started</v>
      </c>
    </row>
    <row r="25" customFormat="false" ht="18" hidden="false" customHeight="true" outlineLevel="0" collapsed="false">
      <c r="A25" s="3" t="s">
        <v>53</v>
      </c>
      <c r="B25" s="4" t="s">
        <v>54</v>
      </c>
      <c r="C25" s="4"/>
      <c r="D25" s="3" t="s">
        <v>53</v>
      </c>
      <c r="E25" s="3" t="str">
        <f aca="false">'CA-9'!B20</f>
        <v>Not Started</v>
      </c>
    </row>
    <row r="26" customFormat="false" ht="18" hidden="false" customHeight="true" outlineLevel="0" collapsed="false">
      <c r="A26" s="3" t="s">
        <v>55</v>
      </c>
      <c r="B26" s="4" t="s">
        <v>56</v>
      </c>
      <c r="C26" s="4"/>
      <c r="D26" s="3" t="s">
        <v>57</v>
      </c>
      <c r="E26" s="3" t="str">
        <f aca="false">'CM-5-1'!B20</f>
        <v>Not Started</v>
      </c>
    </row>
    <row r="27" customFormat="false" ht="18" hidden="false" customHeight="true" outlineLevel="0" collapsed="false">
      <c r="A27" s="3" t="s">
        <v>58</v>
      </c>
      <c r="B27" s="4" t="s">
        <v>56</v>
      </c>
      <c r="C27" s="4"/>
      <c r="D27" s="3" t="s">
        <v>59</v>
      </c>
      <c r="E27" s="3" t="str">
        <f aca="false">'CM-5-6'!B20</f>
        <v>Not Started</v>
      </c>
    </row>
    <row r="28" customFormat="false" ht="18" hidden="false" customHeight="true" outlineLevel="0" collapsed="false">
      <c r="A28" s="3" t="s">
        <v>60</v>
      </c>
      <c r="B28" s="4" t="s">
        <v>61</v>
      </c>
      <c r="C28" s="4"/>
      <c r="D28" s="3" t="s">
        <v>60</v>
      </c>
      <c r="E28" s="3" t="str">
        <f aca="false">'CM-6'!B20</f>
        <v>Not Started</v>
      </c>
    </row>
    <row r="29" customFormat="false" ht="18" hidden="false" customHeight="true" outlineLevel="0" collapsed="false">
      <c r="A29" s="3" t="s">
        <v>62</v>
      </c>
      <c r="B29" s="4" t="s">
        <v>63</v>
      </c>
      <c r="C29" s="4"/>
      <c r="D29" s="3" t="s">
        <v>62</v>
      </c>
      <c r="E29" s="3" t="str">
        <f aca="false">'CM-7'!B20</f>
        <v>Not Started</v>
      </c>
    </row>
    <row r="30" customFormat="false" ht="18" hidden="false" customHeight="true" outlineLevel="0" collapsed="false">
      <c r="A30" s="3" t="s">
        <v>64</v>
      </c>
      <c r="B30" s="4" t="s">
        <v>63</v>
      </c>
      <c r="C30" s="4"/>
      <c r="D30" s="3" t="s">
        <v>65</v>
      </c>
      <c r="E30" s="3" t="str">
        <f aca="false">'CM-7-1'!B20</f>
        <v>Not Started</v>
      </c>
    </row>
    <row r="31" customFormat="false" ht="18" hidden="false" customHeight="true" outlineLevel="0" collapsed="false">
      <c r="A31" s="3" t="s">
        <v>66</v>
      </c>
      <c r="B31" s="4" t="s">
        <v>67</v>
      </c>
      <c r="C31" s="4"/>
      <c r="D31" s="3" t="s">
        <v>66</v>
      </c>
      <c r="E31" s="3" t="str">
        <f aca="false">'CP-6'!B20</f>
        <v>Not Started</v>
      </c>
    </row>
    <row r="32" customFormat="false" ht="18" hidden="false" customHeight="true" outlineLevel="0" collapsed="false">
      <c r="A32" s="3" t="s">
        <v>68</v>
      </c>
      <c r="B32" s="4" t="s">
        <v>67</v>
      </c>
      <c r="C32" s="4"/>
      <c r="D32" s="3" t="s">
        <v>69</v>
      </c>
      <c r="E32" s="3" t="str">
        <f aca="false">'CP-6-2'!B20</f>
        <v>Not Started</v>
      </c>
    </row>
    <row r="33" customFormat="false" ht="18" hidden="false" customHeight="true" outlineLevel="0" collapsed="false">
      <c r="A33" s="3" t="s">
        <v>70</v>
      </c>
      <c r="B33" s="4" t="s">
        <v>71</v>
      </c>
      <c r="C33" s="4"/>
      <c r="D33" s="3" t="s">
        <v>70</v>
      </c>
      <c r="E33" s="3" t="str">
        <f aca="false">'CP-7'!B20</f>
        <v>Not Started</v>
      </c>
    </row>
    <row r="34" customFormat="false" ht="18" hidden="false" customHeight="true" outlineLevel="0" collapsed="false">
      <c r="A34" s="3" t="s">
        <v>72</v>
      </c>
      <c r="B34" s="4" t="s">
        <v>71</v>
      </c>
      <c r="C34" s="4"/>
      <c r="D34" s="3" t="s">
        <v>73</v>
      </c>
      <c r="E34" s="3" t="str">
        <f aca="false">'CP-7-4'!B20</f>
        <v>Not Started</v>
      </c>
    </row>
    <row r="35" customFormat="false" ht="18" hidden="false" customHeight="true" outlineLevel="0" collapsed="false">
      <c r="A35" s="3" t="s">
        <v>74</v>
      </c>
      <c r="B35" s="4" t="s">
        <v>75</v>
      </c>
      <c r="C35" s="4"/>
      <c r="D35" s="3" t="s">
        <v>74</v>
      </c>
      <c r="E35" s="3" t="str">
        <f aca="false">'CP-9'!B20</f>
        <v>Not Started</v>
      </c>
    </row>
    <row r="36" customFormat="false" ht="18" hidden="false" customHeight="true" outlineLevel="0" collapsed="false">
      <c r="A36" s="3" t="s">
        <v>76</v>
      </c>
      <c r="B36" s="4" t="s">
        <v>75</v>
      </c>
      <c r="C36" s="4"/>
      <c r="D36" s="3" t="s">
        <v>77</v>
      </c>
      <c r="E36" s="3" t="str">
        <f aca="false">'CP-9-1'!B20</f>
        <v>Not Started</v>
      </c>
    </row>
    <row r="37" customFormat="false" ht="18" hidden="false" customHeight="true" outlineLevel="0" collapsed="false">
      <c r="A37" s="3" t="s">
        <v>78</v>
      </c>
      <c r="B37" s="4" t="s">
        <v>75</v>
      </c>
      <c r="C37" s="4"/>
      <c r="D37" s="3" t="s">
        <v>79</v>
      </c>
      <c r="E37" s="3" t="str">
        <f aca="false">'CP-9-2'!B20</f>
        <v>Not Started</v>
      </c>
    </row>
    <row r="38" customFormat="false" ht="18" hidden="false" customHeight="true" outlineLevel="0" collapsed="false">
      <c r="A38" s="3" t="s">
        <v>80</v>
      </c>
      <c r="B38" s="4" t="s">
        <v>75</v>
      </c>
      <c r="C38" s="4"/>
      <c r="D38" s="3" t="s">
        <v>81</v>
      </c>
      <c r="E38" s="3" t="str">
        <f aca="false">'CP-9-5'!B20</f>
        <v>Not Started</v>
      </c>
    </row>
    <row r="39" customFormat="false" ht="18" hidden="false" customHeight="true" outlineLevel="0" collapsed="false">
      <c r="A39" s="3" t="s">
        <v>82</v>
      </c>
      <c r="B39" s="4" t="s">
        <v>83</v>
      </c>
      <c r="C39" s="4"/>
      <c r="D39" s="3" t="s">
        <v>82</v>
      </c>
      <c r="E39" s="3" t="str">
        <f aca="false">'CP-10'!B20</f>
        <v>Not Started</v>
      </c>
    </row>
    <row r="40" customFormat="false" ht="18" hidden="false" customHeight="true" outlineLevel="0" collapsed="false">
      <c r="A40" s="3" t="s">
        <v>84</v>
      </c>
      <c r="B40" s="4" t="s">
        <v>83</v>
      </c>
      <c r="C40" s="4"/>
      <c r="D40" s="3" t="s">
        <v>85</v>
      </c>
      <c r="E40" s="3" t="str">
        <f aca="false">'CP-10-2'!B20</f>
        <v>Not Started</v>
      </c>
    </row>
    <row r="41" customFormat="false" ht="18" hidden="false" customHeight="true" outlineLevel="0" collapsed="false">
      <c r="A41" s="3" t="s">
        <v>86</v>
      </c>
      <c r="B41" s="4" t="s">
        <v>83</v>
      </c>
      <c r="C41" s="4"/>
      <c r="D41" s="3" t="s">
        <v>87</v>
      </c>
      <c r="E41" s="3" t="str">
        <f aca="false">'CP-10-4'!B20</f>
        <v>Not Started</v>
      </c>
    </row>
    <row r="42" customFormat="false" ht="18" hidden="false" customHeight="true" outlineLevel="0" collapsed="false">
      <c r="A42" s="3" t="s">
        <v>88</v>
      </c>
      <c r="B42" s="4" t="s">
        <v>89</v>
      </c>
      <c r="C42" s="4"/>
      <c r="D42" s="3" t="s">
        <v>90</v>
      </c>
      <c r="E42" s="3" t="str">
        <f aca="false">'IA-5-7'!B20</f>
        <v>Not Started</v>
      </c>
    </row>
    <row r="43" customFormat="false" ht="18" hidden="false" customHeight="true" outlineLevel="0" collapsed="false">
      <c r="A43" s="3" t="s">
        <v>91</v>
      </c>
      <c r="B43" s="4" t="s">
        <v>92</v>
      </c>
      <c r="C43" s="4"/>
      <c r="D43" s="3" t="s">
        <v>91</v>
      </c>
      <c r="E43" s="3" t="str">
        <f aca="false">'RA-5'!B20</f>
        <v>Not Started</v>
      </c>
    </row>
    <row r="44" customFormat="false" ht="18" hidden="false" customHeight="true" outlineLevel="0" collapsed="false">
      <c r="A44" s="3" t="s">
        <v>93</v>
      </c>
      <c r="B44" s="4" t="s">
        <v>92</v>
      </c>
      <c r="C44" s="4"/>
      <c r="D44" s="3" t="s">
        <v>94</v>
      </c>
      <c r="E44" s="3" t="str">
        <f aca="false">'RA-5-1'!B20</f>
        <v>Not Started</v>
      </c>
    </row>
    <row r="45" customFormat="false" ht="18" hidden="false" customHeight="true" outlineLevel="0" collapsed="false">
      <c r="A45" s="3" t="s">
        <v>95</v>
      </c>
      <c r="B45" s="4" t="s">
        <v>92</v>
      </c>
      <c r="C45" s="4"/>
      <c r="D45" s="3" t="s">
        <v>96</v>
      </c>
      <c r="E45" s="3" t="str">
        <f aca="false">'RA-5-2'!B20</f>
        <v>Not Started</v>
      </c>
    </row>
    <row r="46" customFormat="false" ht="18" hidden="false" customHeight="true" outlineLevel="0" collapsed="false">
      <c r="A46" s="3" t="s">
        <v>97</v>
      </c>
      <c r="B46" s="4" t="s">
        <v>92</v>
      </c>
      <c r="C46" s="4"/>
      <c r="D46" s="3" t="s">
        <v>98</v>
      </c>
      <c r="E46" s="3" t="str">
        <f aca="false">'RA-5-3'!B20</f>
        <v>Not Started</v>
      </c>
    </row>
    <row r="47" customFormat="false" ht="18" hidden="false" customHeight="true" outlineLevel="0" collapsed="false">
      <c r="A47" s="3" t="s">
        <v>99</v>
      </c>
      <c r="B47" s="4" t="s">
        <v>92</v>
      </c>
      <c r="C47" s="4"/>
      <c r="D47" s="3" t="s">
        <v>100</v>
      </c>
      <c r="E47" s="3" t="str">
        <f aca="false">'RA-5-5'!B20</f>
        <v>Not Started</v>
      </c>
    </row>
    <row r="48" customFormat="false" ht="18" hidden="false" customHeight="true" outlineLevel="0" collapsed="false">
      <c r="A48" s="3" t="s">
        <v>101</v>
      </c>
      <c r="B48" s="4" t="s">
        <v>92</v>
      </c>
      <c r="C48" s="4"/>
      <c r="D48" s="3" t="s">
        <v>102</v>
      </c>
      <c r="E48" s="3" t="str">
        <f aca="false">'RA-5-6'!B20</f>
        <v>Not Started</v>
      </c>
    </row>
    <row r="49" customFormat="false" ht="18" hidden="false" customHeight="true" outlineLevel="0" collapsed="false">
      <c r="A49" s="3" t="s">
        <v>103</v>
      </c>
      <c r="B49" s="4" t="s">
        <v>92</v>
      </c>
      <c r="C49" s="4"/>
      <c r="D49" s="3" t="s">
        <v>104</v>
      </c>
      <c r="E49" s="3" t="str">
        <f aca="false">'RA-5-8'!B20</f>
        <v>Not Started</v>
      </c>
    </row>
    <row r="50" customFormat="false" ht="18" hidden="false" customHeight="true" outlineLevel="0" collapsed="false">
      <c r="A50" s="3" t="s">
        <v>105</v>
      </c>
      <c r="B50" s="4" t="s">
        <v>106</v>
      </c>
      <c r="C50" s="4"/>
      <c r="D50" s="3" t="s">
        <v>107</v>
      </c>
      <c r="E50" s="3" t="str">
        <f aca="false">'SA-9-5'!B20</f>
        <v>Not Started</v>
      </c>
    </row>
    <row r="51" customFormat="false" ht="18" hidden="false" customHeight="true" outlineLevel="0" collapsed="false">
      <c r="A51" s="3" t="s">
        <v>108</v>
      </c>
      <c r="B51" s="4" t="s">
        <v>109</v>
      </c>
      <c r="C51" s="4"/>
      <c r="D51" s="3" t="s">
        <v>110</v>
      </c>
      <c r="E51" s="3" t="str">
        <f aca="false">'SA-11-1'!B20</f>
        <v>Not Started</v>
      </c>
    </row>
    <row r="52" customFormat="false" ht="18" hidden="false" customHeight="true" outlineLevel="0" collapsed="false">
      <c r="A52" s="3" t="s">
        <v>111</v>
      </c>
      <c r="B52" s="4" t="s">
        <v>109</v>
      </c>
      <c r="C52" s="4"/>
      <c r="D52" s="3" t="s">
        <v>112</v>
      </c>
      <c r="E52" s="3" t="str">
        <f aca="false">'SA-11-8'!B20</f>
        <v>Not Started</v>
      </c>
    </row>
    <row r="53" customFormat="false" ht="18" hidden="false" customHeight="true" outlineLevel="0" collapsed="false">
      <c r="A53" s="3" t="s">
        <v>113</v>
      </c>
      <c r="B53" s="4" t="s">
        <v>114</v>
      </c>
      <c r="C53" s="4"/>
      <c r="D53" s="3" t="s">
        <v>113</v>
      </c>
      <c r="E53" s="3" t="str">
        <f aca="false">'SC-5'!B20</f>
        <v>Not Started</v>
      </c>
    </row>
    <row r="54" customFormat="false" ht="18" hidden="false" customHeight="true" outlineLevel="0" collapsed="false">
      <c r="A54" s="3" t="s">
        <v>115</v>
      </c>
      <c r="B54" s="4" t="s">
        <v>116</v>
      </c>
      <c r="C54" s="4"/>
      <c r="D54" s="3" t="s">
        <v>115</v>
      </c>
      <c r="E54" s="3" t="str">
        <f aca="false">'SC-7'!B20</f>
        <v>Not Started</v>
      </c>
    </row>
    <row r="55" customFormat="false" ht="18" hidden="false" customHeight="true" outlineLevel="0" collapsed="false">
      <c r="A55" s="3" t="s">
        <v>117</v>
      </c>
      <c r="B55" s="4" t="s">
        <v>118</v>
      </c>
      <c r="C55" s="4"/>
      <c r="D55" s="3" t="s">
        <v>117</v>
      </c>
      <c r="E55" s="3" t="str">
        <f aca="false">'SC-13'!B20</f>
        <v>Not Started</v>
      </c>
    </row>
    <row r="56" customFormat="false" ht="18" hidden="false" customHeight="true" outlineLevel="0" collapsed="false">
      <c r="A56" s="3" t="s">
        <v>119</v>
      </c>
      <c r="B56" s="4" t="s">
        <v>120</v>
      </c>
      <c r="C56" s="4"/>
      <c r="D56" s="3" t="s">
        <v>119</v>
      </c>
      <c r="E56" s="3" t="str">
        <f aca="false">'SC-28'!B20</f>
        <v>Not Started</v>
      </c>
    </row>
    <row r="57" customFormat="false" ht="18" hidden="false" customHeight="true" outlineLevel="0" collapsed="false">
      <c r="A57" s="3" t="s">
        <v>121</v>
      </c>
      <c r="B57" s="4" t="s">
        <v>120</v>
      </c>
      <c r="C57" s="4"/>
      <c r="D57" s="3" t="s">
        <v>122</v>
      </c>
      <c r="E57" s="3" t="str">
        <f aca="false">'SC-28-1'!B20</f>
        <v>Not Started</v>
      </c>
    </row>
    <row r="58" customFormat="false" ht="18" hidden="false" customHeight="true" outlineLevel="0" collapsed="false">
      <c r="A58" s="3" t="s">
        <v>123</v>
      </c>
      <c r="B58" s="4" t="s">
        <v>124</v>
      </c>
      <c r="C58" s="4"/>
      <c r="D58" s="3" t="s">
        <v>123</v>
      </c>
      <c r="E58" s="3" t="str">
        <f aca="false">'SI-2'!B20</f>
        <v>Not Started</v>
      </c>
    </row>
    <row r="59" customFormat="false" ht="18" hidden="false" customHeight="true" outlineLevel="0" collapsed="false">
      <c r="A59" s="3" t="s">
        <v>125</v>
      </c>
      <c r="B59" s="4" t="s">
        <v>124</v>
      </c>
      <c r="C59" s="4"/>
      <c r="D59" s="3" t="s">
        <v>126</v>
      </c>
      <c r="E59" s="3" t="str">
        <f aca="false">'SI-2-2'!B20</f>
        <v>Not Started</v>
      </c>
    </row>
    <row r="60" customFormat="false" ht="18" hidden="false" customHeight="true" outlineLevel="0" collapsed="false">
      <c r="A60" s="3" t="s">
        <v>127</v>
      </c>
      <c r="B60" s="4" t="s">
        <v>128</v>
      </c>
      <c r="C60" s="4"/>
      <c r="D60" s="3" t="s">
        <v>127</v>
      </c>
      <c r="E60" s="3" t="str">
        <f aca="false">'SI-3'!B20</f>
        <v>Not Started</v>
      </c>
    </row>
    <row r="61" customFormat="false" ht="18" hidden="false" customHeight="true" outlineLevel="0" collapsed="false">
      <c r="A61" s="3" t="s">
        <v>129</v>
      </c>
      <c r="B61" s="4" t="s">
        <v>128</v>
      </c>
      <c r="C61" s="4"/>
      <c r="D61" s="3" t="s">
        <v>130</v>
      </c>
      <c r="E61" s="3" t="str">
        <f aca="false">'SI-3-1'!B20</f>
        <v>Not Started</v>
      </c>
    </row>
    <row r="62" customFormat="false" ht="18" hidden="false" customHeight="true" outlineLevel="0" collapsed="false">
      <c r="A62" s="3" t="s">
        <v>131</v>
      </c>
      <c r="B62" s="4" t="s">
        <v>128</v>
      </c>
      <c r="C62" s="4"/>
      <c r="D62" s="3" t="s">
        <v>132</v>
      </c>
      <c r="E62" s="3" t="str">
        <f aca="false">'SI-3-2'!B20</f>
        <v>Not Started</v>
      </c>
    </row>
    <row r="63" customFormat="false" ht="18" hidden="false" customHeight="true" outlineLevel="0" collapsed="false">
      <c r="A63" s="3" t="s">
        <v>133</v>
      </c>
      <c r="B63" s="4" t="s">
        <v>128</v>
      </c>
      <c r="C63" s="4"/>
      <c r="D63" s="3" t="s">
        <v>134</v>
      </c>
      <c r="E63" s="3" t="str">
        <f aca="false">'SI-3-7'!B20</f>
        <v>Not Started</v>
      </c>
    </row>
    <row r="64" customFormat="false" ht="18" hidden="false" customHeight="true" outlineLevel="0" collapsed="false">
      <c r="A64" s="3" t="s">
        <v>135</v>
      </c>
      <c r="B64" s="4" t="s">
        <v>136</v>
      </c>
      <c r="C64" s="4"/>
      <c r="D64" s="3" t="s">
        <v>135</v>
      </c>
      <c r="E64" s="3" t="str">
        <f aca="false">'SI-4'!B20</f>
        <v>Not Started</v>
      </c>
    </row>
    <row r="65" customFormat="false" ht="18" hidden="false" customHeight="true" outlineLevel="0" collapsed="false">
      <c r="A65" s="3" t="s">
        <v>137</v>
      </c>
      <c r="B65" s="4" t="s">
        <v>136</v>
      </c>
      <c r="C65" s="4"/>
      <c r="D65" s="3" t="s">
        <v>138</v>
      </c>
      <c r="E65" s="3" t="str">
        <f aca="false">'SI-4-1'!B20</f>
        <v>Not Started</v>
      </c>
    </row>
    <row r="66" customFormat="false" ht="18" hidden="false" customHeight="true" outlineLevel="0" collapsed="false">
      <c r="A66" s="3" t="s">
        <v>139</v>
      </c>
      <c r="B66" s="4" t="s">
        <v>136</v>
      </c>
      <c r="C66" s="4"/>
      <c r="D66" s="3" t="s">
        <v>140</v>
      </c>
      <c r="E66" s="3" t="str">
        <f aca="false">'SI-4-2'!B20</f>
        <v>Not Started</v>
      </c>
    </row>
    <row r="67" customFormat="false" ht="18" hidden="false" customHeight="true" outlineLevel="0" collapsed="false">
      <c r="A67" s="3" t="s">
        <v>141</v>
      </c>
      <c r="B67" s="4" t="s">
        <v>136</v>
      </c>
      <c r="C67" s="4"/>
      <c r="D67" s="3" t="s">
        <v>142</v>
      </c>
      <c r="E67" s="3" t="str">
        <f aca="false">'SI-4-4'!B20</f>
        <v>Not Started</v>
      </c>
    </row>
    <row r="68" customFormat="false" ht="18" hidden="false" customHeight="true" outlineLevel="0" collapsed="false">
      <c r="A68" s="3" t="s">
        <v>143</v>
      </c>
      <c r="B68" s="4" t="s">
        <v>136</v>
      </c>
      <c r="C68" s="4"/>
      <c r="D68" s="3" t="s">
        <v>144</v>
      </c>
      <c r="E68" s="3" t="str">
        <f aca="false">'SI-4-5'!B20</f>
        <v>Not Started</v>
      </c>
    </row>
    <row r="69" customFormat="false" ht="18" hidden="false" customHeight="true" outlineLevel="0" collapsed="false">
      <c r="A69" s="3" t="s">
        <v>145</v>
      </c>
      <c r="B69" s="4" t="s">
        <v>136</v>
      </c>
      <c r="C69" s="4"/>
      <c r="D69" s="3" t="s">
        <v>146</v>
      </c>
      <c r="E69" s="3" t="str">
        <f aca="false">'SI-4-11'!B20</f>
        <v>Not Started</v>
      </c>
    </row>
    <row r="70" customFormat="false" ht="18" hidden="false" customHeight="true" outlineLevel="0" collapsed="false">
      <c r="A70" s="3" t="s">
        <v>147</v>
      </c>
      <c r="B70" s="4" t="s">
        <v>148</v>
      </c>
      <c r="C70" s="4"/>
      <c r="D70" s="3" t="s">
        <v>147</v>
      </c>
      <c r="E70" s="3" t="str">
        <f aca="false">'SI-6'!B20</f>
        <v>Not Started</v>
      </c>
    </row>
    <row r="71" customFormat="false" ht="18" hidden="false" customHeight="true" outlineLevel="0" collapsed="false">
      <c r="A71" s="3" t="s">
        <v>149</v>
      </c>
      <c r="B71" s="4" t="s">
        <v>150</v>
      </c>
      <c r="C71" s="4"/>
      <c r="D71" s="3" t="s">
        <v>151</v>
      </c>
      <c r="E71" s="3" t="str">
        <f aca="false">'SI-7-7'!B20</f>
        <v>Not Started</v>
      </c>
    </row>
    <row r="72" customFormat="false" ht="18" hidden="false" customHeight="true" outlineLevel="0" collapsed="false">
      <c r="A72" s="3" t="s">
        <v>152</v>
      </c>
      <c r="B72" s="4" t="s">
        <v>153</v>
      </c>
      <c r="C72" s="4"/>
      <c r="D72" s="3" t="s">
        <v>152</v>
      </c>
      <c r="E72" s="3" t="str">
        <f aca="false">'SI-11'!B20</f>
        <v>Not Started</v>
      </c>
    </row>
    <row r="74" customFormat="false" ht="21.75" hidden="false" customHeight="true" outlineLevel="0" collapsed="false">
      <c r="A74" s="5" t="s">
        <v>154</v>
      </c>
      <c r="B74" s="5"/>
      <c r="C74" s="5"/>
      <c r="D74" s="5"/>
      <c r="E74" s="5"/>
    </row>
    <row r="75" customFormat="false" ht="19.5" hidden="false" customHeight="true" outlineLevel="0" collapsed="false">
      <c r="A75" s="6" t="s">
        <v>155</v>
      </c>
      <c r="B75" s="6"/>
      <c r="C75" s="6"/>
      <c r="D75" s="6"/>
      <c r="E75" s="7" t="n">
        <f aca="false">70</f>
        <v>70</v>
      </c>
    </row>
    <row r="76" customFormat="false" ht="19.5" hidden="false" customHeight="true" outlineLevel="0" collapsed="false">
      <c r="A76" s="6" t="s">
        <v>156</v>
      </c>
      <c r="B76" s="6"/>
      <c r="C76" s="6"/>
      <c r="D76" s="6"/>
      <c r="E76" s="7" t="n">
        <f aca="false">COUNTIF(E3:E72,"Not Started")</f>
        <v>70</v>
      </c>
    </row>
    <row r="77" customFormat="false" ht="19.5" hidden="false" customHeight="true" outlineLevel="0" collapsed="false">
      <c r="A77" s="6" t="s">
        <v>157</v>
      </c>
      <c r="B77" s="6"/>
      <c r="C77" s="6"/>
      <c r="D77" s="6"/>
      <c r="E77" s="7" t="n">
        <f aca="false">COUNTIF(E3:E72,"In Progress")</f>
        <v>0</v>
      </c>
    </row>
    <row r="78" customFormat="false" ht="19.5" hidden="false" customHeight="true" outlineLevel="0" collapsed="false">
      <c r="A78" s="6" t="s">
        <v>158</v>
      </c>
      <c r="B78" s="6"/>
      <c r="C78" s="6"/>
      <c r="D78" s="6"/>
      <c r="E78" s="7" t="n">
        <f aca="false">COUNTIF(E3:E72,"Evidence Provided")</f>
        <v>0</v>
      </c>
    </row>
    <row r="79" customFormat="false" ht="19.5" hidden="false" customHeight="true" outlineLevel="0" collapsed="false">
      <c r="A79" s="6" t="s">
        <v>159</v>
      </c>
      <c r="B79" s="6"/>
      <c r="C79" s="6"/>
      <c r="D79" s="6"/>
      <c r="E79" s="7" t="n">
        <f aca="false">COUNTIF(E3:E72,"Under Review")</f>
        <v>0</v>
      </c>
    </row>
    <row r="80" customFormat="false" ht="19.5" hidden="false" customHeight="true" outlineLevel="0" collapsed="false">
      <c r="A80" s="6" t="s">
        <v>160</v>
      </c>
      <c r="B80" s="6"/>
      <c r="C80" s="6"/>
      <c r="D80" s="6"/>
      <c r="E80" s="7" t="n">
        <f aca="false">COUNTIF(E3:E72,"Passed")</f>
        <v>0</v>
      </c>
    </row>
    <row r="81" customFormat="false" ht="19.5" hidden="false" customHeight="true" outlineLevel="0" collapsed="false">
      <c r="A81" s="6" t="s">
        <v>161</v>
      </c>
      <c r="B81" s="6"/>
      <c r="C81" s="6"/>
      <c r="D81" s="6"/>
      <c r="E81" s="7" t="n">
        <f aca="false">COUNTIF(E3:E72,"Failed")</f>
        <v>0</v>
      </c>
    </row>
    <row r="82" customFormat="false" ht="19.5" hidden="false" customHeight="true" outlineLevel="0" collapsed="false">
      <c r="A82" s="6" t="s">
        <v>162</v>
      </c>
      <c r="B82" s="6"/>
      <c r="C82" s="6"/>
      <c r="D82" s="6"/>
      <c r="E82" s="7" t="n">
        <f aca="false">COUNTIF(E3:E72,"Accepted Exception")</f>
        <v>0</v>
      </c>
    </row>
    <row r="83" customFormat="false" ht="19.5" hidden="false" customHeight="true" outlineLevel="0" collapsed="false">
      <c r="A83" s="6" t="s">
        <v>163</v>
      </c>
      <c r="B83" s="6"/>
      <c r="C83" s="6"/>
      <c r="D83" s="6"/>
      <c r="E83" s="8" t="n">
        <f aca="false">IFERROR(COUNTIF(E3:E72,"Passed")/70,0)</f>
        <v>0</v>
      </c>
    </row>
    <row r="84" customFormat="false" ht="19.5" hidden="false" customHeight="true" outlineLevel="0" collapsed="false">
      <c r="A84" s="6" t="s">
        <v>164</v>
      </c>
      <c r="B84" s="6"/>
      <c r="C84" s="6"/>
      <c r="D84" s="6"/>
      <c r="E84" s="8" t="n">
        <f aca="false">IFERROR(COUNTIF(E3:E72,"Not Started")/70,0)</f>
        <v>1</v>
      </c>
    </row>
  </sheetData>
  <mergeCells count="12">
    <mergeCell ref="A1:E1"/>
    <mergeCell ref="A74:E74"/>
    <mergeCell ref="A75:D75"/>
    <mergeCell ref="A76:D76"/>
    <mergeCell ref="A77:D77"/>
    <mergeCell ref="A78:D78"/>
    <mergeCell ref="A79:D79"/>
    <mergeCell ref="A80:D80"/>
    <mergeCell ref="A81:D81"/>
    <mergeCell ref="A82:D82"/>
    <mergeCell ref="A83:D83"/>
    <mergeCell ref="A84:D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165</v>
      </c>
      <c r="B1" s="1"/>
      <c r="C1" s="1"/>
      <c r="D1" s="1"/>
      <c r="E1" s="1"/>
    </row>
    <row r="2" customFormat="false" ht="21.75" hidden="false" customHeight="true" outlineLevel="0" collapsed="false">
      <c r="A2" s="2" t="s">
        <v>166</v>
      </c>
      <c r="B2" s="2" t="s">
        <v>167</v>
      </c>
      <c r="C2" s="2" t="s">
        <v>168</v>
      </c>
      <c r="D2" s="2" t="s">
        <v>169</v>
      </c>
      <c r="E2" s="2" t="s">
        <v>170</v>
      </c>
    </row>
    <row r="3" customFormat="false" ht="18" hidden="false" customHeight="true" outlineLevel="0" collapsed="false">
      <c r="A3" s="3" t="s">
        <v>6</v>
      </c>
      <c r="B3" s="4" t="s">
        <v>171</v>
      </c>
      <c r="C3" s="4"/>
      <c r="D3" s="3" t="s">
        <v>8</v>
      </c>
      <c r="E3" s="3" t="str">
        <f aca="false">'AC-2-4'!E20</f>
        <v>Non commencé</v>
      </c>
    </row>
    <row r="4" customFormat="false" ht="18" hidden="false" customHeight="true" outlineLevel="0" collapsed="false">
      <c r="A4" s="3" t="s">
        <v>9</v>
      </c>
      <c r="B4" s="4" t="s">
        <v>171</v>
      </c>
      <c r="C4" s="4"/>
      <c r="D4" s="3" t="s">
        <v>10</v>
      </c>
      <c r="E4" s="3" t="str">
        <f aca="false">'AC-2-5'!E20</f>
        <v>Non commencé</v>
      </c>
    </row>
    <row r="5" customFormat="false" ht="18" hidden="false" customHeight="true" outlineLevel="0" collapsed="false">
      <c r="A5" s="3" t="s">
        <v>11</v>
      </c>
      <c r="B5" s="4" t="s">
        <v>171</v>
      </c>
      <c r="C5" s="4"/>
      <c r="D5" s="3" t="s">
        <v>12</v>
      </c>
      <c r="E5" s="3" t="str">
        <f aca="false">'AC-2-7'!E20</f>
        <v>Non commencé</v>
      </c>
    </row>
    <row r="6" customFormat="false" ht="18" hidden="false" customHeight="true" outlineLevel="0" collapsed="false">
      <c r="A6" s="3" t="s">
        <v>13</v>
      </c>
      <c r="B6" s="4" t="s">
        <v>172</v>
      </c>
      <c r="C6" s="4"/>
      <c r="D6" s="3" t="s">
        <v>13</v>
      </c>
      <c r="E6" s="3" t="str">
        <f aca="false">'AC-6'!E20</f>
        <v>Non commencé</v>
      </c>
    </row>
    <row r="7" customFormat="false" ht="18" hidden="false" customHeight="true" outlineLevel="0" collapsed="false">
      <c r="A7" s="3" t="s">
        <v>15</v>
      </c>
      <c r="B7" s="4" t="s">
        <v>172</v>
      </c>
      <c r="C7" s="4"/>
      <c r="D7" s="3" t="s">
        <v>16</v>
      </c>
      <c r="E7" s="3" t="str">
        <f aca="false">'AC-6-1'!E20</f>
        <v>Non commencé</v>
      </c>
    </row>
    <row r="8" customFormat="false" ht="18" hidden="false" customHeight="true" outlineLevel="0" collapsed="false">
      <c r="A8" s="3" t="s">
        <v>17</v>
      </c>
      <c r="B8" s="4" t="s">
        <v>172</v>
      </c>
      <c r="C8" s="4"/>
      <c r="D8" s="3" t="s">
        <v>18</v>
      </c>
      <c r="E8" s="3" t="str">
        <f aca="false">'AC-6-9'!E20</f>
        <v>Non commencé</v>
      </c>
    </row>
    <row r="9" customFormat="false" ht="18" hidden="false" customHeight="true" outlineLevel="0" collapsed="false">
      <c r="A9" s="3" t="s">
        <v>19</v>
      </c>
      <c r="B9" s="4" t="s">
        <v>173</v>
      </c>
      <c r="C9" s="4"/>
      <c r="D9" s="3" t="s">
        <v>21</v>
      </c>
      <c r="E9" s="3" t="str">
        <f aca="false">'AC-17-1'!E20</f>
        <v>Non commencé</v>
      </c>
    </row>
    <row r="10" customFormat="false" ht="18" hidden="false" customHeight="true" outlineLevel="0" collapsed="false">
      <c r="A10" s="3" t="s">
        <v>22</v>
      </c>
      <c r="B10" s="4" t="s">
        <v>174</v>
      </c>
      <c r="C10" s="4"/>
      <c r="D10" s="3" t="s">
        <v>22</v>
      </c>
      <c r="E10" s="3" t="str">
        <f aca="false">'AU-2'!E20</f>
        <v>Non commencé</v>
      </c>
    </row>
    <row r="11" customFormat="false" ht="18" hidden="false" customHeight="true" outlineLevel="0" collapsed="false">
      <c r="A11" s="3" t="s">
        <v>24</v>
      </c>
      <c r="B11" s="4" t="s">
        <v>175</v>
      </c>
      <c r="C11" s="4"/>
      <c r="D11" s="3" t="s">
        <v>24</v>
      </c>
      <c r="E11" s="3" t="str">
        <f aca="false">'AU-3'!E20</f>
        <v>Non commencé</v>
      </c>
    </row>
    <row r="12" customFormat="false" ht="18" hidden="false" customHeight="true" outlineLevel="0" collapsed="false">
      <c r="A12" s="3" t="s">
        <v>26</v>
      </c>
      <c r="B12" s="4" t="s">
        <v>175</v>
      </c>
      <c r="C12" s="4"/>
      <c r="D12" s="3" t="s">
        <v>27</v>
      </c>
      <c r="E12" s="3" t="str">
        <f aca="false">'AU-3-1'!E20</f>
        <v>Non commencé</v>
      </c>
    </row>
    <row r="13" customFormat="false" ht="18" hidden="false" customHeight="true" outlineLevel="0" collapsed="false">
      <c r="A13" s="3" t="s">
        <v>28</v>
      </c>
      <c r="B13" s="4" t="s">
        <v>176</v>
      </c>
      <c r="C13" s="4"/>
      <c r="D13" s="3" t="s">
        <v>28</v>
      </c>
      <c r="E13" s="3" t="str">
        <f aca="false">'AU-5'!E20</f>
        <v>Non commencé</v>
      </c>
    </row>
    <row r="14" customFormat="false" ht="18" hidden="false" customHeight="true" outlineLevel="0" collapsed="false">
      <c r="A14" s="3" t="s">
        <v>30</v>
      </c>
      <c r="B14" s="4" t="s">
        <v>177</v>
      </c>
      <c r="C14" s="4"/>
      <c r="D14" s="3" t="s">
        <v>32</v>
      </c>
      <c r="E14" s="3" t="str">
        <f aca="false">'AU-6-1'!E20</f>
        <v>Non commencé</v>
      </c>
    </row>
    <row r="15" customFormat="false" ht="18" hidden="false" customHeight="true" outlineLevel="0" collapsed="false">
      <c r="A15" s="3" t="s">
        <v>33</v>
      </c>
      <c r="B15" s="4" t="s">
        <v>177</v>
      </c>
      <c r="C15" s="4"/>
      <c r="D15" s="3" t="s">
        <v>34</v>
      </c>
      <c r="E15" s="3" t="str">
        <f aca="false">'AU-6-3'!E20</f>
        <v>Non commencé</v>
      </c>
    </row>
    <row r="16" customFormat="false" ht="18" hidden="false" customHeight="true" outlineLevel="0" collapsed="false">
      <c r="A16" s="3" t="s">
        <v>35</v>
      </c>
      <c r="B16" s="4" t="s">
        <v>178</v>
      </c>
      <c r="C16" s="4"/>
      <c r="D16" s="3" t="s">
        <v>35</v>
      </c>
      <c r="E16" s="3" t="str">
        <f aca="false">'AU-7'!E20</f>
        <v>Non commencé</v>
      </c>
    </row>
    <row r="17" customFormat="false" ht="18" hidden="false" customHeight="true" outlineLevel="0" collapsed="false">
      <c r="A17" s="3" t="s">
        <v>37</v>
      </c>
      <c r="B17" s="4" t="s">
        <v>178</v>
      </c>
      <c r="C17" s="4"/>
      <c r="D17" s="3" t="s">
        <v>38</v>
      </c>
      <c r="E17" s="3" t="str">
        <f aca="false">'AU-7-1'!E20</f>
        <v>Non commencé</v>
      </c>
    </row>
    <row r="18" customFormat="false" ht="18" hidden="false" customHeight="true" outlineLevel="0" collapsed="false">
      <c r="A18" s="3" t="s">
        <v>39</v>
      </c>
      <c r="B18" s="4" t="s">
        <v>179</v>
      </c>
      <c r="C18" s="4"/>
      <c r="D18" s="3" t="s">
        <v>39</v>
      </c>
      <c r="E18" s="3" t="str">
        <f aca="false">'AU-8'!E20</f>
        <v>Non commencé</v>
      </c>
    </row>
    <row r="19" customFormat="false" ht="18" hidden="false" customHeight="true" outlineLevel="0" collapsed="false">
      <c r="A19" s="3" t="s">
        <v>41</v>
      </c>
      <c r="B19" s="4" t="s">
        <v>179</v>
      </c>
      <c r="C19" s="4"/>
      <c r="D19" s="3" t="s">
        <v>42</v>
      </c>
      <c r="E19" s="3" t="str">
        <f aca="false">'AU-8-1'!E20</f>
        <v>Non commencé</v>
      </c>
    </row>
    <row r="20" customFormat="false" ht="18" hidden="false" customHeight="true" outlineLevel="0" collapsed="false">
      <c r="A20" s="3" t="s">
        <v>43</v>
      </c>
      <c r="B20" s="4" t="s">
        <v>180</v>
      </c>
      <c r="C20" s="4"/>
      <c r="D20" s="3" t="s">
        <v>43</v>
      </c>
      <c r="E20" s="3" t="str">
        <f aca="false">'AU-9'!E20</f>
        <v>Non commencé</v>
      </c>
    </row>
    <row r="21" customFormat="false" ht="18" hidden="false" customHeight="true" outlineLevel="0" collapsed="false">
      <c r="A21" s="3" t="s">
        <v>45</v>
      </c>
      <c r="B21" s="4" t="s">
        <v>180</v>
      </c>
      <c r="C21" s="4"/>
      <c r="D21" s="3" t="s">
        <v>46</v>
      </c>
      <c r="E21" s="3" t="str">
        <f aca="false">'AU-9-2'!E20</f>
        <v>Non commencé</v>
      </c>
    </row>
    <row r="22" customFormat="false" ht="18" hidden="false" customHeight="true" outlineLevel="0" collapsed="false">
      <c r="A22" s="3" t="s">
        <v>47</v>
      </c>
      <c r="B22" s="4" t="s">
        <v>180</v>
      </c>
      <c r="C22" s="4"/>
      <c r="D22" s="3" t="s">
        <v>48</v>
      </c>
      <c r="E22" s="3" t="str">
        <f aca="false">'AU-9-4'!E20</f>
        <v>Non commencé</v>
      </c>
    </row>
    <row r="23" customFormat="false" ht="18" hidden="false" customHeight="true" outlineLevel="0" collapsed="false">
      <c r="A23" s="3" t="s">
        <v>49</v>
      </c>
      <c r="B23" s="4" t="s">
        <v>181</v>
      </c>
      <c r="C23" s="4"/>
      <c r="D23" s="3" t="s">
        <v>49</v>
      </c>
      <c r="E23" s="3" t="str">
        <f aca="false">'AU-11'!E20</f>
        <v>Non commencé</v>
      </c>
    </row>
    <row r="24" customFormat="false" ht="18" hidden="false" customHeight="true" outlineLevel="0" collapsed="false">
      <c r="A24" s="3" t="s">
        <v>51</v>
      </c>
      <c r="B24" s="4" t="s">
        <v>182</v>
      </c>
      <c r="C24" s="4"/>
      <c r="D24" s="3" t="s">
        <v>51</v>
      </c>
      <c r="E24" s="3" t="str">
        <f aca="false">'AU-12'!E20</f>
        <v>Non commencé</v>
      </c>
    </row>
    <row r="25" customFormat="false" ht="18" hidden="false" customHeight="true" outlineLevel="0" collapsed="false">
      <c r="A25" s="3" t="s">
        <v>53</v>
      </c>
      <c r="B25" s="4" t="s">
        <v>183</v>
      </c>
      <c r="C25" s="4"/>
      <c r="D25" s="3" t="s">
        <v>53</v>
      </c>
      <c r="E25" s="3" t="str">
        <f aca="false">'CA-9'!E20</f>
        <v>Non commencé</v>
      </c>
    </row>
    <row r="26" customFormat="false" ht="18" hidden="false" customHeight="true" outlineLevel="0" collapsed="false">
      <c r="A26" s="3" t="s">
        <v>55</v>
      </c>
      <c r="B26" s="4" t="s">
        <v>184</v>
      </c>
      <c r="C26" s="4"/>
      <c r="D26" s="3" t="s">
        <v>57</v>
      </c>
      <c r="E26" s="3" t="str">
        <f aca="false">'CM-5-1'!E20</f>
        <v>Non commencé</v>
      </c>
    </row>
    <row r="27" customFormat="false" ht="18" hidden="false" customHeight="true" outlineLevel="0" collapsed="false">
      <c r="A27" s="3" t="s">
        <v>58</v>
      </c>
      <c r="B27" s="4" t="s">
        <v>184</v>
      </c>
      <c r="C27" s="4"/>
      <c r="D27" s="3" t="s">
        <v>59</v>
      </c>
      <c r="E27" s="3" t="str">
        <f aca="false">'CM-5-6'!E20</f>
        <v>Non commencé</v>
      </c>
    </row>
    <row r="28" customFormat="false" ht="18" hidden="false" customHeight="true" outlineLevel="0" collapsed="false">
      <c r="A28" s="3" t="s">
        <v>60</v>
      </c>
      <c r="B28" s="4" t="s">
        <v>185</v>
      </c>
      <c r="C28" s="4"/>
      <c r="D28" s="3" t="s">
        <v>60</v>
      </c>
      <c r="E28" s="3" t="str">
        <f aca="false">'CM-6'!E20</f>
        <v>Non commencé</v>
      </c>
    </row>
    <row r="29" customFormat="false" ht="18" hidden="false" customHeight="true" outlineLevel="0" collapsed="false">
      <c r="A29" s="3" t="s">
        <v>62</v>
      </c>
      <c r="B29" s="4" t="s">
        <v>186</v>
      </c>
      <c r="C29" s="4"/>
      <c r="D29" s="3" t="s">
        <v>62</v>
      </c>
      <c r="E29" s="3" t="str">
        <f aca="false">'CM-7'!E20</f>
        <v>Non commencé</v>
      </c>
    </row>
    <row r="30" customFormat="false" ht="18" hidden="false" customHeight="true" outlineLevel="0" collapsed="false">
      <c r="A30" s="3" t="s">
        <v>64</v>
      </c>
      <c r="B30" s="4" t="s">
        <v>186</v>
      </c>
      <c r="C30" s="4"/>
      <c r="D30" s="3" t="s">
        <v>65</v>
      </c>
      <c r="E30" s="3" t="str">
        <f aca="false">'CM-7-1'!E20</f>
        <v>Non commencé</v>
      </c>
    </row>
    <row r="31" customFormat="false" ht="18" hidden="false" customHeight="true" outlineLevel="0" collapsed="false">
      <c r="A31" s="3" t="s">
        <v>66</v>
      </c>
      <c r="B31" s="4" t="s">
        <v>187</v>
      </c>
      <c r="C31" s="4"/>
      <c r="D31" s="3" t="s">
        <v>66</v>
      </c>
      <c r="E31" s="3" t="str">
        <f aca="false">'CP-6'!E20</f>
        <v>Non commencé</v>
      </c>
    </row>
    <row r="32" customFormat="false" ht="18" hidden="false" customHeight="true" outlineLevel="0" collapsed="false">
      <c r="A32" s="3" t="s">
        <v>68</v>
      </c>
      <c r="B32" s="4" t="s">
        <v>187</v>
      </c>
      <c r="C32" s="4"/>
      <c r="D32" s="3" t="s">
        <v>69</v>
      </c>
      <c r="E32" s="3" t="str">
        <f aca="false">'CP-6-2'!E20</f>
        <v>Non commencé</v>
      </c>
    </row>
    <row r="33" customFormat="false" ht="18" hidden="false" customHeight="true" outlineLevel="0" collapsed="false">
      <c r="A33" s="3" t="s">
        <v>70</v>
      </c>
      <c r="B33" s="4" t="s">
        <v>188</v>
      </c>
      <c r="C33" s="4"/>
      <c r="D33" s="3" t="s">
        <v>70</v>
      </c>
      <c r="E33" s="3" t="str">
        <f aca="false">'CP-7'!E20</f>
        <v>Non commencé</v>
      </c>
    </row>
    <row r="34" customFormat="false" ht="18" hidden="false" customHeight="true" outlineLevel="0" collapsed="false">
      <c r="A34" s="3" t="s">
        <v>72</v>
      </c>
      <c r="B34" s="4" t="s">
        <v>188</v>
      </c>
      <c r="C34" s="4"/>
      <c r="D34" s="3" t="s">
        <v>73</v>
      </c>
      <c r="E34" s="3" t="str">
        <f aca="false">'CP-7-4'!E20</f>
        <v>Non commencé</v>
      </c>
    </row>
    <row r="35" customFormat="false" ht="18" hidden="false" customHeight="true" outlineLevel="0" collapsed="false">
      <c r="A35" s="3" t="s">
        <v>74</v>
      </c>
      <c r="B35" s="4" t="s">
        <v>189</v>
      </c>
      <c r="C35" s="4"/>
      <c r="D35" s="3" t="s">
        <v>74</v>
      </c>
      <c r="E35" s="3" t="str">
        <f aca="false">'CP-9'!E20</f>
        <v>Non commencé</v>
      </c>
    </row>
    <row r="36" customFormat="false" ht="18" hidden="false" customHeight="true" outlineLevel="0" collapsed="false">
      <c r="A36" s="3" t="s">
        <v>76</v>
      </c>
      <c r="B36" s="4" t="s">
        <v>189</v>
      </c>
      <c r="C36" s="4"/>
      <c r="D36" s="3" t="s">
        <v>77</v>
      </c>
      <c r="E36" s="3" t="str">
        <f aca="false">'CP-9-1'!E20</f>
        <v>Non commencé</v>
      </c>
    </row>
    <row r="37" customFormat="false" ht="18" hidden="false" customHeight="true" outlineLevel="0" collapsed="false">
      <c r="A37" s="3" t="s">
        <v>78</v>
      </c>
      <c r="B37" s="4" t="s">
        <v>189</v>
      </c>
      <c r="C37" s="4"/>
      <c r="D37" s="3" t="s">
        <v>79</v>
      </c>
      <c r="E37" s="3" t="str">
        <f aca="false">'CP-9-2'!E20</f>
        <v>Non commencé</v>
      </c>
    </row>
    <row r="38" customFormat="false" ht="18" hidden="false" customHeight="true" outlineLevel="0" collapsed="false">
      <c r="A38" s="3" t="s">
        <v>80</v>
      </c>
      <c r="B38" s="4" t="s">
        <v>189</v>
      </c>
      <c r="C38" s="4"/>
      <c r="D38" s="3" t="s">
        <v>81</v>
      </c>
      <c r="E38" s="3" t="str">
        <f aca="false">'CP-9-5'!E20</f>
        <v>Non commencé</v>
      </c>
    </row>
    <row r="39" customFormat="false" ht="18" hidden="false" customHeight="true" outlineLevel="0" collapsed="false">
      <c r="A39" s="3" t="s">
        <v>82</v>
      </c>
      <c r="B39" s="4" t="s">
        <v>190</v>
      </c>
      <c r="C39" s="4"/>
      <c r="D39" s="3" t="s">
        <v>82</v>
      </c>
      <c r="E39" s="3" t="str">
        <f aca="false">'CP-10'!E20</f>
        <v>Non commencé</v>
      </c>
    </row>
    <row r="40" customFormat="false" ht="18" hidden="false" customHeight="true" outlineLevel="0" collapsed="false">
      <c r="A40" s="3" t="s">
        <v>84</v>
      </c>
      <c r="B40" s="4" t="s">
        <v>190</v>
      </c>
      <c r="C40" s="4"/>
      <c r="D40" s="3" t="s">
        <v>85</v>
      </c>
      <c r="E40" s="3" t="str">
        <f aca="false">'CP-10-2'!E20</f>
        <v>Non commencé</v>
      </c>
    </row>
    <row r="41" customFormat="false" ht="18" hidden="false" customHeight="true" outlineLevel="0" collapsed="false">
      <c r="A41" s="3" t="s">
        <v>86</v>
      </c>
      <c r="B41" s="4" t="s">
        <v>190</v>
      </c>
      <c r="C41" s="4"/>
      <c r="D41" s="3" t="s">
        <v>87</v>
      </c>
      <c r="E41" s="3" t="str">
        <f aca="false">'CP-10-4'!E20</f>
        <v>Non commencé</v>
      </c>
    </row>
    <row r="42" customFormat="false" ht="18" hidden="false" customHeight="true" outlineLevel="0" collapsed="false">
      <c r="A42" s="3" t="s">
        <v>88</v>
      </c>
      <c r="B42" s="4" t="s">
        <v>191</v>
      </c>
      <c r="C42" s="4"/>
      <c r="D42" s="3" t="s">
        <v>90</v>
      </c>
      <c r="E42" s="3" t="str">
        <f aca="false">'IA-5-7'!E20</f>
        <v>Non commencé</v>
      </c>
    </row>
    <row r="43" customFormat="false" ht="18" hidden="false" customHeight="true" outlineLevel="0" collapsed="false">
      <c r="A43" s="3" t="s">
        <v>91</v>
      </c>
      <c r="B43" s="4" t="s">
        <v>192</v>
      </c>
      <c r="C43" s="4"/>
      <c r="D43" s="3" t="s">
        <v>91</v>
      </c>
      <c r="E43" s="3" t="str">
        <f aca="false">'RA-5'!E20</f>
        <v>Non commencé</v>
      </c>
    </row>
    <row r="44" customFormat="false" ht="18" hidden="false" customHeight="true" outlineLevel="0" collapsed="false">
      <c r="A44" s="3" t="s">
        <v>93</v>
      </c>
      <c r="B44" s="4" t="s">
        <v>192</v>
      </c>
      <c r="C44" s="4"/>
      <c r="D44" s="3" t="s">
        <v>94</v>
      </c>
      <c r="E44" s="3" t="str">
        <f aca="false">'RA-5-1'!E20</f>
        <v>Non commencé</v>
      </c>
    </row>
    <row r="45" customFormat="false" ht="18" hidden="false" customHeight="true" outlineLevel="0" collapsed="false">
      <c r="A45" s="3" t="s">
        <v>95</v>
      </c>
      <c r="B45" s="4" t="s">
        <v>192</v>
      </c>
      <c r="C45" s="4"/>
      <c r="D45" s="3" t="s">
        <v>96</v>
      </c>
      <c r="E45" s="3" t="str">
        <f aca="false">'RA-5-2'!E20</f>
        <v>Non commencé</v>
      </c>
    </row>
    <row r="46" customFormat="false" ht="18" hidden="false" customHeight="true" outlineLevel="0" collapsed="false">
      <c r="A46" s="3" t="s">
        <v>97</v>
      </c>
      <c r="B46" s="4" t="s">
        <v>192</v>
      </c>
      <c r="C46" s="4"/>
      <c r="D46" s="3" t="s">
        <v>98</v>
      </c>
      <c r="E46" s="3" t="str">
        <f aca="false">'RA-5-3'!E20</f>
        <v>Non commencé</v>
      </c>
    </row>
    <row r="47" customFormat="false" ht="18" hidden="false" customHeight="true" outlineLevel="0" collapsed="false">
      <c r="A47" s="3" t="s">
        <v>99</v>
      </c>
      <c r="B47" s="4" t="s">
        <v>192</v>
      </c>
      <c r="C47" s="4"/>
      <c r="D47" s="3" t="s">
        <v>100</v>
      </c>
      <c r="E47" s="3" t="str">
        <f aca="false">'RA-5-5'!E20</f>
        <v>Non commencé</v>
      </c>
    </row>
    <row r="48" customFormat="false" ht="18" hidden="false" customHeight="true" outlineLevel="0" collapsed="false">
      <c r="A48" s="3" t="s">
        <v>101</v>
      </c>
      <c r="B48" s="4" t="s">
        <v>192</v>
      </c>
      <c r="C48" s="4"/>
      <c r="D48" s="3" t="s">
        <v>102</v>
      </c>
      <c r="E48" s="3" t="str">
        <f aca="false">'RA-5-6'!E20</f>
        <v>Non commencé</v>
      </c>
    </row>
    <row r="49" customFormat="false" ht="18" hidden="false" customHeight="true" outlineLevel="0" collapsed="false">
      <c r="A49" s="3" t="s">
        <v>103</v>
      </c>
      <c r="B49" s="4" t="s">
        <v>192</v>
      </c>
      <c r="C49" s="4"/>
      <c r="D49" s="3" t="s">
        <v>104</v>
      </c>
      <c r="E49" s="3" t="str">
        <f aca="false">'RA-5-8'!E20</f>
        <v>Non commencé</v>
      </c>
    </row>
    <row r="50" customFormat="false" ht="18" hidden="false" customHeight="true" outlineLevel="0" collapsed="false">
      <c r="A50" s="3" t="s">
        <v>105</v>
      </c>
      <c r="B50" s="4" t="s">
        <v>193</v>
      </c>
      <c r="C50" s="4"/>
      <c r="D50" s="3" t="s">
        <v>107</v>
      </c>
      <c r="E50" s="3" t="str">
        <f aca="false">'SA-9-5'!E20</f>
        <v>Non commencé</v>
      </c>
    </row>
    <row r="51" customFormat="false" ht="18" hidden="false" customHeight="true" outlineLevel="0" collapsed="false">
      <c r="A51" s="3" t="s">
        <v>108</v>
      </c>
      <c r="B51" s="4" t="s">
        <v>194</v>
      </c>
      <c r="C51" s="4"/>
      <c r="D51" s="3" t="s">
        <v>110</v>
      </c>
      <c r="E51" s="3" t="str">
        <f aca="false">'SA-11-1'!E20</f>
        <v>Non commencé</v>
      </c>
    </row>
    <row r="52" customFormat="false" ht="18" hidden="false" customHeight="true" outlineLevel="0" collapsed="false">
      <c r="A52" s="3" t="s">
        <v>111</v>
      </c>
      <c r="B52" s="4" t="s">
        <v>194</v>
      </c>
      <c r="C52" s="4"/>
      <c r="D52" s="3" t="s">
        <v>112</v>
      </c>
      <c r="E52" s="3" t="str">
        <f aca="false">'SA-11-8'!E20</f>
        <v>Non commencé</v>
      </c>
    </row>
    <row r="53" customFormat="false" ht="18" hidden="false" customHeight="true" outlineLevel="0" collapsed="false">
      <c r="A53" s="3" t="s">
        <v>113</v>
      </c>
      <c r="B53" s="4" t="s">
        <v>195</v>
      </c>
      <c r="C53" s="4"/>
      <c r="D53" s="3" t="s">
        <v>113</v>
      </c>
      <c r="E53" s="3" t="str">
        <f aca="false">'SC-5'!E20</f>
        <v>Non commencé</v>
      </c>
    </row>
    <row r="54" customFormat="false" ht="18" hidden="false" customHeight="true" outlineLevel="0" collapsed="false">
      <c r="A54" s="3" t="s">
        <v>115</v>
      </c>
      <c r="B54" s="4" t="s">
        <v>196</v>
      </c>
      <c r="C54" s="4"/>
      <c r="D54" s="3" t="s">
        <v>115</v>
      </c>
      <c r="E54" s="3" t="str">
        <f aca="false">'SC-7'!E20</f>
        <v>Non commencé</v>
      </c>
    </row>
    <row r="55" customFormat="false" ht="18" hidden="false" customHeight="true" outlineLevel="0" collapsed="false">
      <c r="A55" s="3" t="s">
        <v>117</v>
      </c>
      <c r="B55" s="4" t="s">
        <v>197</v>
      </c>
      <c r="C55" s="4"/>
      <c r="D55" s="3" t="s">
        <v>117</v>
      </c>
      <c r="E55" s="3" t="str">
        <f aca="false">'SC-13'!E20</f>
        <v>Non commencé</v>
      </c>
    </row>
    <row r="56" customFormat="false" ht="18" hidden="false" customHeight="true" outlineLevel="0" collapsed="false">
      <c r="A56" s="3" t="s">
        <v>119</v>
      </c>
      <c r="B56" s="4" t="s">
        <v>198</v>
      </c>
      <c r="C56" s="4"/>
      <c r="D56" s="3" t="s">
        <v>119</v>
      </c>
      <c r="E56" s="3" t="str">
        <f aca="false">'SC-28'!E20</f>
        <v>Non commencé</v>
      </c>
    </row>
    <row r="57" customFormat="false" ht="18" hidden="false" customHeight="true" outlineLevel="0" collapsed="false">
      <c r="A57" s="3" t="s">
        <v>121</v>
      </c>
      <c r="B57" s="4" t="s">
        <v>198</v>
      </c>
      <c r="C57" s="4"/>
      <c r="D57" s="3" t="s">
        <v>122</v>
      </c>
      <c r="E57" s="3" t="str">
        <f aca="false">'SC-28-1'!E20</f>
        <v>Non commencé</v>
      </c>
    </row>
    <row r="58" customFormat="false" ht="18" hidden="false" customHeight="true" outlineLevel="0" collapsed="false">
      <c r="A58" s="3" t="s">
        <v>123</v>
      </c>
      <c r="B58" s="4" t="s">
        <v>199</v>
      </c>
      <c r="C58" s="4"/>
      <c r="D58" s="3" t="s">
        <v>123</v>
      </c>
      <c r="E58" s="3" t="str">
        <f aca="false">'SI-2'!E20</f>
        <v>Non commencé</v>
      </c>
    </row>
    <row r="59" customFormat="false" ht="18" hidden="false" customHeight="true" outlineLevel="0" collapsed="false">
      <c r="A59" s="3" t="s">
        <v>125</v>
      </c>
      <c r="B59" s="4" t="s">
        <v>199</v>
      </c>
      <c r="C59" s="4"/>
      <c r="D59" s="3" t="s">
        <v>126</v>
      </c>
      <c r="E59" s="3" t="str">
        <f aca="false">'SI-2-2'!E20</f>
        <v>Non commencé</v>
      </c>
    </row>
    <row r="60" customFormat="false" ht="18" hidden="false" customHeight="true" outlineLevel="0" collapsed="false">
      <c r="A60" s="3" t="s">
        <v>127</v>
      </c>
      <c r="B60" s="4" t="s">
        <v>200</v>
      </c>
      <c r="C60" s="4"/>
      <c r="D60" s="3" t="s">
        <v>127</v>
      </c>
      <c r="E60" s="3" t="str">
        <f aca="false">'SI-3'!E20</f>
        <v>Non commencé</v>
      </c>
    </row>
    <row r="61" customFormat="false" ht="18" hidden="false" customHeight="true" outlineLevel="0" collapsed="false">
      <c r="A61" s="3" t="s">
        <v>129</v>
      </c>
      <c r="B61" s="4" t="s">
        <v>200</v>
      </c>
      <c r="C61" s="4"/>
      <c r="D61" s="3" t="s">
        <v>130</v>
      </c>
      <c r="E61" s="3" t="str">
        <f aca="false">'SI-3-1'!E20</f>
        <v>Non commencé</v>
      </c>
    </row>
    <row r="62" customFormat="false" ht="18" hidden="false" customHeight="true" outlineLevel="0" collapsed="false">
      <c r="A62" s="3" t="s">
        <v>131</v>
      </c>
      <c r="B62" s="4" t="s">
        <v>200</v>
      </c>
      <c r="C62" s="4"/>
      <c r="D62" s="3" t="s">
        <v>132</v>
      </c>
      <c r="E62" s="3" t="str">
        <f aca="false">'SI-3-2'!E20</f>
        <v>Non commencé</v>
      </c>
    </row>
    <row r="63" customFormat="false" ht="18" hidden="false" customHeight="true" outlineLevel="0" collapsed="false">
      <c r="A63" s="3" t="s">
        <v>133</v>
      </c>
      <c r="B63" s="4" t="s">
        <v>200</v>
      </c>
      <c r="C63" s="4"/>
      <c r="D63" s="3" t="s">
        <v>134</v>
      </c>
      <c r="E63" s="3" t="str">
        <f aca="false">'SI-3-7'!E20</f>
        <v>Non commencé</v>
      </c>
    </row>
    <row r="64" customFormat="false" ht="18" hidden="false" customHeight="true" outlineLevel="0" collapsed="false">
      <c r="A64" s="3" t="s">
        <v>135</v>
      </c>
      <c r="B64" s="4" t="s">
        <v>201</v>
      </c>
      <c r="C64" s="4"/>
      <c r="D64" s="3" t="s">
        <v>135</v>
      </c>
      <c r="E64" s="3" t="str">
        <f aca="false">'SI-4'!E20</f>
        <v>Non commencé</v>
      </c>
    </row>
    <row r="65" customFormat="false" ht="18" hidden="false" customHeight="true" outlineLevel="0" collapsed="false">
      <c r="A65" s="3" t="s">
        <v>137</v>
      </c>
      <c r="B65" s="4" t="s">
        <v>201</v>
      </c>
      <c r="C65" s="4"/>
      <c r="D65" s="3" t="s">
        <v>138</v>
      </c>
      <c r="E65" s="3" t="str">
        <f aca="false">'SI-4-1'!E20</f>
        <v>Non commencé</v>
      </c>
    </row>
    <row r="66" customFormat="false" ht="18" hidden="false" customHeight="true" outlineLevel="0" collapsed="false">
      <c r="A66" s="3" t="s">
        <v>139</v>
      </c>
      <c r="B66" s="4" t="s">
        <v>201</v>
      </c>
      <c r="C66" s="4"/>
      <c r="D66" s="3" t="s">
        <v>140</v>
      </c>
      <c r="E66" s="3" t="str">
        <f aca="false">'SI-4-2'!E20</f>
        <v>Non commencé</v>
      </c>
    </row>
    <row r="67" customFormat="false" ht="18" hidden="false" customHeight="true" outlineLevel="0" collapsed="false">
      <c r="A67" s="3" t="s">
        <v>141</v>
      </c>
      <c r="B67" s="4" t="s">
        <v>201</v>
      </c>
      <c r="C67" s="4"/>
      <c r="D67" s="3" t="s">
        <v>142</v>
      </c>
      <c r="E67" s="3" t="str">
        <f aca="false">'SI-4-4'!E20</f>
        <v>Non commencé</v>
      </c>
    </row>
    <row r="68" customFormat="false" ht="18" hidden="false" customHeight="true" outlineLevel="0" collapsed="false">
      <c r="A68" s="3" t="s">
        <v>143</v>
      </c>
      <c r="B68" s="4" t="s">
        <v>201</v>
      </c>
      <c r="C68" s="4"/>
      <c r="D68" s="3" t="s">
        <v>144</v>
      </c>
      <c r="E68" s="3" t="str">
        <f aca="false">'SI-4-5'!E20</f>
        <v>Non commencé</v>
      </c>
    </row>
    <row r="69" customFormat="false" ht="18" hidden="false" customHeight="true" outlineLevel="0" collapsed="false">
      <c r="A69" s="3" t="s">
        <v>145</v>
      </c>
      <c r="B69" s="4" t="s">
        <v>201</v>
      </c>
      <c r="C69" s="4"/>
      <c r="D69" s="3" t="s">
        <v>146</v>
      </c>
      <c r="E69" s="3" t="str">
        <f aca="false">'SI-4-11'!E20</f>
        <v>Non commencé</v>
      </c>
    </row>
    <row r="70" customFormat="false" ht="18" hidden="false" customHeight="true" outlineLevel="0" collapsed="false">
      <c r="A70" s="3" t="s">
        <v>147</v>
      </c>
      <c r="B70" s="4" t="s">
        <v>202</v>
      </c>
      <c r="C70" s="4"/>
      <c r="D70" s="3" t="s">
        <v>147</v>
      </c>
      <c r="E70" s="3" t="str">
        <f aca="false">'SI-6'!E20</f>
        <v>Non commencé</v>
      </c>
    </row>
    <row r="71" customFormat="false" ht="18" hidden="false" customHeight="true" outlineLevel="0" collapsed="false">
      <c r="A71" s="3" t="s">
        <v>149</v>
      </c>
      <c r="B71" s="4" t="s">
        <v>203</v>
      </c>
      <c r="C71" s="4"/>
      <c r="D71" s="3" t="s">
        <v>151</v>
      </c>
      <c r="E71" s="3" t="str">
        <f aca="false">'SI-7-7'!E20</f>
        <v>Non commencé</v>
      </c>
    </row>
    <row r="72" customFormat="false" ht="18" hidden="false" customHeight="true" outlineLevel="0" collapsed="false">
      <c r="A72" s="3" t="s">
        <v>152</v>
      </c>
      <c r="B72" s="4" t="s">
        <v>204</v>
      </c>
      <c r="C72" s="4"/>
      <c r="D72" s="3" t="s">
        <v>152</v>
      </c>
      <c r="E72" s="3" t="str">
        <f aca="false">'SI-11'!E20</f>
        <v>Non commencé</v>
      </c>
    </row>
    <row r="74" customFormat="false" ht="21.75" hidden="false" customHeight="true" outlineLevel="0" collapsed="false">
      <c r="A74" s="5" t="s">
        <v>205</v>
      </c>
      <c r="B74" s="5"/>
      <c r="C74" s="5"/>
      <c r="D74" s="5"/>
      <c r="E74" s="5"/>
    </row>
    <row r="75" customFormat="false" ht="19.5" hidden="false" customHeight="true" outlineLevel="0" collapsed="false">
      <c r="A75" s="6" t="s">
        <v>206</v>
      </c>
      <c r="B75" s="6"/>
      <c r="C75" s="6"/>
      <c r="D75" s="6"/>
      <c r="E75" s="7" t="n">
        <f aca="false">70</f>
        <v>70</v>
      </c>
    </row>
    <row r="76" customFormat="false" ht="19.5" hidden="false" customHeight="true" outlineLevel="0" collapsed="false">
      <c r="A76" s="6" t="s">
        <v>207</v>
      </c>
      <c r="B76" s="6"/>
      <c r="C76" s="6"/>
      <c r="D76" s="6"/>
      <c r="E76" s="7" t="n">
        <f aca="false">COUNTIF(E3:E72,"Non commencé")</f>
        <v>70</v>
      </c>
    </row>
    <row r="77" customFormat="false" ht="19.5" hidden="false" customHeight="true" outlineLevel="0" collapsed="false">
      <c r="A77" s="6" t="s">
        <v>208</v>
      </c>
      <c r="B77" s="6"/>
      <c r="C77" s="6"/>
      <c r="D77" s="6"/>
      <c r="E77" s="7" t="n">
        <f aca="false">COUNTIF(E3:E72,"En cours")</f>
        <v>0</v>
      </c>
    </row>
    <row r="78" customFormat="false" ht="19.5" hidden="false" customHeight="true" outlineLevel="0" collapsed="false">
      <c r="A78" s="6" t="s">
        <v>209</v>
      </c>
      <c r="B78" s="6"/>
      <c r="C78" s="6"/>
      <c r="D78" s="6"/>
      <c r="E78" s="7" t="n">
        <f aca="false">COUNTIF(E3:E72,"Preuve fournie")</f>
        <v>0</v>
      </c>
    </row>
    <row r="79" customFormat="false" ht="19.5" hidden="false" customHeight="true" outlineLevel="0" collapsed="false">
      <c r="A79" s="6" t="s">
        <v>210</v>
      </c>
      <c r="B79" s="6"/>
      <c r="C79" s="6"/>
      <c r="D79" s="6"/>
      <c r="E79" s="7" t="n">
        <f aca="false">COUNTIF(E3:E72,"En révision")</f>
        <v>0</v>
      </c>
    </row>
    <row r="80" customFormat="false" ht="19.5" hidden="false" customHeight="true" outlineLevel="0" collapsed="false">
      <c r="A80" s="6" t="s">
        <v>211</v>
      </c>
      <c r="B80" s="6"/>
      <c r="C80" s="6"/>
      <c r="D80" s="6"/>
      <c r="E80" s="7" t="n">
        <f aca="false">COUNTIF(E3:E72,"Réussi")</f>
        <v>0</v>
      </c>
    </row>
    <row r="81" customFormat="false" ht="19.5" hidden="false" customHeight="true" outlineLevel="0" collapsed="false">
      <c r="A81" s="6" t="s">
        <v>212</v>
      </c>
      <c r="B81" s="6"/>
      <c r="C81" s="6"/>
      <c r="D81" s="6"/>
      <c r="E81" s="7" t="n">
        <f aca="false">COUNTIF(E3:E72,"Échec")</f>
        <v>0</v>
      </c>
    </row>
    <row r="82" customFormat="false" ht="19.5" hidden="false" customHeight="true" outlineLevel="0" collapsed="false">
      <c r="A82" s="6" t="s">
        <v>213</v>
      </c>
      <c r="B82" s="6"/>
      <c r="C82" s="6"/>
      <c r="D82" s="6"/>
      <c r="E82" s="7" t="n">
        <f aca="false">COUNTIF(E3:E72,"Exception acceptée")</f>
        <v>0</v>
      </c>
    </row>
    <row r="83" customFormat="false" ht="19.5" hidden="false" customHeight="true" outlineLevel="0" collapsed="false">
      <c r="A83" s="6" t="s">
        <v>214</v>
      </c>
      <c r="B83" s="6"/>
      <c r="C83" s="6"/>
      <c r="D83" s="6"/>
      <c r="E83" s="8" t="n">
        <f aca="false">IFERROR(COUNTIF(E3:E72,"Réussi")/70,0)</f>
        <v>0</v>
      </c>
    </row>
    <row r="84" customFormat="false" ht="19.5" hidden="false" customHeight="true" outlineLevel="0" collapsed="false">
      <c r="A84" s="6" t="s">
        <v>215</v>
      </c>
      <c r="B84" s="6"/>
      <c r="C84" s="6"/>
      <c r="D84" s="6"/>
      <c r="E84" s="8" t="n">
        <f aca="false">IFERROR(COUNTIF(E3:E72,"Non commencé")/70,0)</f>
        <v>1</v>
      </c>
    </row>
  </sheetData>
  <mergeCells count="12">
    <mergeCell ref="A1:E1"/>
    <mergeCell ref="A74:E74"/>
    <mergeCell ref="A75:D75"/>
    <mergeCell ref="A76:D76"/>
    <mergeCell ref="A77:D77"/>
    <mergeCell ref="A78:D78"/>
    <mergeCell ref="A79:D79"/>
    <mergeCell ref="A80:D80"/>
    <mergeCell ref="A81:D81"/>
    <mergeCell ref="A82:D82"/>
    <mergeCell ref="A83:D83"/>
    <mergeCell ref="A84:D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216</v>
      </c>
      <c r="B1" s="9"/>
      <c r="D1" s="9" t="s">
        <v>217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6</v>
      </c>
      <c r="D3" s="11" t="s">
        <v>221</v>
      </c>
      <c r="E3" s="12" t="s">
        <v>6</v>
      </c>
    </row>
    <row r="4" customFormat="false" ht="21.75" hidden="false" customHeight="true" outlineLevel="0" collapsed="false">
      <c r="A4" s="11" t="s">
        <v>222</v>
      </c>
      <c r="B4" s="12" t="s">
        <v>7</v>
      </c>
      <c r="D4" s="11" t="s">
        <v>223</v>
      </c>
      <c r="E4" s="12" t="s">
        <v>171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233</v>
      </c>
      <c r="D8" s="11" t="s">
        <v>234</v>
      </c>
      <c r="E8" s="12" t="s">
        <v>235</v>
      </c>
    </row>
    <row r="9" customFormat="false" ht="45" hidden="false" customHeight="true" outlineLevel="0" collapsed="false">
      <c r="A9" s="11" t="s">
        <v>236</v>
      </c>
      <c r="B9" s="12"/>
      <c r="D9" s="11" t="s">
        <v>237</v>
      </c>
      <c r="E9" s="12"/>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241</v>
      </c>
      <c r="D11" s="11" t="s">
        <v>240</v>
      </c>
      <c r="E11" s="12" t="s">
        <v>241</v>
      </c>
    </row>
    <row r="12" customFormat="false" ht="21.75" hidden="false" customHeight="true" outlineLevel="0" collapsed="false">
      <c r="A12" s="11" t="s">
        <v>242</v>
      </c>
      <c r="B12" s="12" t="s">
        <v>6</v>
      </c>
      <c r="D12" s="11" t="s">
        <v>243</v>
      </c>
      <c r="E12" s="12" t="s">
        <v>6</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3D69B"/>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259</v>
      </c>
      <c r="B1" s="9"/>
      <c r="D1" s="9" t="s">
        <v>260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9</v>
      </c>
      <c r="D3" s="11" t="s">
        <v>221</v>
      </c>
      <c r="E3" s="12" t="s">
        <v>9</v>
      </c>
    </row>
    <row r="4" customFormat="false" ht="21.75" hidden="false" customHeight="true" outlineLevel="0" collapsed="false">
      <c r="A4" s="11" t="s">
        <v>222</v>
      </c>
      <c r="B4" s="12" t="s">
        <v>7</v>
      </c>
      <c r="D4" s="11" t="s">
        <v>223</v>
      </c>
      <c r="E4" s="12" t="s">
        <v>171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261</v>
      </c>
      <c r="D8" s="11" t="s">
        <v>234</v>
      </c>
      <c r="E8" s="12" t="s">
        <v>262</v>
      </c>
    </row>
    <row r="9" customFormat="false" ht="45" hidden="false" customHeight="true" outlineLevel="0" collapsed="false">
      <c r="A9" s="11" t="s">
        <v>236</v>
      </c>
      <c r="B9" s="12"/>
      <c r="D9" s="11" t="s">
        <v>237</v>
      </c>
      <c r="E9" s="12"/>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263</v>
      </c>
      <c r="D11" s="11" t="s">
        <v>240</v>
      </c>
      <c r="E11" s="12" t="s">
        <v>263</v>
      </c>
    </row>
    <row r="12" customFormat="false" ht="21.75" hidden="false" customHeight="true" outlineLevel="0" collapsed="false">
      <c r="A12" s="11" t="s">
        <v>242</v>
      </c>
      <c r="B12" s="12" t="s">
        <v>9</v>
      </c>
      <c r="D12" s="11" t="s">
        <v>243</v>
      </c>
      <c r="E12" s="12" t="s">
        <v>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264</v>
      </c>
      <c r="B1" s="9"/>
      <c r="D1" s="9" t="s">
        <v>265</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11</v>
      </c>
      <c r="D3" s="11" t="s">
        <v>221</v>
      </c>
      <c r="E3" s="12" t="s">
        <v>11</v>
      </c>
    </row>
    <row r="4" customFormat="false" ht="21.75" hidden="false" customHeight="true" outlineLevel="0" collapsed="false">
      <c r="A4" s="11" t="s">
        <v>222</v>
      </c>
      <c r="B4" s="12" t="s">
        <v>7</v>
      </c>
      <c r="D4" s="11" t="s">
        <v>223</v>
      </c>
      <c r="E4" s="12" t="s">
        <v>171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03.5" hidden="false" customHeight="true" outlineLevel="0" collapsed="false">
      <c r="A8" s="11" t="s">
        <v>232</v>
      </c>
      <c r="B8" s="12" t="s">
        <v>266</v>
      </c>
      <c r="D8" s="11" t="s">
        <v>234</v>
      </c>
      <c r="E8" s="12" t="s">
        <v>267</v>
      </c>
    </row>
    <row r="9" customFormat="false" ht="90.75" hidden="false" customHeight="true" outlineLevel="0" collapsed="false">
      <c r="A9" s="11" t="s">
        <v>236</v>
      </c>
      <c r="B9" s="12" t="s">
        <v>268</v>
      </c>
      <c r="D9" s="11" t="s">
        <v>237</v>
      </c>
      <c r="E9" s="12" t="s">
        <v>269</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270</v>
      </c>
      <c r="D11" s="11" t="s">
        <v>240</v>
      </c>
      <c r="E11" s="12" t="s">
        <v>270</v>
      </c>
    </row>
    <row r="12" customFormat="false" ht="21.75" hidden="false" customHeight="true" outlineLevel="0" collapsed="false">
      <c r="A12" s="11" t="s">
        <v>242</v>
      </c>
      <c r="B12" s="12" t="s">
        <v>11</v>
      </c>
      <c r="D12" s="11" t="s">
        <v>243</v>
      </c>
      <c r="E12" s="12" t="s">
        <v>11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271</v>
      </c>
      <c r="B1" s="9"/>
      <c r="D1" s="9" t="s">
        <v>272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13</v>
      </c>
      <c r="D3" s="11" t="s">
        <v>221</v>
      </c>
      <c r="E3" s="12" t="s">
        <v>13</v>
      </c>
    </row>
    <row r="4" customFormat="false" ht="21.75" hidden="false" customHeight="true" outlineLevel="0" collapsed="false">
      <c r="A4" s="11" t="s">
        <v>222</v>
      </c>
      <c r="B4" s="12" t="s">
        <v>14</v>
      </c>
      <c r="D4" s="11" t="s">
        <v>223</v>
      </c>
      <c r="E4" s="12" t="s">
        <v>172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273</v>
      </c>
      <c r="D8" s="11" t="s">
        <v>234</v>
      </c>
      <c r="E8" s="12" t="s">
        <v>274</v>
      </c>
    </row>
    <row r="9" customFormat="false" ht="156" hidden="false" customHeight="true" outlineLevel="0" collapsed="false">
      <c r="A9" s="11" t="s">
        <v>236</v>
      </c>
      <c r="B9" s="12" t="s">
        <v>275</v>
      </c>
      <c r="D9" s="11" t="s">
        <v>237</v>
      </c>
      <c r="E9" s="12" t="s">
        <v>276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277</v>
      </c>
      <c r="D11" s="11" t="s">
        <v>240</v>
      </c>
      <c r="E11" s="12" t="s">
        <v>277</v>
      </c>
    </row>
    <row r="12" customFormat="false" ht="21.75" hidden="false" customHeight="true" outlineLevel="0" collapsed="false">
      <c r="A12" s="11" t="s">
        <v>242</v>
      </c>
      <c r="B12" s="12" t="s">
        <v>13</v>
      </c>
      <c r="D12" s="11" t="s">
        <v>243</v>
      </c>
      <c r="E12" s="12" t="s">
        <v>13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278</v>
      </c>
      <c r="B1" s="9"/>
      <c r="D1" s="9" t="s">
        <v>279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15</v>
      </c>
      <c r="D3" s="11" t="s">
        <v>221</v>
      </c>
      <c r="E3" s="12" t="s">
        <v>15</v>
      </c>
    </row>
    <row r="4" customFormat="false" ht="21.75" hidden="false" customHeight="true" outlineLevel="0" collapsed="false">
      <c r="A4" s="11" t="s">
        <v>222</v>
      </c>
      <c r="B4" s="12" t="s">
        <v>14</v>
      </c>
      <c r="D4" s="11" t="s">
        <v>223</v>
      </c>
      <c r="E4" s="12" t="s">
        <v>172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280</v>
      </c>
      <c r="D8" s="11" t="s">
        <v>234</v>
      </c>
      <c r="E8" s="12" t="s">
        <v>281</v>
      </c>
    </row>
    <row r="9" customFormat="false" ht="168.75" hidden="false" customHeight="true" outlineLevel="0" collapsed="false">
      <c r="A9" s="11" t="s">
        <v>236</v>
      </c>
      <c r="B9" s="12" t="s">
        <v>282</v>
      </c>
      <c r="D9" s="11" t="s">
        <v>237</v>
      </c>
      <c r="E9" s="12" t="s">
        <v>283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284</v>
      </c>
      <c r="D11" s="11" t="s">
        <v>240</v>
      </c>
      <c r="E11" s="12" t="s">
        <v>284</v>
      </c>
    </row>
    <row r="12" customFormat="false" ht="21.75" hidden="false" customHeight="true" outlineLevel="0" collapsed="false">
      <c r="A12" s="11" t="s">
        <v>242</v>
      </c>
      <c r="B12" s="12" t="s">
        <v>15</v>
      </c>
      <c r="D12" s="11" t="s">
        <v>243</v>
      </c>
      <c r="E12" s="12" t="s">
        <v>15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285</v>
      </c>
      <c r="B1" s="9"/>
      <c r="D1" s="9" t="s">
        <v>286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17</v>
      </c>
      <c r="D3" s="11" t="s">
        <v>221</v>
      </c>
      <c r="E3" s="12" t="s">
        <v>17</v>
      </c>
    </row>
    <row r="4" customFormat="false" ht="21.75" hidden="false" customHeight="true" outlineLevel="0" collapsed="false">
      <c r="A4" s="11" t="s">
        <v>222</v>
      </c>
      <c r="B4" s="12" t="s">
        <v>14</v>
      </c>
      <c r="D4" s="11" t="s">
        <v>223</v>
      </c>
      <c r="E4" s="12" t="s">
        <v>172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287</v>
      </c>
      <c r="D8" s="11" t="s">
        <v>234</v>
      </c>
      <c r="E8" s="12" t="s">
        <v>288</v>
      </c>
    </row>
    <row r="9" customFormat="false" ht="103.5" hidden="false" customHeight="true" outlineLevel="0" collapsed="false">
      <c r="A9" s="11" t="s">
        <v>236</v>
      </c>
      <c r="B9" s="12" t="s">
        <v>289</v>
      </c>
      <c r="D9" s="11" t="s">
        <v>237</v>
      </c>
      <c r="E9" s="12" t="s">
        <v>290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291</v>
      </c>
      <c r="D11" s="11" t="s">
        <v>240</v>
      </c>
      <c r="E11" s="12" t="s">
        <v>291</v>
      </c>
    </row>
    <row r="12" customFormat="false" ht="21.75" hidden="false" customHeight="true" outlineLevel="0" collapsed="false">
      <c r="A12" s="11" t="s">
        <v>242</v>
      </c>
      <c r="B12" s="12" t="s">
        <v>17</v>
      </c>
      <c r="D12" s="11" t="s">
        <v>243</v>
      </c>
      <c r="E12" s="12" t="s">
        <v>17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292</v>
      </c>
      <c r="B1" s="9"/>
      <c r="D1" s="9" t="s">
        <v>293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19</v>
      </c>
      <c r="D3" s="11" t="s">
        <v>221</v>
      </c>
      <c r="E3" s="12" t="s">
        <v>19</v>
      </c>
    </row>
    <row r="4" customFormat="false" ht="21.75" hidden="false" customHeight="true" outlineLevel="0" collapsed="false">
      <c r="A4" s="11" t="s">
        <v>222</v>
      </c>
      <c r="B4" s="12" t="s">
        <v>20</v>
      </c>
      <c r="D4" s="11" t="s">
        <v>223</v>
      </c>
      <c r="E4" s="12" t="s">
        <v>173</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294</v>
      </c>
      <c r="D8" s="11" t="s">
        <v>234</v>
      </c>
      <c r="E8" s="12" t="s">
        <v>295</v>
      </c>
    </row>
    <row r="9" customFormat="false" ht="90.75" hidden="false" customHeight="true" outlineLevel="0" collapsed="false">
      <c r="A9" s="11" t="s">
        <v>236</v>
      </c>
      <c r="B9" s="12" t="s">
        <v>296</v>
      </c>
      <c r="D9" s="11" t="s">
        <v>237</v>
      </c>
      <c r="E9" s="12" t="s">
        <v>297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298</v>
      </c>
      <c r="D11" s="11" t="s">
        <v>240</v>
      </c>
      <c r="E11" s="12" t="s">
        <v>298</v>
      </c>
    </row>
    <row r="12" customFormat="false" ht="21.75" hidden="false" customHeight="true" outlineLevel="0" collapsed="false">
      <c r="A12" s="11" t="s">
        <v>242</v>
      </c>
      <c r="B12" s="12" t="s">
        <v>19</v>
      </c>
      <c r="D12" s="11" t="s">
        <v>243</v>
      </c>
      <c r="E12" s="12" t="s">
        <v>19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299</v>
      </c>
      <c r="B1" s="9"/>
      <c r="D1" s="9" t="s">
        <v>300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22</v>
      </c>
      <c r="D3" s="11" t="s">
        <v>221</v>
      </c>
      <c r="E3" s="12" t="s">
        <v>22</v>
      </c>
    </row>
    <row r="4" customFormat="false" ht="21.75" hidden="false" customHeight="true" outlineLevel="0" collapsed="false">
      <c r="A4" s="11" t="s">
        <v>222</v>
      </c>
      <c r="B4" s="12" t="s">
        <v>23</v>
      </c>
      <c r="D4" s="11" t="s">
        <v>223</v>
      </c>
      <c r="E4" s="12" t="s">
        <v>174</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234" hidden="false" customHeight="true" outlineLevel="0" collapsed="false">
      <c r="A8" s="11" t="s">
        <v>232</v>
      </c>
      <c r="B8" s="12" t="s">
        <v>301</v>
      </c>
      <c r="D8" s="11" t="s">
        <v>234</v>
      </c>
      <c r="E8" s="12" t="s">
        <v>302</v>
      </c>
    </row>
    <row r="9" customFormat="false" ht="300" hidden="false" customHeight="true" outlineLevel="0" collapsed="false">
      <c r="A9" s="11" t="s">
        <v>236</v>
      </c>
      <c r="B9" s="12" t="s">
        <v>303</v>
      </c>
      <c r="D9" s="11" t="s">
        <v>237</v>
      </c>
      <c r="E9" s="12" t="s">
        <v>304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305</v>
      </c>
      <c r="D11" s="11" t="s">
        <v>240</v>
      </c>
      <c r="E11" s="12" t="s">
        <v>305</v>
      </c>
    </row>
    <row r="12" customFormat="false" ht="21.75" hidden="false" customHeight="true" outlineLevel="0" collapsed="false">
      <c r="A12" s="11" t="s">
        <v>242</v>
      </c>
      <c r="B12" s="12" t="s">
        <v>22</v>
      </c>
      <c r="D12" s="11" t="s">
        <v>243</v>
      </c>
      <c r="E12" s="12" t="s">
        <v>22</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306</v>
      </c>
      <c r="B1" s="9"/>
      <c r="D1" s="9" t="s">
        <v>307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24</v>
      </c>
      <c r="D3" s="11" t="s">
        <v>221</v>
      </c>
      <c r="E3" s="12" t="s">
        <v>24</v>
      </c>
    </row>
    <row r="4" customFormat="false" ht="21.75" hidden="false" customHeight="true" outlineLevel="0" collapsed="false">
      <c r="A4" s="11" t="s">
        <v>222</v>
      </c>
      <c r="B4" s="12" t="s">
        <v>25</v>
      </c>
      <c r="D4" s="11" t="s">
        <v>223</v>
      </c>
      <c r="E4" s="12" t="s">
        <v>175</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308</v>
      </c>
      <c r="D8" s="11" t="s">
        <v>234</v>
      </c>
      <c r="E8" s="12" t="s">
        <v>309</v>
      </c>
    </row>
    <row r="9" customFormat="false" ht="129.75" hidden="false" customHeight="true" outlineLevel="0" collapsed="false">
      <c r="A9" s="11" t="s">
        <v>236</v>
      </c>
      <c r="B9" s="12" t="s">
        <v>310</v>
      </c>
      <c r="D9" s="11" t="s">
        <v>237</v>
      </c>
      <c r="E9" s="12" t="s">
        <v>311</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312</v>
      </c>
      <c r="D11" s="11" t="s">
        <v>240</v>
      </c>
      <c r="E11" s="12" t="s">
        <v>312</v>
      </c>
    </row>
    <row r="12" customFormat="false" ht="21.75" hidden="false" customHeight="true" outlineLevel="0" collapsed="false">
      <c r="A12" s="11" t="s">
        <v>242</v>
      </c>
      <c r="B12" s="12" t="s">
        <v>24</v>
      </c>
      <c r="D12" s="11" t="s">
        <v>243</v>
      </c>
      <c r="E12" s="12" t="s">
        <v>24</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313</v>
      </c>
      <c r="B1" s="9"/>
      <c r="D1" s="9" t="s">
        <v>314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26</v>
      </c>
      <c r="D3" s="11" t="s">
        <v>221</v>
      </c>
      <c r="E3" s="12" t="s">
        <v>26</v>
      </c>
    </row>
    <row r="4" customFormat="false" ht="21.75" hidden="false" customHeight="true" outlineLevel="0" collapsed="false">
      <c r="A4" s="11" t="s">
        <v>222</v>
      </c>
      <c r="B4" s="12" t="s">
        <v>25</v>
      </c>
      <c r="D4" s="11" t="s">
        <v>223</v>
      </c>
      <c r="E4" s="12" t="s">
        <v>175</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03.5" hidden="false" customHeight="true" outlineLevel="0" collapsed="false">
      <c r="A8" s="11" t="s">
        <v>232</v>
      </c>
      <c r="B8" s="12" t="s">
        <v>315</v>
      </c>
      <c r="D8" s="11" t="s">
        <v>234</v>
      </c>
      <c r="E8" s="12" t="s">
        <v>316</v>
      </c>
    </row>
    <row r="9" customFormat="false" ht="181.5" hidden="false" customHeight="true" outlineLevel="0" collapsed="false">
      <c r="A9" s="11" t="s">
        <v>236</v>
      </c>
      <c r="B9" s="12" t="s">
        <v>317</v>
      </c>
      <c r="D9" s="11" t="s">
        <v>237</v>
      </c>
      <c r="E9" s="12" t="s">
        <v>318</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319</v>
      </c>
      <c r="D11" s="11" t="s">
        <v>240</v>
      </c>
      <c r="E11" s="12" t="s">
        <v>319</v>
      </c>
    </row>
    <row r="12" customFormat="false" ht="21.75" hidden="false" customHeight="true" outlineLevel="0" collapsed="false">
      <c r="A12" s="11" t="s">
        <v>242</v>
      </c>
      <c r="B12" s="12" t="s">
        <v>26</v>
      </c>
      <c r="D12" s="11" t="s">
        <v>243</v>
      </c>
      <c r="E12" s="12" t="s">
        <v>26</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320</v>
      </c>
      <c r="B1" s="9"/>
      <c r="D1" s="9" t="s">
        <v>321</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28</v>
      </c>
      <c r="D3" s="11" t="s">
        <v>221</v>
      </c>
      <c r="E3" s="12" t="s">
        <v>28</v>
      </c>
    </row>
    <row r="4" customFormat="false" ht="21.75" hidden="false" customHeight="true" outlineLevel="0" collapsed="false">
      <c r="A4" s="11" t="s">
        <v>222</v>
      </c>
      <c r="B4" s="12" t="s">
        <v>29</v>
      </c>
      <c r="D4" s="11" t="s">
        <v>223</v>
      </c>
      <c r="E4" s="12" t="s">
        <v>176</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322</v>
      </c>
      <c r="D8" s="11" t="s">
        <v>234</v>
      </c>
      <c r="E8" s="12" t="s">
        <v>323</v>
      </c>
    </row>
    <row r="9" customFormat="false" ht="168.75" hidden="false" customHeight="true" outlineLevel="0" collapsed="false">
      <c r="A9" s="11" t="s">
        <v>236</v>
      </c>
      <c r="B9" s="12" t="s">
        <v>324</v>
      </c>
      <c r="D9" s="11" t="s">
        <v>237</v>
      </c>
      <c r="E9" s="12" t="s">
        <v>325</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326</v>
      </c>
      <c r="D11" s="11" t="s">
        <v>240</v>
      </c>
      <c r="E11" s="12" t="s">
        <v>326</v>
      </c>
    </row>
    <row r="12" customFormat="false" ht="21.75" hidden="false" customHeight="true" outlineLevel="0" collapsed="false">
      <c r="A12" s="11" t="s">
        <v>242</v>
      </c>
      <c r="B12" s="12" t="s">
        <v>28</v>
      </c>
      <c r="D12" s="11" t="s">
        <v>243</v>
      </c>
      <c r="E12" s="12" t="s">
        <v>28</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327</v>
      </c>
      <c r="B1" s="9"/>
      <c r="D1" s="9" t="s">
        <v>328</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30</v>
      </c>
      <c r="D3" s="11" t="s">
        <v>221</v>
      </c>
      <c r="E3" s="12" t="s">
        <v>30</v>
      </c>
    </row>
    <row r="4" customFormat="false" ht="21.75" hidden="false" customHeight="true" outlineLevel="0" collapsed="false">
      <c r="A4" s="11" t="s">
        <v>222</v>
      </c>
      <c r="B4" s="12" t="s">
        <v>31</v>
      </c>
      <c r="D4" s="11" t="s">
        <v>223</v>
      </c>
      <c r="E4" s="12" t="s">
        <v>177</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329</v>
      </c>
      <c r="D8" s="11" t="s">
        <v>234</v>
      </c>
      <c r="E8" s="12" t="s">
        <v>330</v>
      </c>
    </row>
    <row r="9" customFormat="false" ht="51.75" hidden="false" customHeight="true" outlineLevel="0" collapsed="false">
      <c r="A9" s="11" t="s">
        <v>236</v>
      </c>
      <c r="B9" s="12" t="s">
        <v>331</v>
      </c>
      <c r="D9" s="11" t="s">
        <v>237</v>
      </c>
      <c r="E9" s="12" t="s">
        <v>332</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333</v>
      </c>
      <c r="D11" s="11" t="s">
        <v>240</v>
      </c>
      <c r="E11" s="12" t="s">
        <v>333</v>
      </c>
    </row>
    <row r="12" customFormat="false" ht="21.75" hidden="false" customHeight="true" outlineLevel="0" collapsed="false">
      <c r="A12" s="11" t="s">
        <v>242</v>
      </c>
      <c r="B12" s="12" t="s">
        <v>30</v>
      </c>
      <c r="D12" s="11" t="s">
        <v>243</v>
      </c>
      <c r="E12" s="12" t="s">
        <v>30</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334</v>
      </c>
      <c r="B1" s="9"/>
      <c r="D1" s="9" t="s">
        <v>335</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33</v>
      </c>
      <c r="D3" s="11" t="s">
        <v>221</v>
      </c>
      <c r="E3" s="12" t="s">
        <v>33</v>
      </c>
    </row>
    <row r="4" customFormat="false" ht="21.75" hidden="false" customHeight="true" outlineLevel="0" collapsed="false">
      <c r="A4" s="11" t="s">
        <v>222</v>
      </c>
      <c r="B4" s="12" t="s">
        <v>31</v>
      </c>
      <c r="D4" s="11" t="s">
        <v>223</v>
      </c>
      <c r="E4" s="12" t="s">
        <v>177</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336</v>
      </c>
      <c r="D8" s="11" t="s">
        <v>234</v>
      </c>
      <c r="E8" s="12" t="s">
        <v>337</v>
      </c>
    </row>
    <row r="9" customFormat="false" ht="64.5" hidden="false" customHeight="true" outlineLevel="0" collapsed="false">
      <c r="A9" s="11" t="s">
        <v>236</v>
      </c>
      <c r="B9" s="12" t="s">
        <v>338</v>
      </c>
      <c r="D9" s="11" t="s">
        <v>237</v>
      </c>
      <c r="E9" s="12" t="s">
        <v>339</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340</v>
      </c>
      <c r="D11" s="11" t="s">
        <v>240</v>
      </c>
      <c r="E11" s="12" t="s">
        <v>340</v>
      </c>
    </row>
    <row r="12" customFormat="false" ht="21.75" hidden="false" customHeight="true" outlineLevel="0" collapsed="false">
      <c r="A12" s="11" t="s">
        <v>242</v>
      </c>
      <c r="B12" s="12" t="s">
        <v>33</v>
      </c>
      <c r="D12" s="11" t="s">
        <v>243</v>
      </c>
      <c r="E12" s="12" t="s">
        <v>33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341</v>
      </c>
      <c r="B1" s="9"/>
      <c r="D1" s="9" t="s">
        <v>342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35</v>
      </c>
      <c r="D3" s="11" t="s">
        <v>221</v>
      </c>
      <c r="E3" s="12" t="s">
        <v>35</v>
      </c>
    </row>
    <row r="4" customFormat="false" ht="21.75" hidden="false" customHeight="true" outlineLevel="0" collapsed="false">
      <c r="A4" s="11" t="s">
        <v>222</v>
      </c>
      <c r="B4" s="12" t="s">
        <v>36</v>
      </c>
      <c r="D4" s="11" t="s">
        <v>223</v>
      </c>
      <c r="E4" s="12" t="s">
        <v>178</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90.75" hidden="false" customHeight="true" outlineLevel="0" collapsed="false">
      <c r="A8" s="11" t="s">
        <v>232</v>
      </c>
      <c r="B8" s="12" t="s">
        <v>343</v>
      </c>
      <c r="D8" s="11" t="s">
        <v>234</v>
      </c>
      <c r="E8" s="12" t="s">
        <v>344</v>
      </c>
    </row>
    <row r="9" customFormat="false" ht="181.5" hidden="false" customHeight="true" outlineLevel="0" collapsed="false">
      <c r="A9" s="11" t="s">
        <v>236</v>
      </c>
      <c r="B9" s="12" t="s">
        <v>345</v>
      </c>
      <c r="D9" s="11" t="s">
        <v>237</v>
      </c>
      <c r="E9" s="12" t="s">
        <v>346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347</v>
      </c>
      <c r="D11" s="11" t="s">
        <v>240</v>
      </c>
      <c r="E11" s="12" t="s">
        <v>347</v>
      </c>
    </row>
    <row r="12" customFormat="false" ht="21.75" hidden="false" customHeight="true" outlineLevel="0" collapsed="false">
      <c r="A12" s="11" t="s">
        <v>242</v>
      </c>
      <c r="B12" s="12" t="s">
        <v>35</v>
      </c>
      <c r="D12" s="11" t="s">
        <v>243</v>
      </c>
      <c r="E12" s="12" t="s">
        <v>35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348</v>
      </c>
      <c r="B1" s="9"/>
      <c r="D1" s="9" t="s">
        <v>349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37</v>
      </c>
      <c r="D3" s="11" t="s">
        <v>221</v>
      </c>
      <c r="E3" s="12" t="s">
        <v>37</v>
      </c>
    </row>
    <row r="4" customFormat="false" ht="21.75" hidden="false" customHeight="true" outlineLevel="0" collapsed="false">
      <c r="A4" s="11" t="s">
        <v>222</v>
      </c>
      <c r="B4" s="12" t="s">
        <v>36</v>
      </c>
      <c r="D4" s="11" t="s">
        <v>223</v>
      </c>
      <c r="E4" s="12" t="s">
        <v>178</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350</v>
      </c>
      <c r="D8" s="11" t="s">
        <v>234</v>
      </c>
      <c r="E8" s="12" t="s">
        <v>351</v>
      </c>
    </row>
    <row r="9" customFormat="false" ht="142.5" hidden="false" customHeight="true" outlineLevel="0" collapsed="false">
      <c r="A9" s="11" t="s">
        <v>236</v>
      </c>
      <c r="B9" s="12" t="s">
        <v>352</v>
      </c>
      <c r="D9" s="11" t="s">
        <v>237</v>
      </c>
      <c r="E9" s="12" t="s">
        <v>353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354</v>
      </c>
      <c r="D11" s="11" t="s">
        <v>240</v>
      </c>
      <c r="E11" s="12" t="s">
        <v>354</v>
      </c>
    </row>
    <row r="12" customFormat="false" ht="21.75" hidden="false" customHeight="true" outlineLevel="0" collapsed="false">
      <c r="A12" s="11" t="s">
        <v>242</v>
      </c>
      <c r="B12" s="12" t="s">
        <v>37</v>
      </c>
      <c r="D12" s="11" t="s">
        <v>243</v>
      </c>
      <c r="E12" s="12" t="s">
        <v>37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355</v>
      </c>
      <c r="B1" s="9"/>
      <c r="D1" s="9" t="s">
        <v>356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39</v>
      </c>
      <c r="D3" s="11" t="s">
        <v>221</v>
      </c>
      <c r="E3" s="12" t="s">
        <v>39</v>
      </c>
    </row>
    <row r="4" customFormat="false" ht="21.75" hidden="false" customHeight="true" outlineLevel="0" collapsed="false">
      <c r="A4" s="11" t="s">
        <v>222</v>
      </c>
      <c r="B4" s="12" t="s">
        <v>40</v>
      </c>
      <c r="D4" s="11" t="s">
        <v>223</v>
      </c>
      <c r="E4" s="12" t="s">
        <v>179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78" hidden="false" customHeight="true" outlineLevel="0" collapsed="false">
      <c r="A8" s="11" t="s">
        <v>232</v>
      </c>
      <c r="B8" s="12" t="s">
        <v>357</v>
      </c>
      <c r="D8" s="11" t="s">
        <v>234</v>
      </c>
      <c r="E8" s="12" t="s">
        <v>358</v>
      </c>
    </row>
    <row r="9" customFormat="false" ht="156" hidden="false" customHeight="true" outlineLevel="0" collapsed="false">
      <c r="A9" s="11" t="s">
        <v>236</v>
      </c>
      <c r="B9" s="12" t="s">
        <v>359</v>
      </c>
      <c r="D9" s="11" t="s">
        <v>237</v>
      </c>
      <c r="E9" s="12" t="s">
        <v>360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361</v>
      </c>
      <c r="D11" s="11" t="s">
        <v>240</v>
      </c>
      <c r="E11" s="12" t="s">
        <v>361</v>
      </c>
    </row>
    <row r="12" customFormat="false" ht="21.75" hidden="false" customHeight="true" outlineLevel="0" collapsed="false">
      <c r="A12" s="11" t="s">
        <v>242</v>
      </c>
      <c r="B12" s="12" t="s">
        <v>39</v>
      </c>
      <c r="D12" s="11" t="s">
        <v>243</v>
      </c>
      <c r="E12" s="12" t="s">
        <v>39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362</v>
      </c>
      <c r="B1" s="9"/>
      <c r="D1" s="9" t="s">
        <v>363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41</v>
      </c>
      <c r="D3" s="11" t="s">
        <v>221</v>
      </c>
      <c r="E3" s="12" t="s">
        <v>41</v>
      </c>
    </row>
    <row r="4" customFormat="false" ht="21.75" hidden="false" customHeight="true" outlineLevel="0" collapsed="false">
      <c r="A4" s="11" t="s">
        <v>222</v>
      </c>
      <c r="B4" s="12" t="s">
        <v>40</v>
      </c>
      <c r="D4" s="11" t="s">
        <v>223</v>
      </c>
      <c r="E4" s="12" t="s">
        <v>179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90.75" hidden="false" customHeight="true" outlineLevel="0" collapsed="false">
      <c r="A8" s="11" t="s">
        <v>232</v>
      </c>
      <c r="B8" s="12" t="s">
        <v>364</v>
      </c>
      <c r="D8" s="11" t="s">
        <v>234</v>
      </c>
      <c r="E8" s="12" t="s">
        <v>365</v>
      </c>
    </row>
    <row r="9" customFormat="false" ht="45" hidden="false" customHeight="true" outlineLevel="0" collapsed="false">
      <c r="A9" s="11" t="s">
        <v>236</v>
      </c>
      <c r="B9" s="12" t="s">
        <v>366</v>
      </c>
      <c r="D9" s="11" t="s">
        <v>237</v>
      </c>
      <c r="E9" s="12" t="s">
        <v>367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368</v>
      </c>
      <c r="D11" s="11" t="s">
        <v>240</v>
      </c>
      <c r="E11" s="12" t="s">
        <v>368</v>
      </c>
    </row>
    <row r="12" customFormat="false" ht="21.75" hidden="false" customHeight="true" outlineLevel="0" collapsed="false">
      <c r="A12" s="11" t="s">
        <v>242</v>
      </c>
      <c r="B12" s="12" t="s">
        <v>41</v>
      </c>
      <c r="D12" s="11" t="s">
        <v>243</v>
      </c>
      <c r="E12" s="12" t="s">
        <v>41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369</v>
      </c>
      <c r="B1" s="9"/>
      <c r="D1" s="9" t="s">
        <v>370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43</v>
      </c>
      <c r="D3" s="11" t="s">
        <v>221</v>
      </c>
      <c r="E3" s="12" t="s">
        <v>43</v>
      </c>
    </row>
    <row r="4" customFormat="false" ht="21.75" hidden="false" customHeight="true" outlineLevel="0" collapsed="false">
      <c r="A4" s="11" t="s">
        <v>222</v>
      </c>
      <c r="B4" s="12" t="s">
        <v>44</v>
      </c>
      <c r="D4" s="11" t="s">
        <v>223</v>
      </c>
      <c r="E4" s="12" t="s">
        <v>180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371</v>
      </c>
      <c r="D8" s="11" t="s">
        <v>234</v>
      </c>
      <c r="E8" s="12" t="s">
        <v>372</v>
      </c>
    </row>
    <row r="9" customFormat="false" ht="117" hidden="false" customHeight="true" outlineLevel="0" collapsed="false">
      <c r="A9" s="11" t="s">
        <v>236</v>
      </c>
      <c r="B9" s="12" t="s">
        <v>373</v>
      </c>
      <c r="D9" s="11" t="s">
        <v>237</v>
      </c>
      <c r="E9" s="12" t="s">
        <v>374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375</v>
      </c>
      <c r="D11" s="11" t="s">
        <v>240</v>
      </c>
      <c r="E11" s="12" t="s">
        <v>375</v>
      </c>
    </row>
    <row r="12" customFormat="false" ht="21.75" hidden="false" customHeight="true" outlineLevel="0" collapsed="false">
      <c r="A12" s="11" t="s">
        <v>242</v>
      </c>
      <c r="B12" s="12" t="s">
        <v>43</v>
      </c>
      <c r="D12" s="11" t="s">
        <v>243</v>
      </c>
      <c r="E12" s="12" t="s">
        <v>43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376</v>
      </c>
      <c r="B1" s="9"/>
      <c r="D1" s="9" t="s">
        <v>377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45</v>
      </c>
      <c r="D3" s="11" t="s">
        <v>221</v>
      </c>
      <c r="E3" s="12" t="s">
        <v>45</v>
      </c>
    </row>
    <row r="4" customFormat="false" ht="21.75" hidden="false" customHeight="true" outlineLevel="0" collapsed="false">
      <c r="A4" s="11" t="s">
        <v>222</v>
      </c>
      <c r="B4" s="12" t="s">
        <v>44</v>
      </c>
      <c r="D4" s="11" t="s">
        <v>223</v>
      </c>
      <c r="E4" s="12" t="s">
        <v>180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378</v>
      </c>
      <c r="D8" s="11" t="s">
        <v>234</v>
      </c>
      <c r="E8" s="12" t="s">
        <v>379</v>
      </c>
    </row>
    <row r="9" customFormat="false" ht="51.75" hidden="false" customHeight="true" outlineLevel="0" collapsed="false">
      <c r="A9" s="11" t="s">
        <v>236</v>
      </c>
      <c r="B9" s="12" t="s">
        <v>380</v>
      </c>
      <c r="D9" s="11" t="s">
        <v>237</v>
      </c>
      <c r="E9" s="12" t="s">
        <v>381</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382</v>
      </c>
      <c r="D11" s="11" t="s">
        <v>240</v>
      </c>
      <c r="E11" s="12" t="s">
        <v>382</v>
      </c>
    </row>
    <row r="12" customFormat="false" ht="21.75" hidden="false" customHeight="true" outlineLevel="0" collapsed="false">
      <c r="A12" s="11" t="s">
        <v>242</v>
      </c>
      <c r="B12" s="12" t="s">
        <v>45</v>
      </c>
      <c r="D12" s="11" t="s">
        <v>243</v>
      </c>
      <c r="E12" s="12" t="s">
        <v>45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383</v>
      </c>
      <c r="B1" s="9"/>
      <c r="D1" s="9" t="s">
        <v>384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47</v>
      </c>
      <c r="D3" s="11" t="s">
        <v>221</v>
      </c>
      <c r="E3" s="12" t="s">
        <v>47</v>
      </c>
    </row>
    <row r="4" customFormat="false" ht="21.75" hidden="false" customHeight="true" outlineLevel="0" collapsed="false">
      <c r="A4" s="11" t="s">
        <v>222</v>
      </c>
      <c r="B4" s="12" t="s">
        <v>44</v>
      </c>
      <c r="D4" s="11" t="s">
        <v>223</v>
      </c>
      <c r="E4" s="12" t="s">
        <v>180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385</v>
      </c>
      <c r="D8" s="11" t="s">
        <v>234</v>
      </c>
      <c r="E8" s="12" t="s">
        <v>386</v>
      </c>
    </row>
    <row r="9" customFormat="false" ht="103.5" hidden="false" customHeight="true" outlineLevel="0" collapsed="false">
      <c r="A9" s="11" t="s">
        <v>236</v>
      </c>
      <c r="B9" s="12" t="s">
        <v>387</v>
      </c>
      <c r="D9" s="11" t="s">
        <v>237</v>
      </c>
      <c r="E9" s="12" t="s">
        <v>388</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389</v>
      </c>
      <c r="D11" s="11" t="s">
        <v>240</v>
      </c>
      <c r="E11" s="12" t="s">
        <v>389</v>
      </c>
    </row>
    <row r="12" customFormat="false" ht="21.75" hidden="false" customHeight="true" outlineLevel="0" collapsed="false">
      <c r="A12" s="11" t="s">
        <v>242</v>
      </c>
      <c r="B12" s="12" t="s">
        <v>47</v>
      </c>
      <c r="D12" s="11" t="s">
        <v>243</v>
      </c>
      <c r="E12" s="12" t="s">
        <v>47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390</v>
      </c>
      <c r="B1" s="9"/>
      <c r="D1" s="9" t="s">
        <v>391</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49</v>
      </c>
      <c r="D3" s="11" t="s">
        <v>221</v>
      </c>
      <c r="E3" s="12" t="s">
        <v>49</v>
      </c>
    </row>
    <row r="4" customFormat="false" ht="21.75" hidden="false" customHeight="true" outlineLevel="0" collapsed="false">
      <c r="A4" s="11" t="s">
        <v>222</v>
      </c>
      <c r="B4" s="12" t="s">
        <v>50</v>
      </c>
      <c r="D4" s="11" t="s">
        <v>223</v>
      </c>
      <c r="E4" s="12" t="s">
        <v>181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03.5" hidden="false" customHeight="true" outlineLevel="0" collapsed="false">
      <c r="A8" s="11" t="s">
        <v>232</v>
      </c>
      <c r="B8" s="12" t="s">
        <v>392</v>
      </c>
      <c r="D8" s="11" t="s">
        <v>234</v>
      </c>
      <c r="E8" s="12" t="s">
        <v>393</v>
      </c>
    </row>
    <row r="9" customFormat="false" ht="129.75" hidden="false" customHeight="true" outlineLevel="0" collapsed="false">
      <c r="A9" s="11" t="s">
        <v>236</v>
      </c>
      <c r="B9" s="12" t="s">
        <v>394</v>
      </c>
      <c r="D9" s="11" t="s">
        <v>237</v>
      </c>
      <c r="E9" s="12" t="s">
        <v>395</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396</v>
      </c>
      <c r="D11" s="11" t="s">
        <v>240</v>
      </c>
      <c r="E11" s="12" t="s">
        <v>396</v>
      </c>
    </row>
    <row r="12" customFormat="false" ht="21.75" hidden="false" customHeight="true" outlineLevel="0" collapsed="false">
      <c r="A12" s="11" t="s">
        <v>242</v>
      </c>
      <c r="B12" s="12" t="s">
        <v>49</v>
      </c>
      <c r="D12" s="11" t="s">
        <v>243</v>
      </c>
      <c r="E12" s="12" t="s">
        <v>49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397</v>
      </c>
      <c r="B1" s="9"/>
      <c r="D1" s="9" t="s">
        <v>398</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51</v>
      </c>
      <c r="D3" s="11" t="s">
        <v>221</v>
      </c>
      <c r="E3" s="12" t="s">
        <v>51</v>
      </c>
    </row>
    <row r="4" customFormat="false" ht="21.75" hidden="false" customHeight="true" outlineLevel="0" collapsed="false">
      <c r="A4" s="11" t="s">
        <v>222</v>
      </c>
      <c r="B4" s="12" t="s">
        <v>52</v>
      </c>
      <c r="D4" s="11" t="s">
        <v>223</v>
      </c>
      <c r="E4" s="12" t="s">
        <v>182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17" hidden="false" customHeight="true" outlineLevel="0" collapsed="false">
      <c r="A8" s="11" t="s">
        <v>232</v>
      </c>
      <c r="B8" s="12" t="s">
        <v>399</v>
      </c>
      <c r="D8" s="11" t="s">
        <v>234</v>
      </c>
      <c r="E8" s="12" t="s">
        <v>400</v>
      </c>
    </row>
    <row r="9" customFormat="false" ht="90.75" hidden="false" customHeight="true" outlineLevel="0" collapsed="false">
      <c r="A9" s="11" t="s">
        <v>236</v>
      </c>
      <c r="B9" s="12" t="s">
        <v>401</v>
      </c>
      <c r="D9" s="11" t="s">
        <v>237</v>
      </c>
      <c r="E9" s="12" t="s">
        <v>402</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403</v>
      </c>
      <c r="D11" s="11" t="s">
        <v>240</v>
      </c>
      <c r="E11" s="12" t="s">
        <v>403</v>
      </c>
    </row>
    <row r="12" customFormat="false" ht="21.75" hidden="false" customHeight="true" outlineLevel="0" collapsed="false">
      <c r="A12" s="11" t="s">
        <v>242</v>
      </c>
      <c r="B12" s="12" t="s">
        <v>51</v>
      </c>
      <c r="D12" s="11" t="s">
        <v>243</v>
      </c>
      <c r="E12" s="12" t="s">
        <v>51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404</v>
      </c>
      <c r="B1" s="9"/>
      <c r="D1" s="9" t="s">
        <v>405</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53</v>
      </c>
      <c r="D3" s="11" t="s">
        <v>221</v>
      </c>
      <c r="E3" s="12" t="s">
        <v>53</v>
      </c>
    </row>
    <row r="4" customFormat="false" ht="21.75" hidden="false" customHeight="true" outlineLevel="0" collapsed="false">
      <c r="A4" s="11" t="s">
        <v>222</v>
      </c>
      <c r="B4" s="12" t="s">
        <v>54</v>
      </c>
      <c r="D4" s="11" t="s">
        <v>223</v>
      </c>
      <c r="E4" s="12" t="s">
        <v>183</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406</v>
      </c>
      <c r="D8" s="11" t="s">
        <v>234</v>
      </c>
      <c r="E8" s="12" t="s">
        <v>407</v>
      </c>
    </row>
    <row r="9" customFormat="false" ht="181.5" hidden="false" customHeight="true" outlineLevel="0" collapsed="false">
      <c r="A9" s="11" t="s">
        <v>236</v>
      </c>
      <c r="B9" s="12" t="s">
        <v>408</v>
      </c>
      <c r="D9" s="11" t="s">
        <v>237</v>
      </c>
      <c r="E9" s="12" t="s">
        <v>409</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410</v>
      </c>
      <c r="D11" s="11" t="s">
        <v>240</v>
      </c>
      <c r="E11" s="12" t="s">
        <v>410</v>
      </c>
    </row>
    <row r="12" customFormat="false" ht="21.75" hidden="false" customHeight="true" outlineLevel="0" collapsed="false">
      <c r="A12" s="11" t="s">
        <v>242</v>
      </c>
      <c r="B12" s="12" t="s">
        <v>53</v>
      </c>
      <c r="D12" s="11" t="s">
        <v>243</v>
      </c>
      <c r="E12" s="12" t="s">
        <v>53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411</v>
      </c>
      <c r="B1" s="9"/>
      <c r="D1" s="9" t="s">
        <v>412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55</v>
      </c>
      <c r="D3" s="11" t="s">
        <v>221</v>
      </c>
      <c r="E3" s="12" t="s">
        <v>55</v>
      </c>
    </row>
    <row r="4" customFormat="false" ht="21.75" hidden="false" customHeight="true" outlineLevel="0" collapsed="false">
      <c r="A4" s="11" t="s">
        <v>222</v>
      </c>
      <c r="B4" s="12" t="s">
        <v>56</v>
      </c>
      <c r="D4" s="11" t="s">
        <v>223</v>
      </c>
      <c r="E4" s="12" t="s">
        <v>184</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413</v>
      </c>
      <c r="D8" s="11" t="s">
        <v>234</v>
      </c>
      <c r="E8" s="12" t="s">
        <v>414</v>
      </c>
    </row>
    <row r="9" customFormat="false" ht="45" hidden="false" customHeight="true" outlineLevel="0" collapsed="false">
      <c r="A9" s="11" t="s">
        <v>236</v>
      </c>
      <c r="B9" s="12" t="s">
        <v>415</v>
      </c>
      <c r="D9" s="11" t="s">
        <v>237</v>
      </c>
      <c r="E9" s="12" t="s">
        <v>416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417</v>
      </c>
      <c r="D11" s="11" t="s">
        <v>240</v>
      </c>
      <c r="E11" s="12" t="s">
        <v>417</v>
      </c>
    </row>
    <row r="12" customFormat="false" ht="21.75" hidden="false" customHeight="true" outlineLevel="0" collapsed="false">
      <c r="A12" s="11" t="s">
        <v>242</v>
      </c>
      <c r="B12" s="12" t="s">
        <v>55</v>
      </c>
      <c r="D12" s="11" t="s">
        <v>243</v>
      </c>
      <c r="E12" s="12" t="s">
        <v>55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418</v>
      </c>
      <c r="B1" s="9"/>
      <c r="D1" s="9" t="s">
        <v>419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58</v>
      </c>
      <c r="D3" s="11" t="s">
        <v>221</v>
      </c>
      <c r="E3" s="12" t="s">
        <v>58</v>
      </c>
    </row>
    <row r="4" customFormat="false" ht="21.75" hidden="false" customHeight="true" outlineLevel="0" collapsed="false">
      <c r="A4" s="11" t="s">
        <v>222</v>
      </c>
      <c r="B4" s="12" t="s">
        <v>56</v>
      </c>
      <c r="D4" s="11" t="s">
        <v>223</v>
      </c>
      <c r="E4" s="12" t="s">
        <v>184</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420</v>
      </c>
      <c r="D8" s="11" t="s">
        <v>234</v>
      </c>
      <c r="E8" s="12" t="s">
        <v>421</v>
      </c>
    </row>
    <row r="9" customFormat="false" ht="45" hidden="false" customHeight="true" outlineLevel="0" collapsed="false">
      <c r="A9" s="11" t="s">
        <v>236</v>
      </c>
      <c r="B9" s="12" t="s">
        <v>422</v>
      </c>
      <c r="D9" s="11" t="s">
        <v>237</v>
      </c>
      <c r="E9" s="12" t="s">
        <v>423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424</v>
      </c>
      <c r="D11" s="11" t="s">
        <v>240</v>
      </c>
      <c r="E11" s="12" t="s">
        <v>424</v>
      </c>
    </row>
    <row r="12" customFormat="false" ht="21.75" hidden="false" customHeight="true" outlineLevel="0" collapsed="false">
      <c r="A12" s="11" t="s">
        <v>242</v>
      </c>
      <c r="B12" s="12" t="s">
        <v>58</v>
      </c>
      <c r="D12" s="11" t="s">
        <v>243</v>
      </c>
      <c r="E12" s="12" t="s">
        <v>58</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425</v>
      </c>
      <c r="B1" s="9"/>
      <c r="D1" s="9" t="s">
        <v>426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60</v>
      </c>
      <c r="D3" s="11" t="s">
        <v>221</v>
      </c>
      <c r="E3" s="12" t="s">
        <v>60</v>
      </c>
    </row>
    <row r="4" customFormat="false" ht="21.75" hidden="false" customHeight="true" outlineLevel="0" collapsed="false">
      <c r="A4" s="11" t="s">
        <v>222</v>
      </c>
      <c r="B4" s="12" t="s">
        <v>61</v>
      </c>
      <c r="D4" s="11" t="s">
        <v>223</v>
      </c>
      <c r="E4" s="12" t="s">
        <v>185</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68.75" hidden="false" customHeight="true" outlineLevel="0" collapsed="false">
      <c r="A8" s="11" t="s">
        <v>232</v>
      </c>
      <c r="B8" s="12" t="s">
        <v>427</v>
      </c>
      <c r="D8" s="11" t="s">
        <v>234</v>
      </c>
      <c r="E8" s="12" t="s">
        <v>428</v>
      </c>
    </row>
    <row r="9" customFormat="false" ht="300" hidden="false" customHeight="true" outlineLevel="0" collapsed="false">
      <c r="A9" s="11" t="s">
        <v>236</v>
      </c>
      <c r="B9" s="12" t="s">
        <v>429</v>
      </c>
      <c r="D9" s="11" t="s">
        <v>237</v>
      </c>
      <c r="E9" s="12" t="s">
        <v>430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431</v>
      </c>
      <c r="D11" s="11" t="s">
        <v>240</v>
      </c>
      <c r="E11" s="12" t="s">
        <v>431</v>
      </c>
    </row>
    <row r="12" customFormat="false" ht="21.75" hidden="false" customHeight="true" outlineLevel="0" collapsed="false">
      <c r="A12" s="11" t="s">
        <v>242</v>
      </c>
      <c r="B12" s="12" t="s">
        <v>60</v>
      </c>
      <c r="D12" s="11" t="s">
        <v>243</v>
      </c>
      <c r="E12" s="12" t="s">
        <v>60</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432</v>
      </c>
      <c r="B1" s="9"/>
      <c r="D1" s="9" t="s">
        <v>433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62</v>
      </c>
      <c r="D3" s="11" t="s">
        <v>221</v>
      </c>
      <c r="E3" s="12" t="s">
        <v>62</v>
      </c>
    </row>
    <row r="4" customFormat="false" ht="21.75" hidden="false" customHeight="true" outlineLevel="0" collapsed="false">
      <c r="A4" s="11" t="s">
        <v>222</v>
      </c>
      <c r="B4" s="12" t="s">
        <v>63</v>
      </c>
      <c r="D4" s="11" t="s">
        <v>223</v>
      </c>
      <c r="E4" s="12" t="s">
        <v>186</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78" hidden="false" customHeight="true" outlineLevel="0" collapsed="false">
      <c r="A8" s="11" t="s">
        <v>232</v>
      </c>
      <c r="B8" s="12" t="s">
        <v>434</v>
      </c>
      <c r="D8" s="11" t="s">
        <v>234</v>
      </c>
      <c r="E8" s="12" t="s">
        <v>435</v>
      </c>
    </row>
    <row r="9" customFormat="false" ht="300" hidden="false" customHeight="true" outlineLevel="0" collapsed="false">
      <c r="A9" s="11" t="s">
        <v>236</v>
      </c>
      <c r="B9" s="12" t="s">
        <v>436</v>
      </c>
      <c r="D9" s="11" t="s">
        <v>237</v>
      </c>
      <c r="E9" s="12" t="s">
        <v>437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438</v>
      </c>
      <c r="D11" s="11" t="s">
        <v>240</v>
      </c>
      <c r="E11" s="12" t="s">
        <v>438</v>
      </c>
    </row>
    <row r="12" customFormat="false" ht="21.75" hidden="false" customHeight="true" outlineLevel="0" collapsed="false">
      <c r="A12" s="11" t="s">
        <v>242</v>
      </c>
      <c r="B12" s="12" t="s">
        <v>62</v>
      </c>
      <c r="D12" s="11" t="s">
        <v>243</v>
      </c>
      <c r="E12" s="12" t="s">
        <v>62</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439</v>
      </c>
      <c r="B1" s="9"/>
      <c r="D1" s="9" t="s">
        <v>440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64</v>
      </c>
      <c r="D3" s="11" t="s">
        <v>221</v>
      </c>
      <c r="E3" s="12" t="s">
        <v>64</v>
      </c>
    </row>
    <row r="4" customFormat="false" ht="21.75" hidden="false" customHeight="true" outlineLevel="0" collapsed="false">
      <c r="A4" s="11" t="s">
        <v>222</v>
      </c>
      <c r="B4" s="12" t="s">
        <v>63</v>
      </c>
      <c r="D4" s="11" t="s">
        <v>223</v>
      </c>
      <c r="E4" s="12" t="s">
        <v>186</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78" hidden="false" customHeight="true" outlineLevel="0" collapsed="false">
      <c r="A8" s="11" t="s">
        <v>232</v>
      </c>
      <c r="B8" s="12" t="s">
        <v>441</v>
      </c>
      <c r="D8" s="11" t="s">
        <v>234</v>
      </c>
      <c r="E8" s="12" t="s">
        <v>442</v>
      </c>
    </row>
    <row r="9" customFormat="false" ht="64.5" hidden="false" customHeight="true" outlineLevel="0" collapsed="false">
      <c r="A9" s="11" t="s">
        <v>236</v>
      </c>
      <c r="B9" s="12" t="s">
        <v>443</v>
      </c>
      <c r="D9" s="11" t="s">
        <v>237</v>
      </c>
      <c r="E9" s="12" t="s">
        <v>444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445</v>
      </c>
      <c r="D11" s="11" t="s">
        <v>240</v>
      </c>
      <c r="E11" s="12" t="s">
        <v>445</v>
      </c>
    </row>
    <row r="12" customFormat="false" ht="21.75" hidden="false" customHeight="true" outlineLevel="0" collapsed="false">
      <c r="A12" s="11" t="s">
        <v>242</v>
      </c>
      <c r="B12" s="12" t="s">
        <v>64</v>
      </c>
      <c r="D12" s="11" t="s">
        <v>243</v>
      </c>
      <c r="E12" s="12" t="s">
        <v>64</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446</v>
      </c>
      <c r="B1" s="9"/>
      <c r="D1" s="9" t="s">
        <v>447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66</v>
      </c>
      <c r="D3" s="11" t="s">
        <v>221</v>
      </c>
      <c r="E3" s="12" t="s">
        <v>66</v>
      </c>
    </row>
    <row r="4" customFormat="false" ht="21.75" hidden="false" customHeight="true" outlineLevel="0" collapsed="false">
      <c r="A4" s="11" t="s">
        <v>222</v>
      </c>
      <c r="B4" s="12" t="s">
        <v>67</v>
      </c>
      <c r="D4" s="11" t="s">
        <v>223</v>
      </c>
      <c r="E4" s="12" t="s">
        <v>187</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448</v>
      </c>
      <c r="D8" s="11" t="s">
        <v>234</v>
      </c>
      <c r="E8" s="12" t="s">
        <v>449</v>
      </c>
    </row>
    <row r="9" customFormat="false" ht="168.75" hidden="false" customHeight="true" outlineLevel="0" collapsed="false">
      <c r="A9" s="11" t="s">
        <v>236</v>
      </c>
      <c r="B9" s="12" t="s">
        <v>450</v>
      </c>
      <c r="D9" s="11" t="s">
        <v>237</v>
      </c>
      <c r="E9" s="12" t="s">
        <v>451</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452</v>
      </c>
      <c r="D11" s="11" t="s">
        <v>240</v>
      </c>
      <c r="E11" s="12" t="s">
        <v>452</v>
      </c>
    </row>
    <row r="12" customFormat="false" ht="21.75" hidden="false" customHeight="true" outlineLevel="0" collapsed="false">
      <c r="A12" s="11" t="s">
        <v>242</v>
      </c>
      <c r="B12" s="12" t="s">
        <v>66</v>
      </c>
      <c r="D12" s="11" t="s">
        <v>243</v>
      </c>
      <c r="E12" s="12" t="s">
        <v>66</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453</v>
      </c>
      <c r="B1" s="9"/>
      <c r="D1" s="9" t="s">
        <v>454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68</v>
      </c>
      <c r="D3" s="11" t="s">
        <v>221</v>
      </c>
      <c r="E3" s="12" t="s">
        <v>68</v>
      </c>
    </row>
    <row r="4" customFormat="false" ht="21.75" hidden="false" customHeight="true" outlineLevel="0" collapsed="false">
      <c r="A4" s="11" t="s">
        <v>222</v>
      </c>
      <c r="B4" s="12" t="s">
        <v>67</v>
      </c>
      <c r="D4" s="11" t="s">
        <v>223</v>
      </c>
      <c r="E4" s="12" t="s">
        <v>187</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455</v>
      </c>
      <c r="D8" s="11" t="s">
        <v>234</v>
      </c>
      <c r="E8" s="12" t="s">
        <v>456</v>
      </c>
    </row>
    <row r="9" customFormat="false" ht="45" hidden="false" customHeight="true" outlineLevel="0" collapsed="false">
      <c r="A9" s="11" t="s">
        <v>236</v>
      </c>
      <c r="B9" s="12"/>
      <c r="D9" s="11" t="s">
        <v>237</v>
      </c>
      <c r="E9" s="12"/>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457</v>
      </c>
      <c r="D11" s="11" t="s">
        <v>240</v>
      </c>
      <c r="E11" s="12" t="s">
        <v>457</v>
      </c>
    </row>
    <row r="12" customFormat="false" ht="21.75" hidden="false" customHeight="true" outlineLevel="0" collapsed="false">
      <c r="A12" s="11" t="s">
        <v>242</v>
      </c>
      <c r="B12" s="12" t="s">
        <v>68</v>
      </c>
      <c r="D12" s="11" t="s">
        <v>243</v>
      </c>
      <c r="E12" s="12" t="s">
        <v>68</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458</v>
      </c>
      <c r="B1" s="9"/>
      <c r="D1" s="9" t="s">
        <v>459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70</v>
      </c>
      <c r="D3" s="11" t="s">
        <v>221</v>
      </c>
      <c r="E3" s="12" t="s">
        <v>70</v>
      </c>
    </row>
    <row r="4" customFormat="false" ht="21.75" hidden="false" customHeight="true" outlineLevel="0" collapsed="false">
      <c r="A4" s="11" t="s">
        <v>222</v>
      </c>
      <c r="B4" s="12" t="s">
        <v>71</v>
      </c>
      <c r="D4" s="11" t="s">
        <v>223</v>
      </c>
      <c r="E4" s="12" t="s">
        <v>188</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81.5" hidden="false" customHeight="true" outlineLevel="0" collapsed="false">
      <c r="A8" s="11" t="s">
        <v>232</v>
      </c>
      <c r="B8" s="12" t="s">
        <v>460</v>
      </c>
      <c r="D8" s="11" t="s">
        <v>234</v>
      </c>
      <c r="E8" s="12" t="s">
        <v>461</v>
      </c>
    </row>
    <row r="9" customFormat="false" ht="168.75" hidden="false" customHeight="true" outlineLevel="0" collapsed="false">
      <c r="A9" s="11" t="s">
        <v>236</v>
      </c>
      <c r="B9" s="12" t="s">
        <v>462</v>
      </c>
      <c r="D9" s="11" t="s">
        <v>237</v>
      </c>
      <c r="E9" s="12" t="s">
        <v>463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464</v>
      </c>
      <c r="D11" s="11" t="s">
        <v>240</v>
      </c>
      <c r="E11" s="12" t="s">
        <v>464</v>
      </c>
    </row>
    <row r="12" customFormat="false" ht="21.75" hidden="false" customHeight="true" outlineLevel="0" collapsed="false">
      <c r="A12" s="11" t="s">
        <v>242</v>
      </c>
      <c r="B12" s="12" t="s">
        <v>70</v>
      </c>
      <c r="D12" s="11" t="s">
        <v>243</v>
      </c>
      <c r="E12" s="12" t="s">
        <v>70</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465</v>
      </c>
      <c r="B1" s="9"/>
      <c r="D1" s="9" t="s">
        <v>466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72</v>
      </c>
      <c r="D3" s="11" t="s">
        <v>221</v>
      </c>
      <c r="E3" s="12" t="s">
        <v>72</v>
      </c>
    </row>
    <row r="4" customFormat="false" ht="21.75" hidden="false" customHeight="true" outlineLevel="0" collapsed="false">
      <c r="A4" s="11" t="s">
        <v>222</v>
      </c>
      <c r="B4" s="12" t="s">
        <v>71</v>
      </c>
      <c r="D4" s="11" t="s">
        <v>223</v>
      </c>
      <c r="E4" s="12" t="s">
        <v>188</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467</v>
      </c>
      <c r="D8" s="11" t="s">
        <v>234</v>
      </c>
      <c r="E8" s="12" t="s">
        <v>468</v>
      </c>
    </row>
    <row r="9" customFormat="false" ht="78" hidden="false" customHeight="true" outlineLevel="0" collapsed="false">
      <c r="A9" s="11" t="s">
        <v>236</v>
      </c>
      <c r="B9" s="12" t="s">
        <v>469</v>
      </c>
      <c r="D9" s="11" t="s">
        <v>237</v>
      </c>
      <c r="E9" s="12" t="s">
        <v>470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471</v>
      </c>
      <c r="D11" s="11" t="s">
        <v>240</v>
      </c>
      <c r="E11" s="12" t="s">
        <v>471</v>
      </c>
    </row>
    <row r="12" customFormat="false" ht="21.75" hidden="false" customHeight="true" outlineLevel="0" collapsed="false">
      <c r="A12" s="11" t="s">
        <v>242</v>
      </c>
      <c r="B12" s="12" t="s">
        <v>72</v>
      </c>
      <c r="D12" s="11" t="s">
        <v>243</v>
      </c>
      <c r="E12" s="12" t="s">
        <v>72</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472</v>
      </c>
      <c r="B1" s="9"/>
      <c r="D1" s="9" t="s">
        <v>473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74</v>
      </c>
      <c r="D3" s="11" t="s">
        <v>221</v>
      </c>
      <c r="E3" s="12" t="s">
        <v>74</v>
      </c>
    </row>
    <row r="4" customFormat="false" ht="21.75" hidden="false" customHeight="true" outlineLevel="0" collapsed="false">
      <c r="A4" s="11" t="s">
        <v>222</v>
      </c>
      <c r="B4" s="12" t="s">
        <v>75</v>
      </c>
      <c r="D4" s="11" t="s">
        <v>223</v>
      </c>
      <c r="E4" s="12" t="s">
        <v>189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68.75" hidden="false" customHeight="true" outlineLevel="0" collapsed="false">
      <c r="A8" s="11" t="s">
        <v>232</v>
      </c>
      <c r="B8" s="12" t="s">
        <v>474</v>
      </c>
      <c r="D8" s="11" t="s">
        <v>234</v>
      </c>
      <c r="E8" s="12" t="s">
        <v>475</v>
      </c>
    </row>
    <row r="9" customFormat="false" ht="156" hidden="false" customHeight="true" outlineLevel="0" collapsed="false">
      <c r="A9" s="11" t="s">
        <v>236</v>
      </c>
      <c r="B9" s="12" t="s">
        <v>476</v>
      </c>
      <c r="D9" s="11" t="s">
        <v>237</v>
      </c>
      <c r="E9" s="12" t="s">
        <v>477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478</v>
      </c>
      <c r="D11" s="11" t="s">
        <v>240</v>
      </c>
      <c r="E11" s="12" t="s">
        <v>478</v>
      </c>
    </row>
    <row r="12" customFormat="false" ht="21.75" hidden="false" customHeight="true" outlineLevel="0" collapsed="false">
      <c r="A12" s="11" t="s">
        <v>242</v>
      </c>
      <c r="B12" s="12" t="s">
        <v>74</v>
      </c>
      <c r="D12" s="11" t="s">
        <v>243</v>
      </c>
      <c r="E12" s="12" t="s">
        <v>74</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479</v>
      </c>
      <c r="B1" s="9"/>
      <c r="D1" s="9" t="s">
        <v>480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76</v>
      </c>
      <c r="D3" s="11" t="s">
        <v>221</v>
      </c>
      <c r="E3" s="12" t="s">
        <v>76</v>
      </c>
    </row>
    <row r="4" customFormat="false" ht="21.75" hidden="false" customHeight="true" outlineLevel="0" collapsed="false">
      <c r="A4" s="11" t="s">
        <v>222</v>
      </c>
      <c r="B4" s="12" t="s">
        <v>75</v>
      </c>
      <c r="D4" s="11" t="s">
        <v>223</v>
      </c>
      <c r="E4" s="12" t="s">
        <v>189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481</v>
      </c>
      <c r="D8" s="11" t="s">
        <v>234</v>
      </c>
      <c r="E8" s="12" t="s">
        <v>482</v>
      </c>
    </row>
    <row r="9" customFormat="false" ht="45" hidden="false" customHeight="true" outlineLevel="0" collapsed="false">
      <c r="A9" s="11" t="s">
        <v>236</v>
      </c>
      <c r="B9" s="12" t="s">
        <v>483</v>
      </c>
      <c r="D9" s="11" t="s">
        <v>237</v>
      </c>
      <c r="E9" s="12" t="s">
        <v>484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485</v>
      </c>
      <c r="D11" s="11" t="s">
        <v>240</v>
      </c>
      <c r="E11" s="12" t="s">
        <v>485</v>
      </c>
    </row>
    <row r="12" customFormat="false" ht="21.75" hidden="false" customHeight="true" outlineLevel="0" collapsed="false">
      <c r="A12" s="11" t="s">
        <v>242</v>
      </c>
      <c r="B12" s="12" t="s">
        <v>76</v>
      </c>
      <c r="D12" s="11" t="s">
        <v>243</v>
      </c>
      <c r="E12" s="12" t="s">
        <v>76</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486</v>
      </c>
      <c r="B1" s="9"/>
      <c r="D1" s="9" t="s">
        <v>487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78</v>
      </c>
      <c r="D3" s="11" t="s">
        <v>221</v>
      </c>
      <c r="E3" s="12" t="s">
        <v>78</v>
      </c>
    </row>
    <row r="4" customFormat="false" ht="21.75" hidden="false" customHeight="true" outlineLevel="0" collapsed="false">
      <c r="A4" s="11" t="s">
        <v>222</v>
      </c>
      <c r="B4" s="12" t="s">
        <v>75</v>
      </c>
      <c r="D4" s="11" t="s">
        <v>223</v>
      </c>
      <c r="E4" s="12" t="s">
        <v>189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488</v>
      </c>
      <c r="D8" s="11" t="s">
        <v>234</v>
      </c>
      <c r="E8" s="12" t="s">
        <v>489</v>
      </c>
    </row>
    <row r="9" customFormat="false" ht="45" hidden="false" customHeight="true" outlineLevel="0" collapsed="false">
      <c r="A9" s="11" t="s">
        <v>236</v>
      </c>
      <c r="B9" s="12" t="s">
        <v>483</v>
      </c>
      <c r="D9" s="11" t="s">
        <v>237</v>
      </c>
      <c r="E9" s="12" t="s">
        <v>484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490</v>
      </c>
      <c r="D11" s="11" t="s">
        <v>240</v>
      </c>
      <c r="E11" s="12" t="s">
        <v>490</v>
      </c>
    </row>
    <row r="12" customFormat="false" ht="21.75" hidden="false" customHeight="true" outlineLevel="0" collapsed="false">
      <c r="A12" s="11" t="s">
        <v>242</v>
      </c>
      <c r="B12" s="12" t="s">
        <v>78</v>
      </c>
      <c r="D12" s="11" t="s">
        <v>243</v>
      </c>
      <c r="E12" s="12" t="s">
        <v>78</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491</v>
      </c>
      <c r="B1" s="9"/>
      <c r="D1" s="9" t="s">
        <v>492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80</v>
      </c>
      <c r="D3" s="11" t="s">
        <v>221</v>
      </c>
      <c r="E3" s="12" t="s">
        <v>80</v>
      </c>
    </row>
    <row r="4" customFormat="false" ht="21.75" hidden="false" customHeight="true" outlineLevel="0" collapsed="false">
      <c r="A4" s="11" t="s">
        <v>222</v>
      </c>
      <c r="B4" s="12" t="s">
        <v>75</v>
      </c>
      <c r="D4" s="11" t="s">
        <v>223</v>
      </c>
      <c r="E4" s="12" t="s">
        <v>189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493</v>
      </c>
      <c r="D8" s="11" t="s">
        <v>234</v>
      </c>
      <c r="E8" s="12" t="s">
        <v>494</v>
      </c>
    </row>
    <row r="9" customFormat="false" ht="45" hidden="false" customHeight="true" outlineLevel="0" collapsed="false">
      <c r="A9" s="11" t="s">
        <v>236</v>
      </c>
      <c r="B9" s="12" t="s">
        <v>495</v>
      </c>
      <c r="D9" s="11" t="s">
        <v>237</v>
      </c>
      <c r="E9" s="12" t="s">
        <v>496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497</v>
      </c>
      <c r="D11" s="11" t="s">
        <v>240</v>
      </c>
      <c r="E11" s="12" t="s">
        <v>497</v>
      </c>
    </row>
    <row r="12" customFormat="false" ht="21.75" hidden="false" customHeight="true" outlineLevel="0" collapsed="false">
      <c r="A12" s="11" t="s">
        <v>242</v>
      </c>
      <c r="B12" s="12" t="s">
        <v>80</v>
      </c>
      <c r="D12" s="11" t="s">
        <v>243</v>
      </c>
      <c r="E12" s="12" t="s">
        <v>80</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498</v>
      </c>
      <c r="B1" s="9"/>
      <c r="D1" s="9" t="s">
        <v>499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82</v>
      </c>
      <c r="D3" s="11" t="s">
        <v>221</v>
      </c>
      <c r="E3" s="12" t="s">
        <v>82</v>
      </c>
    </row>
    <row r="4" customFormat="false" ht="21.75" hidden="false" customHeight="true" outlineLevel="0" collapsed="false">
      <c r="A4" s="11" t="s">
        <v>222</v>
      </c>
      <c r="B4" s="12" t="s">
        <v>83</v>
      </c>
      <c r="D4" s="11" t="s">
        <v>223</v>
      </c>
      <c r="E4" s="12" t="s">
        <v>190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500</v>
      </c>
      <c r="D8" s="11" t="s">
        <v>234</v>
      </c>
      <c r="E8" s="12" t="s">
        <v>501</v>
      </c>
    </row>
    <row r="9" customFormat="false" ht="246.75" hidden="false" customHeight="true" outlineLevel="0" collapsed="false">
      <c r="A9" s="11" t="s">
        <v>236</v>
      </c>
      <c r="B9" s="12" t="s">
        <v>502</v>
      </c>
      <c r="D9" s="11" t="s">
        <v>237</v>
      </c>
      <c r="E9" s="12" t="s">
        <v>503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504</v>
      </c>
      <c r="D11" s="11" t="s">
        <v>240</v>
      </c>
      <c r="E11" s="12" t="s">
        <v>504</v>
      </c>
    </row>
    <row r="12" customFormat="false" ht="21.75" hidden="false" customHeight="true" outlineLevel="0" collapsed="false">
      <c r="A12" s="11" t="s">
        <v>242</v>
      </c>
      <c r="B12" s="12" t="s">
        <v>82</v>
      </c>
      <c r="D12" s="11" t="s">
        <v>243</v>
      </c>
      <c r="E12" s="12" t="s">
        <v>82</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505</v>
      </c>
      <c r="B1" s="9"/>
      <c r="D1" s="9" t="s">
        <v>506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84</v>
      </c>
      <c r="D3" s="11" t="s">
        <v>221</v>
      </c>
      <c r="E3" s="12" t="s">
        <v>84</v>
      </c>
    </row>
    <row r="4" customFormat="false" ht="21.75" hidden="false" customHeight="true" outlineLevel="0" collapsed="false">
      <c r="A4" s="11" t="s">
        <v>222</v>
      </c>
      <c r="B4" s="12" t="s">
        <v>83</v>
      </c>
      <c r="D4" s="11" t="s">
        <v>223</v>
      </c>
      <c r="E4" s="12" t="s">
        <v>190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507</v>
      </c>
      <c r="D8" s="11" t="s">
        <v>234</v>
      </c>
      <c r="E8" s="12" t="s">
        <v>508</v>
      </c>
    </row>
    <row r="9" customFormat="false" ht="64.5" hidden="false" customHeight="true" outlineLevel="0" collapsed="false">
      <c r="A9" s="11" t="s">
        <v>236</v>
      </c>
      <c r="B9" s="12" t="s">
        <v>509</v>
      </c>
      <c r="D9" s="11" t="s">
        <v>237</v>
      </c>
      <c r="E9" s="12" t="s">
        <v>510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511</v>
      </c>
      <c r="D11" s="11" t="s">
        <v>240</v>
      </c>
      <c r="E11" s="12" t="s">
        <v>511</v>
      </c>
    </row>
    <row r="12" customFormat="false" ht="21.75" hidden="false" customHeight="true" outlineLevel="0" collapsed="false">
      <c r="A12" s="11" t="s">
        <v>242</v>
      </c>
      <c r="B12" s="12" t="s">
        <v>84</v>
      </c>
      <c r="D12" s="11" t="s">
        <v>243</v>
      </c>
      <c r="E12" s="12" t="s">
        <v>84</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512</v>
      </c>
      <c r="B1" s="9"/>
      <c r="D1" s="9" t="s">
        <v>513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86</v>
      </c>
      <c r="D3" s="11" t="s">
        <v>221</v>
      </c>
      <c r="E3" s="12" t="s">
        <v>86</v>
      </c>
    </row>
    <row r="4" customFormat="false" ht="21.75" hidden="false" customHeight="true" outlineLevel="0" collapsed="false">
      <c r="A4" s="11" t="s">
        <v>222</v>
      </c>
      <c r="B4" s="12" t="s">
        <v>83</v>
      </c>
      <c r="D4" s="11" t="s">
        <v>223</v>
      </c>
      <c r="E4" s="12" t="s">
        <v>190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78" hidden="false" customHeight="true" outlineLevel="0" collapsed="false">
      <c r="A8" s="11" t="s">
        <v>232</v>
      </c>
      <c r="B8" s="12" t="s">
        <v>514</v>
      </c>
      <c r="D8" s="11" t="s">
        <v>234</v>
      </c>
      <c r="E8" s="12" t="s">
        <v>515</v>
      </c>
    </row>
    <row r="9" customFormat="false" ht="45" hidden="false" customHeight="true" outlineLevel="0" collapsed="false">
      <c r="A9" s="11" t="s">
        <v>236</v>
      </c>
      <c r="B9" s="12" t="s">
        <v>516</v>
      </c>
      <c r="D9" s="11" t="s">
        <v>237</v>
      </c>
      <c r="E9" s="12" t="s">
        <v>517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518</v>
      </c>
      <c r="D11" s="11" t="s">
        <v>240</v>
      </c>
      <c r="E11" s="12" t="s">
        <v>518</v>
      </c>
    </row>
    <row r="12" customFormat="false" ht="21.75" hidden="false" customHeight="true" outlineLevel="0" collapsed="false">
      <c r="A12" s="11" t="s">
        <v>242</v>
      </c>
      <c r="B12" s="12" t="s">
        <v>86</v>
      </c>
      <c r="D12" s="11" t="s">
        <v>243</v>
      </c>
      <c r="E12" s="12" t="s">
        <v>86</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519</v>
      </c>
      <c r="B1" s="9"/>
      <c r="D1" s="9" t="s">
        <v>520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88</v>
      </c>
      <c r="D3" s="11" t="s">
        <v>221</v>
      </c>
      <c r="E3" s="12" t="s">
        <v>88</v>
      </c>
    </row>
    <row r="4" customFormat="false" ht="21.75" hidden="false" customHeight="true" outlineLevel="0" collapsed="false">
      <c r="A4" s="11" t="s">
        <v>222</v>
      </c>
      <c r="B4" s="12" t="s">
        <v>89</v>
      </c>
      <c r="D4" s="11" t="s">
        <v>223</v>
      </c>
      <c r="E4" s="12" t="s">
        <v>191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521</v>
      </c>
      <c r="D8" s="11" t="s">
        <v>234</v>
      </c>
      <c r="E8" s="12" t="s">
        <v>522</v>
      </c>
    </row>
    <row r="9" customFormat="false" ht="90.75" hidden="false" customHeight="true" outlineLevel="0" collapsed="false">
      <c r="A9" s="11" t="s">
        <v>236</v>
      </c>
      <c r="B9" s="12" t="s">
        <v>523</v>
      </c>
      <c r="D9" s="11" t="s">
        <v>237</v>
      </c>
      <c r="E9" s="12" t="s">
        <v>524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525</v>
      </c>
      <c r="D11" s="11" t="s">
        <v>240</v>
      </c>
      <c r="E11" s="12" t="s">
        <v>525</v>
      </c>
    </row>
    <row r="12" customFormat="false" ht="21.75" hidden="false" customHeight="true" outlineLevel="0" collapsed="false">
      <c r="A12" s="11" t="s">
        <v>242</v>
      </c>
      <c r="B12" s="12" t="s">
        <v>88</v>
      </c>
      <c r="D12" s="11" t="s">
        <v>243</v>
      </c>
      <c r="E12" s="12" t="s">
        <v>88</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526</v>
      </c>
      <c r="B1" s="9"/>
      <c r="D1" s="9" t="s">
        <v>527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91</v>
      </c>
      <c r="D3" s="11" t="s">
        <v>221</v>
      </c>
      <c r="E3" s="12" t="s">
        <v>91</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298.5" hidden="false" customHeight="true" outlineLevel="0" collapsed="false">
      <c r="A8" s="11" t="s">
        <v>232</v>
      </c>
      <c r="B8" s="12" t="s">
        <v>528</v>
      </c>
      <c r="D8" s="11" t="s">
        <v>234</v>
      </c>
      <c r="E8" s="12" t="s">
        <v>529</v>
      </c>
    </row>
    <row r="9" customFormat="false" ht="220.5" hidden="false" customHeight="true" outlineLevel="0" collapsed="false">
      <c r="A9" s="11" t="s">
        <v>236</v>
      </c>
      <c r="B9" s="12" t="s">
        <v>530</v>
      </c>
      <c r="D9" s="11" t="s">
        <v>237</v>
      </c>
      <c r="E9" s="12" t="s">
        <v>531</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532</v>
      </c>
      <c r="D11" s="11" t="s">
        <v>240</v>
      </c>
      <c r="E11" s="12" t="s">
        <v>532</v>
      </c>
    </row>
    <row r="12" customFormat="false" ht="21.75" hidden="false" customHeight="true" outlineLevel="0" collapsed="false">
      <c r="A12" s="11" t="s">
        <v>242</v>
      </c>
      <c r="B12" s="12" t="s">
        <v>91</v>
      </c>
      <c r="D12" s="11" t="s">
        <v>243</v>
      </c>
      <c r="E12" s="12" t="s">
        <v>91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533</v>
      </c>
      <c r="B1" s="9"/>
      <c r="D1" s="9" t="s">
        <v>534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93</v>
      </c>
      <c r="D3" s="11" t="s">
        <v>221</v>
      </c>
      <c r="E3" s="12" t="s">
        <v>93</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535</v>
      </c>
      <c r="D8" s="11" t="s">
        <v>234</v>
      </c>
      <c r="E8" s="12" t="s">
        <v>536</v>
      </c>
    </row>
    <row r="9" customFormat="false" ht="78" hidden="false" customHeight="true" outlineLevel="0" collapsed="false">
      <c r="A9" s="11" t="s">
        <v>236</v>
      </c>
      <c r="B9" s="12" t="s">
        <v>537</v>
      </c>
      <c r="D9" s="11" t="s">
        <v>237</v>
      </c>
      <c r="E9" s="12" t="s">
        <v>538</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539</v>
      </c>
      <c r="D11" s="11" t="s">
        <v>240</v>
      </c>
      <c r="E11" s="12" t="s">
        <v>539</v>
      </c>
    </row>
    <row r="12" customFormat="false" ht="21.75" hidden="false" customHeight="true" outlineLevel="0" collapsed="false">
      <c r="A12" s="11" t="s">
        <v>242</v>
      </c>
      <c r="B12" s="12" t="s">
        <v>93</v>
      </c>
      <c r="D12" s="11" t="s">
        <v>243</v>
      </c>
      <c r="E12" s="12" t="s">
        <v>93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540</v>
      </c>
      <c r="B1" s="9"/>
      <c r="D1" s="9" t="s">
        <v>541</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95</v>
      </c>
      <c r="D3" s="11" t="s">
        <v>221</v>
      </c>
      <c r="E3" s="12" t="s">
        <v>95</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542</v>
      </c>
      <c r="D8" s="11" t="s">
        <v>234</v>
      </c>
      <c r="E8" s="12" t="s">
        <v>543</v>
      </c>
    </row>
    <row r="9" customFormat="false" ht="45" hidden="false" customHeight="true" outlineLevel="0" collapsed="false">
      <c r="A9" s="11" t="s">
        <v>236</v>
      </c>
      <c r="B9" s="12" t="s">
        <v>544</v>
      </c>
      <c r="D9" s="11" t="s">
        <v>237</v>
      </c>
      <c r="E9" s="12" t="s">
        <v>545</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546</v>
      </c>
      <c r="D11" s="11" t="s">
        <v>240</v>
      </c>
      <c r="E11" s="12" t="s">
        <v>546</v>
      </c>
    </row>
    <row r="12" customFormat="false" ht="21.75" hidden="false" customHeight="true" outlineLevel="0" collapsed="false">
      <c r="A12" s="11" t="s">
        <v>242</v>
      </c>
      <c r="B12" s="12" t="s">
        <v>95</v>
      </c>
      <c r="D12" s="11" t="s">
        <v>243</v>
      </c>
      <c r="E12" s="12" t="s">
        <v>95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547</v>
      </c>
      <c r="B1" s="9"/>
      <c r="D1" s="9" t="s">
        <v>548</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97</v>
      </c>
      <c r="D3" s="11" t="s">
        <v>221</v>
      </c>
      <c r="E3" s="12" t="s">
        <v>97</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549</v>
      </c>
      <c r="D8" s="11" t="s">
        <v>234</v>
      </c>
      <c r="E8" s="12" t="s">
        <v>550</v>
      </c>
    </row>
    <row r="9" customFormat="false" ht="45" hidden="false" customHeight="true" outlineLevel="0" collapsed="false">
      <c r="A9" s="11" t="s">
        <v>236</v>
      </c>
      <c r="B9" s="12"/>
      <c r="D9" s="11" t="s">
        <v>237</v>
      </c>
      <c r="E9" s="12"/>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551</v>
      </c>
      <c r="D11" s="11" t="s">
        <v>240</v>
      </c>
      <c r="E11" s="12" t="s">
        <v>551</v>
      </c>
    </row>
    <row r="12" customFormat="false" ht="21.75" hidden="false" customHeight="true" outlineLevel="0" collapsed="false">
      <c r="A12" s="11" t="s">
        <v>242</v>
      </c>
      <c r="B12" s="12" t="s">
        <v>97</v>
      </c>
      <c r="D12" s="11" t="s">
        <v>243</v>
      </c>
      <c r="E12" s="12" t="s">
        <v>97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552</v>
      </c>
      <c r="B1" s="9"/>
      <c r="D1" s="9" t="s">
        <v>553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99</v>
      </c>
      <c r="D3" s="11" t="s">
        <v>221</v>
      </c>
      <c r="E3" s="12" t="s">
        <v>99</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554</v>
      </c>
      <c r="D8" s="11" t="s">
        <v>234</v>
      </c>
      <c r="E8" s="12" t="s">
        <v>555</v>
      </c>
    </row>
    <row r="9" customFormat="false" ht="78" hidden="false" customHeight="true" outlineLevel="0" collapsed="false">
      <c r="A9" s="11" t="s">
        <v>236</v>
      </c>
      <c r="B9" s="12" t="s">
        <v>556</v>
      </c>
      <c r="D9" s="11" t="s">
        <v>237</v>
      </c>
      <c r="E9" s="12" t="s">
        <v>557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558</v>
      </c>
      <c r="D11" s="11" t="s">
        <v>240</v>
      </c>
      <c r="E11" s="12" t="s">
        <v>558</v>
      </c>
    </row>
    <row r="12" customFormat="false" ht="21.75" hidden="false" customHeight="true" outlineLevel="0" collapsed="false">
      <c r="A12" s="11" t="s">
        <v>242</v>
      </c>
      <c r="B12" s="12" t="s">
        <v>99</v>
      </c>
      <c r="D12" s="11" t="s">
        <v>243</v>
      </c>
      <c r="E12" s="12" t="s">
        <v>99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559</v>
      </c>
      <c r="B1" s="9"/>
      <c r="D1" s="9" t="s">
        <v>560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101</v>
      </c>
      <c r="D3" s="11" t="s">
        <v>221</v>
      </c>
      <c r="E3" s="12" t="s">
        <v>101</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561</v>
      </c>
      <c r="D8" s="11" t="s">
        <v>234</v>
      </c>
      <c r="E8" s="12" t="s">
        <v>562</v>
      </c>
    </row>
    <row r="9" customFormat="false" ht="45" hidden="false" customHeight="true" outlineLevel="0" collapsed="false">
      <c r="A9" s="11" t="s">
        <v>236</v>
      </c>
      <c r="B9" s="12" t="s">
        <v>563</v>
      </c>
      <c r="D9" s="11" t="s">
        <v>237</v>
      </c>
      <c r="E9" s="12" t="s">
        <v>564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565</v>
      </c>
      <c r="D11" s="11" t="s">
        <v>240</v>
      </c>
      <c r="E11" s="12" t="s">
        <v>565</v>
      </c>
    </row>
    <row r="12" customFormat="false" ht="21.75" hidden="false" customHeight="true" outlineLevel="0" collapsed="false">
      <c r="A12" s="11" t="s">
        <v>242</v>
      </c>
      <c r="B12" s="12" t="s">
        <v>101</v>
      </c>
      <c r="D12" s="11" t="s">
        <v>243</v>
      </c>
      <c r="E12" s="12" t="s">
        <v>101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566</v>
      </c>
      <c r="B1" s="9"/>
      <c r="D1" s="9" t="s">
        <v>567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103</v>
      </c>
      <c r="D3" s="11" t="s">
        <v>221</v>
      </c>
      <c r="E3" s="12" t="s">
        <v>103</v>
      </c>
    </row>
    <row r="4" customFormat="false" ht="21.75" hidden="false" customHeight="true" outlineLevel="0" collapsed="false">
      <c r="A4" s="11" t="s">
        <v>222</v>
      </c>
      <c r="B4" s="12" t="s">
        <v>92</v>
      </c>
      <c r="D4" s="11" t="s">
        <v>223</v>
      </c>
      <c r="E4" s="12" t="s">
        <v>192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568</v>
      </c>
      <c r="D8" s="11" t="s">
        <v>234</v>
      </c>
      <c r="E8" s="12" t="s">
        <v>569</v>
      </c>
    </row>
    <row r="9" customFormat="false" ht="45" hidden="false" customHeight="true" outlineLevel="0" collapsed="false">
      <c r="A9" s="11" t="s">
        <v>236</v>
      </c>
      <c r="B9" s="12" t="s">
        <v>570</v>
      </c>
      <c r="D9" s="11" t="s">
        <v>237</v>
      </c>
      <c r="E9" s="12" t="s">
        <v>571</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572</v>
      </c>
      <c r="D11" s="11" t="s">
        <v>240</v>
      </c>
      <c r="E11" s="12" t="s">
        <v>572</v>
      </c>
    </row>
    <row r="12" customFormat="false" ht="21.75" hidden="false" customHeight="true" outlineLevel="0" collapsed="false">
      <c r="A12" s="11" t="s">
        <v>242</v>
      </c>
      <c r="B12" s="12" t="s">
        <v>103</v>
      </c>
      <c r="D12" s="11" t="s">
        <v>243</v>
      </c>
      <c r="E12" s="12" t="s">
        <v>103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573</v>
      </c>
      <c r="B1" s="9"/>
      <c r="D1" s="9" t="s">
        <v>574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105</v>
      </c>
      <c r="D3" s="11" t="s">
        <v>221</v>
      </c>
      <c r="E3" s="12" t="s">
        <v>105</v>
      </c>
    </row>
    <row r="4" customFormat="false" ht="21.75" hidden="false" customHeight="true" outlineLevel="0" collapsed="false">
      <c r="A4" s="11" t="s">
        <v>222</v>
      </c>
      <c r="B4" s="12" t="s">
        <v>106</v>
      </c>
      <c r="D4" s="11" t="s">
        <v>223</v>
      </c>
      <c r="E4" s="12" t="s">
        <v>193</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03.5" hidden="false" customHeight="true" outlineLevel="0" collapsed="false">
      <c r="A8" s="11" t="s">
        <v>232</v>
      </c>
      <c r="B8" s="12" t="s">
        <v>575</v>
      </c>
      <c r="D8" s="11" t="s">
        <v>234</v>
      </c>
      <c r="E8" s="12" t="s">
        <v>576</v>
      </c>
    </row>
    <row r="9" customFormat="false" ht="234" hidden="false" customHeight="true" outlineLevel="0" collapsed="false">
      <c r="A9" s="11" t="s">
        <v>236</v>
      </c>
      <c r="B9" s="12" t="s">
        <v>577</v>
      </c>
      <c r="D9" s="11" t="s">
        <v>237</v>
      </c>
      <c r="E9" s="12" t="s">
        <v>578</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579</v>
      </c>
      <c r="D11" s="11" t="s">
        <v>240</v>
      </c>
      <c r="E11" s="12" t="s">
        <v>579</v>
      </c>
    </row>
    <row r="12" customFormat="false" ht="21.75" hidden="false" customHeight="true" outlineLevel="0" collapsed="false">
      <c r="A12" s="11" t="s">
        <v>242</v>
      </c>
      <c r="B12" s="12" t="s">
        <v>105</v>
      </c>
      <c r="D12" s="11" t="s">
        <v>243</v>
      </c>
      <c r="E12" s="12" t="s">
        <v>105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580</v>
      </c>
      <c r="B1" s="9"/>
      <c r="D1" s="9" t="s">
        <v>581</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108</v>
      </c>
      <c r="D3" s="11" t="s">
        <v>221</v>
      </c>
      <c r="E3" s="12" t="s">
        <v>108</v>
      </c>
    </row>
    <row r="4" customFormat="false" ht="21.75" hidden="false" customHeight="true" outlineLevel="0" collapsed="false">
      <c r="A4" s="11" t="s">
        <v>222</v>
      </c>
      <c r="B4" s="12" t="s">
        <v>109</v>
      </c>
      <c r="D4" s="11" t="s">
        <v>223</v>
      </c>
      <c r="E4" s="12" t="s">
        <v>194</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582</v>
      </c>
      <c r="D8" s="11" t="s">
        <v>234</v>
      </c>
      <c r="E8" s="12" t="s">
        <v>583</v>
      </c>
    </row>
    <row r="9" customFormat="false" ht="234" hidden="false" customHeight="true" outlineLevel="0" collapsed="false">
      <c r="A9" s="11" t="s">
        <v>236</v>
      </c>
      <c r="B9" s="12" t="s">
        <v>584</v>
      </c>
      <c r="D9" s="11" t="s">
        <v>237</v>
      </c>
      <c r="E9" s="12" t="s">
        <v>585</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586</v>
      </c>
      <c r="D11" s="11" t="s">
        <v>240</v>
      </c>
      <c r="E11" s="12" t="s">
        <v>586</v>
      </c>
    </row>
    <row r="12" customFormat="false" ht="21.75" hidden="false" customHeight="true" outlineLevel="0" collapsed="false">
      <c r="A12" s="11" t="s">
        <v>242</v>
      </c>
      <c r="B12" s="12" t="s">
        <v>108</v>
      </c>
      <c r="D12" s="11" t="s">
        <v>243</v>
      </c>
      <c r="E12" s="12" t="s">
        <v>108</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587</v>
      </c>
      <c r="B1" s="9"/>
      <c r="D1" s="9" t="s">
        <v>588</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111</v>
      </c>
      <c r="D3" s="11" t="s">
        <v>221</v>
      </c>
      <c r="E3" s="12" t="s">
        <v>111</v>
      </c>
    </row>
    <row r="4" customFormat="false" ht="21.75" hidden="false" customHeight="true" outlineLevel="0" collapsed="false">
      <c r="A4" s="11" t="s">
        <v>222</v>
      </c>
      <c r="B4" s="12" t="s">
        <v>109</v>
      </c>
      <c r="D4" s="11" t="s">
        <v>223</v>
      </c>
      <c r="E4" s="12" t="s">
        <v>194</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589</v>
      </c>
      <c r="D8" s="11" t="s">
        <v>234</v>
      </c>
      <c r="E8" s="12" t="s">
        <v>590</v>
      </c>
    </row>
    <row r="9" customFormat="false" ht="246.75" hidden="false" customHeight="true" outlineLevel="0" collapsed="false">
      <c r="A9" s="11" t="s">
        <v>236</v>
      </c>
      <c r="B9" s="12" t="s">
        <v>591</v>
      </c>
      <c r="D9" s="11" t="s">
        <v>237</v>
      </c>
      <c r="E9" s="12" t="s">
        <v>592</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593</v>
      </c>
      <c r="D11" s="11" t="s">
        <v>240</v>
      </c>
      <c r="E11" s="12" t="s">
        <v>593</v>
      </c>
    </row>
    <row r="12" customFormat="false" ht="21.75" hidden="false" customHeight="true" outlineLevel="0" collapsed="false">
      <c r="A12" s="11" t="s">
        <v>242</v>
      </c>
      <c r="B12" s="12" t="s">
        <v>111</v>
      </c>
      <c r="D12" s="11" t="s">
        <v>243</v>
      </c>
      <c r="E12" s="12" t="s">
        <v>111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594</v>
      </c>
      <c r="B1" s="9"/>
      <c r="D1" s="9" t="s">
        <v>595</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113</v>
      </c>
      <c r="D3" s="11" t="s">
        <v>221</v>
      </c>
      <c r="E3" s="12" t="s">
        <v>113</v>
      </c>
    </row>
    <row r="4" customFormat="false" ht="21.75" hidden="false" customHeight="true" outlineLevel="0" collapsed="false">
      <c r="A4" s="11" t="s">
        <v>222</v>
      </c>
      <c r="B4" s="12" t="s">
        <v>114</v>
      </c>
      <c r="D4" s="11" t="s">
        <v>223</v>
      </c>
      <c r="E4" s="12" t="s">
        <v>195</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596</v>
      </c>
      <c r="D8" s="11" t="s">
        <v>234</v>
      </c>
      <c r="E8" s="12" t="s">
        <v>597</v>
      </c>
    </row>
    <row r="9" customFormat="false" ht="117" hidden="false" customHeight="true" outlineLevel="0" collapsed="false">
      <c r="A9" s="11" t="s">
        <v>236</v>
      </c>
      <c r="B9" s="12" t="s">
        <v>598</v>
      </c>
      <c r="D9" s="11" t="s">
        <v>237</v>
      </c>
      <c r="E9" s="12" t="s">
        <v>599</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600</v>
      </c>
      <c r="D11" s="11" t="s">
        <v>240</v>
      </c>
      <c r="E11" s="12" t="s">
        <v>600</v>
      </c>
    </row>
    <row r="12" customFormat="false" ht="21.75" hidden="false" customHeight="true" outlineLevel="0" collapsed="false">
      <c r="A12" s="11" t="s">
        <v>242</v>
      </c>
      <c r="B12" s="12" t="s">
        <v>113</v>
      </c>
      <c r="D12" s="11" t="s">
        <v>243</v>
      </c>
      <c r="E12" s="12" t="s">
        <v>113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601</v>
      </c>
      <c r="B1" s="9"/>
      <c r="D1" s="9" t="s">
        <v>602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115</v>
      </c>
      <c r="D3" s="11" t="s">
        <v>221</v>
      </c>
      <c r="E3" s="12" t="s">
        <v>115</v>
      </c>
    </row>
    <row r="4" customFormat="false" ht="21.75" hidden="false" customHeight="true" outlineLevel="0" collapsed="false">
      <c r="A4" s="11" t="s">
        <v>222</v>
      </c>
      <c r="B4" s="12" t="s">
        <v>116</v>
      </c>
      <c r="D4" s="11" t="s">
        <v>223</v>
      </c>
      <c r="E4" s="12" t="s">
        <v>196</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17" hidden="false" customHeight="true" outlineLevel="0" collapsed="false">
      <c r="A8" s="11" t="s">
        <v>232</v>
      </c>
      <c r="B8" s="12" t="s">
        <v>603</v>
      </c>
      <c r="D8" s="11" t="s">
        <v>234</v>
      </c>
      <c r="E8" s="12" t="s">
        <v>604</v>
      </c>
    </row>
    <row r="9" customFormat="false" ht="285.75" hidden="false" customHeight="true" outlineLevel="0" collapsed="false">
      <c r="A9" s="11" t="s">
        <v>236</v>
      </c>
      <c r="B9" s="12" t="s">
        <v>605</v>
      </c>
      <c r="D9" s="11" t="s">
        <v>237</v>
      </c>
      <c r="E9" s="12" t="s">
        <v>606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607</v>
      </c>
      <c r="D11" s="11" t="s">
        <v>240</v>
      </c>
      <c r="E11" s="12" t="s">
        <v>607</v>
      </c>
    </row>
    <row r="12" customFormat="false" ht="21.75" hidden="false" customHeight="true" outlineLevel="0" collapsed="false">
      <c r="A12" s="11" t="s">
        <v>242</v>
      </c>
      <c r="B12" s="12" t="s">
        <v>115</v>
      </c>
      <c r="D12" s="11" t="s">
        <v>243</v>
      </c>
      <c r="E12" s="12" t="s">
        <v>115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608</v>
      </c>
      <c r="B1" s="9"/>
      <c r="D1" s="9" t="s">
        <v>609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117</v>
      </c>
      <c r="D3" s="11" t="s">
        <v>221</v>
      </c>
      <c r="E3" s="12" t="s">
        <v>117</v>
      </c>
    </row>
    <row r="4" customFormat="false" ht="21.75" hidden="false" customHeight="true" outlineLevel="0" collapsed="false">
      <c r="A4" s="11" t="s">
        <v>222</v>
      </c>
      <c r="B4" s="12" t="s">
        <v>118</v>
      </c>
      <c r="D4" s="11" t="s">
        <v>223</v>
      </c>
      <c r="E4" s="12" t="s">
        <v>197</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610</v>
      </c>
      <c r="D8" s="11" t="s">
        <v>234</v>
      </c>
      <c r="E8" s="12" t="s">
        <v>611</v>
      </c>
    </row>
    <row r="9" customFormat="false" ht="234" hidden="false" customHeight="true" outlineLevel="0" collapsed="false">
      <c r="A9" s="11" t="s">
        <v>236</v>
      </c>
      <c r="B9" s="12" t="s">
        <v>612</v>
      </c>
      <c r="D9" s="11" t="s">
        <v>237</v>
      </c>
      <c r="E9" s="12" t="s">
        <v>613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614</v>
      </c>
      <c r="D11" s="11" t="s">
        <v>240</v>
      </c>
      <c r="E11" s="12" t="s">
        <v>614</v>
      </c>
    </row>
    <row r="12" customFormat="false" ht="21.75" hidden="false" customHeight="true" outlineLevel="0" collapsed="false">
      <c r="A12" s="11" t="s">
        <v>242</v>
      </c>
      <c r="B12" s="12" t="s">
        <v>117</v>
      </c>
      <c r="D12" s="11" t="s">
        <v>243</v>
      </c>
      <c r="E12" s="12" t="s">
        <v>117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615</v>
      </c>
      <c r="B1" s="9"/>
      <c r="D1" s="9" t="s">
        <v>616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119</v>
      </c>
      <c r="D3" s="11" t="s">
        <v>221</v>
      </c>
      <c r="E3" s="12" t="s">
        <v>119</v>
      </c>
    </row>
    <row r="4" customFormat="false" ht="21.75" hidden="false" customHeight="true" outlineLevel="0" collapsed="false">
      <c r="A4" s="11" t="s">
        <v>222</v>
      </c>
      <c r="B4" s="12" t="s">
        <v>120</v>
      </c>
      <c r="D4" s="11" t="s">
        <v>223</v>
      </c>
      <c r="E4" s="12" t="s">
        <v>198</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617</v>
      </c>
      <c r="D8" s="11" t="s">
        <v>234</v>
      </c>
      <c r="E8" s="12" t="s">
        <v>618</v>
      </c>
    </row>
    <row r="9" customFormat="false" ht="259.5" hidden="false" customHeight="true" outlineLevel="0" collapsed="false">
      <c r="A9" s="11" t="s">
        <v>236</v>
      </c>
      <c r="B9" s="12" t="s">
        <v>619</v>
      </c>
      <c r="D9" s="11" t="s">
        <v>237</v>
      </c>
      <c r="E9" s="12" t="s">
        <v>620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621</v>
      </c>
      <c r="D11" s="11" t="s">
        <v>240</v>
      </c>
      <c r="E11" s="12" t="s">
        <v>621</v>
      </c>
    </row>
    <row r="12" customFormat="false" ht="21.75" hidden="false" customHeight="true" outlineLevel="0" collapsed="false">
      <c r="A12" s="11" t="s">
        <v>242</v>
      </c>
      <c r="B12" s="12" t="s">
        <v>119</v>
      </c>
      <c r="D12" s="11" t="s">
        <v>243</v>
      </c>
      <c r="E12" s="12" t="s">
        <v>119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622</v>
      </c>
      <c r="B1" s="9"/>
      <c r="D1" s="9" t="s">
        <v>623</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121</v>
      </c>
      <c r="D3" s="11" t="s">
        <v>221</v>
      </c>
      <c r="E3" s="12" t="s">
        <v>121</v>
      </c>
    </row>
    <row r="4" customFormat="false" ht="21.75" hidden="false" customHeight="true" outlineLevel="0" collapsed="false">
      <c r="A4" s="11" t="s">
        <v>222</v>
      </c>
      <c r="B4" s="12" t="s">
        <v>120</v>
      </c>
      <c r="D4" s="11" t="s">
        <v>223</v>
      </c>
      <c r="E4" s="12" t="s">
        <v>198</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78" hidden="false" customHeight="true" outlineLevel="0" collapsed="false">
      <c r="A8" s="11" t="s">
        <v>232</v>
      </c>
      <c r="B8" s="12" t="s">
        <v>624</v>
      </c>
      <c r="D8" s="11" t="s">
        <v>234</v>
      </c>
      <c r="E8" s="12" t="s">
        <v>625</v>
      </c>
    </row>
    <row r="9" customFormat="false" ht="207.75" hidden="false" customHeight="true" outlineLevel="0" collapsed="false">
      <c r="A9" s="11" t="s">
        <v>236</v>
      </c>
      <c r="B9" s="12" t="s">
        <v>626</v>
      </c>
      <c r="D9" s="11" t="s">
        <v>237</v>
      </c>
      <c r="E9" s="12" t="s">
        <v>627</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628</v>
      </c>
      <c r="D11" s="11" t="s">
        <v>240</v>
      </c>
      <c r="E11" s="12" t="s">
        <v>628</v>
      </c>
    </row>
    <row r="12" customFormat="false" ht="21.75" hidden="false" customHeight="true" outlineLevel="0" collapsed="false">
      <c r="A12" s="11" t="s">
        <v>242</v>
      </c>
      <c r="B12" s="12" t="s">
        <v>121</v>
      </c>
      <c r="D12" s="11" t="s">
        <v>243</v>
      </c>
      <c r="E12" s="12" t="s">
        <v>121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629</v>
      </c>
      <c r="B1" s="9"/>
      <c r="D1" s="9" t="s">
        <v>630</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123</v>
      </c>
      <c r="D3" s="11" t="s">
        <v>221</v>
      </c>
      <c r="E3" s="12" t="s">
        <v>123</v>
      </c>
    </row>
    <row r="4" customFormat="false" ht="21.75" hidden="false" customHeight="true" outlineLevel="0" collapsed="false">
      <c r="A4" s="11" t="s">
        <v>222</v>
      </c>
      <c r="B4" s="12" t="s">
        <v>124</v>
      </c>
      <c r="D4" s="11" t="s">
        <v>223</v>
      </c>
      <c r="E4" s="12" t="s">
        <v>199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17" hidden="false" customHeight="true" outlineLevel="0" collapsed="false">
      <c r="A8" s="11" t="s">
        <v>232</v>
      </c>
      <c r="B8" s="12" t="s">
        <v>631</v>
      </c>
      <c r="D8" s="11" t="s">
        <v>234</v>
      </c>
      <c r="E8" s="12" t="s">
        <v>632</v>
      </c>
    </row>
    <row r="9" customFormat="false" ht="300" hidden="false" customHeight="true" outlineLevel="0" collapsed="false">
      <c r="A9" s="11" t="s">
        <v>236</v>
      </c>
      <c r="B9" s="12" t="s">
        <v>633</v>
      </c>
      <c r="D9" s="11" t="s">
        <v>237</v>
      </c>
      <c r="E9" s="12" t="s">
        <v>634</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635</v>
      </c>
      <c r="D11" s="11" t="s">
        <v>240</v>
      </c>
      <c r="E11" s="12" t="s">
        <v>635</v>
      </c>
    </row>
    <row r="12" customFormat="false" ht="21.75" hidden="false" customHeight="true" outlineLevel="0" collapsed="false">
      <c r="A12" s="11" t="s">
        <v>242</v>
      </c>
      <c r="B12" s="12" t="s">
        <v>123</v>
      </c>
      <c r="D12" s="11" t="s">
        <v>243</v>
      </c>
      <c r="E12" s="12" t="s">
        <v>123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636</v>
      </c>
      <c r="B1" s="9"/>
      <c r="D1" s="9" t="s">
        <v>637</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125</v>
      </c>
      <c r="D3" s="11" t="s">
        <v>221</v>
      </c>
      <c r="E3" s="12" t="s">
        <v>125</v>
      </c>
    </row>
    <row r="4" customFormat="false" ht="21.75" hidden="false" customHeight="true" outlineLevel="0" collapsed="false">
      <c r="A4" s="11" t="s">
        <v>222</v>
      </c>
      <c r="B4" s="12" t="s">
        <v>124</v>
      </c>
      <c r="D4" s="11" t="s">
        <v>223</v>
      </c>
      <c r="E4" s="12" t="s">
        <v>199</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638</v>
      </c>
      <c r="D8" s="11" t="s">
        <v>234</v>
      </c>
      <c r="E8" s="12" t="s">
        <v>639</v>
      </c>
    </row>
    <row r="9" customFormat="false" ht="45" hidden="false" customHeight="true" outlineLevel="0" collapsed="false">
      <c r="A9" s="11" t="s">
        <v>236</v>
      </c>
      <c r="B9" s="12" t="s">
        <v>640</v>
      </c>
      <c r="D9" s="11" t="s">
        <v>237</v>
      </c>
      <c r="E9" s="12" t="s">
        <v>641</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642</v>
      </c>
      <c r="D11" s="11" t="s">
        <v>240</v>
      </c>
      <c r="E11" s="12" t="s">
        <v>642</v>
      </c>
    </row>
    <row r="12" customFormat="false" ht="21.75" hidden="false" customHeight="true" outlineLevel="0" collapsed="false">
      <c r="A12" s="11" t="s">
        <v>242</v>
      </c>
      <c r="B12" s="12" t="s">
        <v>125</v>
      </c>
      <c r="D12" s="11" t="s">
        <v>243</v>
      </c>
      <c r="E12" s="12" t="s">
        <v>125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643</v>
      </c>
      <c r="B1" s="9"/>
      <c r="D1" s="9" t="s">
        <v>644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127</v>
      </c>
      <c r="D3" s="11" t="s">
        <v>221</v>
      </c>
      <c r="E3" s="12" t="s">
        <v>127</v>
      </c>
    </row>
    <row r="4" customFormat="false" ht="21.75" hidden="false" customHeight="true" outlineLevel="0" collapsed="false">
      <c r="A4" s="11" t="s">
        <v>222</v>
      </c>
      <c r="B4" s="12" t="s">
        <v>128</v>
      </c>
      <c r="D4" s="11" t="s">
        <v>223</v>
      </c>
      <c r="E4" s="12" t="s">
        <v>200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246.75" hidden="false" customHeight="true" outlineLevel="0" collapsed="false">
      <c r="A8" s="11" t="s">
        <v>232</v>
      </c>
      <c r="B8" s="12" t="s">
        <v>645</v>
      </c>
      <c r="D8" s="11" t="s">
        <v>234</v>
      </c>
      <c r="E8" s="12" t="s">
        <v>646</v>
      </c>
    </row>
    <row r="9" customFormat="false" ht="300" hidden="false" customHeight="true" outlineLevel="0" collapsed="false">
      <c r="A9" s="11" t="s">
        <v>236</v>
      </c>
      <c r="B9" s="12" t="s">
        <v>647</v>
      </c>
      <c r="D9" s="11" t="s">
        <v>237</v>
      </c>
      <c r="E9" s="12" t="s">
        <v>648</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649</v>
      </c>
      <c r="D11" s="11" t="s">
        <v>240</v>
      </c>
      <c r="E11" s="12" t="s">
        <v>649</v>
      </c>
    </row>
    <row r="12" customFormat="false" ht="21.75" hidden="false" customHeight="true" outlineLevel="0" collapsed="false">
      <c r="A12" s="11" t="s">
        <v>242</v>
      </c>
      <c r="B12" s="12" t="s">
        <v>127</v>
      </c>
      <c r="D12" s="11" t="s">
        <v>243</v>
      </c>
      <c r="E12" s="12" t="s">
        <v>127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650</v>
      </c>
      <c r="B1" s="9"/>
      <c r="D1" s="9" t="s">
        <v>651</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129</v>
      </c>
      <c r="D3" s="11" t="s">
        <v>221</v>
      </c>
      <c r="E3" s="12" t="s">
        <v>129</v>
      </c>
    </row>
    <row r="4" customFormat="false" ht="21.75" hidden="false" customHeight="true" outlineLevel="0" collapsed="false">
      <c r="A4" s="11" t="s">
        <v>222</v>
      </c>
      <c r="B4" s="12" t="s">
        <v>128</v>
      </c>
      <c r="D4" s="11" t="s">
        <v>223</v>
      </c>
      <c r="E4" s="12" t="s">
        <v>200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652</v>
      </c>
      <c r="D8" s="11" t="s">
        <v>234</v>
      </c>
      <c r="E8" s="12" t="s">
        <v>653</v>
      </c>
    </row>
    <row r="9" customFormat="false" ht="78" hidden="false" customHeight="true" outlineLevel="0" collapsed="false">
      <c r="A9" s="11" t="s">
        <v>236</v>
      </c>
      <c r="B9" s="12" t="s">
        <v>654</v>
      </c>
      <c r="D9" s="11" t="s">
        <v>237</v>
      </c>
      <c r="E9" s="12" t="s">
        <v>655</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656</v>
      </c>
      <c r="D11" s="11" t="s">
        <v>240</v>
      </c>
      <c r="E11" s="12" t="s">
        <v>656</v>
      </c>
    </row>
    <row r="12" customFormat="false" ht="21.75" hidden="false" customHeight="true" outlineLevel="0" collapsed="false">
      <c r="A12" s="11" t="s">
        <v>242</v>
      </c>
      <c r="B12" s="12" t="s">
        <v>129</v>
      </c>
      <c r="D12" s="11" t="s">
        <v>243</v>
      </c>
      <c r="E12" s="12" t="s">
        <v>129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657</v>
      </c>
      <c r="B1" s="9"/>
      <c r="D1" s="9" t="s">
        <v>658</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131</v>
      </c>
      <c r="D3" s="11" t="s">
        <v>221</v>
      </c>
      <c r="E3" s="12" t="s">
        <v>131</v>
      </c>
    </row>
    <row r="4" customFormat="false" ht="21.75" hidden="false" customHeight="true" outlineLevel="0" collapsed="false">
      <c r="A4" s="11" t="s">
        <v>222</v>
      </c>
      <c r="B4" s="12" t="s">
        <v>128</v>
      </c>
      <c r="D4" s="11" t="s">
        <v>223</v>
      </c>
      <c r="E4" s="12" t="s">
        <v>200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659</v>
      </c>
      <c r="D8" s="11" t="s">
        <v>234</v>
      </c>
      <c r="E8" s="12" t="s">
        <v>660</v>
      </c>
    </row>
    <row r="9" customFormat="false" ht="64.5" hidden="false" customHeight="true" outlineLevel="0" collapsed="false">
      <c r="A9" s="11" t="s">
        <v>236</v>
      </c>
      <c r="B9" s="12" t="s">
        <v>661</v>
      </c>
      <c r="D9" s="11" t="s">
        <v>237</v>
      </c>
      <c r="E9" s="12" t="s">
        <v>662</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663</v>
      </c>
      <c r="D11" s="11" t="s">
        <v>240</v>
      </c>
      <c r="E11" s="12" t="s">
        <v>663</v>
      </c>
    </row>
    <row r="12" customFormat="false" ht="21.75" hidden="false" customHeight="true" outlineLevel="0" collapsed="false">
      <c r="A12" s="11" t="s">
        <v>242</v>
      </c>
      <c r="B12" s="12" t="s">
        <v>131</v>
      </c>
      <c r="D12" s="11" t="s">
        <v>243</v>
      </c>
      <c r="E12" s="12" t="s">
        <v>131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664</v>
      </c>
      <c r="B1" s="9"/>
      <c r="D1" s="9" t="s">
        <v>665</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133</v>
      </c>
      <c r="D3" s="11" t="s">
        <v>221</v>
      </c>
      <c r="E3" s="12" t="s">
        <v>133</v>
      </c>
    </row>
    <row r="4" customFormat="false" ht="21.75" hidden="false" customHeight="true" outlineLevel="0" collapsed="false">
      <c r="A4" s="11" t="s">
        <v>222</v>
      </c>
      <c r="B4" s="12" t="s">
        <v>128</v>
      </c>
      <c r="D4" s="11" t="s">
        <v>223</v>
      </c>
      <c r="E4" s="12" t="s">
        <v>200</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666</v>
      </c>
      <c r="D8" s="11" t="s">
        <v>234</v>
      </c>
      <c r="E8" s="12" t="s">
        <v>667</v>
      </c>
    </row>
    <row r="9" customFormat="false" ht="129.75" hidden="false" customHeight="true" outlineLevel="0" collapsed="false">
      <c r="A9" s="11" t="s">
        <v>236</v>
      </c>
      <c r="B9" s="12" t="s">
        <v>668</v>
      </c>
      <c r="D9" s="11" t="s">
        <v>237</v>
      </c>
      <c r="E9" s="12" t="s">
        <v>669</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670</v>
      </c>
      <c r="D11" s="11" t="s">
        <v>240</v>
      </c>
      <c r="E11" s="12" t="s">
        <v>670</v>
      </c>
    </row>
    <row r="12" customFormat="false" ht="21.75" hidden="false" customHeight="true" outlineLevel="0" collapsed="false">
      <c r="A12" s="11" t="s">
        <v>242</v>
      </c>
      <c r="B12" s="12" t="s">
        <v>133</v>
      </c>
      <c r="D12" s="11" t="s">
        <v>243</v>
      </c>
      <c r="E12" s="12" t="s">
        <v>133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671</v>
      </c>
      <c r="B1" s="9"/>
      <c r="D1" s="9" t="s">
        <v>672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135</v>
      </c>
      <c r="D3" s="11" t="s">
        <v>221</v>
      </c>
      <c r="E3" s="12" t="s">
        <v>135</v>
      </c>
    </row>
    <row r="4" customFormat="false" ht="21.75" hidden="false" customHeight="true" outlineLevel="0" collapsed="false">
      <c r="A4" s="11" t="s">
        <v>222</v>
      </c>
      <c r="B4" s="12" t="s">
        <v>136</v>
      </c>
      <c r="D4" s="11" t="s">
        <v>223</v>
      </c>
      <c r="E4" s="12" t="s">
        <v>201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300" hidden="false" customHeight="true" outlineLevel="0" collapsed="false">
      <c r="A8" s="11" t="s">
        <v>232</v>
      </c>
      <c r="B8" s="12" t="s">
        <v>673</v>
      </c>
      <c r="D8" s="11" t="s">
        <v>234</v>
      </c>
      <c r="E8" s="12" t="s">
        <v>674</v>
      </c>
    </row>
    <row r="9" customFormat="false" ht="300" hidden="false" customHeight="true" outlineLevel="0" collapsed="false">
      <c r="A9" s="11" t="s">
        <v>236</v>
      </c>
      <c r="B9" s="12" t="s">
        <v>675</v>
      </c>
      <c r="D9" s="11" t="s">
        <v>237</v>
      </c>
      <c r="E9" s="12" t="s">
        <v>676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677</v>
      </c>
      <c r="D11" s="11" t="s">
        <v>240</v>
      </c>
      <c r="E11" s="12" t="s">
        <v>677</v>
      </c>
    </row>
    <row r="12" customFormat="false" ht="21.75" hidden="false" customHeight="true" outlineLevel="0" collapsed="false">
      <c r="A12" s="11" t="s">
        <v>242</v>
      </c>
      <c r="B12" s="12" t="s">
        <v>135</v>
      </c>
      <c r="D12" s="11" t="s">
        <v>243</v>
      </c>
      <c r="E12" s="12" t="s">
        <v>135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678</v>
      </c>
      <c r="B1" s="9"/>
      <c r="D1" s="9" t="s">
        <v>679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137</v>
      </c>
      <c r="D3" s="11" t="s">
        <v>221</v>
      </c>
      <c r="E3" s="12" t="s">
        <v>137</v>
      </c>
    </row>
    <row r="4" customFormat="false" ht="21.75" hidden="false" customHeight="true" outlineLevel="0" collapsed="false">
      <c r="A4" s="11" t="s">
        <v>222</v>
      </c>
      <c r="B4" s="12" t="s">
        <v>136</v>
      </c>
      <c r="D4" s="11" t="s">
        <v>223</v>
      </c>
      <c r="E4" s="12" t="s">
        <v>201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680</v>
      </c>
      <c r="D8" s="11" t="s">
        <v>234</v>
      </c>
      <c r="E8" s="12" t="s">
        <v>681</v>
      </c>
    </row>
    <row r="9" customFormat="false" ht="45" hidden="false" customHeight="true" outlineLevel="0" collapsed="false">
      <c r="A9" s="11" t="s">
        <v>236</v>
      </c>
      <c r="B9" s="12"/>
      <c r="D9" s="11" t="s">
        <v>237</v>
      </c>
      <c r="E9" s="12"/>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682</v>
      </c>
      <c r="D11" s="11" t="s">
        <v>240</v>
      </c>
      <c r="E11" s="12" t="s">
        <v>682</v>
      </c>
    </row>
    <row r="12" customFormat="false" ht="21.75" hidden="false" customHeight="true" outlineLevel="0" collapsed="false">
      <c r="A12" s="11" t="s">
        <v>242</v>
      </c>
      <c r="B12" s="12" t="s">
        <v>137</v>
      </c>
      <c r="D12" s="11" t="s">
        <v>243</v>
      </c>
      <c r="E12" s="12" t="s">
        <v>137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683</v>
      </c>
      <c r="B1" s="9"/>
      <c r="D1" s="9" t="s">
        <v>684</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139</v>
      </c>
      <c r="D3" s="11" t="s">
        <v>221</v>
      </c>
      <c r="E3" s="12" t="s">
        <v>139</v>
      </c>
    </row>
    <row r="4" customFormat="false" ht="21.75" hidden="false" customHeight="true" outlineLevel="0" collapsed="false">
      <c r="A4" s="11" t="s">
        <v>222</v>
      </c>
      <c r="B4" s="12" t="s">
        <v>136</v>
      </c>
      <c r="D4" s="11" t="s">
        <v>223</v>
      </c>
      <c r="E4" s="12" t="s">
        <v>201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45" hidden="false" customHeight="true" outlineLevel="0" collapsed="false">
      <c r="A8" s="11" t="s">
        <v>232</v>
      </c>
      <c r="B8" s="12" t="s">
        <v>685</v>
      </c>
      <c r="D8" s="11" t="s">
        <v>234</v>
      </c>
      <c r="E8" s="12" t="s">
        <v>686</v>
      </c>
    </row>
    <row r="9" customFormat="false" ht="78" hidden="false" customHeight="true" outlineLevel="0" collapsed="false">
      <c r="A9" s="11" t="s">
        <v>236</v>
      </c>
      <c r="B9" s="12" t="s">
        <v>687</v>
      </c>
      <c r="D9" s="11" t="s">
        <v>237</v>
      </c>
      <c r="E9" s="12" t="s">
        <v>688</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689</v>
      </c>
      <c r="D11" s="11" t="s">
        <v>240</v>
      </c>
      <c r="E11" s="12" t="s">
        <v>689</v>
      </c>
    </row>
    <row r="12" customFormat="false" ht="21.75" hidden="false" customHeight="true" outlineLevel="0" collapsed="false">
      <c r="A12" s="11" t="s">
        <v>242</v>
      </c>
      <c r="B12" s="12" t="s">
        <v>139</v>
      </c>
      <c r="D12" s="11" t="s">
        <v>243</v>
      </c>
      <c r="E12" s="12" t="s">
        <v>139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690</v>
      </c>
      <c r="B1" s="9"/>
      <c r="D1" s="9" t="s">
        <v>691</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141</v>
      </c>
      <c r="D3" s="11" t="s">
        <v>221</v>
      </c>
      <c r="E3" s="12" t="s">
        <v>141</v>
      </c>
    </row>
    <row r="4" customFormat="false" ht="21.75" hidden="false" customHeight="true" outlineLevel="0" collapsed="false">
      <c r="A4" s="11" t="s">
        <v>222</v>
      </c>
      <c r="B4" s="12" t="s">
        <v>136</v>
      </c>
      <c r="D4" s="11" t="s">
        <v>223</v>
      </c>
      <c r="E4" s="12" t="s">
        <v>201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51.75" hidden="false" customHeight="true" outlineLevel="0" collapsed="false">
      <c r="A8" s="11" t="s">
        <v>232</v>
      </c>
      <c r="B8" s="12" t="s">
        <v>692</v>
      </c>
      <c r="D8" s="11" t="s">
        <v>234</v>
      </c>
      <c r="E8" s="12" t="s">
        <v>693</v>
      </c>
    </row>
    <row r="9" customFormat="false" ht="117" hidden="false" customHeight="true" outlineLevel="0" collapsed="false">
      <c r="A9" s="11" t="s">
        <v>236</v>
      </c>
      <c r="B9" s="12" t="s">
        <v>694</v>
      </c>
      <c r="D9" s="11" t="s">
        <v>237</v>
      </c>
      <c r="E9" s="12" t="s">
        <v>695</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696</v>
      </c>
      <c r="D11" s="11" t="s">
        <v>240</v>
      </c>
      <c r="E11" s="12" t="s">
        <v>696</v>
      </c>
    </row>
    <row r="12" customFormat="false" ht="21.75" hidden="false" customHeight="true" outlineLevel="0" collapsed="false">
      <c r="A12" s="11" t="s">
        <v>242</v>
      </c>
      <c r="B12" s="12" t="s">
        <v>141</v>
      </c>
      <c r="D12" s="11" t="s">
        <v>243</v>
      </c>
      <c r="E12" s="12" t="s">
        <v>141</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697</v>
      </c>
      <c r="B1" s="9"/>
      <c r="D1" s="9" t="s">
        <v>698</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143</v>
      </c>
      <c r="D3" s="11" t="s">
        <v>221</v>
      </c>
      <c r="E3" s="12" t="s">
        <v>143</v>
      </c>
    </row>
    <row r="4" customFormat="false" ht="21.75" hidden="false" customHeight="true" outlineLevel="0" collapsed="false">
      <c r="A4" s="11" t="s">
        <v>222</v>
      </c>
      <c r="B4" s="12" t="s">
        <v>136</v>
      </c>
      <c r="D4" s="11" t="s">
        <v>223</v>
      </c>
      <c r="E4" s="12" t="s">
        <v>201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699</v>
      </c>
      <c r="D8" s="11" t="s">
        <v>234</v>
      </c>
      <c r="E8" s="12" t="s">
        <v>700</v>
      </c>
    </row>
    <row r="9" customFormat="false" ht="142.5" hidden="false" customHeight="true" outlineLevel="0" collapsed="false">
      <c r="A9" s="11" t="s">
        <v>236</v>
      </c>
      <c r="B9" s="12" t="s">
        <v>701</v>
      </c>
      <c r="D9" s="11" t="s">
        <v>237</v>
      </c>
      <c r="E9" s="12" t="s">
        <v>702</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703</v>
      </c>
      <c r="D11" s="11" t="s">
        <v>240</v>
      </c>
      <c r="E11" s="12" t="s">
        <v>703</v>
      </c>
    </row>
    <row r="12" customFormat="false" ht="21.75" hidden="false" customHeight="true" outlineLevel="0" collapsed="false">
      <c r="A12" s="11" t="s">
        <v>242</v>
      </c>
      <c r="B12" s="12" t="s">
        <v>143</v>
      </c>
      <c r="D12" s="11" t="s">
        <v>243</v>
      </c>
      <c r="E12" s="12" t="s">
        <v>143</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704</v>
      </c>
      <c r="B1" s="9"/>
      <c r="D1" s="9" t="s">
        <v>705</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145</v>
      </c>
      <c r="D3" s="11" t="s">
        <v>221</v>
      </c>
      <c r="E3" s="12" t="s">
        <v>145</v>
      </c>
    </row>
    <row r="4" customFormat="false" ht="21.75" hidden="false" customHeight="true" outlineLevel="0" collapsed="false">
      <c r="A4" s="11" t="s">
        <v>222</v>
      </c>
      <c r="B4" s="12" t="s">
        <v>136</v>
      </c>
      <c r="D4" s="11" t="s">
        <v>223</v>
      </c>
      <c r="E4" s="12" t="s">
        <v>201</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706</v>
      </c>
      <c r="D8" s="11" t="s">
        <v>234</v>
      </c>
      <c r="E8" s="12" t="s">
        <v>707</v>
      </c>
    </row>
    <row r="9" customFormat="false" ht="64.5" hidden="false" customHeight="true" outlineLevel="0" collapsed="false">
      <c r="A9" s="11" t="s">
        <v>236</v>
      </c>
      <c r="B9" s="12" t="s">
        <v>708</v>
      </c>
      <c r="D9" s="11" t="s">
        <v>237</v>
      </c>
      <c r="E9" s="12" t="s">
        <v>709</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710</v>
      </c>
      <c r="D11" s="11" t="s">
        <v>240</v>
      </c>
      <c r="E11" s="12" t="s">
        <v>710</v>
      </c>
    </row>
    <row r="12" customFormat="false" ht="21.75" hidden="false" customHeight="true" outlineLevel="0" collapsed="false">
      <c r="A12" s="11" t="s">
        <v>242</v>
      </c>
      <c r="B12" s="12" t="s">
        <v>145</v>
      </c>
      <c r="D12" s="11" t="s">
        <v>243</v>
      </c>
      <c r="E12" s="12" t="s">
        <v>145</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711</v>
      </c>
      <c r="B1" s="9"/>
      <c r="D1" s="9" t="s">
        <v>712</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147</v>
      </c>
      <c r="D3" s="11" t="s">
        <v>221</v>
      </c>
      <c r="E3" s="12" t="s">
        <v>147</v>
      </c>
    </row>
    <row r="4" customFormat="false" ht="21.75" hidden="false" customHeight="true" outlineLevel="0" collapsed="false">
      <c r="A4" s="11" t="s">
        <v>222</v>
      </c>
      <c r="B4" s="12" t="s">
        <v>148</v>
      </c>
      <c r="D4" s="11" t="s">
        <v>223</v>
      </c>
      <c r="E4" s="12" t="s">
        <v>202</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142.5" hidden="false" customHeight="true" outlineLevel="0" collapsed="false">
      <c r="A8" s="11" t="s">
        <v>232</v>
      </c>
      <c r="B8" s="12" t="s">
        <v>713</v>
      </c>
      <c r="D8" s="11" t="s">
        <v>234</v>
      </c>
      <c r="E8" s="12" t="s">
        <v>714</v>
      </c>
    </row>
    <row r="9" customFormat="false" ht="90.75" hidden="false" customHeight="true" outlineLevel="0" collapsed="false">
      <c r="A9" s="11" t="s">
        <v>236</v>
      </c>
      <c r="B9" s="12" t="s">
        <v>715</v>
      </c>
      <c r="D9" s="11" t="s">
        <v>237</v>
      </c>
      <c r="E9" s="12" t="s">
        <v>716</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717</v>
      </c>
      <c r="D11" s="11" t="s">
        <v>240</v>
      </c>
      <c r="E11" s="12" t="s">
        <v>717</v>
      </c>
    </row>
    <row r="12" customFormat="false" ht="21.75" hidden="false" customHeight="true" outlineLevel="0" collapsed="false">
      <c r="A12" s="11" t="s">
        <v>242</v>
      </c>
      <c r="B12" s="12" t="s">
        <v>147</v>
      </c>
      <c r="D12" s="11" t="s">
        <v>243</v>
      </c>
      <c r="E12" s="12" t="s">
        <v>147</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718</v>
      </c>
      <c r="B1" s="9"/>
      <c r="D1" s="9" t="s">
        <v>719</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149</v>
      </c>
      <c r="D3" s="11" t="s">
        <v>221</v>
      </c>
      <c r="E3" s="12" t="s">
        <v>149</v>
      </c>
    </row>
    <row r="4" customFormat="false" ht="21.75" hidden="false" customHeight="true" outlineLevel="0" collapsed="false">
      <c r="A4" s="11" t="s">
        <v>222</v>
      </c>
      <c r="B4" s="12" t="s">
        <v>150</v>
      </c>
      <c r="D4" s="11" t="s">
        <v>223</v>
      </c>
      <c r="E4" s="12" t="s">
        <v>203</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720</v>
      </c>
      <c r="D8" s="11" t="s">
        <v>234</v>
      </c>
      <c r="E8" s="12" t="s">
        <v>721</v>
      </c>
    </row>
    <row r="9" customFormat="false" ht="117" hidden="false" customHeight="true" outlineLevel="0" collapsed="false">
      <c r="A9" s="11" t="s">
        <v>236</v>
      </c>
      <c r="B9" s="12" t="s">
        <v>722</v>
      </c>
      <c r="D9" s="11" t="s">
        <v>237</v>
      </c>
      <c r="E9" s="12" t="s">
        <v>723</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724</v>
      </c>
      <c r="D11" s="11" t="s">
        <v>240</v>
      </c>
      <c r="E11" s="12" t="s">
        <v>724</v>
      </c>
    </row>
    <row r="12" customFormat="false" ht="21.75" hidden="false" customHeight="true" outlineLevel="0" collapsed="false">
      <c r="A12" s="11" t="s">
        <v>242</v>
      </c>
      <c r="B12" s="12" t="s">
        <v>149</v>
      </c>
      <c r="D12" s="11" t="s">
        <v>243</v>
      </c>
      <c r="E12" s="12" t="s">
        <v>149</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725</v>
      </c>
      <c r="B1" s="9"/>
      <c r="D1" s="9" t="s">
        <v>726</v>
      </c>
      <c r="E1" s="9"/>
    </row>
    <row r="2" customFormat="false" ht="19.5" hidden="false" customHeight="true" outlineLevel="0" collapsed="false">
      <c r="A2" s="10" t="s">
        <v>218</v>
      </c>
      <c r="B2" s="10"/>
      <c r="D2" s="10" t="s">
        <v>219</v>
      </c>
      <c r="E2" s="10"/>
    </row>
    <row r="3" customFormat="false" ht="21.75" hidden="false" customHeight="true" outlineLevel="0" collapsed="false">
      <c r="A3" s="11" t="s">
        <v>220</v>
      </c>
      <c r="B3" s="12" t="s">
        <v>152</v>
      </c>
      <c r="D3" s="11" t="s">
        <v>221</v>
      </c>
      <c r="E3" s="12" t="s">
        <v>152</v>
      </c>
    </row>
    <row r="4" customFormat="false" ht="21.75" hidden="false" customHeight="true" outlineLevel="0" collapsed="false">
      <c r="A4" s="11" t="s">
        <v>222</v>
      </c>
      <c r="B4" s="12" t="s">
        <v>153</v>
      </c>
      <c r="D4" s="11" t="s">
        <v>223</v>
      </c>
      <c r="E4" s="12" t="s">
        <v>204</v>
      </c>
    </row>
    <row r="5" customFormat="false" ht="21.75" hidden="false" customHeight="true" outlineLevel="0" collapsed="false">
      <c r="A5" s="11" t="s">
        <v>224</v>
      </c>
      <c r="B5" s="12" t="s">
        <v>225</v>
      </c>
      <c r="D5" s="11" t="s">
        <v>226</v>
      </c>
      <c r="E5" s="12" t="s">
        <v>227</v>
      </c>
    </row>
    <row r="6" customFormat="false" ht="21.75" hidden="false" customHeight="true" outlineLevel="0" collapsed="false">
      <c r="A6" s="11" t="s">
        <v>228</v>
      </c>
      <c r="B6" s="12"/>
      <c r="D6" s="11" t="s">
        <v>229</v>
      </c>
      <c r="E6" s="12"/>
    </row>
    <row r="7" customFormat="false" ht="21.75" hidden="false" customHeight="true" outlineLevel="0" collapsed="false">
      <c r="A7" s="11" t="s">
        <v>230</v>
      </c>
      <c r="B7" s="12"/>
      <c r="D7" s="11" t="s">
        <v>231</v>
      </c>
      <c r="E7" s="12"/>
    </row>
    <row r="8" customFormat="false" ht="64.5" hidden="false" customHeight="true" outlineLevel="0" collapsed="false">
      <c r="A8" s="11" t="s">
        <v>232</v>
      </c>
      <c r="B8" s="12" t="s">
        <v>727</v>
      </c>
      <c r="D8" s="11" t="s">
        <v>234</v>
      </c>
      <c r="E8" s="12" t="s">
        <v>728</v>
      </c>
    </row>
    <row r="9" customFormat="false" ht="168.75" hidden="false" customHeight="true" outlineLevel="0" collapsed="false">
      <c r="A9" s="11" t="s">
        <v>236</v>
      </c>
      <c r="B9" s="12" t="s">
        <v>729</v>
      </c>
      <c r="D9" s="11" t="s">
        <v>237</v>
      </c>
      <c r="E9" s="12" t="s">
        <v>730</v>
      </c>
    </row>
    <row r="10" customFormat="false" ht="19.5" hidden="false" customHeight="true" outlineLevel="0" collapsed="false">
      <c r="A10" s="10" t="s">
        <v>238</v>
      </c>
      <c r="B10" s="10"/>
      <c r="D10" s="10" t="s">
        <v>239</v>
      </c>
      <c r="E10" s="10"/>
    </row>
    <row r="11" customFormat="false" ht="21.75" hidden="false" customHeight="true" outlineLevel="0" collapsed="false">
      <c r="A11" s="11" t="s">
        <v>240</v>
      </c>
      <c r="B11" s="12" t="s">
        <v>731</v>
      </c>
      <c r="D11" s="11" t="s">
        <v>240</v>
      </c>
      <c r="E11" s="12" t="s">
        <v>731</v>
      </c>
    </row>
    <row r="12" customFormat="false" ht="21.75" hidden="false" customHeight="true" outlineLevel="0" collapsed="false">
      <c r="A12" s="11" t="s">
        <v>242</v>
      </c>
      <c r="B12" s="12" t="s">
        <v>152</v>
      </c>
      <c r="D12" s="11" t="s">
        <v>243</v>
      </c>
      <c r="E12" s="12" t="s">
        <v>152</v>
      </c>
    </row>
    <row r="13" customFormat="false" ht="21.75" hidden="false" customHeight="true" outlineLevel="0" collapsed="false">
      <c r="A13" s="11" t="s">
        <v>244</v>
      </c>
      <c r="B13" s="12"/>
      <c r="D13" s="11" t="s">
        <v>245</v>
      </c>
      <c r="E13" s="12"/>
    </row>
    <row r="14" customFormat="false" ht="54.75" hidden="false" customHeight="true" outlineLevel="0" collapsed="false">
      <c r="A14" s="11" t="s">
        <v>246</v>
      </c>
      <c r="B14" s="12"/>
      <c r="D14" s="11" t="s">
        <v>247</v>
      </c>
      <c r="E14" s="12"/>
    </row>
    <row r="15" customFormat="false" ht="54.75" hidden="false" customHeight="true" outlineLevel="0" collapsed="false">
      <c r="A15" s="11" t="s">
        <v>248</v>
      </c>
      <c r="B15" s="12"/>
      <c r="D15" s="11" t="s">
        <v>249</v>
      </c>
      <c r="E15" s="12"/>
    </row>
    <row r="16" customFormat="false" ht="54.75" hidden="false" customHeight="true" outlineLevel="0" collapsed="false">
      <c r="A16" s="11" t="s">
        <v>158</v>
      </c>
      <c r="B16" s="12"/>
      <c r="D16" s="11" t="s">
        <v>209</v>
      </c>
      <c r="E16" s="12"/>
    </row>
    <row r="17" customFormat="false" ht="24.75" hidden="false" customHeight="true" outlineLevel="0" collapsed="false">
      <c r="A17" s="11" t="s">
        <v>250</v>
      </c>
      <c r="B17" s="12"/>
      <c r="D17" s="11" t="s">
        <v>251</v>
      </c>
      <c r="E17" s="12"/>
    </row>
    <row r="18" customFormat="false" ht="24.75" hidden="false" customHeight="true" outlineLevel="0" collapsed="false">
      <c r="A18" s="11" t="s">
        <v>252</v>
      </c>
      <c r="B18" s="12"/>
      <c r="D18" s="11" t="s">
        <v>253</v>
      </c>
      <c r="E18" s="12"/>
    </row>
    <row r="19" customFormat="false" ht="24.75" hidden="false" customHeight="true" outlineLevel="0" collapsed="false">
      <c r="A19" s="11" t="s">
        <v>254</v>
      </c>
      <c r="B19" s="12"/>
      <c r="D19" s="11" t="s">
        <v>255</v>
      </c>
      <c r="E19" s="12"/>
    </row>
    <row r="20" customFormat="false" ht="21.75" hidden="false" customHeight="true" outlineLevel="0" collapsed="false">
      <c r="A20" s="11" t="s">
        <v>5</v>
      </c>
      <c r="B20" s="12" t="s">
        <v>156</v>
      </c>
      <c r="D20" s="11" t="s">
        <v>170</v>
      </c>
      <c r="E20" s="12" t="s">
        <v>256</v>
      </c>
    </row>
    <row r="21" customFormat="false" ht="54.75" hidden="false" customHeight="true" outlineLevel="0" collapsed="false">
      <c r="A21" s="11" t="s">
        <v>257</v>
      </c>
      <c r="B21" s="12"/>
      <c r="D21" s="11" t="s">
        <v>258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2026-05-29T18:33:54Z</dcterms:created>
  <dc:creator>openpyxl</dc:creator>
  <dc:description/>
  <dc:language>en-US</dc:language>
  <cp:lastModifiedBy/>
  <dcterms:modified xsi:type="dcterms:W3CDTF">2026-05-29T18:33:55Z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