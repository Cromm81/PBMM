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EXECUTIVE DASHBOARD" sheetId="2" state="visible" r:id="rId2"/>
    <sheet xmlns:r="http://schemas.openxmlformats.org/officeDocument/2006/relationships" name="GAPS BY FAMILY" sheetId="3" state="visible" r:id="rId3"/>
    <sheet xmlns:r="http://schemas.openxmlformats.org/officeDocument/2006/relationships" name="REMEDIATION PLAN" sheetId="4" state="visible" r:id="rId4"/>
    <sheet xmlns:r="http://schemas.openxmlformats.org/officeDocument/2006/relationships" name="REMEDIATION SUMMARY" sheetId="5" state="visible" r:id="rId5"/>
  </sheets>
  <definedNames>
    <definedName name="_xlnm._FilterDatabase" localSheetId="3" hidden="1">'REMEDIATION PLAN'!$A$2:$K$2</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Arial"/>
      <b val="1"/>
      <color rgb="00FFFFFF"/>
      <sz val="14"/>
    </font>
    <font>
      <name val="Arial"/>
      <b val="1"/>
      <color rgb="00FFFFFF"/>
      <sz val="10"/>
    </font>
    <font>
      <name val="Arial"/>
      <b val="1"/>
      <color rgb="001F3864"/>
      <sz val="10"/>
    </font>
    <font>
      <name val="Arial"/>
      <color rgb="00000000"/>
      <sz val="10"/>
    </font>
    <font>
      <name val="Arial"/>
      <b val="1"/>
      <color rgb="00000000"/>
      <sz val="10"/>
    </font>
    <font>
      <name val="Arial"/>
      <b val="1"/>
      <color rgb="009C0006"/>
      <sz val="10"/>
    </font>
    <font>
      <name val="Arial"/>
      <b val="1"/>
      <color rgb="009C5700"/>
      <sz val="10"/>
    </font>
    <font>
      <name val="Arial"/>
      <b val="1"/>
      <color rgb="00276221"/>
      <sz val="10"/>
    </font>
    <font>
      <name val="Arial"/>
      <b val="1"/>
      <color rgb="00FFFFFF"/>
      <sz val="13"/>
    </font>
    <font>
      <name val="Arial"/>
      <b val="1"/>
      <color rgb="00FFFFFF"/>
      <sz val="9"/>
    </font>
    <font>
      <name val="Arial"/>
      <b val="1"/>
      <color rgb="001F3864"/>
      <sz val="9"/>
    </font>
    <font>
      <name val="Arial"/>
      <color rgb="00000000"/>
      <sz val="9"/>
    </font>
    <font>
      <name val="Arial"/>
      <color rgb="001A1A1A"/>
      <sz val="10"/>
    </font>
  </fonts>
  <fills count="12">
    <fill>
      <patternFill/>
    </fill>
    <fill>
      <patternFill patternType="gray125"/>
    </fill>
    <fill>
      <patternFill patternType="solid">
        <fgColor rgb="001F3864"/>
      </patternFill>
    </fill>
    <fill>
      <patternFill patternType="solid">
        <fgColor rgb="002E6DA4"/>
      </patternFill>
    </fill>
    <fill>
      <patternFill patternType="solid">
        <fgColor rgb="00F2F2F2"/>
      </patternFill>
    </fill>
    <fill>
      <patternFill patternType="solid">
        <fgColor rgb="00FFFFFF"/>
      </patternFill>
    </fill>
    <fill>
      <patternFill patternType="solid">
        <fgColor rgb="00D6E4F7"/>
      </patternFill>
    </fill>
    <fill>
      <patternFill patternType="solid">
        <fgColor rgb="00EBF3FB"/>
      </patternFill>
    </fill>
    <fill>
      <patternFill patternType="solid">
        <fgColor rgb="00FFC7CE"/>
      </patternFill>
    </fill>
    <fill>
      <patternFill patternType="solid">
        <fgColor rgb="00FFEB9C"/>
      </patternFill>
    </fill>
    <fill>
      <patternFill patternType="solid">
        <fgColor rgb="00C6EFCE"/>
      </patternFill>
    </fill>
    <fill>
      <patternFill patternType="solid">
        <fgColor rgb="00F7F9FC"/>
      </patternFill>
    </fill>
  </fills>
  <borders count="6">
    <border>
      <left/>
      <right/>
      <top/>
      <bottom/>
      <diagonal/>
    </border>
    <border>
      <left style="thin">
        <color rgb="00B0B8C1"/>
      </left>
      <right style="thin">
        <color rgb="00B0B8C1"/>
      </right>
      <top style="thin">
        <color rgb="00B0B8C1"/>
      </top>
      <bottom style="thin">
        <color rgb="00B0B8C1"/>
      </bottom>
    </border>
    <border>
      <left/>
      <right/>
      <top style="thin">
        <color rgb="00B0B8C1"/>
      </top>
      <bottom/>
      <diagonal/>
    </border>
    <border>
      <left/>
      <right style="thin">
        <color rgb="00B0B8C1"/>
      </right>
      <top style="thin">
        <color rgb="00B0B8C1"/>
      </top>
      <bottom/>
      <diagonal/>
    </border>
    <border>
      <left/>
      <right/>
      <top style="thin">
        <color rgb="00B0B8C1"/>
      </top>
      <bottom style="thin">
        <color rgb="00B0B8C1"/>
      </bottom>
      <diagonal/>
    </border>
    <border>
      <left/>
      <right style="thin">
        <color rgb="00B0B8C1"/>
      </right>
      <top style="thin">
        <color rgb="00B0B8C1"/>
      </top>
      <bottom style="thin">
        <color rgb="00B0B8C1"/>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2" borderId="1" applyAlignment="1" pivotButton="0" quotePrefix="0" xfId="0">
      <alignment horizontal="left" vertical="center" wrapText="1"/>
    </xf>
    <xf numFmtId="0" fontId="3" fillId="6" borderId="1" applyAlignment="1" pivotButton="0" quotePrefix="0" xfId="0">
      <alignment horizontal="left" vertical="center" wrapText="1"/>
    </xf>
    <xf numFmtId="0" fontId="5" fillId="7" borderId="1" applyAlignment="1" pivotButton="0" quotePrefix="0" xfId="0">
      <alignment horizontal="center" vertical="center" wrapText="1"/>
    </xf>
    <xf numFmtId="164"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9" fillId="2" borderId="1" applyAlignment="1" pivotButton="0" quotePrefix="0" xfId="0">
      <alignment horizontal="left" vertical="center"/>
    </xf>
    <xf numFmtId="0" fontId="10" fillId="3" borderId="1" applyAlignment="1" pivotButton="0" quotePrefix="0" xfId="0">
      <alignment horizontal="center" vertical="center" textRotation="90"/>
    </xf>
    <xf numFmtId="0" fontId="11" fillId="4" borderId="1" applyAlignment="1" pivotButton="0" quotePrefix="0" xfId="0">
      <alignment horizontal="left" vertical="center" wrapText="1"/>
    </xf>
    <xf numFmtId="9" fontId="12" fillId="4" borderId="1" applyAlignment="1" pivotButton="0" quotePrefix="0" xfId="0">
      <alignment horizontal="center" vertical="center" wrapText="1"/>
    </xf>
    <xf numFmtId="0" fontId="11" fillId="5" borderId="1" applyAlignment="1" pivotButton="0" quotePrefix="0" xfId="0">
      <alignment horizontal="left" vertical="center" wrapText="1"/>
    </xf>
    <xf numFmtId="9" fontId="12" fillId="5" borderId="1" applyAlignment="1" pivotButton="0" quotePrefix="0" xfId="0">
      <alignment horizontal="center" vertical="center" wrapText="1"/>
    </xf>
    <xf numFmtId="0" fontId="12" fillId="4" borderId="1" applyAlignment="1" pivotButton="0" quotePrefix="0" xfId="0">
      <alignment horizontal="center" vertical="center" wrapText="1"/>
    </xf>
    <xf numFmtId="0" fontId="12" fillId="4" borderId="1" applyAlignment="1" pivotButton="0" quotePrefix="0" xfId="0">
      <alignment horizontal="left" vertical="top" wrapText="1"/>
    </xf>
    <xf numFmtId="0" fontId="12" fillId="5" borderId="1" applyAlignment="1" pivotButton="0" quotePrefix="0" xfId="0">
      <alignment horizontal="center" vertical="center" wrapText="1"/>
    </xf>
    <xf numFmtId="0" fontId="12" fillId="5" borderId="1" applyAlignment="1" pivotButton="0" quotePrefix="0" xfId="0">
      <alignment horizontal="left" vertical="top" wrapText="1"/>
    </xf>
    <xf numFmtId="0" fontId="3" fillId="6" borderId="1" applyAlignment="1" pivotButton="0" quotePrefix="0" xfId="0">
      <alignment vertical="top" wrapText="1"/>
    </xf>
    <xf numFmtId="0" fontId="13" fillId="11" borderId="1" applyAlignment="1" pivotButton="0" quotePrefix="0" xfId="0">
      <alignment vertical="top" wrapText="1"/>
    </xf>
  </cellXfs>
  <cellStyles count="1">
    <cellStyle name="Normal" xfId="0" builtinId="0" hidden="0"/>
  </cellStyles>
  <dxfs count="8">
    <dxf>
      <font>
        <name val="Arial"/>
        <b val="1"/>
        <color rgb="00276221"/>
        <sz val="10"/>
      </font>
      <fill>
        <patternFill patternType="solid">
          <fgColor rgb="00C6EFCE"/>
          <bgColor rgb="00C6EFCE"/>
        </patternFill>
      </fill>
    </dxf>
    <dxf>
      <font>
        <name val="Arial"/>
        <b val="1"/>
        <color rgb="009C5700"/>
        <sz val="10"/>
      </font>
      <fill>
        <patternFill patternType="solid">
          <fgColor rgb="00FFEB9C"/>
          <bgColor rgb="00FFEB9C"/>
        </patternFill>
      </fill>
    </dxf>
    <dxf>
      <font>
        <name val="Arial"/>
        <b val="1"/>
        <color rgb="009C0006"/>
        <sz val="10"/>
      </font>
      <fill>
        <patternFill patternType="solid">
          <fgColor rgb="00FFC7CE"/>
          <bgColor rgb="00FFC7CE"/>
        </patternFill>
      </fill>
    </dxf>
    <dxf>
      <font>
        <name val="Arial"/>
        <b val="1"/>
        <color rgb="00C0392B"/>
        <sz val="10"/>
      </font>
      <fill>
        <patternFill patternType="solid">
          <fgColor rgb="00FDE8E8"/>
          <bgColor rgb="00FDE8E8"/>
        </patternFill>
      </fill>
    </dxf>
    <dxf>
      <font>
        <name val="Arial"/>
        <b val="1"/>
        <color rgb="003F51B5"/>
        <sz val="10"/>
      </font>
      <fill>
        <patternFill patternType="solid">
          <fgColor rgb="00E8EAF6"/>
          <bgColor rgb="00E8EAF6"/>
        </patternFill>
      </fill>
    </dxf>
    <dxf>
      <font>
        <name val="Arial"/>
        <b val="1"/>
        <color rgb="00666666"/>
        <sz val="10"/>
      </font>
      <fill>
        <patternFill patternType="solid">
          <fgColor rgb="00F2F2F2"/>
          <bgColor rgb="00F2F2F2"/>
        </patternFill>
      </fill>
    </dxf>
    <dxf>
      <font>
        <b val="1"/>
        <color rgb="009C0006"/>
      </font>
      <fill>
        <patternFill patternType="solid">
          <fgColor rgb="00FFC7CE"/>
          <bgColor rgb="00FFC7CE"/>
        </patternFill>
      </fill>
    </dxf>
    <dxf>
      <font>
        <b val="1"/>
        <color rgb="00C0392B"/>
      </font>
      <fill>
        <patternFill patternType="solid">
          <fgColor rgb="00FDE8E8"/>
          <bgColor rgb="00FDE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55555"/>
    <outlinePr summaryBelow="1" summaryRight="1"/>
    <pageSetUpPr/>
  </sheetPr>
  <dimension ref="A1:B8"/>
  <sheetViews>
    <sheetView workbookViewId="0">
      <selection activeCell="A1" sqref="A1"/>
    </sheetView>
  </sheetViews>
  <sheetFormatPr baseColWidth="8" defaultRowHeight="15"/>
  <cols>
    <col width="22" customWidth="1" min="1" max="1"/>
    <col width="88" customWidth="1" min="2" max="2"/>
  </cols>
  <sheetData>
    <row r="1" ht="30" customHeight="1">
      <c r="A1" s="1" t="inlineStr">
        <is>
          <t>PBMM Gap Analysis — How This Works</t>
        </is>
      </c>
      <c r="B1" s="3" t="n"/>
    </row>
    <row r="2" ht="35" customHeight="1">
      <c r="A2" s="31" t="inlineStr">
        <is>
          <t>What This Is</t>
        </is>
      </c>
      <c r="B2" s="32" t="inlineStr">
        <is>
          <t>This workbook sits on top of the Master Tracker and the 21 technology workbooks. It reads the control statuses LIVE and tells you where the gaps are, how big they are, and gives you a place to document what to do about them.</t>
        </is>
      </c>
    </row>
    <row r="3" ht="45" customHeight="1">
      <c r="A3" s="31" t="inlineStr">
        <is>
          <t>No Manual Input Needed</t>
        </is>
      </c>
      <c r="B3" s="32" t="inlineStr">
        <is>
          <t>The EXECUTIVE DASHBOARD and GAPS BY FAMILY tabs are 100% formula-driven from the Master Tracker. As your team updates status dropdowns in the technology workbooks, the tracker updates, and this workbook updates. No maturity scores, no subjective ratings, no double-entry.</t>
        </is>
      </c>
    </row>
    <row r="4" ht="50" customHeight="1">
      <c r="A4" s="31" t="inlineStr">
        <is>
          <t>EXECUTIVE DASHBOARD</t>
        </is>
      </c>
      <c r="B4" s="32" t="inlineStr">
        <is>
          <t>One row per technology. Total controls, Passed, In Progress, Failed, Not Started — all pulled live. % Complete and RAG status calculated automatically. RED = below 50%, AMBER = 50-89%, GREEN = 90%+. Bottom section shows totals and how many technologies are at each RAG level.</t>
        </is>
      </c>
    </row>
    <row r="5" ht="55" customHeight="1">
      <c r="A5" s="31" t="inlineStr">
        <is>
          <t>GAPS BY FAMILY</t>
        </is>
      </c>
      <c r="B5" s="32" t="inlineStr">
        <is>
          <t>Heatmap showing the gap RATE (not count) for each Technology × Control Family intersection. A cell showing 100% means every control in that family for that technology has a gap. 0% means fully covered. Red = high gap rate, green = low. Blank = that family doesn't apply to that technology.</t>
        </is>
      </c>
    </row>
    <row r="6" ht="60" customHeight="1">
      <c r="A6" s="31" t="inlineStr">
        <is>
          <t>REMEDIATION PLAN</t>
        </is>
      </c>
      <c r="B6" s="32" t="inlineStr">
        <is>
          <t>This is where you do the actual work. One row per finding. Document: what control failed, which technology, what's missing, what the risk is, what to do about it, who owns it, and when it's due. Priority dropdown (Critical/High/Medium/Low) and Status dropdown (Not Started/In Progress/Completed/Deferred/Waived). 100 rows pre-formatted. The REMEDIATION SUMMARY tab counts from here automatically.</t>
        </is>
      </c>
    </row>
    <row r="7" ht="50" customHeight="1">
      <c r="A7" s="31" t="inlineStr">
        <is>
          <t>REMEDIATION SUMMARY</t>
        </is>
      </c>
      <c r="B7" s="32" t="inlineStr">
        <is>
          <t>Counts from the Remediation Plan automatically. Shows: how many findings by priority, how many completed vs remaining, % remediated overall, and a per-technology breakdown of open Critical and High items. This is your weekly remediation status view.</t>
        </is>
      </c>
    </row>
    <row r="8" ht="35" customHeight="1">
      <c r="A8" s="31" t="inlineStr">
        <is>
          <t>SharePoint Setup</t>
        </is>
      </c>
      <c r="B8" s="32" t="inlineStr">
        <is>
          <t>Place this file in the SAME SharePoint library as the Master Tracker and all 21 workbooks. Open from SharePoint, click Update Links. The EXECUTIVE DASHBOARD and GAPS BY FAMILY tabs will populate live.</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H29"/>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4" customWidth="1" min="8" max="8"/>
  </cols>
  <sheetData>
    <row r="1" ht="32" customHeight="1">
      <c r="A1" s="1" t="inlineStr">
        <is>
          <t>PBMM Gap Analysis — Executive Dashboard (LIVE from Tracker)</t>
        </is>
      </c>
      <c r="B1" s="2" t="n"/>
      <c r="C1" s="2" t="n"/>
      <c r="D1" s="2" t="n"/>
      <c r="E1" s="2" t="n"/>
      <c r="F1" s="2" t="n"/>
      <c r="G1" s="2" t="n"/>
      <c r="H1" s="3" t="n"/>
    </row>
    <row r="2" ht="45" customHeight="1">
      <c r="A2" s="4" t="inlineStr">
        <is>
          <t>Technology</t>
        </is>
      </c>
      <c r="B2" s="4" t="inlineStr">
        <is>
          <t>Total</t>
        </is>
      </c>
      <c r="C2" s="4" t="inlineStr">
        <is>
          <t>Passed</t>
        </is>
      </c>
      <c r="D2" s="4" t="inlineStr">
        <is>
          <t>In Progress</t>
        </is>
      </c>
      <c r="E2" s="4" t="inlineStr">
        <is>
          <t>Failed</t>
        </is>
      </c>
      <c r="F2" s="4" t="inlineStr">
        <is>
          <t>Not Started</t>
        </is>
      </c>
      <c r="G2" s="4" t="inlineStr">
        <is>
          <t>% Complete</t>
        </is>
      </c>
      <c r="H2" s="4" t="inlineStr">
        <is>
          <t>RAG</t>
        </is>
      </c>
    </row>
    <row r="3" ht="22" customHeight="1">
      <c r="A3" s="5" t="inlineStr">
        <is>
          <t>Analytics</t>
        </is>
      </c>
      <c r="B3" s="6">
        <f>COUNTIF('[PBMM_Master_Tracker_v2.xlsx]TRACKER'!$C$3:$C$1275,A3)</f>
        <v/>
      </c>
      <c r="C3" s="6">
        <f>COUNTIFS('[PBMM_Master_Tracker_v2.xlsx]TRACKER'!$C$3:$C$1275,A3,'[PBMM_Master_Tracker_v2.xlsx]TRACKER'!$G$3:$G$1275,"Passed")+COUNTIFS('[PBMM_Master_Tracker_v2.xlsx]TRACKER'!$C$3:$C$1275,A3,'[PBMM_Master_Tracker_v2.xlsx]TRACKER'!$G$3:$G$1275,"Accepted Exception")</f>
        <v/>
      </c>
      <c r="D3" s="6">
        <f>COUNTIFS('[PBMM_Master_Tracker_v2.xlsx]TRACKER'!$C$3:$C$1275,A3,'[PBMM_Master_Tracker_v2.xlsx]TRACKER'!$G$3:$G$1275,"In Progress")+COUNTIFS('[PBMM_Master_Tracker_v2.xlsx]TRACKER'!$C$3:$C$1275,A3,'[PBMM_Master_Tracker_v2.xlsx]TRACKER'!$G$3:$G$1275,"Evidence Provided")+COUNTIFS('[PBMM_Master_Tracker_v2.xlsx]TRACKER'!$C$3:$C$1275,A3,'[PBMM_Master_Tracker_v2.xlsx]TRACKER'!$G$3:$G$1275,"Under Review")</f>
        <v/>
      </c>
      <c r="E3" s="6">
        <f>COUNTIFS('[PBMM_Master_Tracker_v2.xlsx]TRACKER'!$C$3:$C$1275,A3,'[PBMM_Master_Tracker_v2.xlsx]TRACKER'!$G$3:$G$1275,"Failed")</f>
        <v/>
      </c>
      <c r="F3" s="6">
        <f>COUNTIFS('[PBMM_Master_Tracker_v2.xlsx]TRACKER'!$C$3:$C$1275,A3,'[PBMM_Master_Tracker_v2.xlsx]TRACKER'!$G$3:$G$1275,"Not Started")</f>
        <v/>
      </c>
      <c r="G3" s="7">
        <f>IFERROR(C3/B3,0)</f>
        <v/>
      </c>
      <c r="H3" s="8">
        <f>IF(G3&gt;=0.9,"GREEN",IF(G3&gt;=0.5,"AMBER","RED"))</f>
        <v/>
      </c>
    </row>
    <row r="4" ht="22" customHeight="1">
      <c r="A4" s="9" t="inlineStr">
        <is>
          <t>Compute</t>
        </is>
      </c>
      <c r="B4" s="10">
        <f>COUNTIF('[PBMM_Master_Tracker_v2.xlsx]TRACKER'!$C$3:$C$1275,A4)</f>
        <v/>
      </c>
      <c r="C4" s="10">
        <f>COUNTIFS('[PBMM_Master_Tracker_v2.xlsx]TRACKER'!$C$3:$C$1275,A4,'[PBMM_Master_Tracker_v2.xlsx]TRACKER'!$G$3:$G$1275,"Passed")+COUNTIFS('[PBMM_Master_Tracker_v2.xlsx]TRACKER'!$C$3:$C$1275,A4,'[PBMM_Master_Tracker_v2.xlsx]TRACKER'!$G$3:$G$1275,"Accepted Exception")</f>
        <v/>
      </c>
      <c r="D4" s="10">
        <f>COUNTIFS('[PBMM_Master_Tracker_v2.xlsx]TRACKER'!$C$3:$C$1275,A4,'[PBMM_Master_Tracker_v2.xlsx]TRACKER'!$G$3:$G$1275,"In Progress")+COUNTIFS('[PBMM_Master_Tracker_v2.xlsx]TRACKER'!$C$3:$C$1275,A4,'[PBMM_Master_Tracker_v2.xlsx]TRACKER'!$G$3:$G$1275,"Evidence Provided")+COUNTIFS('[PBMM_Master_Tracker_v2.xlsx]TRACKER'!$C$3:$C$1275,A4,'[PBMM_Master_Tracker_v2.xlsx]TRACKER'!$G$3:$G$1275,"Under Review")</f>
        <v/>
      </c>
      <c r="E4" s="10">
        <f>COUNTIFS('[PBMM_Master_Tracker_v2.xlsx]TRACKER'!$C$3:$C$1275,A4,'[PBMM_Master_Tracker_v2.xlsx]TRACKER'!$G$3:$G$1275,"Failed")</f>
        <v/>
      </c>
      <c r="F4" s="10">
        <f>COUNTIFS('[PBMM_Master_Tracker_v2.xlsx]TRACKER'!$C$3:$C$1275,A4,'[PBMM_Master_Tracker_v2.xlsx]TRACKER'!$G$3:$G$1275,"Not Started")</f>
        <v/>
      </c>
      <c r="G4" s="11">
        <f>IFERROR(C4/B4,0)</f>
        <v/>
      </c>
      <c r="H4" s="12">
        <f>IF(G4&gt;=0.9,"GREEN",IF(G4&gt;=0.5,"AMBER","RED"))</f>
        <v/>
      </c>
    </row>
    <row r="5" ht="22" customHeight="1">
      <c r="A5" s="5" t="inlineStr">
        <is>
          <t>Containers</t>
        </is>
      </c>
      <c r="B5" s="6">
        <f>COUNTIF('[PBMM_Master_Tracker_v2.xlsx]TRACKER'!$C$3:$C$1275,A5)</f>
        <v/>
      </c>
      <c r="C5" s="6">
        <f>COUNTIFS('[PBMM_Master_Tracker_v2.xlsx]TRACKER'!$C$3:$C$1275,A5,'[PBMM_Master_Tracker_v2.xlsx]TRACKER'!$G$3:$G$1275,"Passed")+COUNTIFS('[PBMM_Master_Tracker_v2.xlsx]TRACKER'!$C$3:$C$1275,A5,'[PBMM_Master_Tracker_v2.xlsx]TRACKER'!$G$3:$G$1275,"Accepted Exception")</f>
        <v/>
      </c>
      <c r="D5" s="6">
        <f>COUNTIFS('[PBMM_Master_Tracker_v2.xlsx]TRACKER'!$C$3:$C$1275,A5,'[PBMM_Master_Tracker_v2.xlsx]TRACKER'!$G$3:$G$1275,"In Progress")+COUNTIFS('[PBMM_Master_Tracker_v2.xlsx]TRACKER'!$C$3:$C$1275,A5,'[PBMM_Master_Tracker_v2.xlsx]TRACKER'!$G$3:$G$1275,"Evidence Provided")+COUNTIFS('[PBMM_Master_Tracker_v2.xlsx]TRACKER'!$C$3:$C$1275,A5,'[PBMM_Master_Tracker_v2.xlsx]TRACKER'!$G$3:$G$1275,"Under Review")</f>
        <v/>
      </c>
      <c r="E5" s="6">
        <f>COUNTIFS('[PBMM_Master_Tracker_v2.xlsx]TRACKER'!$C$3:$C$1275,A5,'[PBMM_Master_Tracker_v2.xlsx]TRACKER'!$G$3:$G$1275,"Failed")</f>
        <v/>
      </c>
      <c r="F5" s="6">
        <f>COUNTIFS('[PBMM_Master_Tracker_v2.xlsx]TRACKER'!$C$3:$C$1275,A5,'[PBMM_Master_Tracker_v2.xlsx]TRACKER'!$G$3:$G$1275,"Not Started")</f>
        <v/>
      </c>
      <c r="G5" s="7">
        <f>IFERROR(C5/B5,0)</f>
        <v/>
      </c>
      <c r="H5" s="8">
        <f>IF(G5&gt;=0.9,"GREEN",IF(G5&gt;=0.5,"AMBER","RED"))</f>
        <v/>
      </c>
    </row>
    <row r="6" ht="22" customHeight="1">
      <c r="A6" s="9" t="inlineStr">
        <is>
          <t>Database</t>
        </is>
      </c>
      <c r="B6" s="10">
        <f>COUNTIF('[PBMM_Master_Tracker_v2.xlsx]TRACKER'!$C$3:$C$1275,A6)</f>
        <v/>
      </c>
      <c r="C6" s="10">
        <f>COUNTIFS('[PBMM_Master_Tracker_v2.xlsx]TRACKER'!$C$3:$C$1275,A6,'[PBMM_Master_Tracker_v2.xlsx]TRACKER'!$G$3:$G$1275,"Passed")+COUNTIFS('[PBMM_Master_Tracker_v2.xlsx]TRACKER'!$C$3:$C$1275,A6,'[PBMM_Master_Tracker_v2.xlsx]TRACKER'!$G$3:$G$1275,"Accepted Exception")</f>
        <v/>
      </c>
      <c r="D6" s="10">
        <f>COUNTIFS('[PBMM_Master_Tracker_v2.xlsx]TRACKER'!$C$3:$C$1275,A6,'[PBMM_Master_Tracker_v2.xlsx]TRACKER'!$G$3:$G$1275,"In Progress")+COUNTIFS('[PBMM_Master_Tracker_v2.xlsx]TRACKER'!$C$3:$C$1275,A6,'[PBMM_Master_Tracker_v2.xlsx]TRACKER'!$G$3:$G$1275,"Evidence Provided")+COUNTIFS('[PBMM_Master_Tracker_v2.xlsx]TRACKER'!$C$3:$C$1275,A6,'[PBMM_Master_Tracker_v2.xlsx]TRACKER'!$G$3:$G$1275,"Under Review")</f>
        <v/>
      </c>
      <c r="E6" s="10">
        <f>COUNTIFS('[PBMM_Master_Tracker_v2.xlsx]TRACKER'!$C$3:$C$1275,A6,'[PBMM_Master_Tracker_v2.xlsx]TRACKER'!$G$3:$G$1275,"Failed")</f>
        <v/>
      </c>
      <c r="F6" s="10">
        <f>COUNTIFS('[PBMM_Master_Tracker_v2.xlsx]TRACKER'!$C$3:$C$1275,A6,'[PBMM_Master_Tracker_v2.xlsx]TRACKER'!$G$3:$G$1275,"Not Started")</f>
        <v/>
      </c>
      <c r="G6" s="11">
        <f>IFERROR(C6/B6,0)</f>
        <v/>
      </c>
      <c r="H6" s="12">
        <f>IF(G6&gt;=0.9,"GREEN",IF(G6&gt;=0.5,"AMBER","RED"))</f>
        <v/>
      </c>
    </row>
    <row r="7" ht="22" customHeight="1">
      <c r="A7" s="5" t="inlineStr">
        <is>
          <t>Developer Tools</t>
        </is>
      </c>
      <c r="B7" s="6">
        <f>COUNTIF('[PBMM_Master_Tracker_v2.xlsx]TRACKER'!$C$3:$C$1275,A7)</f>
        <v/>
      </c>
      <c r="C7" s="6">
        <f>COUNTIFS('[PBMM_Master_Tracker_v2.xlsx]TRACKER'!$C$3:$C$1275,A7,'[PBMM_Master_Tracker_v2.xlsx]TRACKER'!$G$3:$G$1275,"Passed")+COUNTIFS('[PBMM_Master_Tracker_v2.xlsx]TRACKER'!$C$3:$C$1275,A7,'[PBMM_Master_Tracker_v2.xlsx]TRACKER'!$G$3:$G$1275,"Accepted Exception")</f>
        <v/>
      </c>
      <c r="D7" s="6">
        <f>COUNTIFS('[PBMM_Master_Tracker_v2.xlsx]TRACKER'!$C$3:$C$1275,A7,'[PBMM_Master_Tracker_v2.xlsx]TRACKER'!$G$3:$G$1275,"In Progress")+COUNTIFS('[PBMM_Master_Tracker_v2.xlsx]TRACKER'!$C$3:$C$1275,A7,'[PBMM_Master_Tracker_v2.xlsx]TRACKER'!$G$3:$G$1275,"Evidence Provided")+COUNTIFS('[PBMM_Master_Tracker_v2.xlsx]TRACKER'!$C$3:$C$1275,A7,'[PBMM_Master_Tracker_v2.xlsx]TRACKER'!$G$3:$G$1275,"Under Review")</f>
        <v/>
      </c>
      <c r="E7" s="6">
        <f>COUNTIFS('[PBMM_Master_Tracker_v2.xlsx]TRACKER'!$C$3:$C$1275,A7,'[PBMM_Master_Tracker_v2.xlsx]TRACKER'!$G$3:$G$1275,"Failed")</f>
        <v/>
      </c>
      <c r="F7" s="6">
        <f>COUNTIFS('[PBMM_Master_Tracker_v2.xlsx]TRACKER'!$C$3:$C$1275,A7,'[PBMM_Master_Tracker_v2.xlsx]TRACKER'!$G$3:$G$1275,"Not Started")</f>
        <v/>
      </c>
      <c r="G7" s="7">
        <f>IFERROR(C7/B7,0)</f>
        <v/>
      </c>
      <c r="H7" s="8">
        <f>IF(G7&gt;=0.9,"GREEN",IF(G7&gt;=0.5,"AMBER","RED"))</f>
        <v/>
      </c>
    </row>
    <row r="8" ht="22" customHeight="1">
      <c r="A8" s="9" t="inlineStr">
        <is>
          <t>DevOps</t>
        </is>
      </c>
      <c r="B8" s="10">
        <f>COUNTIF('[PBMM_Master_Tracker_v2.xlsx]TRACKER'!$C$3:$C$1275,A8)</f>
        <v/>
      </c>
      <c r="C8" s="10">
        <f>COUNTIFS('[PBMM_Master_Tracker_v2.xlsx]TRACKER'!$C$3:$C$1275,A8,'[PBMM_Master_Tracker_v2.xlsx]TRACKER'!$G$3:$G$1275,"Passed")+COUNTIFS('[PBMM_Master_Tracker_v2.xlsx]TRACKER'!$C$3:$C$1275,A8,'[PBMM_Master_Tracker_v2.xlsx]TRACKER'!$G$3:$G$1275,"Accepted Exception")</f>
        <v/>
      </c>
      <c r="D8" s="10">
        <f>COUNTIFS('[PBMM_Master_Tracker_v2.xlsx]TRACKER'!$C$3:$C$1275,A8,'[PBMM_Master_Tracker_v2.xlsx]TRACKER'!$G$3:$G$1275,"In Progress")+COUNTIFS('[PBMM_Master_Tracker_v2.xlsx]TRACKER'!$C$3:$C$1275,A8,'[PBMM_Master_Tracker_v2.xlsx]TRACKER'!$G$3:$G$1275,"Evidence Provided")+COUNTIFS('[PBMM_Master_Tracker_v2.xlsx]TRACKER'!$C$3:$C$1275,A8,'[PBMM_Master_Tracker_v2.xlsx]TRACKER'!$G$3:$G$1275,"Under Review")</f>
        <v/>
      </c>
      <c r="E8" s="10">
        <f>COUNTIFS('[PBMM_Master_Tracker_v2.xlsx]TRACKER'!$C$3:$C$1275,A8,'[PBMM_Master_Tracker_v2.xlsx]TRACKER'!$G$3:$G$1275,"Failed")</f>
        <v/>
      </c>
      <c r="F8" s="10">
        <f>COUNTIFS('[PBMM_Master_Tracker_v2.xlsx]TRACKER'!$C$3:$C$1275,A8,'[PBMM_Master_Tracker_v2.xlsx]TRACKER'!$G$3:$G$1275,"Not Started")</f>
        <v/>
      </c>
      <c r="G8" s="11">
        <f>IFERROR(C8/B8,0)</f>
        <v/>
      </c>
      <c r="H8" s="12">
        <f>IF(G8&gt;=0.9,"GREEN",IF(G8&gt;=0.5,"AMBER","RED"))</f>
        <v/>
      </c>
    </row>
    <row r="9" ht="22" customHeight="1">
      <c r="A9" s="5" t="inlineStr">
        <is>
          <t>Documentation</t>
        </is>
      </c>
      <c r="B9" s="6">
        <f>COUNTIF('[PBMM_Master_Tracker_v2.xlsx]TRACKER'!$C$3:$C$1275,A9)</f>
        <v/>
      </c>
      <c r="C9" s="6">
        <f>COUNTIFS('[PBMM_Master_Tracker_v2.xlsx]TRACKER'!$C$3:$C$1275,A9,'[PBMM_Master_Tracker_v2.xlsx]TRACKER'!$G$3:$G$1275,"Passed")+COUNTIFS('[PBMM_Master_Tracker_v2.xlsx]TRACKER'!$C$3:$C$1275,A9,'[PBMM_Master_Tracker_v2.xlsx]TRACKER'!$G$3:$G$1275,"Accepted Exception")</f>
        <v/>
      </c>
      <c r="D9" s="6">
        <f>COUNTIFS('[PBMM_Master_Tracker_v2.xlsx]TRACKER'!$C$3:$C$1275,A9,'[PBMM_Master_Tracker_v2.xlsx]TRACKER'!$G$3:$G$1275,"In Progress")+COUNTIFS('[PBMM_Master_Tracker_v2.xlsx]TRACKER'!$C$3:$C$1275,A9,'[PBMM_Master_Tracker_v2.xlsx]TRACKER'!$G$3:$G$1275,"Evidence Provided")+COUNTIFS('[PBMM_Master_Tracker_v2.xlsx]TRACKER'!$C$3:$C$1275,A9,'[PBMM_Master_Tracker_v2.xlsx]TRACKER'!$G$3:$G$1275,"Under Review")</f>
        <v/>
      </c>
      <c r="E9" s="6">
        <f>COUNTIFS('[PBMM_Master_Tracker_v2.xlsx]TRACKER'!$C$3:$C$1275,A9,'[PBMM_Master_Tracker_v2.xlsx]TRACKER'!$G$3:$G$1275,"Failed")</f>
        <v/>
      </c>
      <c r="F9" s="6">
        <f>COUNTIFS('[PBMM_Master_Tracker_v2.xlsx]TRACKER'!$C$3:$C$1275,A9,'[PBMM_Master_Tracker_v2.xlsx]TRACKER'!$G$3:$G$1275,"Not Started")</f>
        <v/>
      </c>
      <c r="G9" s="7">
        <f>IFERROR(C9/B9,0)</f>
        <v/>
      </c>
      <c r="H9" s="8">
        <f>IF(G9&gt;=0.9,"GREEN",IF(G9&gt;=0.5,"AMBER","RED"))</f>
        <v/>
      </c>
    </row>
    <row r="10" ht="22" customHeight="1">
      <c r="A10" s="9" t="inlineStr">
        <is>
          <t>Hybrid + Multicloud</t>
        </is>
      </c>
      <c r="B10" s="10">
        <f>COUNTIF('[PBMM_Master_Tracker_v2.xlsx]TRACKER'!$C$3:$C$1275,A10)</f>
        <v/>
      </c>
      <c r="C10" s="10">
        <f>COUNTIFS('[PBMM_Master_Tracker_v2.xlsx]TRACKER'!$C$3:$C$1275,A10,'[PBMM_Master_Tracker_v2.xlsx]TRACKER'!$G$3:$G$1275,"Passed")+COUNTIFS('[PBMM_Master_Tracker_v2.xlsx]TRACKER'!$C$3:$C$1275,A10,'[PBMM_Master_Tracker_v2.xlsx]TRACKER'!$G$3:$G$1275,"Accepted Exception")</f>
        <v/>
      </c>
      <c r="D10" s="10">
        <f>COUNTIFS('[PBMM_Master_Tracker_v2.xlsx]TRACKER'!$C$3:$C$1275,A10,'[PBMM_Master_Tracker_v2.xlsx]TRACKER'!$G$3:$G$1275,"In Progress")+COUNTIFS('[PBMM_Master_Tracker_v2.xlsx]TRACKER'!$C$3:$C$1275,A10,'[PBMM_Master_Tracker_v2.xlsx]TRACKER'!$G$3:$G$1275,"Evidence Provided")+COUNTIFS('[PBMM_Master_Tracker_v2.xlsx]TRACKER'!$C$3:$C$1275,A10,'[PBMM_Master_Tracker_v2.xlsx]TRACKER'!$G$3:$G$1275,"Under Review")</f>
        <v/>
      </c>
      <c r="E10" s="10">
        <f>COUNTIFS('[PBMM_Master_Tracker_v2.xlsx]TRACKER'!$C$3:$C$1275,A10,'[PBMM_Master_Tracker_v2.xlsx]TRACKER'!$G$3:$G$1275,"Failed")</f>
        <v/>
      </c>
      <c r="F10" s="10">
        <f>COUNTIFS('[PBMM_Master_Tracker_v2.xlsx]TRACKER'!$C$3:$C$1275,A10,'[PBMM_Master_Tracker_v2.xlsx]TRACKER'!$G$3:$G$1275,"Not Started")</f>
        <v/>
      </c>
      <c r="G10" s="11">
        <f>IFERROR(C10/B10,0)</f>
        <v/>
      </c>
      <c r="H10" s="12">
        <f>IF(G10&gt;=0.9,"GREEN",IF(G10&gt;=0.5,"AMBER","RED"))</f>
        <v/>
      </c>
    </row>
    <row r="11" ht="22" customHeight="1">
      <c r="A11" s="5" t="inlineStr">
        <is>
          <t>Identity</t>
        </is>
      </c>
      <c r="B11" s="6">
        <f>COUNTIF('[PBMM_Master_Tracker_v2.xlsx]TRACKER'!$C$3:$C$1275,A11)</f>
        <v/>
      </c>
      <c r="C11" s="6">
        <f>COUNTIFS('[PBMM_Master_Tracker_v2.xlsx]TRACKER'!$C$3:$C$1275,A11,'[PBMM_Master_Tracker_v2.xlsx]TRACKER'!$G$3:$G$1275,"Passed")+COUNTIFS('[PBMM_Master_Tracker_v2.xlsx]TRACKER'!$C$3:$C$1275,A11,'[PBMM_Master_Tracker_v2.xlsx]TRACKER'!$G$3:$G$1275,"Accepted Exception")</f>
        <v/>
      </c>
      <c r="D11" s="6">
        <f>COUNTIFS('[PBMM_Master_Tracker_v2.xlsx]TRACKER'!$C$3:$C$1275,A11,'[PBMM_Master_Tracker_v2.xlsx]TRACKER'!$G$3:$G$1275,"In Progress")+COUNTIFS('[PBMM_Master_Tracker_v2.xlsx]TRACKER'!$C$3:$C$1275,A11,'[PBMM_Master_Tracker_v2.xlsx]TRACKER'!$G$3:$G$1275,"Evidence Provided")+COUNTIFS('[PBMM_Master_Tracker_v2.xlsx]TRACKER'!$C$3:$C$1275,A11,'[PBMM_Master_Tracker_v2.xlsx]TRACKER'!$G$3:$G$1275,"Under Review")</f>
        <v/>
      </c>
      <c r="E11" s="6">
        <f>COUNTIFS('[PBMM_Master_Tracker_v2.xlsx]TRACKER'!$C$3:$C$1275,A11,'[PBMM_Master_Tracker_v2.xlsx]TRACKER'!$G$3:$G$1275,"Failed")</f>
        <v/>
      </c>
      <c r="F11" s="6">
        <f>COUNTIFS('[PBMM_Master_Tracker_v2.xlsx]TRACKER'!$C$3:$C$1275,A11,'[PBMM_Master_Tracker_v2.xlsx]TRACKER'!$G$3:$G$1275,"Not Started")</f>
        <v/>
      </c>
      <c r="G11" s="7">
        <f>IFERROR(C11/B11,0)</f>
        <v/>
      </c>
      <c r="H11" s="8">
        <f>IF(G11&gt;=0.9,"GREEN",IF(G11&gt;=0.5,"AMBER","RED"))</f>
        <v/>
      </c>
    </row>
    <row r="12" ht="22" customHeight="1">
      <c r="A12" s="9" t="inlineStr">
        <is>
          <t>Management and Governance</t>
        </is>
      </c>
      <c r="B12" s="10">
        <f>COUNTIF('[PBMM_Master_Tracker_v2.xlsx]TRACKER'!$C$3:$C$1275,A12)</f>
        <v/>
      </c>
      <c r="C12" s="10">
        <f>COUNTIFS('[PBMM_Master_Tracker_v2.xlsx]TRACKER'!$C$3:$C$1275,A12,'[PBMM_Master_Tracker_v2.xlsx]TRACKER'!$G$3:$G$1275,"Passed")+COUNTIFS('[PBMM_Master_Tracker_v2.xlsx]TRACKER'!$C$3:$C$1275,A12,'[PBMM_Master_Tracker_v2.xlsx]TRACKER'!$G$3:$G$1275,"Accepted Exception")</f>
        <v/>
      </c>
      <c r="D12" s="10">
        <f>COUNTIFS('[PBMM_Master_Tracker_v2.xlsx]TRACKER'!$C$3:$C$1275,A12,'[PBMM_Master_Tracker_v2.xlsx]TRACKER'!$G$3:$G$1275,"In Progress")+COUNTIFS('[PBMM_Master_Tracker_v2.xlsx]TRACKER'!$C$3:$C$1275,A12,'[PBMM_Master_Tracker_v2.xlsx]TRACKER'!$G$3:$G$1275,"Evidence Provided")+COUNTIFS('[PBMM_Master_Tracker_v2.xlsx]TRACKER'!$C$3:$C$1275,A12,'[PBMM_Master_Tracker_v2.xlsx]TRACKER'!$G$3:$G$1275,"Under Review")</f>
        <v/>
      </c>
      <c r="E12" s="10">
        <f>COUNTIFS('[PBMM_Master_Tracker_v2.xlsx]TRACKER'!$C$3:$C$1275,A12,'[PBMM_Master_Tracker_v2.xlsx]TRACKER'!$G$3:$G$1275,"Failed")</f>
        <v/>
      </c>
      <c r="F12" s="10">
        <f>COUNTIFS('[PBMM_Master_Tracker_v2.xlsx]TRACKER'!$C$3:$C$1275,A12,'[PBMM_Master_Tracker_v2.xlsx]TRACKER'!$G$3:$G$1275,"Not Started")</f>
        <v/>
      </c>
      <c r="G12" s="11">
        <f>IFERROR(C12/B12,0)</f>
        <v/>
      </c>
      <c r="H12" s="12">
        <f>IF(G12&gt;=0.9,"GREEN",IF(G12&gt;=0.5,"AMBER","RED"))</f>
        <v/>
      </c>
    </row>
    <row r="13" ht="22" customHeight="1">
      <c r="A13" s="5" t="inlineStr">
        <is>
          <t>Microsoft-Descoped</t>
        </is>
      </c>
      <c r="B13" s="6">
        <f>COUNTIF('[PBMM_Master_Tracker_v2.xlsx]TRACKER'!$C$3:$C$1275,A13)</f>
        <v/>
      </c>
      <c r="C13" s="6">
        <f>COUNTIFS('[PBMM_Master_Tracker_v2.xlsx]TRACKER'!$C$3:$C$1275,A13,'[PBMM_Master_Tracker_v2.xlsx]TRACKER'!$G$3:$G$1275,"Passed")+COUNTIFS('[PBMM_Master_Tracker_v2.xlsx]TRACKER'!$C$3:$C$1275,A13,'[PBMM_Master_Tracker_v2.xlsx]TRACKER'!$G$3:$G$1275,"Accepted Exception")</f>
        <v/>
      </c>
      <c r="D13" s="6">
        <f>COUNTIFS('[PBMM_Master_Tracker_v2.xlsx]TRACKER'!$C$3:$C$1275,A13,'[PBMM_Master_Tracker_v2.xlsx]TRACKER'!$G$3:$G$1275,"In Progress")+COUNTIFS('[PBMM_Master_Tracker_v2.xlsx]TRACKER'!$C$3:$C$1275,A13,'[PBMM_Master_Tracker_v2.xlsx]TRACKER'!$G$3:$G$1275,"Evidence Provided")+COUNTIFS('[PBMM_Master_Tracker_v2.xlsx]TRACKER'!$C$3:$C$1275,A13,'[PBMM_Master_Tracker_v2.xlsx]TRACKER'!$G$3:$G$1275,"Under Review")</f>
        <v/>
      </c>
      <c r="E13" s="6">
        <f>COUNTIFS('[PBMM_Master_Tracker_v2.xlsx]TRACKER'!$C$3:$C$1275,A13,'[PBMM_Master_Tracker_v2.xlsx]TRACKER'!$G$3:$G$1275,"Failed")</f>
        <v/>
      </c>
      <c r="F13" s="6">
        <f>COUNTIFS('[PBMM_Master_Tracker_v2.xlsx]TRACKER'!$C$3:$C$1275,A13,'[PBMM_Master_Tracker_v2.xlsx]TRACKER'!$G$3:$G$1275,"Not Started")</f>
        <v/>
      </c>
      <c r="G13" s="7">
        <f>IFERROR(C13/B13,0)</f>
        <v/>
      </c>
      <c r="H13" s="8">
        <f>IF(G13&gt;=0.9,"GREEN",IF(G13&gt;=0.5,"AMBER","RED"))</f>
        <v/>
      </c>
    </row>
    <row r="14" ht="22" customHeight="1">
      <c r="A14" s="9" t="inlineStr">
        <is>
          <t>Networking</t>
        </is>
      </c>
      <c r="B14" s="10">
        <f>COUNTIF('[PBMM_Master_Tracker_v2.xlsx]TRACKER'!$C$3:$C$1275,A14)</f>
        <v/>
      </c>
      <c r="C14" s="10">
        <f>COUNTIFS('[PBMM_Master_Tracker_v2.xlsx]TRACKER'!$C$3:$C$1275,A14,'[PBMM_Master_Tracker_v2.xlsx]TRACKER'!$G$3:$G$1275,"Passed")+COUNTIFS('[PBMM_Master_Tracker_v2.xlsx]TRACKER'!$C$3:$C$1275,A14,'[PBMM_Master_Tracker_v2.xlsx]TRACKER'!$G$3:$G$1275,"Accepted Exception")</f>
        <v/>
      </c>
      <c r="D14" s="10">
        <f>COUNTIFS('[PBMM_Master_Tracker_v2.xlsx]TRACKER'!$C$3:$C$1275,A14,'[PBMM_Master_Tracker_v2.xlsx]TRACKER'!$G$3:$G$1275,"In Progress")+COUNTIFS('[PBMM_Master_Tracker_v2.xlsx]TRACKER'!$C$3:$C$1275,A14,'[PBMM_Master_Tracker_v2.xlsx]TRACKER'!$G$3:$G$1275,"Evidence Provided")+COUNTIFS('[PBMM_Master_Tracker_v2.xlsx]TRACKER'!$C$3:$C$1275,A14,'[PBMM_Master_Tracker_v2.xlsx]TRACKER'!$G$3:$G$1275,"Under Review")</f>
        <v/>
      </c>
      <c r="E14" s="10">
        <f>COUNTIFS('[PBMM_Master_Tracker_v2.xlsx]TRACKER'!$C$3:$C$1275,A14,'[PBMM_Master_Tracker_v2.xlsx]TRACKER'!$G$3:$G$1275,"Failed")</f>
        <v/>
      </c>
      <c r="F14" s="10">
        <f>COUNTIFS('[PBMM_Master_Tracker_v2.xlsx]TRACKER'!$C$3:$C$1275,A14,'[PBMM_Master_Tracker_v2.xlsx]TRACKER'!$G$3:$G$1275,"Not Started")</f>
        <v/>
      </c>
      <c r="G14" s="11">
        <f>IFERROR(C14/B14,0)</f>
        <v/>
      </c>
      <c r="H14" s="12">
        <f>IF(G14&gt;=0.9,"GREEN",IF(G14&gt;=0.5,"AMBER","RED"))</f>
        <v/>
      </c>
    </row>
    <row r="15" ht="22" customHeight="1">
      <c r="A15" s="5" t="inlineStr">
        <is>
          <t>Palo Alto Firewalls</t>
        </is>
      </c>
      <c r="B15" s="6">
        <f>COUNTIF('[PBMM_Master_Tracker_v2.xlsx]TRACKER'!$C$3:$C$1275,A15)</f>
        <v/>
      </c>
      <c r="C15" s="6">
        <f>COUNTIFS('[PBMM_Master_Tracker_v2.xlsx]TRACKER'!$C$3:$C$1275,A15,'[PBMM_Master_Tracker_v2.xlsx]TRACKER'!$G$3:$G$1275,"Passed")+COUNTIFS('[PBMM_Master_Tracker_v2.xlsx]TRACKER'!$C$3:$C$1275,A15,'[PBMM_Master_Tracker_v2.xlsx]TRACKER'!$G$3:$G$1275,"Accepted Exception")</f>
        <v/>
      </c>
      <c r="D15" s="6">
        <f>COUNTIFS('[PBMM_Master_Tracker_v2.xlsx]TRACKER'!$C$3:$C$1275,A15,'[PBMM_Master_Tracker_v2.xlsx]TRACKER'!$G$3:$G$1275,"In Progress")+COUNTIFS('[PBMM_Master_Tracker_v2.xlsx]TRACKER'!$C$3:$C$1275,A15,'[PBMM_Master_Tracker_v2.xlsx]TRACKER'!$G$3:$G$1275,"Evidence Provided")+COUNTIFS('[PBMM_Master_Tracker_v2.xlsx]TRACKER'!$C$3:$C$1275,A15,'[PBMM_Master_Tracker_v2.xlsx]TRACKER'!$G$3:$G$1275,"Under Review")</f>
        <v/>
      </c>
      <c r="E15" s="6">
        <f>COUNTIFS('[PBMM_Master_Tracker_v2.xlsx]TRACKER'!$C$3:$C$1275,A15,'[PBMM_Master_Tracker_v2.xlsx]TRACKER'!$G$3:$G$1275,"Failed")</f>
        <v/>
      </c>
      <c r="F15" s="6">
        <f>COUNTIFS('[PBMM_Master_Tracker_v2.xlsx]TRACKER'!$C$3:$C$1275,A15,'[PBMM_Master_Tracker_v2.xlsx]TRACKER'!$G$3:$G$1275,"Not Started")</f>
        <v/>
      </c>
      <c r="G15" s="7">
        <f>IFERROR(C15/B15,0)</f>
        <v/>
      </c>
      <c r="H15" s="8">
        <f>IF(G15&gt;=0.9,"GREEN",IF(G15&gt;=0.5,"AMBER","RED"))</f>
        <v/>
      </c>
    </row>
    <row r="16" ht="22" customHeight="1">
      <c r="A16" s="9" t="inlineStr">
        <is>
          <t>Panorama</t>
        </is>
      </c>
      <c r="B16" s="10">
        <f>COUNTIF('[PBMM_Master_Tracker_v2.xlsx]TRACKER'!$C$3:$C$1275,A16)</f>
        <v/>
      </c>
      <c r="C16" s="10">
        <f>COUNTIFS('[PBMM_Master_Tracker_v2.xlsx]TRACKER'!$C$3:$C$1275,A16,'[PBMM_Master_Tracker_v2.xlsx]TRACKER'!$G$3:$G$1275,"Passed")+COUNTIFS('[PBMM_Master_Tracker_v2.xlsx]TRACKER'!$C$3:$C$1275,A16,'[PBMM_Master_Tracker_v2.xlsx]TRACKER'!$G$3:$G$1275,"Accepted Exception")</f>
        <v/>
      </c>
      <c r="D16" s="10">
        <f>COUNTIFS('[PBMM_Master_Tracker_v2.xlsx]TRACKER'!$C$3:$C$1275,A16,'[PBMM_Master_Tracker_v2.xlsx]TRACKER'!$G$3:$G$1275,"In Progress")+COUNTIFS('[PBMM_Master_Tracker_v2.xlsx]TRACKER'!$C$3:$C$1275,A16,'[PBMM_Master_Tracker_v2.xlsx]TRACKER'!$G$3:$G$1275,"Evidence Provided")+COUNTIFS('[PBMM_Master_Tracker_v2.xlsx]TRACKER'!$C$3:$C$1275,A16,'[PBMM_Master_Tracker_v2.xlsx]TRACKER'!$G$3:$G$1275,"Under Review")</f>
        <v/>
      </c>
      <c r="E16" s="10">
        <f>COUNTIFS('[PBMM_Master_Tracker_v2.xlsx]TRACKER'!$C$3:$C$1275,A16,'[PBMM_Master_Tracker_v2.xlsx]TRACKER'!$G$3:$G$1275,"Failed")</f>
        <v/>
      </c>
      <c r="F16" s="10">
        <f>COUNTIFS('[PBMM_Master_Tracker_v2.xlsx]TRACKER'!$C$3:$C$1275,A16,'[PBMM_Master_Tracker_v2.xlsx]TRACKER'!$G$3:$G$1275,"Not Started")</f>
        <v/>
      </c>
      <c r="G16" s="11">
        <f>IFERROR(C16/B16,0)</f>
        <v/>
      </c>
      <c r="H16" s="12">
        <f>IF(G16&gt;=0.9,"GREEN",IF(G16&gt;=0.5,"AMBER","RED"))</f>
        <v/>
      </c>
    </row>
    <row r="17" ht="22" customHeight="1">
      <c r="A17" s="5" t="inlineStr">
        <is>
          <t>Security</t>
        </is>
      </c>
      <c r="B17" s="6">
        <f>COUNTIF('[PBMM_Master_Tracker_v2.xlsx]TRACKER'!$C$3:$C$1275,A17)</f>
        <v/>
      </c>
      <c r="C17" s="6">
        <f>COUNTIFS('[PBMM_Master_Tracker_v2.xlsx]TRACKER'!$C$3:$C$1275,A17,'[PBMM_Master_Tracker_v2.xlsx]TRACKER'!$G$3:$G$1275,"Passed")+COUNTIFS('[PBMM_Master_Tracker_v2.xlsx]TRACKER'!$C$3:$C$1275,A17,'[PBMM_Master_Tracker_v2.xlsx]TRACKER'!$G$3:$G$1275,"Accepted Exception")</f>
        <v/>
      </c>
      <c r="D17" s="6">
        <f>COUNTIFS('[PBMM_Master_Tracker_v2.xlsx]TRACKER'!$C$3:$C$1275,A17,'[PBMM_Master_Tracker_v2.xlsx]TRACKER'!$G$3:$G$1275,"In Progress")+COUNTIFS('[PBMM_Master_Tracker_v2.xlsx]TRACKER'!$C$3:$C$1275,A17,'[PBMM_Master_Tracker_v2.xlsx]TRACKER'!$G$3:$G$1275,"Evidence Provided")+COUNTIFS('[PBMM_Master_Tracker_v2.xlsx]TRACKER'!$C$3:$C$1275,A17,'[PBMM_Master_Tracker_v2.xlsx]TRACKER'!$G$3:$G$1275,"Under Review")</f>
        <v/>
      </c>
      <c r="E17" s="6">
        <f>COUNTIFS('[PBMM_Master_Tracker_v2.xlsx]TRACKER'!$C$3:$C$1275,A17,'[PBMM_Master_Tracker_v2.xlsx]TRACKER'!$G$3:$G$1275,"Failed")</f>
        <v/>
      </c>
      <c r="F17" s="6">
        <f>COUNTIFS('[PBMM_Master_Tracker_v2.xlsx]TRACKER'!$C$3:$C$1275,A17,'[PBMM_Master_Tracker_v2.xlsx]TRACKER'!$G$3:$G$1275,"Not Started")</f>
        <v/>
      </c>
      <c r="G17" s="7">
        <f>IFERROR(C17/B17,0)</f>
        <v/>
      </c>
      <c r="H17" s="8">
        <f>IF(G17&gt;=0.9,"GREEN",IF(G17&gt;=0.5,"AMBER","RED"))</f>
        <v/>
      </c>
    </row>
    <row r="18" ht="22" customHeight="1">
      <c r="A18" s="9" t="inlineStr">
        <is>
          <t>ServiceNow</t>
        </is>
      </c>
      <c r="B18" s="10">
        <f>COUNTIF('[PBMM_Master_Tracker_v2.xlsx]TRACKER'!$C$3:$C$1275,A18)</f>
        <v/>
      </c>
      <c r="C18" s="10">
        <f>COUNTIFS('[PBMM_Master_Tracker_v2.xlsx]TRACKER'!$C$3:$C$1275,A18,'[PBMM_Master_Tracker_v2.xlsx]TRACKER'!$G$3:$G$1275,"Passed")+COUNTIFS('[PBMM_Master_Tracker_v2.xlsx]TRACKER'!$C$3:$C$1275,A18,'[PBMM_Master_Tracker_v2.xlsx]TRACKER'!$G$3:$G$1275,"Accepted Exception")</f>
        <v/>
      </c>
      <c r="D18" s="10">
        <f>COUNTIFS('[PBMM_Master_Tracker_v2.xlsx]TRACKER'!$C$3:$C$1275,A18,'[PBMM_Master_Tracker_v2.xlsx]TRACKER'!$G$3:$G$1275,"In Progress")+COUNTIFS('[PBMM_Master_Tracker_v2.xlsx]TRACKER'!$C$3:$C$1275,A18,'[PBMM_Master_Tracker_v2.xlsx]TRACKER'!$G$3:$G$1275,"Evidence Provided")+COUNTIFS('[PBMM_Master_Tracker_v2.xlsx]TRACKER'!$C$3:$C$1275,A18,'[PBMM_Master_Tracker_v2.xlsx]TRACKER'!$G$3:$G$1275,"Under Review")</f>
        <v/>
      </c>
      <c r="E18" s="10">
        <f>COUNTIFS('[PBMM_Master_Tracker_v2.xlsx]TRACKER'!$C$3:$C$1275,A18,'[PBMM_Master_Tracker_v2.xlsx]TRACKER'!$G$3:$G$1275,"Failed")</f>
        <v/>
      </c>
      <c r="F18" s="10">
        <f>COUNTIFS('[PBMM_Master_Tracker_v2.xlsx]TRACKER'!$C$3:$C$1275,A18,'[PBMM_Master_Tracker_v2.xlsx]TRACKER'!$G$3:$G$1275,"Not Started")</f>
        <v/>
      </c>
      <c r="G18" s="11">
        <f>IFERROR(C18/B18,0)</f>
        <v/>
      </c>
      <c r="H18" s="12">
        <f>IF(G18&gt;=0.9,"GREEN",IF(G18&gt;=0.5,"AMBER","RED"))</f>
        <v/>
      </c>
    </row>
    <row r="19" ht="22" customHeight="1">
      <c r="A19" s="5" t="inlineStr">
        <is>
          <t>Storage</t>
        </is>
      </c>
      <c r="B19" s="6">
        <f>COUNTIF('[PBMM_Master_Tracker_v2.xlsx]TRACKER'!$C$3:$C$1275,A19)</f>
        <v/>
      </c>
      <c r="C19" s="6">
        <f>COUNTIFS('[PBMM_Master_Tracker_v2.xlsx]TRACKER'!$C$3:$C$1275,A19,'[PBMM_Master_Tracker_v2.xlsx]TRACKER'!$G$3:$G$1275,"Passed")+COUNTIFS('[PBMM_Master_Tracker_v2.xlsx]TRACKER'!$C$3:$C$1275,A19,'[PBMM_Master_Tracker_v2.xlsx]TRACKER'!$G$3:$G$1275,"Accepted Exception")</f>
        <v/>
      </c>
      <c r="D19" s="6">
        <f>COUNTIFS('[PBMM_Master_Tracker_v2.xlsx]TRACKER'!$C$3:$C$1275,A19,'[PBMM_Master_Tracker_v2.xlsx]TRACKER'!$G$3:$G$1275,"In Progress")+COUNTIFS('[PBMM_Master_Tracker_v2.xlsx]TRACKER'!$C$3:$C$1275,A19,'[PBMM_Master_Tracker_v2.xlsx]TRACKER'!$G$3:$G$1275,"Evidence Provided")+COUNTIFS('[PBMM_Master_Tracker_v2.xlsx]TRACKER'!$C$3:$C$1275,A19,'[PBMM_Master_Tracker_v2.xlsx]TRACKER'!$G$3:$G$1275,"Under Review")</f>
        <v/>
      </c>
      <c r="E19" s="6">
        <f>COUNTIFS('[PBMM_Master_Tracker_v2.xlsx]TRACKER'!$C$3:$C$1275,A19,'[PBMM_Master_Tracker_v2.xlsx]TRACKER'!$G$3:$G$1275,"Failed")</f>
        <v/>
      </c>
      <c r="F19" s="6">
        <f>COUNTIFS('[PBMM_Master_Tracker_v2.xlsx]TRACKER'!$C$3:$C$1275,A19,'[PBMM_Master_Tracker_v2.xlsx]TRACKER'!$G$3:$G$1275,"Not Started")</f>
        <v/>
      </c>
      <c r="G19" s="7">
        <f>IFERROR(C19/B19,0)</f>
        <v/>
      </c>
      <c r="H19" s="8">
        <f>IF(G19&gt;=0.9,"GREEN",IF(G19&gt;=0.5,"AMBER","RED"))</f>
        <v/>
      </c>
    </row>
    <row r="20" ht="22" customHeight="1">
      <c r="A20" s="9" t="inlineStr">
        <is>
          <t>Tenable Nessus</t>
        </is>
      </c>
      <c r="B20" s="10">
        <f>COUNTIF('[PBMM_Master_Tracker_v2.xlsx]TRACKER'!$C$3:$C$1275,A20)</f>
        <v/>
      </c>
      <c r="C20" s="10">
        <f>COUNTIFS('[PBMM_Master_Tracker_v2.xlsx]TRACKER'!$C$3:$C$1275,A20,'[PBMM_Master_Tracker_v2.xlsx]TRACKER'!$G$3:$G$1275,"Passed")+COUNTIFS('[PBMM_Master_Tracker_v2.xlsx]TRACKER'!$C$3:$C$1275,A20,'[PBMM_Master_Tracker_v2.xlsx]TRACKER'!$G$3:$G$1275,"Accepted Exception")</f>
        <v/>
      </c>
      <c r="D20" s="10">
        <f>COUNTIFS('[PBMM_Master_Tracker_v2.xlsx]TRACKER'!$C$3:$C$1275,A20,'[PBMM_Master_Tracker_v2.xlsx]TRACKER'!$G$3:$G$1275,"In Progress")+COUNTIFS('[PBMM_Master_Tracker_v2.xlsx]TRACKER'!$C$3:$C$1275,A20,'[PBMM_Master_Tracker_v2.xlsx]TRACKER'!$G$3:$G$1275,"Evidence Provided")+COUNTIFS('[PBMM_Master_Tracker_v2.xlsx]TRACKER'!$C$3:$C$1275,A20,'[PBMM_Master_Tracker_v2.xlsx]TRACKER'!$G$3:$G$1275,"Under Review")</f>
        <v/>
      </c>
      <c r="E20" s="10">
        <f>COUNTIFS('[PBMM_Master_Tracker_v2.xlsx]TRACKER'!$C$3:$C$1275,A20,'[PBMM_Master_Tracker_v2.xlsx]TRACKER'!$G$3:$G$1275,"Failed")</f>
        <v/>
      </c>
      <c r="F20" s="10">
        <f>COUNTIFS('[PBMM_Master_Tracker_v2.xlsx]TRACKER'!$C$3:$C$1275,A20,'[PBMM_Master_Tracker_v2.xlsx]TRACKER'!$G$3:$G$1275,"Not Started")</f>
        <v/>
      </c>
      <c r="G20" s="11">
        <f>IFERROR(C20/B20,0)</f>
        <v/>
      </c>
      <c r="H20" s="12">
        <f>IF(G20&gt;=0.9,"GREEN",IF(G20&gt;=0.5,"AMBER","RED"))</f>
        <v/>
      </c>
    </row>
    <row r="21" ht="22" customHeight="1">
      <c r="A21" s="5" t="inlineStr">
        <is>
          <t>Tenable Security Centre+</t>
        </is>
      </c>
      <c r="B21" s="6">
        <f>COUNTIF('[PBMM_Master_Tracker_v2.xlsx]TRACKER'!$C$3:$C$1275,A21)</f>
        <v/>
      </c>
      <c r="C21" s="6">
        <f>COUNTIFS('[PBMM_Master_Tracker_v2.xlsx]TRACKER'!$C$3:$C$1275,A21,'[PBMM_Master_Tracker_v2.xlsx]TRACKER'!$G$3:$G$1275,"Passed")+COUNTIFS('[PBMM_Master_Tracker_v2.xlsx]TRACKER'!$C$3:$C$1275,A21,'[PBMM_Master_Tracker_v2.xlsx]TRACKER'!$G$3:$G$1275,"Accepted Exception")</f>
        <v/>
      </c>
      <c r="D21" s="6">
        <f>COUNTIFS('[PBMM_Master_Tracker_v2.xlsx]TRACKER'!$C$3:$C$1275,A21,'[PBMM_Master_Tracker_v2.xlsx]TRACKER'!$G$3:$G$1275,"In Progress")+COUNTIFS('[PBMM_Master_Tracker_v2.xlsx]TRACKER'!$C$3:$C$1275,A21,'[PBMM_Master_Tracker_v2.xlsx]TRACKER'!$G$3:$G$1275,"Evidence Provided")+COUNTIFS('[PBMM_Master_Tracker_v2.xlsx]TRACKER'!$C$3:$C$1275,A21,'[PBMM_Master_Tracker_v2.xlsx]TRACKER'!$G$3:$G$1275,"Under Review")</f>
        <v/>
      </c>
      <c r="E21" s="6">
        <f>COUNTIFS('[PBMM_Master_Tracker_v2.xlsx]TRACKER'!$C$3:$C$1275,A21,'[PBMM_Master_Tracker_v2.xlsx]TRACKER'!$G$3:$G$1275,"Failed")</f>
        <v/>
      </c>
      <c r="F21" s="6">
        <f>COUNTIFS('[PBMM_Master_Tracker_v2.xlsx]TRACKER'!$C$3:$C$1275,A21,'[PBMM_Master_Tracker_v2.xlsx]TRACKER'!$G$3:$G$1275,"Not Started")</f>
        <v/>
      </c>
      <c r="G21" s="7">
        <f>IFERROR(C21/B21,0)</f>
        <v/>
      </c>
      <c r="H21" s="8">
        <f>IF(G21&gt;=0.9,"GREEN",IF(G21&gt;=0.5,"AMBER","RED"))</f>
        <v/>
      </c>
    </row>
    <row r="22" ht="22" customHeight="1">
      <c r="A22" s="9" t="inlineStr">
        <is>
          <t>Virtual Desktop Infrastructure</t>
        </is>
      </c>
      <c r="B22" s="10">
        <f>COUNTIF('[PBMM_Master_Tracker_v2.xlsx]TRACKER'!$C$3:$C$1275,A22)</f>
        <v/>
      </c>
      <c r="C22" s="10">
        <f>COUNTIFS('[PBMM_Master_Tracker_v2.xlsx]TRACKER'!$C$3:$C$1275,A22,'[PBMM_Master_Tracker_v2.xlsx]TRACKER'!$G$3:$G$1275,"Passed")+COUNTIFS('[PBMM_Master_Tracker_v2.xlsx]TRACKER'!$C$3:$C$1275,A22,'[PBMM_Master_Tracker_v2.xlsx]TRACKER'!$G$3:$G$1275,"Accepted Exception")</f>
        <v/>
      </c>
      <c r="D22" s="10">
        <f>COUNTIFS('[PBMM_Master_Tracker_v2.xlsx]TRACKER'!$C$3:$C$1275,A22,'[PBMM_Master_Tracker_v2.xlsx]TRACKER'!$G$3:$G$1275,"In Progress")+COUNTIFS('[PBMM_Master_Tracker_v2.xlsx]TRACKER'!$C$3:$C$1275,A22,'[PBMM_Master_Tracker_v2.xlsx]TRACKER'!$G$3:$G$1275,"Evidence Provided")+COUNTIFS('[PBMM_Master_Tracker_v2.xlsx]TRACKER'!$C$3:$C$1275,A22,'[PBMM_Master_Tracker_v2.xlsx]TRACKER'!$G$3:$G$1275,"Under Review")</f>
        <v/>
      </c>
      <c r="E22" s="10">
        <f>COUNTIFS('[PBMM_Master_Tracker_v2.xlsx]TRACKER'!$C$3:$C$1275,A22,'[PBMM_Master_Tracker_v2.xlsx]TRACKER'!$G$3:$G$1275,"Failed")</f>
        <v/>
      </c>
      <c r="F22" s="10">
        <f>COUNTIFS('[PBMM_Master_Tracker_v2.xlsx]TRACKER'!$C$3:$C$1275,A22,'[PBMM_Master_Tracker_v2.xlsx]TRACKER'!$G$3:$G$1275,"Not Started")</f>
        <v/>
      </c>
      <c r="G22" s="11">
        <f>IFERROR(C22/B22,0)</f>
        <v/>
      </c>
      <c r="H22" s="12">
        <f>IF(G22&gt;=0.9,"GREEN",IF(G22&gt;=0.5,"AMBER","RED"))</f>
        <v/>
      </c>
    </row>
    <row r="23" ht="22" customHeight="1">
      <c r="A23" s="5" t="inlineStr">
        <is>
          <t>Web</t>
        </is>
      </c>
      <c r="B23" s="6">
        <f>COUNTIF('[PBMM_Master_Tracker_v2.xlsx]TRACKER'!$C$3:$C$1275,A23)</f>
        <v/>
      </c>
      <c r="C23" s="6">
        <f>COUNTIFS('[PBMM_Master_Tracker_v2.xlsx]TRACKER'!$C$3:$C$1275,A23,'[PBMM_Master_Tracker_v2.xlsx]TRACKER'!$G$3:$G$1275,"Passed")+COUNTIFS('[PBMM_Master_Tracker_v2.xlsx]TRACKER'!$C$3:$C$1275,A23,'[PBMM_Master_Tracker_v2.xlsx]TRACKER'!$G$3:$G$1275,"Accepted Exception")</f>
        <v/>
      </c>
      <c r="D23" s="6">
        <f>COUNTIFS('[PBMM_Master_Tracker_v2.xlsx]TRACKER'!$C$3:$C$1275,A23,'[PBMM_Master_Tracker_v2.xlsx]TRACKER'!$G$3:$G$1275,"In Progress")+COUNTIFS('[PBMM_Master_Tracker_v2.xlsx]TRACKER'!$C$3:$C$1275,A23,'[PBMM_Master_Tracker_v2.xlsx]TRACKER'!$G$3:$G$1275,"Evidence Provided")+COUNTIFS('[PBMM_Master_Tracker_v2.xlsx]TRACKER'!$C$3:$C$1275,A23,'[PBMM_Master_Tracker_v2.xlsx]TRACKER'!$G$3:$G$1275,"Under Review")</f>
        <v/>
      </c>
      <c r="E23" s="6">
        <f>COUNTIFS('[PBMM_Master_Tracker_v2.xlsx]TRACKER'!$C$3:$C$1275,A23,'[PBMM_Master_Tracker_v2.xlsx]TRACKER'!$G$3:$G$1275,"Failed")</f>
        <v/>
      </c>
      <c r="F23" s="6">
        <f>COUNTIFS('[PBMM_Master_Tracker_v2.xlsx]TRACKER'!$C$3:$C$1275,A23,'[PBMM_Master_Tracker_v2.xlsx]TRACKER'!$G$3:$G$1275,"Not Started")</f>
        <v/>
      </c>
      <c r="G23" s="7">
        <f>IFERROR(C23/B23,0)</f>
        <v/>
      </c>
      <c r="H23" s="8">
        <f>IF(G23&gt;=0.9,"GREEN",IF(G23&gt;=0.5,"AMBER","RED"))</f>
        <v/>
      </c>
    </row>
    <row r="24"/>
    <row r="25" ht="24" customHeight="1">
      <c r="A25" s="13" t="inlineStr">
        <is>
          <t>TOTALS</t>
        </is>
      </c>
      <c r="B25" s="14" t="inlineStr"/>
      <c r="C25" s="14" t="inlineStr"/>
      <c r="D25" s="14" t="inlineStr"/>
      <c r="E25" s="14" t="inlineStr"/>
      <c r="F25" s="14" t="inlineStr"/>
      <c r="G25" s="14" t="inlineStr"/>
      <c r="H25" s="14" t="inlineStr"/>
    </row>
    <row r="26">
      <c r="A26" s="15" t="inlineStr">
        <is>
          <t>Total Controls</t>
        </is>
      </c>
      <c r="B26" s="16">
        <f>SUM(B3:B23)</f>
        <v/>
      </c>
      <c r="C26" s="16">
        <f>SUM(C3:C23)</f>
        <v/>
      </c>
      <c r="D26" s="16">
        <f>SUM(D3:D23)</f>
        <v/>
      </c>
      <c r="E26" s="16">
        <f>SUM(E3:E23)</f>
        <v/>
      </c>
      <c r="F26" s="16">
        <f>SUM(F3:F23)</f>
        <v/>
      </c>
      <c r="G26" s="17">
        <f>IFERROR(C26/B26,0)</f>
        <v/>
      </c>
    </row>
    <row r="27">
      <c r="A27" s="15" t="inlineStr">
        <is>
          <t>Technologies at RED (&lt; 50% complete)</t>
        </is>
      </c>
      <c r="B27" s="18">
        <f>COUNTIF(H3:H23,"RED")</f>
        <v/>
      </c>
    </row>
    <row r="28">
      <c r="A28" s="15" t="inlineStr">
        <is>
          <t>Technologies at AMBER (50-89% complete)</t>
        </is>
      </c>
      <c r="B28" s="19">
        <f>COUNTIF(H3:H23,"AMBER")</f>
        <v/>
      </c>
    </row>
    <row r="29">
      <c r="A29" s="15" t="inlineStr">
        <is>
          <t>Technologies at GREEN (90%+ complete)</t>
        </is>
      </c>
      <c r="B29" s="20">
        <f>COUNTIF(H3:H23,"GREEN")</f>
        <v/>
      </c>
    </row>
  </sheetData>
  <mergeCells count="1">
    <mergeCell ref="A1:H1"/>
  </mergeCells>
  <conditionalFormatting sqref="H3:H23">
    <cfRule type="expression" priority="1" dxfId="0">
      <formula>H3="GREEN"</formula>
    </cfRule>
    <cfRule type="expression" priority="2" dxfId="1">
      <formula>H3="AMBER"</formula>
    </cfRule>
    <cfRule type="expression" priority="3" dxfId="2">
      <formula>H3="RED"</formula>
    </cfRule>
  </conditionalFormatting>
  <conditionalFormatting sqref="G3:G23">
    <cfRule type="colorScale" priority="4">
      <colorScale>
        <cfvo type="num" val="0"/>
        <cfvo type="num" val="0.5"/>
        <cfvo type="num" val="1"/>
        <color rgb="00F4CCCC"/>
        <color rgb="00FFE599"/>
        <color rgb="00B6D7A8"/>
      </colorScale>
    </cfRule>
  </conditionalFormatting>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R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32" customHeight="1">
      <c r="A1" s="21" t="inlineStr">
        <is>
          <t>Gap Rate by Technology × Control Family (LIVE — lower is better)</t>
        </is>
      </c>
      <c r="B1" s="2" t="n"/>
      <c r="C1" s="2" t="n"/>
      <c r="D1" s="2" t="n"/>
      <c r="E1" s="2" t="n"/>
      <c r="F1" s="2" t="n"/>
      <c r="G1" s="2" t="n"/>
      <c r="H1" s="2" t="n"/>
      <c r="I1" s="2" t="n"/>
      <c r="J1" s="2" t="n"/>
      <c r="K1" s="2" t="n"/>
      <c r="L1" s="2" t="n"/>
      <c r="M1" s="2" t="n"/>
      <c r="N1" s="2" t="n"/>
      <c r="O1" s="2" t="n"/>
      <c r="P1" s="2" t="n"/>
      <c r="Q1" s="2" t="n"/>
      <c r="R1" s="3" t="n"/>
    </row>
    <row r="2" ht="45" customHeight="1">
      <c r="A2" s="4" t="inlineStr">
        <is>
          <t>Technology</t>
        </is>
      </c>
      <c r="B2" s="22" t="inlineStr">
        <is>
          <t>AC</t>
        </is>
      </c>
      <c r="C2" s="22" t="inlineStr">
        <is>
          <t>AT</t>
        </is>
      </c>
      <c r="D2" s="22" t="inlineStr">
        <is>
          <t>AU</t>
        </is>
      </c>
      <c r="E2" s="22" t="inlineStr">
        <is>
          <t>CA</t>
        </is>
      </c>
      <c r="F2" s="22" t="inlineStr">
        <is>
          <t>CM</t>
        </is>
      </c>
      <c r="G2" s="22" t="inlineStr">
        <is>
          <t>CP</t>
        </is>
      </c>
      <c r="H2" s="22" t="inlineStr">
        <is>
          <t>IA</t>
        </is>
      </c>
      <c r="I2" s="22" t="inlineStr">
        <is>
          <t>IR</t>
        </is>
      </c>
      <c r="J2" s="22" t="inlineStr">
        <is>
          <t>MA</t>
        </is>
      </c>
      <c r="K2" s="22" t="inlineStr">
        <is>
          <t>MP</t>
        </is>
      </c>
      <c r="L2" s="22" t="inlineStr">
        <is>
          <t>PE</t>
        </is>
      </c>
      <c r="M2" s="22" t="inlineStr">
        <is>
          <t>PL</t>
        </is>
      </c>
      <c r="N2" s="22" t="inlineStr">
        <is>
          <t>PS</t>
        </is>
      </c>
      <c r="O2" s="22" t="inlineStr">
        <is>
          <t>RA</t>
        </is>
      </c>
      <c r="P2" s="22" t="inlineStr">
        <is>
          <t>SA</t>
        </is>
      </c>
      <c r="Q2" s="22" t="inlineStr">
        <is>
          <t>SC</t>
        </is>
      </c>
      <c r="R2" s="22" t="inlineStr">
        <is>
          <t>SI</t>
        </is>
      </c>
    </row>
    <row r="3" ht="20" customHeight="1">
      <c r="A3" s="23" t="inlineStr">
        <is>
          <t>Analytics</t>
        </is>
      </c>
      <c r="B3" s="24">
        <f>IFERROR(1-(COUNTIFS('[PBMM_Master_Tracker_v2.xlsx]TRACKER'!$C$3:$C$1275,$A3,'[PBMM_Master_Tracker_v2.xlsx]TRACKER'!$D$3:$D$1275,"AC",'[PBMM_Master_Tracker_v2.xlsx]TRACKER'!$G$3:$G$1275,"Passed")+COUNTIFS('[PBMM_Master_Tracker_v2.xlsx]TRACKER'!$C$3:$C$1275,$A3,'[PBMM_Master_Tracker_v2.xlsx]TRACKER'!$D$3:$D$1275,"AC",'[PBMM_Master_Tracker_v2.xlsx]TRACKER'!$G$3:$G$1275,"Accepted Exception"))/COUNTIFS('[PBMM_Master_Tracker_v2.xlsx]TRACKER'!$C$3:$C$1275,$A3,'[PBMM_Master_Tracker_v2.xlsx]TRACKER'!$D$3:$D$1275,"AC"),"")</f>
        <v/>
      </c>
      <c r="C3" s="24">
        <f>IFERROR(1-(COUNTIFS('[PBMM_Master_Tracker_v2.xlsx]TRACKER'!$C$3:$C$1275,$A3,'[PBMM_Master_Tracker_v2.xlsx]TRACKER'!$D$3:$D$1275,"AT",'[PBMM_Master_Tracker_v2.xlsx]TRACKER'!$G$3:$G$1275,"Passed")+COUNTIFS('[PBMM_Master_Tracker_v2.xlsx]TRACKER'!$C$3:$C$1275,$A3,'[PBMM_Master_Tracker_v2.xlsx]TRACKER'!$D$3:$D$1275,"AT",'[PBMM_Master_Tracker_v2.xlsx]TRACKER'!$G$3:$G$1275,"Accepted Exception"))/COUNTIFS('[PBMM_Master_Tracker_v2.xlsx]TRACKER'!$C$3:$C$1275,$A3,'[PBMM_Master_Tracker_v2.xlsx]TRACKER'!$D$3:$D$1275,"AT"),"")</f>
        <v/>
      </c>
      <c r="D3" s="24">
        <f>IFERROR(1-(COUNTIFS('[PBMM_Master_Tracker_v2.xlsx]TRACKER'!$C$3:$C$1275,$A3,'[PBMM_Master_Tracker_v2.xlsx]TRACKER'!$D$3:$D$1275,"AU",'[PBMM_Master_Tracker_v2.xlsx]TRACKER'!$G$3:$G$1275,"Passed")+COUNTIFS('[PBMM_Master_Tracker_v2.xlsx]TRACKER'!$C$3:$C$1275,$A3,'[PBMM_Master_Tracker_v2.xlsx]TRACKER'!$D$3:$D$1275,"AU",'[PBMM_Master_Tracker_v2.xlsx]TRACKER'!$G$3:$G$1275,"Accepted Exception"))/COUNTIFS('[PBMM_Master_Tracker_v2.xlsx]TRACKER'!$C$3:$C$1275,$A3,'[PBMM_Master_Tracker_v2.xlsx]TRACKER'!$D$3:$D$1275,"AU"),"")</f>
        <v/>
      </c>
      <c r="E3" s="24">
        <f>IFERROR(1-(COUNTIFS('[PBMM_Master_Tracker_v2.xlsx]TRACKER'!$C$3:$C$1275,$A3,'[PBMM_Master_Tracker_v2.xlsx]TRACKER'!$D$3:$D$1275,"CA",'[PBMM_Master_Tracker_v2.xlsx]TRACKER'!$G$3:$G$1275,"Passed")+COUNTIFS('[PBMM_Master_Tracker_v2.xlsx]TRACKER'!$C$3:$C$1275,$A3,'[PBMM_Master_Tracker_v2.xlsx]TRACKER'!$D$3:$D$1275,"CA",'[PBMM_Master_Tracker_v2.xlsx]TRACKER'!$G$3:$G$1275,"Accepted Exception"))/COUNTIFS('[PBMM_Master_Tracker_v2.xlsx]TRACKER'!$C$3:$C$1275,$A3,'[PBMM_Master_Tracker_v2.xlsx]TRACKER'!$D$3:$D$1275,"CA"),"")</f>
        <v/>
      </c>
      <c r="F3" s="24">
        <f>IFERROR(1-(COUNTIFS('[PBMM_Master_Tracker_v2.xlsx]TRACKER'!$C$3:$C$1275,$A3,'[PBMM_Master_Tracker_v2.xlsx]TRACKER'!$D$3:$D$1275,"CM",'[PBMM_Master_Tracker_v2.xlsx]TRACKER'!$G$3:$G$1275,"Passed")+COUNTIFS('[PBMM_Master_Tracker_v2.xlsx]TRACKER'!$C$3:$C$1275,$A3,'[PBMM_Master_Tracker_v2.xlsx]TRACKER'!$D$3:$D$1275,"CM",'[PBMM_Master_Tracker_v2.xlsx]TRACKER'!$G$3:$G$1275,"Accepted Exception"))/COUNTIFS('[PBMM_Master_Tracker_v2.xlsx]TRACKER'!$C$3:$C$1275,$A3,'[PBMM_Master_Tracker_v2.xlsx]TRACKER'!$D$3:$D$1275,"CM"),"")</f>
        <v/>
      </c>
      <c r="G3" s="24">
        <f>IFERROR(1-(COUNTIFS('[PBMM_Master_Tracker_v2.xlsx]TRACKER'!$C$3:$C$1275,$A3,'[PBMM_Master_Tracker_v2.xlsx]TRACKER'!$D$3:$D$1275,"CP",'[PBMM_Master_Tracker_v2.xlsx]TRACKER'!$G$3:$G$1275,"Passed")+COUNTIFS('[PBMM_Master_Tracker_v2.xlsx]TRACKER'!$C$3:$C$1275,$A3,'[PBMM_Master_Tracker_v2.xlsx]TRACKER'!$D$3:$D$1275,"CP",'[PBMM_Master_Tracker_v2.xlsx]TRACKER'!$G$3:$G$1275,"Accepted Exception"))/COUNTIFS('[PBMM_Master_Tracker_v2.xlsx]TRACKER'!$C$3:$C$1275,$A3,'[PBMM_Master_Tracker_v2.xlsx]TRACKER'!$D$3:$D$1275,"CP"),"")</f>
        <v/>
      </c>
      <c r="H3" s="24">
        <f>IFERROR(1-(COUNTIFS('[PBMM_Master_Tracker_v2.xlsx]TRACKER'!$C$3:$C$1275,$A3,'[PBMM_Master_Tracker_v2.xlsx]TRACKER'!$D$3:$D$1275,"IA",'[PBMM_Master_Tracker_v2.xlsx]TRACKER'!$G$3:$G$1275,"Passed")+COUNTIFS('[PBMM_Master_Tracker_v2.xlsx]TRACKER'!$C$3:$C$1275,$A3,'[PBMM_Master_Tracker_v2.xlsx]TRACKER'!$D$3:$D$1275,"IA",'[PBMM_Master_Tracker_v2.xlsx]TRACKER'!$G$3:$G$1275,"Accepted Exception"))/COUNTIFS('[PBMM_Master_Tracker_v2.xlsx]TRACKER'!$C$3:$C$1275,$A3,'[PBMM_Master_Tracker_v2.xlsx]TRACKER'!$D$3:$D$1275,"IA"),"")</f>
        <v/>
      </c>
      <c r="I3" s="24">
        <f>IFERROR(1-(COUNTIFS('[PBMM_Master_Tracker_v2.xlsx]TRACKER'!$C$3:$C$1275,$A3,'[PBMM_Master_Tracker_v2.xlsx]TRACKER'!$D$3:$D$1275,"IR",'[PBMM_Master_Tracker_v2.xlsx]TRACKER'!$G$3:$G$1275,"Passed")+COUNTIFS('[PBMM_Master_Tracker_v2.xlsx]TRACKER'!$C$3:$C$1275,$A3,'[PBMM_Master_Tracker_v2.xlsx]TRACKER'!$D$3:$D$1275,"IR",'[PBMM_Master_Tracker_v2.xlsx]TRACKER'!$G$3:$G$1275,"Accepted Exception"))/COUNTIFS('[PBMM_Master_Tracker_v2.xlsx]TRACKER'!$C$3:$C$1275,$A3,'[PBMM_Master_Tracker_v2.xlsx]TRACKER'!$D$3:$D$1275,"IR"),"")</f>
        <v/>
      </c>
      <c r="J3" s="24">
        <f>IFERROR(1-(COUNTIFS('[PBMM_Master_Tracker_v2.xlsx]TRACKER'!$C$3:$C$1275,$A3,'[PBMM_Master_Tracker_v2.xlsx]TRACKER'!$D$3:$D$1275,"MA",'[PBMM_Master_Tracker_v2.xlsx]TRACKER'!$G$3:$G$1275,"Passed")+COUNTIFS('[PBMM_Master_Tracker_v2.xlsx]TRACKER'!$C$3:$C$1275,$A3,'[PBMM_Master_Tracker_v2.xlsx]TRACKER'!$D$3:$D$1275,"MA",'[PBMM_Master_Tracker_v2.xlsx]TRACKER'!$G$3:$G$1275,"Accepted Exception"))/COUNTIFS('[PBMM_Master_Tracker_v2.xlsx]TRACKER'!$C$3:$C$1275,$A3,'[PBMM_Master_Tracker_v2.xlsx]TRACKER'!$D$3:$D$1275,"MA"),"")</f>
        <v/>
      </c>
      <c r="K3" s="24">
        <f>IFERROR(1-(COUNTIFS('[PBMM_Master_Tracker_v2.xlsx]TRACKER'!$C$3:$C$1275,$A3,'[PBMM_Master_Tracker_v2.xlsx]TRACKER'!$D$3:$D$1275,"MP",'[PBMM_Master_Tracker_v2.xlsx]TRACKER'!$G$3:$G$1275,"Passed")+COUNTIFS('[PBMM_Master_Tracker_v2.xlsx]TRACKER'!$C$3:$C$1275,$A3,'[PBMM_Master_Tracker_v2.xlsx]TRACKER'!$D$3:$D$1275,"MP",'[PBMM_Master_Tracker_v2.xlsx]TRACKER'!$G$3:$G$1275,"Accepted Exception"))/COUNTIFS('[PBMM_Master_Tracker_v2.xlsx]TRACKER'!$C$3:$C$1275,$A3,'[PBMM_Master_Tracker_v2.xlsx]TRACKER'!$D$3:$D$1275,"MP"),"")</f>
        <v/>
      </c>
      <c r="L3" s="24">
        <f>IFERROR(1-(COUNTIFS('[PBMM_Master_Tracker_v2.xlsx]TRACKER'!$C$3:$C$1275,$A3,'[PBMM_Master_Tracker_v2.xlsx]TRACKER'!$D$3:$D$1275,"PE",'[PBMM_Master_Tracker_v2.xlsx]TRACKER'!$G$3:$G$1275,"Passed")+COUNTIFS('[PBMM_Master_Tracker_v2.xlsx]TRACKER'!$C$3:$C$1275,$A3,'[PBMM_Master_Tracker_v2.xlsx]TRACKER'!$D$3:$D$1275,"PE",'[PBMM_Master_Tracker_v2.xlsx]TRACKER'!$G$3:$G$1275,"Accepted Exception"))/COUNTIFS('[PBMM_Master_Tracker_v2.xlsx]TRACKER'!$C$3:$C$1275,$A3,'[PBMM_Master_Tracker_v2.xlsx]TRACKER'!$D$3:$D$1275,"PE"),"")</f>
        <v/>
      </c>
      <c r="M3" s="24">
        <f>IFERROR(1-(COUNTIFS('[PBMM_Master_Tracker_v2.xlsx]TRACKER'!$C$3:$C$1275,$A3,'[PBMM_Master_Tracker_v2.xlsx]TRACKER'!$D$3:$D$1275,"PL",'[PBMM_Master_Tracker_v2.xlsx]TRACKER'!$G$3:$G$1275,"Passed")+COUNTIFS('[PBMM_Master_Tracker_v2.xlsx]TRACKER'!$C$3:$C$1275,$A3,'[PBMM_Master_Tracker_v2.xlsx]TRACKER'!$D$3:$D$1275,"PL",'[PBMM_Master_Tracker_v2.xlsx]TRACKER'!$G$3:$G$1275,"Accepted Exception"))/COUNTIFS('[PBMM_Master_Tracker_v2.xlsx]TRACKER'!$C$3:$C$1275,$A3,'[PBMM_Master_Tracker_v2.xlsx]TRACKER'!$D$3:$D$1275,"PL"),"")</f>
        <v/>
      </c>
      <c r="N3" s="24">
        <f>IFERROR(1-(COUNTIFS('[PBMM_Master_Tracker_v2.xlsx]TRACKER'!$C$3:$C$1275,$A3,'[PBMM_Master_Tracker_v2.xlsx]TRACKER'!$D$3:$D$1275,"PS",'[PBMM_Master_Tracker_v2.xlsx]TRACKER'!$G$3:$G$1275,"Passed")+COUNTIFS('[PBMM_Master_Tracker_v2.xlsx]TRACKER'!$C$3:$C$1275,$A3,'[PBMM_Master_Tracker_v2.xlsx]TRACKER'!$D$3:$D$1275,"PS",'[PBMM_Master_Tracker_v2.xlsx]TRACKER'!$G$3:$G$1275,"Accepted Exception"))/COUNTIFS('[PBMM_Master_Tracker_v2.xlsx]TRACKER'!$C$3:$C$1275,$A3,'[PBMM_Master_Tracker_v2.xlsx]TRACKER'!$D$3:$D$1275,"PS"),"")</f>
        <v/>
      </c>
      <c r="O3" s="24">
        <f>IFERROR(1-(COUNTIFS('[PBMM_Master_Tracker_v2.xlsx]TRACKER'!$C$3:$C$1275,$A3,'[PBMM_Master_Tracker_v2.xlsx]TRACKER'!$D$3:$D$1275,"RA",'[PBMM_Master_Tracker_v2.xlsx]TRACKER'!$G$3:$G$1275,"Passed")+COUNTIFS('[PBMM_Master_Tracker_v2.xlsx]TRACKER'!$C$3:$C$1275,$A3,'[PBMM_Master_Tracker_v2.xlsx]TRACKER'!$D$3:$D$1275,"RA",'[PBMM_Master_Tracker_v2.xlsx]TRACKER'!$G$3:$G$1275,"Accepted Exception"))/COUNTIFS('[PBMM_Master_Tracker_v2.xlsx]TRACKER'!$C$3:$C$1275,$A3,'[PBMM_Master_Tracker_v2.xlsx]TRACKER'!$D$3:$D$1275,"RA"),"")</f>
        <v/>
      </c>
      <c r="P3" s="24">
        <f>IFERROR(1-(COUNTIFS('[PBMM_Master_Tracker_v2.xlsx]TRACKER'!$C$3:$C$1275,$A3,'[PBMM_Master_Tracker_v2.xlsx]TRACKER'!$D$3:$D$1275,"SA",'[PBMM_Master_Tracker_v2.xlsx]TRACKER'!$G$3:$G$1275,"Passed")+COUNTIFS('[PBMM_Master_Tracker_v2.xlsx]TRACKER'!$C$3:$C$1275,$A3,'[PBMM_Master_Tracker_v2.xlsx]TRACKER'!$D$3:$D$1275,"SA",'[PBMM_Master_Tracker_v2.xlsx]TRACKER'!$G$3:$G$1275,"Accepted Exception"))/COUNTIFS('[PBMM_Master_Tracker_v2.xlsx]TRACKER'!$C$3:$C$1275,$A3,'[PBMM_Master_Tracker_v2.xlsx]TRACKER'!$D$3:$D$1275,"SA"),"")</f>
        <v/>
      </c>
      <c r="Q3" s="24">
        <f>IFERROR(1-(COUNTIFS('[PBMM_Master_Tracker_v2.xlsx]TRACKER'!$C$3:$C$1275,$A3,'[PBMM_Master_Tracker_v2.xlsx]TRACKER'!$D$3:$D$1275,"SC",'[PBMM_Master_Tracker_v2.xlsx]TRACKER'!$G$3:$G$1275,"Passed")+COUNTIFS('[PBMM_Master_Tracker_v2.xlsx]TRACKER'!$C$3:$C$1275,$A3,'[PBMM_Master_Tracker_v2.xlsx]TRACKER'!$D$3:$D$1275,"SC",'[PBMM_Master_Tracker_v2.xlsx]TRACKER'!$G$3:$G$1275,"Accepted Exception"))/COUNTIFS('[PBMM_Master_Tracker_v2.xlsx]TRACKER'!$C$3:$C$1275,$A3,'[PBMM_Master_Tracker_v2.xlsx]TRACKER'!$D$3:$D$1275,"SC"),"")</f>
        <v/>
      </c>
      <c r="R3" s="24">
        <f>IFERROR(1-(COUNTIFS('[PBMM_Master_Tracker_v2.xlsx]TRACKER'!$C$3:$C$1275,$A3,'[PBMM_Master_Tracker_v2.xlsx]TRACKER'!$D$3:$D$1275,"SI",'[PBMM_Master_Tracker_v2.xlsx]TRACKER'!$G$3:$G$1275,"Passed")+COUNTIFS('[PBMM_Master_Tracker_v2.xlsx]TRACKER'!$C$3:$C$1275,$A3,'[PBMM_Master_Tracker_v2.xlsx]TRACKER'!$D$3:$D$1275,"SI",'[PBMM_Master_Tracker_v2.xlsx]TRACKER'!$G$3:$G$1275,"Accepted Exception"))/COUNTIFS('[PBMM_Master_Tracker_v2.xlsx]TRACKER'!$C$3:$C$1275,$A3,'[PBMM_Master_Tracker_v2.xlsx]TRACKER'!$D$3:$D$1275,"SI"),"")</f>
        <v/>
      </c>
    </row>
    <row r="4" ht="20" customHeight="1">
      <c r="A4" s="25" t="inlineStr">
        <is>
          <t>Compute</t>
        </is>
      </c>
      <c r="B4" s="26">
        <f>IFERROR(1-(COUNTIFS('[PBMM_Master_Tracker_v2.xlsx]TRACKER'!$C$3:$C$1275,$A4,'[PBMM_Master_Tracker_v2.xlsx]TRACKER'!$D$3:$D$1275,"AC",'[PBMM_Master_Tracker_v2.xlsx]TRACKER'!$G$3:$G$1275,"Passed")+COUNTIFS('[PBMM_Master_Tracker_v2.xlsx]TRACKER'!$C$3:$C$1275,$A4,'[PBMM_Master_Tracker_v2.xlsx]TRACKER'!$D$3:$D$1275,"AC",'[PBMM_Master_Tracker_v2.xlsx]TRACKER'!$G$3:$G$1275,"Accepted Exception"))/COUNTIFS('[PBMM_Master_Tracker_v2.xlsx]TRACKER'!$C$3:$C$1275,$A4,'[PBMM_Master_Tracker_v2.xlsx]TRACKER'!$D$3:$D$1275,"AC"),"")</f>
        <v/>
      </c>
      <c r="C4" s="26">
        <f>IFERROR(1-(COUNTIFS('[PBMM_Master_Tracker_v2.xlsx]TRACKER'!$C$3:$C$1275,$A4,'[PBMM_Master_Tracker_v2.xlsx]TRACKER'!$D$3:$D$1275,"AT",'[PBMM_Master_Tracker_v2.xlsx]TRACKER'!$G$3:$G$1275,"Passed")+COUNTIFS('[PBMM_Master_Tracker_v2.xlsx]TRACKER'!$C$3:$C$1275,$A4,'[PBMM_Master_Tracker_v2.xlsx]TRACKER'!$D$3:$D$1275,"AT",'[PBMM_Master_Tracker_v2.xlsx]TRACKER'!$G$3:$G$1275,"Accepted Exception"))/COUNTIFS('[PBMM_Master_Tracker_v2.xlsx]TRACKER'!$C$3:$C$1275,$A4,'[PBMM_Master_Tracker_v2.xlsx]TRACKER'!$D$3:$D$1275,"AT"),"")</f>
        <v/>
      </c>
      <c r="D4" s="26">
        <f>IFERROR(1-(COUNTIFS('[PBMM_Master_Tracker_v2.xlsx]TRACKER'!$C$3:$C$1275,$A4,'[PBMM_Master_Tracker_v2.xlsx]TRACKER'!$D$3:$D$1275,"AU",'[PBMM_Master_Tracker_v2.xlsx]TRACKER'!$G$3:$G$1275,"Passed")+COUNTIFS('[PBMM_Master_Tracker_v2.xlsx]TRACKER'!$C$3:$C$1275,$A4,'[PBMM_Master_Tracker_v2.xlsx]TRACKER'!$D$3:$D$1275,"AU",'[PBMM_Master_Tracker_v2.xlsx]TRACKER'!$G$3:$G$1275,"Accepted Exception"))/COUNTIFS('[PBMM_Master_Tracker_v2.xlsx]TRACKER'!$C$3:$C$1275,$A4,'[PBMM_Master_Tracker_v2.xlsx]TRACKER'!$D$3:$D$1275,"AU"),"")</f>
        <v/>
      </c>
      <c r="E4" s="26">
        <f>IFERROR(1-(COUNTIFS('[PBMM_Master_Tracker_v2.xlsx]TRACKER'!$C$3:$C$1275,$A4,'[PBMM_Master_Tracker_v2.xlsx]TRACKER'!$D$3:$D$1275,"CA",'[PBMM_Master_Tracker_v2.xlsx]TRACKER'!$G$3:$G$1275,"Passed")+COUNTIFS('[PBMM_Master_Tracker_v2.xlsx]TRACKER'!$C$3:$C$1275,$A4,'[PBMM_Master_Tracker_v2.xlsx]TRACKER'!$D$3:$D$1275,"CA",'[PBMM_Master_Tracker_v2.xlsx]TRACKER'!$G$3:$G$1275,"Accepted Exception"))/COUNTIFS('[PBMM_Master_Tracker_v2.xlsx]TRACKER'!$C$3:$C$1275,$A4,'[PBMM_Master_Tracker_v2.xlsx]TRACKER'!$D$3:$D$1275,"CA"),"")</f>
        <v/>
      </c>
      <c r="F4" s="26">
        <f>IFERROR(1-(COUNTIFS('[PBMM_Master_Tracker_v2.xlsx]TRACKER'!$C$3:$C$1275,$A4,'[PBMM_Master_Tracker_v2.xlsx]TRACKER'!$D$3:$D$1275,"CM",'[PBMM_Master_Tracker_v2.xlsx]TRACKER'!$G$3:$G$1275,"Passed")+COUNTIFS('[PBMM_Master_Tracker_v2.xlsx]TRACKER'!$C$3:$C$1275,$A4,'[PBMM_Master_Tracker_v2.xlsx]TRACKER'!$D$3:$D$1275,"CM",'[PBMM_Master_Tracker_v2.xlsx]TRACKER'!$G$3:$G$1275,"Accepted Exception"))/COUNTIFS('[PBMM_Master_Tracker_v2.xlsx]TRACKER'!$C$3:$C$1275,$A4,'[PBMM_Master_Tracker_v2.xlsx]TRACKER'!$D$3:$D$1275,"CM"),"")</f>
        <v/>
      </c>
      <c r="G4" s="26">
        <f>IFERROR(1-(COUNTIFS('[PBMM_Master_Tracker_v2.xlsx]TRACKER'!$C$3:$C$1275,$A4,'[PBMM_Master_Tracker_v2.xlsx]TRACKER'!$D$3:$D$1275,"CP",'[PBMM_Master_Tracker_v2.xlsx]TRACKER'!$G$3:$G$1275,"Passed")+COUNTIFS('[PBMM_Master_Tracker_v2.xlsx]TRACKER'!$C$3:$C$1275,$A4,'[PBMM_Master_Tracker_v2.xlsx]TRACKER'!$D$3:$D$1275,"CP",'[PBMM_Master_Tracker_v2.xlsx]TRACKER'!$G$3:$G$1275,"Accepted Exception"))/COUNTIFS('[PBMM_Master_Tracker_v2.xlsx]TRACKER'!$C$3:$C$1275,$A4,'[PBMM_Master_Tracker_v2.xlsx]TRACKER'!$D$3:$D$1275,"CP"),"")</f>
        <v/>
      </c>
      <c r="H4" s="26">
        <f>IFERROR(1-(COUNTIFS('[PBMM_Master_Tracker_v2.xlsx]TRACKER'!$C$3:$C$1275,$A4,'[PBMM_Master_Tracker_v2.xlsx]TRACKER'!$D$3:$D$1275,"IA",'[PBMM_Master_Tracker_v2.xlsx]TRACKER'!$G$3:$G$1275,"Passed")+COUNTIFS('[PBMM_Master_Tracker_v2.xlsx]TRACKER'!$C$3:$C$1275,$A4,'[PBMM_Master_Tracker_v2.xlsx]TRACKER'!$D$3:$D$1275,"IA",'[PBMM_Master_Tracker_v2.xlsx]TRACKER'!$G$3:$G$1275,"Accepted Exception"))/COUNTIFS('[PBMM_Master_Tracker_v2.xlsx]TRACKER'!$C$3:$C$1275,$A4,'[PBMM_Master_Tracker_v2.xlsx]TRACKER'!$D$3:$D$1275,"IA"),"")</f>
        <v/>
      </c>
      <c r="I4" s="26">
        <f>IFERROR(1-(COUNTIFS('[PBMM_Master_Tracker_v2.xlsx]TRACKER'!$C$3:$C$1275,$A4,'[PBMM_Master_Tracker_v2.xlsx]TRACKER'!$D$3:$D$1275,"IR",'[PBMM_Master_Tracker_v2.xlsx]TRACKER'!$G$3:$G$1275,"Passed")+COUNTIFS('[PBMM_Master_Tracker_v2.xlsx]TRACKER'!$C$3:$C$1275,$A4,'[PBMM_Master_Tracker_v2.xlsx]TRACKER'!$D$3:$D$1275,"IR",'[PBMM_Master_Tracker_v2.xlsx]TRACKER'!$G$3:$G$1275,"Accepted Exception"))/COUNTIFS('[PBMM_Master_Tracker_v2.xlsx]TRACKER'!$C$3:$C$1275,$A4,'[PBMM_Master_Tracker_v2.xlsx]TRACKER'!$D$3:$D$1275,"IR"),"")</f>
        <v/>
      </c>
      <c r="J4" s="26">
        <f>IFERROR(1-(COUNTIFS('[PBMM_Master_Tracker_v2.xlsx]TRACKER'!$C$3:$C$1275,$A4,'[PBMM_Master_Tracker_v2.xlsx]TRACKER'!$D$3:$D$1275,"MA",'[PBMM_Master_Tracker_v2.xlsx]TRACKER'!$G$3:$G$1275,"Passed")+COUNTIFS('[PBMM_Master_Tracker_v2.xlsx]TRACKER'!$C$3:$C$1275,$A4,'[PBMM_Master_Tracker_v2.xlsx]TRACKER'!$D$3:$D$1275,"MA",'[PBMM_Master_Tracker_v2.xlsx]TRACKER'!$G$3:$G$1275,"Accepted Exception"))/COUNTIFS('[PBMM_Master_Tracker_v2.xlsx]TRACKER'!$C$3:$C$1275,$A4,'[PBMM_Master_Tracker_v2.xlsx]TRACKER'!$D$3:$D$1275,"MA"),"")</f>
        <v/>
      </c>
      <c r="K4" s="26">
        <f>IFERROR(1-(COUNTIFS('[PBMM_Master_Tracker_v2.xlsx]TRACKER'!$C$3:$C$1275,$A4,'[PBMM_Master_Tracker_v2.xlsx]TRACKER'!$D$3:$D$1275,"MP",'[PBMM_Master_Tracker_v2.xlsx]TRACKER'!$G$3:$G$1275,"Passed")+COUNTIFS('[PBMM_Master_Tracker_v2.xlsx]TRACKER'!$C$3:$C$1275,$A4,'[PBMM_Master_Tracker_v2.xlsx]TRACKER'!$D$3:$D$1275,"MP",'[PBMM_Master_Tracker_v2.xlsx]TRACKER'!$G$3:$G$1275,"Accepted Exception"))/COUNTIFS('[PBMM_Master_Tracker_v2.xlsx]TRACKER'!$C$3:$C$1275,$A4,'[PBMM_Master_Tracker_v2.xlsx]TRACKER'!$D$3:$D$1275,"MP"),"")</f>
        <v/>
      </c>
      <c r="L4" s="26">
        <f>IFERROR(1-(COUNTIFS('[PBMM_Master_Tracker_v2.xlsx]TRACKER'!$C$3:$C$1275,$A4,'[PBMM_Master_Tracker_v2.xlsx]TRACKER'!$D$3:$D$1275,"PE",'[PBMM_Master_Tracker_v2.xlsx]TRACKER'!$G$3:$G$1275,"Passed")+COUNTIFS('[PBMM_Master_Tracker_v2.xlsx]TRACKER'!$C$3:$C$1275,$A4,'[PBMM_Master_Tracker_v2.xlsx]TRACKER'!$D$3:$D$1275,"PE",'[PBMM_Master_Tracker_v2.xlsx]TRACKER'!$G$3:$G$1275,"Accepted Exception"))/COUNTIFS('[PBMM_Master_Tracker_v2.xlsx]TRACKER'!$C$3:$C$1275,$A4,'[PBMM_Master_Tracker_v2.xlsx]TRACKER'!$D$3:$D$1275,"PE"),"")</f>
        <v/>
      </c>
      <c r="M4" s="26">
        <f>IFERROR(1-(COUNTIFS('[PBMM_Master_Tracker_v2.xlsx]TRACKER'!$C$3:$C$1275,$A4,'[PBMM_Master_Tracker_v2.xlsx]TRACKER'!$D$3:$D$1275,"PL",'[PBMM_Master_Tracker_v2.xlsx]TRACKER'!$G$3:$G$1275,"Passed")+COUNTIFS('[PBMM_Master_Tracker_v2.xlsx]TRACKER'!$C$3:$C$1275,$A4,'[PBMM_Master_Tracker_v2.xlsx]TRACKER'!$D$3:$D$1275,"PL",'[PBMM_Master_Tracker_v2.xlsx]TRACKER'!$G$3:$G$1275,"Accepted Exception"))/COUNTIFS('[PBMM_Master_Tracker_v2.xlsx]TRACKER'!$C$3:$C$1275,$A4,'[PBMM_Master_Tracker_v2.xlsx]TRACKER'!$D$3:$D$1275,"PL"),"")</f>
        <v/>
      </c>
      <c r="N4" s="26">
        <f>IFERROR(1-(COUNTIFS('[PBMM_Master_Tracker_v2.xlsx]TRACKER'!$C$3:$C$1275,$A4,'[PBMM_Master_Tracker_v2.xlsx]TRACKER'!$D$3:$D$1275,"PS",'[PBMM_Master_Tracker_v2.xlsx]TRACKER'!$G$3:$G$1275,"Passed")+COUNTIFS('[PBMM_Master_Tracker_v2.xlsx]TRACKER'!$C$3:$C$1275,$A4,'[PBMM_Master_Tracker_v2.xlsx]TRACKER'!$D$3:$D$1275,"PS",'[PBMM_Master_Tracker_v2.xlsx]TRACKER'!$G$3:$G$1275,"Accepted Exception"))/COUNTIFS('[PBMM_Master_Tracker_v2.xlsx]TRACKER'!$C$3:$C$1275,$A4,'[PBMM_Master_Tracker_v2.xlsx]TRACKER'!$D$3:$D$1275,"PS"),"")</f>
        <v/>
      </c>
      <c r="O4" s="26">
        <f>IFERROR(1-(COUNTIFS('[PBMM_Master_Tracker_v2.xlsx]TRACKER'!$C$3:$C$1275,$A4,'[PBMM_Master_Tracker_v2.xlsx]TRACKER'!$D$3:$D$1275,"RA",'[PBMM_Master_Tracker_v2.xlsx]TRACKER'!$G$3:$G$1275,"Passed")+COUNTIFS('[PBMM_Master_Tracker_v2.xlsx]TRACKER'!$C$3:$C$1275,$A4,'[PBMM_Master_Tracker_v2.xlsx]TRACKER'!$D$3:$D$1275,"RA",'[PBMM_Master_Tracker_v2.xlsx]TRACKER'!$G$3:$G$1275,"Accepted Exception"))/COUNTIFS('[PBMM_Master_Tracker_v2.xlsx]TRACKER'!$C$3:$C$1275,$A4,'[PBMM_Master_Tracker_v2.xlsx]TRACKER'!$D$3:$D$1275,"RA"),"")</f>
        <v/>
      </c>
      <c r="P4" s="26">
        <f>IFERROR(1-(COUNTIFS('[PBMM_Master_Tracker_v2.xlsx]TRACKER'!$C$3:$C$1275,$A4,'[PBMM_Master_Tracker_v2.xlsx]TRACKER'!$D$3:$D$1275,"SA",'[PBMM_Master_Tracker_v2.xlsx]TRACKER'!$G$3:$G$1275,"Passed")+COUNTIFS('[PBMM_Master_Tracker_v2.xlsx]TRACKER'!$C$3:$C$1275,$A4,'[PBMM_Master_Tracker_v2.xlsx]TRACKER'!$D$3:$D$1275,"SA",'[PBMM_Master_Tracker_v2.xlsx]TRACKER'!$G$3:$G$1275,"Accepted Exception"))/COUNTIFS('[PBMM_Master_Tracker_v2.xlsx]TRACKER'!$C$3:$C$1275,$A4,'[PBMM_Master_Tracker_v2.xlsx]TRACKER'!$D$3:$D$1275,"SA"),"")</f>
        <v/>
      </c>
      <c r="Q4" s="26">
        <f>IFERROR(1-(COUNTIFS('[PBMM_Master_Tracker_v2.xlsx]TRACKER'!$C$3:$C$1275,$A4,'[PBMM_Master_Tracker_v2.xlsx]TRACKER'!$D$3:$D$1275,"SC",'[PBMM_Master_Tracker_v2.xlsx]TRACKER'!$G$3:$G$1275,"Passed")+COUNTIFS('[PBMM_Master_Tracker_v2.xlsx]TRACKER'!$C$3:$C$1275,$A4,'[PBMM_Master_Tracker_v2.xlsx]TRACKER'!$D$3:$D$1275,"SC",'[PBMM_Master_Tracker_v2.xlsx]TRACKER'!$G$3:$G$1275,"Accepted Exception"))/COUNTIFS('[PBMM_Master_Tracker_v2.xlsx]TRACKER'!$C$3:$C$1275,$A4,'[PBMM_Master_Tracker_v2.xlsx]TRACKER'!$D$3:$D$1275,"SC"),"")</f>
        <v/>
      </c>
      <c r="R4" s="26">
        <f>IFERROR(1-(COUNTIFS('[PBMM_Master_Tracker_v2.xlsx]TRACKER'!$C$3:$C$1275,$A4,'[PBMM_Master_Tracker_v2.xlsx]TRACKER'!$D$3:$D$1275,"SI",'[PBMM_Master_Tracker_v2.xlsx]TRACKER'!$G$3:$G$1275,"Passed")+COUNTIFS('[PBMM_Master_Tracker_v2.xlsx]TRACKER'!$C$3:$C$1275,$A4,'[PBMM_Master_Tracker_v2.xlsx]TRACKER'!$D$3:$D$1275,"SI",'[PBMM_Master_Tracker_v2.xlsx]TRACKER'!$G$3:$G$1275,"Accepted Exception"))/COUNTIFS('[PBMM_Master_Tracker_v2.xlsx]TRACKER'!$C$3:$C$1275,$A4,'[PBMM_Master_Tracker_v2.xlsx]TRACKER'!$D$3:$D$1275,"SI"),"")</f>
        <v/>
      </c>
    </row>
    <row r="5" ht="20" customHeight="1">
      <c r="A5" s="23" t="inlineStr">
        <is>
          <t>Containers</t>
        </is>
      </c>
      <c r="B5" s="24">
        <f>IFERROR(1-(COUNTIFS('[PBMM_Master_Tracker_v2.xlsx]TRACKER'!$C$3:$C$1275,$A5,'[PBMM_Master_Tracker_v2.xlsx]TRACKER'!$D$3:$D$1275,"AC",'[PBMM_Master_Tracker_v2.xlsx]TRACKER'!$G$3:$G$1275,"Passed")+COUNTIFS('[PBMM_Master_Tracker_v2.xlsx]TRACKER'!$C$3:$C$1275,$A5,'[PBMM_Master_Tracker_v2.xlsx]TRACKER'!$D$3:$D$1275,"AC",'[PBMM_Master_Tracker_v2.xlsx]TRACKER'!$G$3:$G$1275,"Accepted Exception"))/COUNTIFS('[PBMM_Master_Tracker_v2.xlsx]TRACKER'!$C$3:$C$1275,$A5,'[PBMM_Master_Tracker_v2.xlsx]TRACKER'!$D$3:$D$1275,"AC"),"")</f>
        <v/>
      </c>
      <c r="C5" s="24">
        <f>IFERROR(1-(COUNTIFS('[PBMM_Master_Tracker_v2.xlsx]TRACKER'!$C$3:$C$1275,$A5,'[PBMM_Master_Tracker_v2.xlsx]TRACKER'!$D$3:$D$1275,"AT",'[PBMM_Master_Tracker_v2.xlsx]TRACKER'!$G$3:$G$1275,"Passed")+COUNTIFS('[PBMM_Master_Tracker_v2.xlsx]TRACKER'!$C$3:$C$1275,$A5,'[PBMM_Master_Tracker_v2.xlsx]TRACKER'!$D$3:$D$1275,"AT",'[PBMM_Master_Tracker_v2.xlsx]TRACKER'!$G$3:$G$1275,"Accepted Exception"))/COUNTIFS('[PBMM_Master_Tracker_v2.xlsx]TRACKER'!$C$3:$C$1275,$A5,'[PBMM_Master_Tracker_v2.xlsx]TRACKER'!$D$3:$D$1275,"AT"),"")</f>
        <v/>
      </c>
      <c r="D5" s="24">
        <f>IFERROR(1-(COUNTIFS('[PBMM_Master_Tracker_v2.xlsx]TRACKER'!$C$3:$C$1275,$A5,'[PBMM_Master_Tracker_v2.xlsx]TRACKER'!$D$3:$D$1275,"AU",'[PBMM_Master_Tracker_v2.xlsx]TRACKER'!$G$3:$G$1275,"Passed")+COUNTIFS('[PBMM_Master_Tracker_v2.xlsx]TRACKER'!$C$3:$C$1275,$A5,'[PBMM_Master_Tracker_v2.xlsx]TRACKER'!$D$3:$D$1275,"AU",'[PBMM_Master_Tracker_v2.xlsx]TRACKER'!$G$3:$G$1275,"Accepted Exception"))/COUNTIFS('[PBMM_Master_Tracker_v2.xlsx]TRACKER'!$C$3:$C$1275,$A5,'[PBMM_Master_Tracker_v2.xlsx]TRACKER'!$D$3:$D$1275,"AU"),"")</f>
        <v/>
      </c>
      <c r="E5" s="24">
        <f>IFERROR(1-(COUNTIFS('[PBMM_Master_Tracker_v2.xlsx]TRACKER'!$C$3:$C$1275,$A5,'[PBMM_Master_Tracker_v2.xlsx]TRACKER'!$D$3:$D$1275,"CA",'[PBMM_Master_Tracker_v2.xlsx]TRACKER'!$G$3:$G$1275,"Passed")+COUNTIFS('[PBMM_Master_Tracker_v2.xlsx]TRACKER'!$C$3:$C$1275,$A5,'[PBMM_Master_Tracker_v2.xlsx]TRACKER'!$D$3:$D$1275,"CA",'[PBMM_Master_Tracker_v2.xlsx]TRACKER'!$G$3:$G$1275,"Accepted Exception"))/COUNTIFS('[PBMM_Master_Tracker_v2.xlsx]TRACKER'!$C$3:$C$1275,$A5,'[PBMM_Master_Tracker_v2.xlsx]TRACKER'!$D$3:$D$1275,"CA"),"")</f>
        <v/>
      </c>
      <c r="F5" s="24">
        <f>IFERROR(1-(COUNTIFS('[PBMM_Master_Tracker_v2.xlsx]TRACKER'!$C$3:$C$1275,$A5,'[PBMM_Master_Tracker_v2.xlsx]TRACKER'!$D$3:$D$1275,"CM",'[PBMM_Master_Tracker_v2.xlsx]TRACKER'!$G$3:$G$1275,"Passed")+COUNTIFS('[PBMM_Master_Tracker_v2.xlsx]TRACKER'!$C$3:$C$1275,$A5,'[PBMM_Master_Tracker_v2.xlsx]TRACKER'!$D$3:$D$1275,"CM",'[PBMM_Master_Tracker_v2.xlsx]TRACKER'!$G$3:$G$1275,"Accepted Exception"))/COUNTIFS('[PBMM_Master_Tracker_v2.xlsx]TRACKER'!$C$3:$C$1275,$A5,'[PBMM_Master_Tracker_v2.xlsx]TRACKER'!$D$3:$D$1275,"CM"),"")</f>
        <v/>
      </c>
      <c r="G5" s="24">
        <f>IFERROR(1-(COUNTIFS('[PBMM_Master_Tracker_v2.xlsx]TRACKER'!$C$3:$C$1275,$A5,'[PBMM_Master_Tracker_v2.xlsx]TRACKER'!$D$3:$D$1275,"CP",'[PBMM_Master_Tracker_v2.xlsx]TRACKER'!$G$3:$G$1275,"Passed")+COUNTIFS('[PBMM_Master_Tracker_v2.xlsx]TRACKER'!$C$3:$C$1275,$A5,'[PBMM_Master_Tracker_v2.xlsx]TRACKER'!$D$3:$D$1275,"CP",'[PBMM_Master_Tracker_v2.xlsx]TRACKER'!$G$3:$G$1275,"Accepted Exception"))/COUNTIFS('[PBMM_Master_Tracker_v2.xlsx]TRACKER'!$C$3:$C$1275,$A5,'[PBMM_Master_Tracker_v2.xlsx]TRACKER'!$D$3:$D$1275,"CP"),"")</f>
        <v/>
      </c>
      <c r="H5" s="24">
        <f>IFERROR(1-(COUNTIFS('[PBMM_Master_Tracker_v2.xlsx]TRACKER'!$C$3:$C$1275,$A5,'[PBMM_Master_Tracker_v2.xlsx]TRACKER'!$D$3:$D$1275,"IA",'[PBMM_Master_Tracker_v2.xlsx]TRACKER'!$G$3:$G$1275,"Passed")+COUNTIFS('[PBMM_Master_Tracker_v2.xlsx]TRACKER'!$C$3:$C$1275,$A5,'[PBMM_Master_Tracker_v2.xlsx]TRACKER'!$D$3:$D$1275,"IA",'[PBMM_Master_Tracker_v2.xlsx]TRACKER'!$G$3:$G$1275,"Accepted Exception"))/COUNTIFS('[PBMM_Master_Tracker_v2.xlsx]TRACKER'!$C$3:$C$1275,$A5,'[PBMM_Master_Tracker_v2.xlsx]TRACKER'!$D$3:$D$1275,"IA"),"")</f>
        <v/>
      </c>
      <c r="I5" s="24">
        <f>IFERROR(1-(COUNTIFS('[PBMM_Master_Tracker_v2.xlsx]TRACKER'!$C$3:$C$1275,$A5,'[PBMM_Master_Tracker_v2.xlsx]TRACKER'!$D$3:$D$1275,"IR",'[PBMM_Master_Tracker_v2.xlsx]TRACKER'!$G$3:$G$1275,"Passed")+COUNTIFS('[PBMM_Master_Tracker_v2.xlsx]TRACKER'!$C$3:$C$1275,$A5,'[PBMM_Master_Tracker_v2.xlsx]TRACKER'!$D$3:$D$1275,"IR",'[PBMM_Master_Tracker_v2.xlsx]TRACKER'!$G$3:$G$1275,"Accepted Exception"))/COUNTIFS('[PBMM_Master_Tracker_v2.xlsx]TRACKER'!$C$3:$C$1275,$A5,'[PBMM_Master_Tracker_v2.xlsx]TRACKER'!$D$3:$D$1275,"IR"),"")</f>
        <v/>
      </c>
      <c r="J5" s="24">
        <f>IFERROR(1-(COUNTIFS('[PBMM_Master_Tracker_v2.xlsx]TRACKER'!$C$3:$C$1275,$A5,'[PBMM_Master_Tracker_v2.xlsx]TRACKER'!$D$3:$D$1275,"MA",'[PBMM_Master_Tracker_v2.xlsx]TRACKER'!$G$3:$G$1275,"Passed")+COUNTIFS('[PBMM_Master_Tracker_v2.xlsx]TRACKER'!$C$3:$C$1275,$A5,'[PBMM_Master_Tracker_v2.xlsx]TRACKER'!$D$3:$D$1275,"MA",'[PBMM_Master_Tracker_v2.xlsx]TRACKER'!$G$3:$G$1275,"Accepted Exception"))/COUNTIFS('[PBMM_Master_Tracker_v2.xlsx]TRACKER'!$C$3:$C$1275,$A5,'[PBMM_Master_Tracker_v2.xlsx]TRACKER'!$D$3:$D$1275,"MA"),"")</f>
        <v/>
      </c>
      <c r="K5" s="24">
        <f>IFERROR(1-(COUNTIFS('[PBMM_Master_Tracker_v2.xlsx]TRACKER'!$C$3:$C$1275,$A5,'[PBMM_Master_Tracker_v2.xlsx]TRACKER'!$D$3:$D$1275,"MP",'[PBMM_Master_Tracker_v2.xlsx]TRACKER'!$G$3:$G$1275,"Passed")+COUNTIFS('[PBMM_Master_Tracker_v2.xlsx]TRACKER'!$C$3:$C$1275,$A5,'[PBMM_Master_Tracker_v2.xlsx]TRACKER'!$D$3:$D$1275,"MP",'[PBMM_Master_Tracker_v2.xlsx]TRACKER'!$G$3:$G$1275,"Accepted Exception"))/COUNTIFS('[PBMM_Master_Tracker_v2.xlsx]TRACKER'!$C$3:$C$1275,$A5,'[PBMM_Master_Tracker_v2.xlsx]TRACKER'!$D$3:$D$1275,"MP"),"")</f>
        <v/>
      </c>
      <c r="L5" s="24">
        <f>IFERROR(1-(COUNTIFS('[PBMM_Master_Tracker_v2.xlsx]TRACKER'!$C$3:$C$1275,$A5,'[PBMM_Master_Tracker_v2.xlsx]TRACKER'!$D$3:$D$1275,"PE",'[PBMM_Master_Tracker_v2.xlsx]TRACKER'!$G$3:$G$1275,"Passed")+COUNTIFS('[PBMM_Master_Tracker_v2.xlsx]TRACKER'!$C$3:$C$1275,$A5,'[PBMM_Master_Tracker_v2.xlsx]TRACKER'!$D$3:$D$1275,"PE",'[PBMM_Master_Tracker_v2.xlsx]TRACKER'!$G$3:$G$1275,"Accepted Exception"))/COUNTIFS('[PBMM_Master_Tracker_v2.xlsx]TRACKER'!$C$3:$C$1275,$A5,'[PBMM_Master_Tracker_v2.xlsx]TRACKER'!$D$3:$D$1275,"PE"),"")</f>
        <v/>
      </c>
      <c r="M5" s="24">
        <f>IFERROR(1-(COUNTIFS('[PBMM_Master_Tracker_v2.xlsx]TRACKER'!$C$3:$C$1275,$A5,'[PBMM_Master_Tracker_v2.xlsx]TRACKER'!$D$3:$D$1275,"PL",'[PBMM_Master_Tracker_v2.xlsx]TRACKER'!$G$3:$G$1275,"Passed")+COUNTIFS('[PBMM_Master_Tracker_v2.xlsx]TRACKER'!$C$3:$C$1275,$A5,'[PBMM_Master_Tracker_v2.xlsx]TRACKER'!$D$3:$D$1275,"PL",'[PBMM_Master_Tracker_v2.xlsx]TRACKER'!$G$3:$G$1275,"Accepted Exception"))/COUNTIFS('[PBMM_Master_Tracker_v2.xlsx]TRACKER'!$C$3:$C$1275,$A5,'[PBMM_Master_Tracker_v2.xlsx]TRACKER'!$D$3:$D$1275,"PL"),"")</f>
        <v/>
      </c>
      <c r="N5" s="24">
        <f>IFERROR(1-(COUNTIFS('[PBMM_Master_Tracker_v2.xlsx]TRACKER'!$C$3:$C$1275,$A5,'[PBMM_Master_Tracker_v2.xlsx]TRACKER'!$D$3:$D$1275,"PS",'[PBMM_Master_Tracker_v2.xlsx]TRACKER'!$G$3:$G$1275,"Passed")+COUNTIFS('[PBMM_Master_Tracker_v2.xlsx]TRACKER'!$C$3:$C$1275,$A5,'[PBMM_Master_Tracker_v2.xlsx]TRACKER'!$D$3:$D$1275,"PS",'[PBMM_Master_Tracker_v2.xlsx]TRACKER'!$G$3:$G$1275,"Accepted Exception"))/COUNTIFS('[PBMM_Master_Tracker_v2.xlsx]TRACKER'!$C$3:$C$1275,$A5,'[PBMM_Master_Tracker_v2.xlsx]TRACKER'!$D$3:$D$1275,"PS"),"")</f>
        <v/>
      </c>
      <c r="O5" s="24">
        <f>IFERROR(1-(COUNTIFS('[PBMM_Master_Tracker_v2.xlsx]TRACKER'!$C$3:$C$1275,$A5,'[PBMM_Master_Tracker_v2.xlsx]TRACKER'!$D$3:$D$1275,"RA",'[PBMM_Master_Tracker_v2.xlsx]TRACKER'!$G$3:$G$1275,"Passed")+COUNTIFS('[PBMM_Master_Tracker_v2.xlsx]TRACKER'!$C$3:$C$1275,$A5,'[PBMM_Master_Tracker_v2.xlsx]TRACKER'!$D$3:$D$1275,"RA",'[PBMM_Master_Tracker_v2.xlsx]TRACKER'!$G$3:$G$1275,"Accepted Exception"))/COUNTIFS('[PBMM_Master_Tracker_v2.xlsx]TRACKER'!$C$3:$C$1275,$A5,'[PBMM_Master_Tracker_v2.xlsx]TRACKER'!$D$3:$D$1275,"RA"),"")</f>
        <v/>
      </c>
      <c r="P5" s="24">
        <f>IFERROR(1-(COUNTIFS('[PBMM_Master_Tracker_v2.xlsx]TRACKER'!$C$3:$C$1275,$A5,'[PBMM_Master_Tracker_v2.xlsx]TRACKER'!$D$3:$D$1275,"SA",'[PBMM_Master_Tracker_v2.xlsx]TRACKER'!$G$3:$G$1275,"Passed")+COUNTIFS('[PBMM_Master_Tracker_v2.xlsx]TRACKER'!$C$3:$C$1275,$A5,'[PBMM_Master_Tracker_v2.xlsx]TRACKER'!$D$3:$D$1275,"SA",'[PBMM_Master_Tracker_v2.xlsx]TRACKER'!$G$3:$G$1275,"Accepted Exception"))/COUNTIFS('[PBMM_Master_Tracker_v2.xlsx]TRACKER'!$C$3:$C$1275,$A5,'[PBMM_Master_Tracker_v2.xlsx]TRACKER'!$D$3:$D$1275,"SA"),"")</f>
        <v/>
      </c>
      <c r="Q5" s="24">
        <f>IFERROR(1-(COUNTIFS('[PBMM_Master_Tracker_v2.xlsx]TRACKER'!$C$3:$C$1275,$A5,'[PBMM_Master_Tracker_v2.xlsx]TRACKER'!$D$3:$D$1275,"SC",'[PBMM_Master_Tracker_v2.xlsx]TRACKER'!$G$3:$G$1275,"Passed")+COUNTIFS('[PBMM_Master_Tracker_v2.xlsx]TRACKER'!$C$3:$C$1275,$A5,'[PBMM_Master_Tracker_v2.xlsx]TRACKER'!$D$3:$D$1275,"SC",'[PBMM_Master_Tracker_v2.xlsx]TRACKER'!$G$3:$G$1275,"Accepted Exception"))/COUNTIFS('[PBMM_Master_Tracker_v2.xlsx]TRACKER'!$C$3:$C$1275,$A5,'[PBMM_Master_Tracker_v2.xlsx]TRACKER'!$D$3:$D$1275,"SC"),"")</f>
        <v/>
      </c>
      <c r="R5" s="24">
        <f>IFERROR(1-(COUNTIFS('[PBMM_Master_Tracker_v2.xlsx]TRACKER'!$C$3:$C$1275,$A5,'[PBMM_Master_Tracker_v2.xlsx]TRACKER'!$D$3:$D$1275,"SI",'[PBMM_Master_Tracker_v2.xlsx]TRACKER'!$G$3:$G$1275,"Passed")+COUNTIFS('[PBMM_Master_Tracker_v2.xlsx]TRACKER'!$C$3:$C$1275,$A5,'[PBMM_Master_Tracker_v2.xlsx]TRACKER'!$D$3:$D$1275,"SI",'[PBMM_Master_Tracker_v2.xlsx]TRACKER'!$G$3:$G$1275,"Accepted Exception"))/COUNTIFS('[PBMM_Master_Tracker_v2.xlsx]TRACKER'!$C$3:$C$1275,$A5,'[PBMM_Master_Tracker_v2.xlsx]TRACKER'!$D$3:$D$1275,"SI"),"")</f>
        <v/>
      </c>
    </row>
    <row r="6" ht="20" customHeight="1">
      <c r="A6" s="25" t="inlineStr">
        <is>
          <t>Database</t>
        </is>
      </c>
      <c r="B6" s="26">
        <f>IFERROR(1-(COUNTIFS('[PBMM_Master_Tracker_v2.xlsx]TRACKER'!$C$3:$C$1275,$A6,'[PBMM_Master_Tracker_v2.xlsx]TRACKER'!$D$3:$D$1275,"AC",'[PBMM_Master_Tracker_v2.xlsx]TRACKER'!$G$3:$G$1275,"Passed")+COUNTIFS('[PBMM_Master_Tracker_v2.xlsx]TRACKER'!$C$3:$C$1275,$A6,'[PBMM_Master_Tracker_v2.xlsx]TRACKER'!$D$3:$D$1275,"AC",'[PBMM_Master_Tracker_v2.xlsx]TRACKER'!$G$3:$G$1275,"Accepted Exception"))/COUNTIFS('[PBMM_Master_Tracker_v2.xlsx]TRACKER'!$C$3:$C$1275,$A6,'[PBMM_Master_Tracker_v2.xlsx]TRACKER'!$D$3:$D$1275,"AC"),"")</f>
        <v/>
      </c>
      <c r="C6" s="26">
        <f>IFERROR(1-(COUNTIFS('[PBMM_Master_Tracker_v2.xlsx]TRACKER'!$C$3:$C$1275,$A6,'[PBMM_Master_Tracker_v2.xlsx]TRACKER'!$D$3:$D$1275,"AT",'[PBMM_Master_Tracker_v2.xlsx]TRACKER'!$G$3:$G$1275,"Passed")+COUNTIFS('[PBMM_Master_Tracker_v2.xlsx]TRACKER'!$C$3:$C$1275,$A6,'[PBMM_Master_Tracker_v2.xlsx]TRACKER'!$D$3:$D$1275,"AT",'[PBMM_Master_Tracker_v2.xlsx]TRACKER'!$G$3:$G$1275,"Accepted Exception"))/COUNTIFS('[PBMM_Master_Tracker_v2.xlsx]TRACKER'!$C$3:$C$1275,$A6,'[PBMM_Master_Tracker_v2.xlsx]TRACKER'!$D$3:$D$1275,"AT"),"")</f>
        <v/>
      </c>
      <c r="D6" s="26">
        <f>IFERROR(1-(COUNTIFS('[PBMM_Master_Tracker_v2.xlsx]TRACKER'!$C$3:$C$1275,$A6,'[PBMM_Master_Tracker_v2.xlsx]TRACKER'!$D$3:$D$1275,"AU",'[PBMM_Master_Tracker_v2.xlsx]TRACKER'!$G$3:$G$1275,"Passed")+COUNTIFS('[PBMM_Master_Tracker_v2.xlsx]TRACKER'!$C$3:$C$1275,$A6,'[PBMM_Master_Tracker_v2.xlsx]TRACKER'!$D$3:$D$1275,"AU",'[PBMM_Master_Tracker_v2.xlsx]TRACKER'!$G$3:$G$1275,"Accepted Exception"))/COUNTIFS('[PBMM_Master_Tracker_v2.xlsx]TRACKER'!$C$3:$C$1275,$A6,'[PBMM_Master_Tracker_v2.xlsx]TRACKER'!$D$3:$D$1275,"AU"),"")</f>
        <v/>
      </c>
      <c r="E6" s="26">
        <f>IFERROR(1-(COUNTIFS('[PBMM_Master_Tracker_v2.xlsx]TRACKER'!$C$3:$C$1275,$A6,'[PBMM_Master_Tracker_v2.xlsx]TRACKER'!$D$3:$D$1275,"CA",'[PBMM_Master_Tracker_v2.xlsx]TRACKER'!$G$3:$G$1275,"Passed")+COUNTIFS('[PBMM_Master_Tracker_v2.xlsx]TRACKER'!$C$3:$C$1275,$A6,'[PBMM_Master_Tracker_v2.xlsx]TRACKER'!$D$3:$D$1275,"CA",'[PBMM_Master_Tracker_v2.xlsx]TRACKER'!$G$3:$G$1275,"Accepted Exception"))/COUNTIFS('[PBMM_Master_Tracker_v2.xlsx]TRACKER'!$C$3:$C$1275,$A6,'[PBMM_Master_Tracker_v2.xlsx]TRACKER'!$D$3:$D$1275,"CA"),"")</f>
        <v/>
      </c>
      <c r="F6" s="26">
        <f>IFERROR(1-(COUNTIFS('[PBMM_Master_Tracker_v2.xlsx]TRACKER'!$C$3:$C$1275,$A6,'[PBMM_Master_Tracker_v2.xlsx]TRACKER'!$D$3:$D$1275,"CM",'[PBMM_Master_Tracker_v2.xlsx]TRACKER'!$G$3:$G$1275,"Passed")+COUNTIFS('[PBMM_Master_Tracker_v2.xlsx]TRACKER'!$C$3:$C$1275,$A6,'[PBMM_Master_Tracker_v2.xlsx]TRACKER'!$D$3:$D$1275,"CM",'[PBMM_Master_Tracker_v2.xlsx]TRACKER'!$G$3:$G$1275,"Accepted Exception"))/COUNTIFS('[PBMM_Master_Tracker_v2.xlsx]TRACKER'!$C$3:$C$1275,$A6,'[PBMM_Master_Tracker_v2.xlsx]TRACKER'!$D$3:$D$1275,"CM"),"")</f>
        <v/>
      </c>
      <c r="G6" s="26">
        <f>IFERROR(1-(COUNTIFS('[PBMM_Master_Tracker_v2.xlsx]TRACKER'!$C$3:$C$1275,$A6,'[PBMM_Master_Tracker_v2.xlsx]TRACKER'!$D$3:$D$1275,"CP",'[PBMM_Master_Tracker_v2.xlsx]TRACKER'!$G$3:$G$1275,"Passed")+COUNTIFS('[PBMM_Master_Tracker_v2.xlsx]TRACKER'!$C$3:$C$1275,$A6,'[PBMM_Master_Tracker_v2.xlsx]TRACKER'!$D$3:$D$1275,"CP",'[PBMM_Master_Tracker_v2.xlsx]TRACKER'!$G$3:$G$1275,"Accepted Exception"))/COUNTIFS('[PBMM_Master_Tracker_v2.xlsx]TRACKER'!$C$3:$C$1275,$A6,'[PBMM_Master_Tracker_v2.xlsx]TRACKER'!$D$3:$D$1275,"CP"),"")</f>
        <v/>
      </c>
      <c r="H6" s="26">
        <f>IFERROR(1-(COUNTIFS('[PBMM_Master_Tracker_v2.xlsx]TRACKER'!$C$3:$C$1275,$A6,'[PBMM_Master_Tracker_v2.xlsx]TRACKER'!$D$3:$D$1275,"IA",'[PBMM_Master_Tracker_v2.xlsx]TRACKER'!$G$3:$G$1275,"Passed")+COUNTIFS('[PBMM_Master_Tracker_v2.xlsx]TRACKER'!$C$3:$C$1275,$A6,'[PBMM_Master_Tracker_v2.xlsx]TRACKER'!$D$3:$D$1275,"IA",'[PBMM_Master_Tracker_v2.xlsx]TRACKER'!$G$3:$G$1275,"Accepted Exception"))/COUNTIFS('[PBMM_Master_Tracker_v2.xlsx]TRACKER'!$C$3:$C$1275,$A6,'[PBMM_Master_Tracker_v2.xlsx]TRACKER'!$D$3:$D$1275,"IA"),"")</f>
        <v/>
      </c>
      <c r="I6" s="26">
        <f>IFERROR(1-(COUNTIFS('[PBMM_Master_Tracker_v2.xlsx]TRACKER'!$C$3:$C$1275,$A6,'[PBMM_Master_Tracker_v2.xlsx]TRACKER'!$D$3:$D$1275,"IR",'[PBMM_Master_Tracker_v2.xlsx]TRACKER'!$G$3:$G$1275,"Passed")+COUNTIFS('[PBMM_Master_Tracker_v2.xlsx]TRACKER'!$C$3:$C$1275,$A6,'[PBMM_Master_Tracker_v2.xlsx]TRACKER'!$D$3:$D$1275,"IR",'[PBMM_Master_Tracker_v2.xlsx]TRACKER'!$G$3:$G$1275,"Accepted Exception"))/COUNTIFS('[PBMM_Master_Tracker_v2.xlsx]TRACKER'!$C$3:$C$1275,$A6,'[PBMM_Master_Tracker_v2.xlsx]TRACKER'!$D$3:$D$1275,"IR"),"")</f>
        <v/>
      </c>
      <c r="J6" s="26">
        <f>IFERROR(1-(COUNTIFS('[PBMM_Master_Tracker_v2.xlsx]TRACKER'!$C$3:$C$1275,$A6,'[PBMM_Master_Tracker_v2.xlsx]TRACKER'!$D$3:$D$1275,"MA",'[PBMM_Master_Tracker_v2.xlsx]TRACKER'!$G$3:$G$1275,"Passed")+COUNTIFS('[PBMM_Master_Tracker_v2.xlsx]TRACKER'!$C$3:$C$1275,$A6,'[PBMM_Master_Tracker_v2.xlsx]TRACKER'!$D$3:$D$1275,"MA",'[PBMM_Master_Tracker_v2.xlsx]TRACKER'!$G$3:$G$1275,"Accepted Exception"))/COUNTIFS('[PBMM_Master_Tracker_v2.xlsx]TRACKER'!$C$3:$C$1275,$A6,'[PBMM_Master_Tracker_v2.xlsx]TRACKER'!$D$3:$D$1275,"MA"),"")</f>
        <v/>
      </c>
      <c r="K6" s="26">
        <f>IFERROR(1-(COUNTIFS('[PBMM_Master_Tracker_v2.xlsx]TRACKER'!$C$3:$C$1275,$A6,'[PBMM_Master_Tracker_v2.xlsx]TRACKER'!$D$3:$D$1275,"MP",'[PBMM_Master_Tracker_v2.xlsx]TRACKER'!$G$3:$G$1275,"Passed")+COUNTIFS('[PBMM_Master_Tracker_v2.xlsx]TRACKER'!$C$3:$C$1275,$A6,'[PBMM_Master_Tracker_v2.xlsx]TRACKER'!$D$3:$D$1275,"MP",'[PBMM_Master_Tracker_v2.xlsx]TRACKER'!$G$3:$G$1275,"Accepted Exception"))/COUNTIFS('[PBMM_Master_Tracker_v2.xlsx]TRACKER'!$C$3:$C$1275,$A6,'[PBMM_Master_Tracker_v2.xlsx]TRACKER'!$D$3:$D$1275,"MP"),"")</f>
        <v/>
      </c>
      <c r="L6" s="26">
        <f>IFERROR(1-(COUNTIFS('[PBMM_Master_Tracker_v2.xlsx]TRACKER'!$C$3:$C$1275,$A6,'[PBMM_Master_Tracker_v2.xlsx]TRACKER'!$D$3:$D$1275,"PE",'[PBMM_Master_Tracker_v2.xlsx]TRACKER'!$G$3:$G$1275,"Passed")+COUNTIFS('[PBMM_Master_Tracker_v2.xlsx]TRACKER'!$C$3:$C$1275,$A6,'[PBMM_Master_Tracker_v2.xlsx]TRACKER'!$D$3:$D$1275,"PE",'[PBMM_Master_Tracker_v2.xlsx]TRACKER'!$G$3:$G$1275,"Accepted Exception"))/COUNTIFS('[PBMM_Master_Tracker_v2.xlsx]TRACKER'!$C$3:$C$1275,$A6,'[PBMM_Master_Tracker_v2.xlsx]TRACKER'!$D$3:$D$1275,"PE"),"")</f>
        <v/>
      </c>
      <c r="M6" s="26">
        <f>IFERROR(1-(COUNTIFS('[PBMM_Master_Tracker_v2.xlsx]TRACKER'!$C$3:$C$1275,$A6,'[PBMM_Master_Tracker_v2.xlsx]TRACKER'!$D$3:$D$1275,"PL",'[PBMM_Master_Tracker_v2.xlsx]TRACKER'!$G$3:$G$1275,"Passed")+COUNTIFS('[PBMM_Master_Tracker_v2.xlsx]TRACKER'!$C$3:$C$1275,$A6,'[PBMM_Master_Tracker_v2.xlsx]TRACKER'!$D$3:$D$1275,"PL",'[PBMM_Master_Tracker_v2.xlsx]TRACKER'!$G$3:$G$1275,"Accepted Exception"))/COUNTIFS('[PBMM_Master_Tracker_v2.xlsx]TRACKER'!$C$3:$C$1275,$A6,'[PBMM_Master_Tracker_v2.xlsx]TRACKER'!$D$3:$D$1275,"PL"),"")</f>
        <v/>
      </c>
      <c r="N6" s="26">
        <f>IFERROR(1-(COUNTIFS('[PBMM_Master_Tracker_v2.xlsx]TRACKER'!$C$3:$C$1275,$A6,'[PBMM_Master_Tracker_v2.xlsx]TRACKER'!$D$3:$D$1275,"PS",'[PBMM_Master_Tracker_v2.xlsx]TRACKER'!$G$3:$G$1275,"Passed")+COUNTIFS('[PBMM_Master_Tracker_v2.xlsx]TRACKER'!$C$3:$C$1275,$A6,'[PBMM_Master_Tracker_v2.xlsx]TRACKER'!$D$3:$D$1275,"PS",'[PBMM_Master_Tracker_v2.xlsx]TRACKER'!$G$3:$G$1275,"Accepted Exception"))/COUNTIFS('[PBMM_Master_Tracker_v2.xlsx]TRACKER'!$C$3:$C$1275,$A6,'[PBMM_Master_Tracker_v2.xlsx]TRACKER'!$D$3:$D$1275,"PS"),"")</f>
        <v/>
      </c>
      <c r="O6" s="26">
        <f>IFERROR(1-(COUNTIFS('[PBMM_Master_Tracker_v2.xlsx]TRACKER'!$C$3:$C$1275,$A6,'[PBMM_Master_Tracker_v2.xlsx]TRACKER'!$D$3:$D$1275,"RA",'[PBMM_Master_Tracker_v2.xlsx]TRACKER'!$G$3:$G$1275,"Passed")+COUNTIFS('[PBMM_Master_Tracker_v2.xlsx]TRACKER'!$C$3:$C$1275,$A6,'[PBMM_Master_Tracker_v2.xlsx]TRACKER'!$D$3:$D$1275,"RA",'[PBMM_Master_Tracker_v2.xlsx]TRACKER'!$G$3:$G$1275,"Accepted Exception"))/COUNTIFS('[PBMM_Master_Tracker_v2.xlsx]TRACKER'!$C$3:$C$1275,$A6,'[PBMM_Master_Tracker_v2.xlsx]TRACKER'!$D$3:$D$1275,"RA"),"")</f>
        <v/>
      </c>
      <c r="P6" s="26">
        <f>IFERROR(1-(COUNTIFS('[PBMM_Master_Tracker_v2.xlsx]TRACKER'!$C$3:$C$1275,$A6,'[PBMM_Master_Tracker_v2.xlsx]TRACKER'!$D$3:$D$1275,"SA",'[PBMM_Master_Tracker_v2.xlsx]TRACKER'!$G$3:$G$1275,"Passed")+COUNTIFS('[PBMM_Master_Tracker_v2.xlsx]TRACKER'!$C$3:$C$1275,$A6,'[PBMM_Master_Tracker_v2.xlsx]TRACKER'!$D$3:$D$1275,"SA",'[PBMM_Master_Tracker_v2.xlsx]TRACKER'!$G$3:$G$1275,"Accepted Exception"))/COUNTIFS('[PBMM_Master_Tracker_v2.xlsx]TRACKER'!$C$3:$C$1275,$A6,'[PBMM_Master_Tracker_v2.xlsx]TRACKER'!$D$3:$D$1275,"SA"),"")</f>
        <v/>
      </c>
      <c r="Q6" s="26">
        <f>IFERROR(1-(COUNTIFS('[PBMM_Master_Tracker_v2.xlsx]TRACKER'!$C$3:$C$1275,$A6,'[PBMM_Master_Tracker_v2.xlsx]TRACKER'!$D$3:$D$1275,"SC",'[PBMM_Master_Tracker_v2.xlsx]TRACKER'!$G$3:$G$1275,"Passed")+COUNTIFS('[PBMM_Master_Tracker_v2.xlsx]TRACKER'!$C$3:$C$1275,$A6,'[PBMM_Master_Tracker_v2.xlsx]TRACKER'!$D$3:$D$1275,"SC",'[PBMM_Master_Tracker_v2.xlsx]TRACKER'!$G$3:$G$1275,"Accepted Exception"))/COUNTIFS('[PBMM_Master_Tracker_v2.xlsx]TRACKER'!$C$3:$C$1275,$A6,'[PBMM_Master_Tracker_v2.xlsx]TRACKER'!$D$3:$D$1275,"SC"),"")</f>
        <v/>
      </c>
      <c r="R6" s="26">
        <f>IFERROR(1-(COUNTIFS('[PBMM_Master_Tracker_v2.xlsx]TRACKER'!$C$3:$C$1275,$A6,'[PBMM_Master_Tracker_v2.xlsx]TRACKER'!$D$3:$D$1275,"SI",'[PBMM_Master_Tracker_v2.xlsx]TRACKER'!$G$3:$G$1275,"Passed")+COUNTIFS('[PBMM_Master_Tracker_v2.xlsx]TRACKER'!$C$3:$C$1275,$A6,'[PBMM_Master_Tracker_v2.xlsx]TRACKER'!$D$3:$D$1275,"SI",'[PBMM_Master_Tracker_v2.xlsx]TRACKER'!$G$3:$G$1275,"Accepted Exception"))/COUNTIFS('[PBMM_Master_Tracker_v2.xlsx]TRACKER'!$C$3:$C$1275,$A6,'[PBMM_Master_Tracker_v2.xlsx]TRACKER'!$D$3:$D$1275,"SI"),"")</f>
        <v/>
      </c>
    </row>
    <row r="7" ht="20" customHeight="1">
      <c r="A7" s="23" t="inlineStr">
        <is>
          <t>Developer Tools</t>
        </is>
      </c>
      <c r="B7" s="24">
        <f>IFERROR(1-(COUNTIFS('[PBMM_Master_Tracker_v2.xlsx]TRACKER'!$C$3:$C$1275,$A7,'[PBMM_Master_Tracker_v2.xlsx]TRACKER'!$D$3:$D$1275,"AC",'[PBMM_Master_Tracker_v2.xlsx]TRACKER'!$G$3:$G$1275,"Passed")+COUNTIFS('[PBMM_Master_Tracker_v2.xlsx]TRACKER'!$C$3:$C$1275,$A7,'[PBMM_Master_Tracker_v2.xlsx]TRACKER'!$D$3:$D$1275,"AC",'[PBMM_Master_Tracker_v2.xlsx]TRACKER'!$G$3:$G$1275,"Accepted Exception"))/COUNTIFS('[PBMM_Master_Tracker_v2.xlsx]TRACKER'!$C$3:$C$1275,$A7,'[PBMM_Master_Tracker_v2.xlsx]TRACKER'!$D$3:$D$1275,"AC"),"")</f>
        <v/>
      </c>
      <c r="C7" s="24">
        <f>IFERROR(1-(COUNTIFS('[PBMM_Master_Tracker_v2.xlsx]TRACKER'!$C$3:$C$1275,$A7,'[PBMM_Master_Tracker_v2.xlsx]TRACKER'!$D$3:$D$1275,"AT",'[PBMM_Master_Tracker_v2.xlsx]TRACKER'!$G$3:$G$1275,"Passed")+COUNTIFS('[PBMM_Master_Tracker_v2.xlsx]TRACKER'!$C$3:$C$1275,$A7,'[PBMM_Master_Tracker_v2.xlsx]TRACKER'!$D$3:$D$1275,"AT",'[PBMM_Master_Tracker_v2.xlsx]TRACKER'!$G$3:$G$1275,"Accepted Exception"))/COUNTIFS('[PBMM_Master_Tracker_v2.xlsx]TRACKER'!$C$3:$C$1275,$A7,'[PBMM_Master_Tracker_v2.xlsx]TRACKER'!$D$3:$D$1275,"AT"),"")</f>
        <v/>
      </c>
      <c r="D7" s="24">
        <f>IFERROR(1-(COUNTIFS('[PBMM_Master_Tracker_v2.xlsx]TRACKER'!$C$3:$C$1275,$A7,'[PBMM_Master_Tracker_v2.xlsx]TRACKER'!$D$3:$D$1275,"AU",'[PBMM_Master_Tracker_v2.xlsx]TRACKER'!$G$3:$G$1275,"Passed")+COUNTIFS('[PBMM_Master_Tracker_v2.xlsx]TRACKER'!$C$3:$C$1275,$A7,'[PBMM_Master_Tracker_v2.xlsx]TRACKER'!$D$3:$D$1275,"AU",'[PBMM_Master_Tracker_v2.xlsx]TRACKER'!$G$3:$G$1275,"Accepted Exception"))/COUNTIFS('[PBMM_Master_Tracker_v2.xlsx]TRACKER'!$C$3:$C$1275,$A7,'[PBMM_Master_Tracker_v2.xlsx]TRACKER'!$D$3:$D$1275,"AU"),"")</f>
        <v/>
      </c>
      <c r="E7" s="24">
        <f>IFERROR(1-(COUNTIFS('[PBMM_Master_Tracker_v2.xlsx]TRACKER'!$C$3:$C$1275,$A7,'[PBMM_Master_Tracker_v2.xlsx]TRACKER'!$D$3:$D$1275,"CA",'[PBMM_Master_Tracker_v2.xlsx]TRACKER'!$G$3:$G$1275,"Passed")+COUNTIFS('[PBMM_Master_Tracker_v2.xlsx]TRACKER'!$C$3:$C$1275,$A7,'[PBMM_Master_Tracker_v2.xlsx]TRACKER'!$D$3:$D$1275,"CA",'[PBMM_Master_Tracker_v2.xlsx]TRACKER'!$G$3:$G$1275,"Accepted Exception"))/COUNTIFS('[PBMM_Master_Tracker_v2.xlsx]TRACKER'!$C$3:$C$1275,$A7,'[PBMM_Master_Tracker_v2.xlsx]TRACKER'!$D$3:$D$1275,"CA"),"")</f>
        <v/>
      </c>
      <c r="F7" s="24">
        <f>IFERROR(1-(COUNTIFS('[PBMM_Master_Tracker_v2.xlsx]TRACKER'!$C$3:$C$1275,$A7,'[PBMM_Master_Tracker_v2.xlsx]TRACKER'!$D$3:$D$1275,"CM",'[PBMM_Master_Tracker_v2.xlsx]TRACKER'!$G$3:$G$1275,"Passed")+COUNTIFS('[PBMM_Master_Tracker_v2.xlsx]TRACKER'!$C$3:$C$1275,$A7,'[PBMM_Master_Tracker_v2.xlsx]TRACKER'!$D$3:$D$1275,"CM",'[PBMM_Master_Tracker_v2.xlsx]TRACKER'!$G$3:$G$1275,"Accepted Exception"))/COUNTIFS('[PBMM_Master_Tracker_v2.xlsx]TRACKER'!$C$3:$C$1275,$A7,'[PBMM_Master_Tracker_v2.xlsx]TRACKER'!$D$3:$D$1275,"CM"),"")</f>
        <v/>
      </c>
      <c r="G7" s="24">
        <f>IFERROR(1-(COUNTIFS('[PBMM_Master_Tracker_v2.xlsx]TRACKER'!$C$3:$C$1275,$A7,'[PBMM_Master_Tracker_v2.xlsx]TRACKER'!$D$3:$D$1275,"CP",'[PBMM_Master_Tracker_v2.xlsx]TRACKER'!$G$3:$G$1275,"Passed")+COUNTIFS('[PBMM_Master_Tracker_v2.xlsx]TRACKER'!$C$3:$C$1275,$A7,'[PBMM_Master_Tracker_v2.xlsx]TRACKER'!$D$3:$D$1275,"CP",'[PBMM_Master_Tracker_v2.xlsx]TRACKER'!$G$3:$G$1275,"Accepted Exception"))/COUNTIFS('[PBMM_Master_Tracker_v2.xlsx]TRACKER'!$C$3:$C$1275,$A7,'[PBMM_Master_Tracker_v2.xlsx]TRACKER'!$D$3:$D$1275,"CP"),"")</f>
        <v/>
      </c>
      <c r="H7" s="24">
        <f>IFERROR(1-(COUNTIFS('[PBMM_Master_Tracker_v2.xlsx]TRACKER'!$C$3:$C$1275,$A7,'[PBMM_Master_Tracker_v2.xlsx]TRACKER'!$D$3:$D$1275,"IA",'[PBMM_Master_Tracker_v2.xlsx]TRACKER'!$G$3:$G$1275,"Passed")+COUNTIFS('[PBMM_Master_Tracker_v2.xlsx]TRACKER'!$C$3:$C$1275,$A7,'[PBMM_Master_Tracker_v2.xlsx]TRACKER'!$D$3:$D$1275,"IA",'[PBMM_Master_Tracker_v2.xlsx]TRACKER'!$G$3:$G$1275,"Accepted Exception"))/COUNTIFS('[PBMM_Master_Tracker_v2.xlsx]TRACKER'!$C$3:$C$1275,$A7,'[PBMM_Master_Tracker_v2.xlsx]TRACKER'!$D$3:$D$1275,"IA"),"")</f>
        <v/>
      </c>
      <c r="I7" s="24">
        <f>IFERROR(1-(COUNTIFS('[PBMM_Master_Tracker_v2.xlsx]TRACKER'!$C$3:$C$1275,$A7,'[PBMM_Master_Tracker_v2.xlsx]TRACKER'!$D$3:$D$1275,"IR",'[PBMM_Master_Tracker_v2.xlsx]TRACKER'!$G$3:$G$1275,"Passed")+COUNTIFS('[PBMM_Master_Tracker_v2.xlsx]TRACKER'!$C$3:$C$1275,$A7,'[PBMM_Master_Tracker_v2.xlsx]TRACKER'!$D$3:$D$1275,"IR",'[PBMM_Master_Tracker_v2.xlsx]TRACKER'!$G$3:$G$1275,"Accepted Exception"))/COUNTIFS('[PBMM_Master_Tracker_v2.xlsx]TRACKER'!$C$3:$C$1275,$A7,'[PBMM_Master_Tracker_v2.xlsx]TRACKER'!$D$3:$D$1275,"IR"),"")</f>
        <v/>
      </c>
      <c r="J7" s="24">
        <f>IFERROR(1-(COUNTIFS('[PBMM_Master_Tracker_v2.xlsx]TRACKER'!$C$3:$C$1275,$A7,'[PBMM_Master_Tracker_v2.xlsx]TRACKER'!$D$3:$D$1275,"MA",'[PBMM_Master_Tracker_v2.xlsx]TRACKER'!$G$3:$G$1275,"Passed")+COUNTIFS('[PBMM_Master_Tracker_v2.xlsx]TRACKER'!$C$3:$C$1275,$A7,'[PBMM_Master_Tracker_v2.xlsx]TRACKER'!$D$3:$D$1275,"MA",'[PBMM_Master_Tracker_v2.xlsx]TRACKER'!$G$3:$G$1275,"Accepted Exception"))/COUNTIFS('[PBMM_Master_Tracker_v2.xlsx]TRACKER'!$C$3:$C$1275,$A7,'[PBMM_Master_Tracker_v2.xlsx]TRACKER'!$D$3:$D$1275,"MA"),"")</f>
        <v/>
      </c>
      <c r="K7" s="24">
        <f>IFERROR(1-(COUNTIFS('[PBMM_Master_Tracker_v2.xlsx]TRACKER'!$C$3:$C$1275,$A7,'[PBMM_Master_Tracker_v2.xlsx]TRACKER'!$D$3:$D$1275,"MP",'[PBMM_Master_Tracker_v2.xlsx]TRACKER'!$G$3:$G$1275,"Passed")+COUNTIFS('[PBMM_Master_Tracker_v2.xlsx]TRACKER'!$C$3:$C$1275,$A7,'[PBMM_Master_Tracker_v2.xlsx]TRACKER'!$D$3:$D$1275,"MP",'[PBMM_Master_Tracker_v2.xlsx]TRACKER'!$G$3:$G$1275,"Accepted Exception"))/COUNTIFS('[PBMM_Master_Tracker_v2.xlsx]TRACKER'!$C$3:$C$1275,$A7,'[PBMM_Master_Tracker_v2.xlsx]TRACKER'!$D$3:$D$1275,"MP"),"")</f>
        <v/>
      </c>
      <c r="L7" s="24">
        <f>IFERROR(1-(COUNTIFS('[PBMM_Master_Tracker_v2.xlsx]TRACKER'!$C$3:$C$1275,$A7,'[PBMM_Master_Tracker_v2.xlsx]TRACKER'!$D$3:$D$1275,"PE",'[PBMM_Master_Tracker_v2.xlsx]TRACKER'!$G$3:$G$1275,"Passed")+COUNTIFS('[PBMM_Master_Tracker_v2.xlsx]TRACKER'!$C$3:$C$1275,$A7,'[PBMM_Master_Tracker_v2.xlsx]TRACKER'!$D$3:$D$1275,"PE",'[PBMM_Master_Tracker_v2.xlsx]TRACKER'!$G$3:$G$1275,"Accepted Exception"))/COUNTIFS('[PBMM_Master_Tracker_v2.xlsx]TRACKER'!$C$3:$C$1275,$A7,'[PBMM_Master_Tracker_v2.xlsx]TRACKER'!$D$3:$D$1275,"PE"),"")</f>
        <v/>
      </c>
      <c r="M7" s="24">
        <f>IFERROR(1-(COUNTIFS('[PBMM_Master_Tracker_v2.xlsx]TRACKER'!$C$3:$C$1275,$A7,'[PBMM_Master_Tracker_v2.xlsx]TRACKER'!$D$3:$D$1275,"PL",'[PBMM_Master_Tracker_v2.xlsx]TRACKER'!$G$3:$G$1275,"Passed")+COUNTIFS('[PBMM_Master_Tracker_v2.xlsx]TRACKER'!$C$3:$C$1275,$A7,'[PBMM_Master_Tracker_v2.xlsx]TRACKER'!$D$3:$D$1275,"PL",'[PBMM_Master_Tracker_v2.xlsx]TRACKER'!$G$3:$G$1275,"Accepted Exception"))/COUNTIFS('[PBMM_Master_Tracker_v2.xlsx]TRACKER'!$C$3:$C$1275,$A7,'[PBMM_Master_Tracker_v2.xlsx]TRACKER'!$D$3:$D$1275,"PL"),"")</f>
        <v/>
      </c>
      <c r="N7" s="24">
        <f>IFERROR(1-(COUNTIFS('[PBMM_Master_Tracker_v2.xlsx]TRACKER'!$C$3:$C$1275,$A7,'[PBMM_Master_Tracker_v2.xlsx]TRACKER'!$D$3:$D$1275,"PS",'[PBMM_Master_Tracker_v2.xlsx]TRACKER'!$G$3:$G$1275,"Passed")+COUNTIFS('[PBMM_Master_Tracker_v2.xlsx]TRACKER'!$C$3:$C$1275,$A7,'[PBMM_Master_Tracker_v2.xlsx]TRACKER'!$D$3:$D$1275,"PS",'[PBMM_Master_Tracker_v2.xlsx]TRACKER'!$G$3:$G$1275,"Accepted Exception"))/COUNTIFS('[PBMM_Master_Tracker_v2.xlsx]TRACKER'!$C$3:$C$1275,$A7,'[PBMM_Master_Tracker_v2.xlsx]TRACKER'!$D$3:$D$1275,"PS"),"")</f>
        <v/>
      </c>
      <c r="O7" s="24">
        <f>IFERROR(1-(COUNTIFS('[PBMM_Master_Tracker_v2.xlsx]TRACKER'!$C$3:$C$1275,$A7,'[PBMM_Master_Tracker_v2.xlsx]TRACKER'!$D$3:$D$1275,"RA",'[PBMM_Master_Tracker_v2.xlsx]TRACKER'!$G$3:$G$1275,"Passed")+COUNTIFS('[PBMM_Master_Tracker_v2.xlsx]TRACKER'!$C$3:$C$1275,$A7,'[PBMM_Master_Tracker_v2.xlsx]TRACKER'!$D$3:$D$1275,"RA",'[PBMM_Master_Tracker_v2.xlsx]TRACKER'!$G$3:$G$1275,"Accepted Exception"))/COUNTIFS('[PBMM_Master_Tracker_v2.xlsx]TRACKER'!$C$3:$C$1275,$A7,'[PBMM_Master_Tracker_v2.xlsx]TRACKER'!$D$3:$D$1275,"RA"),"")</f>
        <v/>
      </c>
      <c r="P7" s="24">
        <f>IFERROR(1-(COUNTIFS('[PBMM_Master_Tracker_v2.xlsx]TRACKER'!$C$3:$C$1275,$A7,'[PBMM_Master_Tracker_v2.xlsx]TRACKER'!$D$3:$D$1275,"SA",'[PBMM_Master_Tracker_v2.xlsx]TRACKER'!$G$3:$G$1275,"Passed")+COUNTIFS('[PBMM_Master_Tracker_v2.xlsx]TRACKER'!$C$3:$C$1275,$A7,'[PBMM_Master_Tracker_v2.xlsx]TRACKER'!$D$3:$D$1275,"SA",'[PBMM_Master_Tracker_v2.xlsx]TRACKER'!$G$3:$G$1275,"Accepted Exception"))/COUNTIFS('[PBMM_Master_Tracker_v2.xlsx]TRACKER'!$C$3:$C$1275,$A7,'[PBMM_Master_Tracker_v2.xlsx]TRACKER'!$D$3:$D$1275,"SA"),"")</f>
        <v/>
      </c>
      <c r="Q7" s="24">
        <f>IFERROR(1-(COUNTIFS('[PBMM_Master_Tracker_v2.xlsx]TRACKER'!$C$3:$C$1275,$A7,'[PBMM_Master_Tracker_v2.xlsx]TRACKER'!$D$3:$D$1275,"SC",'[PBMM_Master_Tracker_v2.xlsx]TRACKER'!$G$3:$G$1275,"Passed")+COUNTIFS('[PBMM_Master_Tracker_v2.xlsx]TRACKER'!$C$3:$C$1275,$A7,'[PBMM_Master_Tracker_v2.xlsx]TRACKER'!$D$3:$D$1275,"SC",'[PBMM_Master_Tracker_v2.xlsx]TRACKER'!$G$3:$G$1275,"Accepted Exception"))/COUNTIFS('[PBMM_Master_Tracker_v2.xlsx]TRACKER'!$C$3:$C$1275,$A7,'[PBMM_Master_Tracker_v2.xlsx]TRACKER'!$D$3:$D$1275,"SC"),"")</f>
        <v/>
      </c>
      <c r="R7" s="24">
        <f>IFERROR(1-(COUNTIFS('[PBMM_Master_Tracker_v2.xlsx]TRACKER'!$C$3:$C$1275,$A7,'[PBMM_Master_Tracker_v2.xlsx]TRACKER'!$D$3:$D$1275,"SI",'[PBMM_Master_Tracker_v2.xlsx]TRACKER'!$G$3:$G$1275,"Passed")+COUNTIFS('[PBMM_Master_Tracker_v2.xlsx]TRACKER'!$C$3:$C$1275,$A7,'[PBMM_Master_Tracker_v2.xlsx]TRACKER'!$D$3:$D$1275,"SI",'[PBMM_Master_Tracker_v2.xlsx]TRACKER'!$G$3:$G$1275,"Accepted Exception"))/COUNTIFS('[PBMM_Master_Tracker_v2.xlsx]TRACKER'!$C$3:$C$1275,$A7,'[PBMM_Master_Tracker_v2.xlsx]TRACKER'!$D$3:$D$1275,"SI"),"")</f>
        <v/>
      </c>
    </row>
    <row r="8" ht="20" customHeight="1">
      <c r="A8" s="25" t="inlineStr">
        <is>
          <t>DevOps</t>
        </is>
      </c>
      <c r="B8" s="26">
        <f>IFERROR(1-(COUNTIFS('[PBMM_Master_Tracker_v2.xlsx]TRACKER'!$C$3:$C$1275,$A8,'[PBMM_Master_Tracker_v2.xlsx]TRACKER'!$D$3:$D$1275,"AC",'[PBMM_Master_Tracker_v2.xlsx]TRACKER'!$G$3:$G$1275,"Passed")+COUNTIFS('[PBMM_Master_Tracker_v2.xlsx]TRACKER'!$C$3:$C$1275,$A8,'[PBMM_Master_Tracker_v2.xlsx]TRACKER'!$D$3:$D$1275,"AC",'[PBMM_Master_Tracker_v2.xlsx]TRACKER'!$G$3:$G$1275,"Accepted Exception"))/COUNTIFS('[PBMM_Master_Tracker_v2.xlsx]TRACKER'!$C$3:$C$1275,$A8,'[PBMM_Master_Tracker_v2.xlsx]TRACKER'!$D$3:$D$1275,"AC"),"")</f>
        <v/>
      </c>
      <c r="C8" s="26">
        <f>IFERROR(1-(COUNTIFS('[PBMM_Master_Tracker_v2.xlsx]TRACKER'!$C$3:$C$1275,$A8,'[PBMM_Master_Tracker_v2.xlsx]TRACKER'!$D$3:$D$1275,"AT",'[PBMM_Master_Tracker_v2.xlsx]TRACKER'!$G$3:$G$1275,"Passed")+COUNTIFS('[PBMM_Master_Tracker_v2.xlsx]TRACKER'!$C$3:$C$1275,$A8,'[PBMM_Master_Tracker_v2.xlsx]TRACKER'!$D$3:$D$1275,"AT",'[PBMM_Master_Tracker_v2.xlsx]TRACKER'!$G$3:$G$1275,"Accepted Exception"))/COUNTIFS('[PBMM_Master_Tracker_v2.xlsx]TRACKER'!$C$3:$C$1275,$A8,'[PBMM_Master_Tracker_v2.xlsx]TRACKER'!$D$3:$D$1275,"AT"),"")</f>
        <v/>
      </c>
      <c r="D8" s="26">
        <f>IFERROR(1-(COUNTIFS('[PBMM_Master_Tracker_v2.xlsx]TRACKER'!$C$3:$C$1275,$A8,'[PBMM_Master_Tracker_v2.xlsx]TRACKER'!$D$3:$D$1275,"AU",'[PBMM_Master_Tracker_v2.xlsx]TRACKER'!$G$3:$G$1275,"Passed")+COUNTIFS('[PBMM_Master_Tracker_v2.xlsx]TRACKER'!$C$3:$C$1275,$A8,'[PBMM_Master_Tracker_v2.xlsx]TRACKER'!$D$3:$D$1275,"AU",'[PBMM_Master_Tracker_v2.xlsx]TRACKER'!$G$3:$G$1275,"Accepted Exception"))/COUNTIFS('[PBMM_Master_Tracker_v2.xlsx]TRACKER'!$C$3:$C$1275,$A8,'[PBMM_Master_Tracker_v2.xlsx]TRACKER'!$D$3:$D$1275,"AU"),"")</f>
        <v/>
      </c>
      <c r="E8" s="26">
        <f>IFERROR(1-(COUNTIFS('[PBMM_Master_Tracker_v2.xlsx]TRACKER'!$C$3:$C$1275,$A8,'[PBMM_Master_Tracker_v2.xlsx]TRACKER'!$D$3:$D$1275,"CA",'[PBMM_Master_Tracker_v2.xlsx]TRACKER'!$G$3:$G$1275,"Passed")+COUNTIFS('[PBMM_Master_Tracker_v2.xlsx]TRACKER'!$C$3:$C$1275,$A8,'[PBMM_Master_Tracker_v2.xlsx]TRACKER'!$D$3:$D$1275,"CA",'[PBMM_Master_Tracker_v2.xlsx]TRACKER'!$G$3:$G$1275,"Accepted Exception"))/COUNTIFS('[PBMM_Master_Tracker_v2.xlsx]TRACKER'!$C$3:$C$1275,$A8,'[PBMM_Master_Tracker_v2.xlsx]TRACKER'!$D$3:$D$1275,"CA"),"")</f>
        <v/>
      </c>
      <c r="F8" s="26">
        <f>IFERROR(1-(COUNTIFS('[PBMM_Master_Tracker_v2.xlsx]TRACKER'!$C$3:$C$1275,$A8,'[PBMM_Master_Tracker_v2.xlsx]TRACKER'!$D$3:$D$1275,"CM",'[PBMM_Master_Tracker_v2.xlsx]TRACKER'!$G$3:$G$1275,"Passed")+COUNTIFS('[PBMM_Master_Tracker_v2.xlsx]TRACKER'!$C$3:$C$1275,$A8,'[PBMM_Master_Tracker_v2.xlsx]TRACKER'!$D$3:$D$1275,"CM",'[PBMM_Master_Tracker_v2.xlsx]TRACKER'!$G$3:$G$1275,"Accepted Exception"))/COUNTIFS('[PBMM_Master_Tracker_v2.xlsx]TRACKER'!$C$3:$C$1275,$A8,'[PBMM_Master_Tracker_v2.xlsx]TRACKER'!$D$3:$D$1275,"CM"),"")</f>
        <v/>
      </c>
      <c r="G8" s="26">
        <f>IFERROR(1-(COUNTIFS('[PBMM_Master_Tracker_v2.xlsx]TRACKER'!$C$3:$C$1275,$A8,'[PBMM_Master_Tracker_v2.xlsx]TRACKER'!$D$3:$D$1275,"CP",'[PBMM_Master_Tracker_v2.xlsx]TRACKER'!$G$3:$G$1275,"Passed")+COUNTIFS('[PBMM_Master_Tracker_v2.xlsx]TRACKER'!$C$3:$C$1275,$A8,'[PBMM_Master_Tracker_v2.xlsx]TRACKER'!$D$3:$D$1275,"CP",'[PBMM_Master_Tracker_v2.xlsx]TRACKER'!$G$3:$G$1275,"Accepted Exception"))/COUNTIFS('[PBMM_Master_Tracker_v2.xlsx]TRACKER'!$C$3:$C$1275,$A8,'[PBMM_Master_Tracker_v2.xlsx]TRACKER'!$D$3:$D$1275,"CP"),"")</f>
        <v/>
      </c>
      <c r="H8" s="26">
        <f>IFERROR(1-(COUNTIFS('[PBMM_Master_Tracker_v2.xlsx]TRACKER'!$C$3:$C$1275,$A8,'[PBMM_Master_Tracker_v2.xlsx]TRACKER'!$D$3:$D$1275,"IA",'[PBMM_Master_Tracker_v2.xlsx]TRACKER'!$G$3:$G$1275,"Passed")+COUNTIFS('[PBMM_Master_Tracker_v2.xlsx]TRACKER'!$C$3:$C$1275,$A8,'[PBMM_Master_Tracker_v2.xlsx]TRACKER'!$D$3:$D$1275,"IA",'[PBMM_Master_Tracker_v2.xlsx]TRACKER'!$G$3:$G$1275,"Accepted Exception"))/COUNTIFS('[PBMM_Master_Tracker_v2.xlsx]TRACKER'!$C$3:$C$1275,$A8,'[PBMM_Master_Tracker_v2.xlsx]TRACKER'!$D$3:$D$1275,"IA"),"")</f>
        <v/>
      </c>
      <c r="I8" s="26">
        <f>IFERROR(1-(COUNTIFS('[PBMM_Master_Tracker_v2.xlsx]TRACKER'!$C$3:$C$1275,$A8,'[PBMM_Master_Tracker_v2.xlsx]TRACKER'!$D$3:$D$1275,"IR",'[PBMM_Master_Tracker_v2.xlsx]TRACKER'!$G$3:$G$1275,"Passed")+COUNTIFS('[PBMM_Master_Tracker_v2.xlsx]TRACKER'!$C$3:$C$1275,$A8,'[PBMM_Master_Tracker_v2.xlsx]TRACKER'!$D$3:$D$1275,"IR",'[PBMM_Master_Tracker_v2.xlsx]TRACKER'!$G$3:$G$1275,"Accepted Exception"))/COUNTIFS('[PBMM_Master_Tracker_v2.xlsx]TRACKER'!$C$3:$C$1275,$A8,'[PBMM_Master_Tracker_v2.xlsx]TRACKER'!$D$3:$D$1275,"IR"),"")</f>
        <v/>
      </c>
      <c r="J8" s="26">
        <f>IFERROR(1-(COUNTIFS('[PBMM_Master_Tracker_v2.xlsx]TRACKER'!$C$3:$C$1275,$A8,'[PBMM_Master_Tracker_v2.xlsx]TRACKER'!$D$3:$D$1275,"MA",'[PBMM_Master_Tracker_v2.xlsx]TRACKER'!$G$3:$G$1275,"Passed")+COUNTIFS('[PBMM_Master_Tracker_v2.xlsx]TRACKER'!$C$3:$C$1275,$A8,'[PBMM_Master_Tracker_v2.xlsx]TRACKER'!$D$3:$D$1275,"MA",'[PBMM_Master_Tracker_v2.xlsx]TRACKER'!$G$3:$G$1275,"Accepted Exception"))/COUNTIFS('[PBMM_Master_Tracker_v2.xlsx]TRACKER'!$C$3:$C$1275,$A8,'[PBMM_Master_Tracker_v2.xlsx]TRACKER'!$D$3:$D$1275,"MA"),"")</f>
        <v/>
      </c>
      <c r="K8" s="26">
        <f>IFERROR(1-(COUNTIFS('[PBMM_Master_Tracker_v2.xlsx]TRACKER'!$C$3:$C$1275,$A8,'[PBMM_Master_Tracker_v2.xlsx]TRACKER'!$D$3:$D$1275,"MP",'[PBMM_Master_Tracker_v2.xlsx]TRACKER'!$G$3:$G$1275,"Passed")+COUNTIFS('[PBMM_Master_Tracker_v2.xlsx]TRACKER'!$C$3:$C$1275,$A8,'[PBMM_Master_Tracker_v2.xlsx]TRACKER'!$D$3:$D$1275,"MP",'[PBMM_Master_Tracker_v2.xlsx]TRACKER'!$G$3:$G$1275,"Accepted Exception"))/COUNTIFS('[PBMM_Master_Tracker_v2.xlsx]TRACKER'!$C$3:$C$1275,$A8,'[PBMM_Master_Tracker_v2.xlsx]TRACKER'!$D$3:$D$1275,"MP"),"")</f>
        <v/>
      </c>
      <c r="L8" s="26">
        <f>IFERROR(1-(COUNTIFS('[PBMM_Master_Tracker_v2.xlsx]TRACKER'!$C$3:$C$1275,$A8,'[PBMM_Master_Tracker_v2.xlsx]TRACKER'!$D$3:$D$1275,"PE",'[PBMM_Master_Tracker_v2.xlsx]TRACKER'!$G$3:$G$1275,"Passed")+COUNTIFS('[PBMM_Master_Tracker_v2.xlsx]TRACKER'!$C$3:$C$1275,$A8,'[PBMM_Master_Tracker_v2.xlsx]TRACKER'!$D$3:$D$1275,"PE",'[PBMM_Master_Tracker_v2.xlsx]TRACKER'!$G$3:$G$1275,"Accepted Exception"))/COUNTIFS('[PBMM_Master_Tracker_v2.xlsx]TRACKER'!$C$3:$C$1275,$A8,'[PBMM_Master_Tracker_v2.xlsx]TRACKER'!$D$3:$D$1275,"PE"),"")</f>
        <v/>
      </c>
      <c r="M8" s="26">
        <f>IFERROR(1-(COUNTIFS('[PBMM_Master_Tracker_v2.xlsx]TRACKER'!$C$3:$C$1275,$A8,'[PBMM_Master_Tracker_v2.xlsx]TRACKER'!$D$3:$D$1275,"PL",'[PBMM_Master_Tracker_v2.xlsx]TRACKER'!$G$3:$G$1275,"Passed")+COUNTIFS('[PBMM_Master_Tracker_v2.xlsx]TRACKER'!$C$3:$C$1275,$A8,'[PBMM_Master_Tracker_v2.xlsx]TRACKER'!$D$3:$D$1275,"PL",'[PBMM_Master_Tracker_v2.xlsx]TRACKER'!$G$3:$G$1275,"Accepted Exception"))/COUNTIFS('[PBMM_Master_Tracker_v2.xlsx]TRACKER'!$C$3:$C$1275,$A8,'[PBMM_Master_Tracker_v2.xlsx]TRACKER'!$D$3:$D$1275,"PL"),"")</f>
        <v/>
      </c>
      <c r="N8" s="26">
        <f>IFERROR(1-(COUNTIFS('[PBMM_Master_Tracker_v2.xlsx]TRACKER'!$C$3:$C$1275,$A8,'[PBMM_Master_Tracker_v2.xlsx]TRACKER'!$D$3:$D$1275,"PS",'[PBMM_Master_Tracker_v2.xlsx]TRACKER'!$G$3:$G$1275,"Passed")+COUNTIFS('[PBMM_Master_Tracker_v2.xlsx]TRACKER'!$C$3:$C$1275,$A8,'[PBMM_Master_Tracker_v2.xlsx]TRACKER'!$D$3:$D$1275,"PS",'[PBMM_Master_Tracker_v2.xlsx]TRACKER'!$G$3:$G$1275,"Accepted Exception"))/COUNTIFS('[PBMM_Master_Tracker_v2.xlsx]TRACKER'!$C$3:$C$1275,$A8,'[PBMM_Master_Tracker_v2.xlsx]TRACKER'!$D$3:$D$1275,"PS"),"")</f>
        <v/>
      </c>
      <c r="O8" s="26">
        <f>IFERROR(1-(COUNTIFS('[PBMM_Master_Tracker_v2.xlsx]TRACKER'!$C$3:$C$1275,$A8,'[PBMM_Master_Tracker_v2.xlsx]TRACKER'!$D$3:$D$1275,"RA",'[PBMM_Master_Tracker_v2.xlsx]TRACKER'!$G$3:$G$1275,"Passed")+COUNTIFS('[PBMM_Master_Tracker_v2.xlsx]TRACKER'!$C$3:$C$1275,$A8,'[PBMM_Master_Tracker_v2.xlsx]TRACKER'!$D$3:$D$1275,"RA",'[PBMM_Master_Tracker_v2.xlsx]TRACKER'!$G$3:$G$1275,"Accepted Exception"))/COUNTIFS('[PBMM_Master_Tracker_v2.xlsx]TRACKER'!$C$3:$C$1275,$A8,'[PBMM_Master_Tracker_v2.xlsx]TRACKER'!$D$3:$D$1275,"RA"),"")</f>
        <v/>
      </c>
      <c r="P8" s="26">
        <f>IFERROR(1-(COUNTIFS('[PBMM_Master_Tracker_v2.xlsx]TRACKER'!$C$3:$C$1275,$A8,'[PBMM_Master_Tracker_v2.xlsx]TRACKER'!$D$3:$D$1275,"SA",'[PBMM_Master_Tracker_v2.xlsx]TRACKER'!$G$3:$G$1275,"Passed")+COUNTIFS('[PBMM_Master_Tracker_v2.xlsx]TRACKER'!$C$3:$C$1275,$A8,'[PBMM_Master_Tracker_v2.xlsx]TRACKER'!$D$3:$D$1275,"SA",'[PBMM_Master_Tracker_v2.xlsx]TRACKER'!$G$3:$G$1275,"Accepted Exception"))/COUNTIFS('[PBMM_Master_Tracker_v2.xlsx]TRACKER'!$C$3:$C$1275,$A8,'[PBMM_Master_Tracker_v2.xlsx]TRACKER'!$D$3:$D$1275,"SA"),"")</f>
        <v/>
      </c>
      <c r="Q8" s="26">
        <f>IFERROR(1-(COUNTIFS('[PBMM_Master_Tracker_v2.xlsx]TRACKER'!$C$3:$C$1275,$A8,'[PBMM_Master_Tracker_v2.xlsx]TRACKER'!$D$3:$D$1275,"SC",'[PBMM_Master_Tracker_v2.xlsx]TRACKER'!$G$3:$G$1275,"Passed")+COUNTIFS('[PBMM_Master_Tracker_v2.xlsx]TRACKER'!$C$3:$C$1275,$A8,'[PBMM_Master_Tracker_v2.xlsx]TRACKER'!$D$3:$D$1275,"SC",'[PBMM_Master_Tracker_v2.xlsx]TRACKER'!$G$3:$G$1275,"Accepted Exception"))/COUNTIFS('[PBMM_Master_Tracker_v2.xlsx]TRACKER'!$C$3:$C$1275,$A8,'[PBMM_Master_Tracker_v2.xlsx]TRACKER'!$D$3:$D$1275,"SC"),"")</f>
        <v/>
      </c>
      <c r="R8" s="26">
        <f>IFERROR(1-(COUNTIFS('[PBMM_Master_Tracker_v2.xlsx]TRACKER'!$C$3:$C$1275,$A8,'[PBMM_Master_Tracker_v2.xlsx]TRACKER'!$D$3:$D$1275,"SI",'[PBMM_Master_Tracker_v2.xlsx]TRACKER'!$G$3:$G$1275,"Passed")+COUNTIFS('[PBMM_Master_Tracker_v2.xlsx]TRACKER'!$C$3:$C$1275,$A8,'[PBMM_Master_Tracker_v2.xlsx]TRACKER'!$D$3:$D$1275,"SI",'[PBMM_Master_Tracker_v2.xlsx]TRACKER'!$G$3:$G$1275,"Accepted Exception"))/COUNTIFS('[PBMM_Master_Tracker_v2.xlsx]TRACKER'!$C$3:$C$1275,$A8,'[PBMM_Master_Tracker_v2.xlsx]TRACKER'!$D$3:$D$1275,"SI"),"")</f>
        <v/>
      </c>
    </row>
    <row r="9" ht="20" customHeight="1">
      <c r="A9" s="23" t="inlineStr">
        <is>
          <t>Documentation</t>
        </is>
      </c>
      <c r="B9" s="24">
        <f>IFERROR(1-(COUNTIFS('[PBMM_Master_Tracker_v2.xlsx]TRACKER'!$C$3:$C$1275,$A9,'[PBMM_Master_Tracker_v2.xlsx]TRACKER'!$D$3:$D$1275,"AC",'[PBMM_Master_Tracker_v2.xlsx]TRACKER'!$G$3:$G$1275,"Passed")+COUNTIFS('[PBMM_Master_Tracker_v2.xlsx]TRACKER'!$C$3:$C$1275,$A9,'[PBMM_Master_Tracker_v2.xlsx]TRACKER'!$D$3:$D$1275,"AC",'[PBMM_Master_Tracker_v2.xlsx]TRACKER'!$G$3:$G$1275,"Accepted Exception"))/COUNTIFS('[PBMM_Master_Tracker_v2.xlsx]TRACKER'!$C$3:$C$1275,$A9,'[PBMM_Master_Tracker_v2.xlsx]TRACKER'!$D$3:$D$1275,"AC"),"")</f>
        <v/>
      </c>
      <c r="C9" s="24">
        <f>IFERROR(1-(COUNTIFS('[PBMM_Master_Tracker_v2.xlsx]TRACKER'!$C$3:$C$1275,$A9,'[PBMM_Master_Tracker_v2.xlsx]TRACKER'!$D$3:$D$1275,"AT",'[PBMM_Master_Tracker_v2.xlsx]TRACKER'!$G$3:$G$1275,"Passed")+COUNTIFS('[PBMM_Master_Tracker_v2.xlsx]TRACKER'!$C$3:$C$1275,$A9,'[PBMM_Master_Tracker_v2.xlsx]TRACKER'!$D$3:$D$1275,"AT",'[PBMM_Master_Tracker_v2.xlsx]TRACKER'!$G$3:$G$1275,"Accepted Exception"))/COUNTIFS('[PBMM_Master_Tracker_v2.xlsx]TRACKER'!$C$3:$C$1275,$A9,'[PBMM_Master_Tracker_v2.xlsx]TRACKER'!$D$3:$D$1275,"AT"),"")</f>
        <v/>
      </c>
      <c r="D9" s="24">
        <f>IFERROR(1-(COUNTIFS('[PBMM_Master_Tracker_v2.xlsx]TRACKER'!$C$3:$C$1275,$A9,'[PBMM_Master_Tracker_v2.xlsx]TRACKER'!$D$3:$D$1275,"AU",'[PBMM_Master_Tracker_v2.xlsx]TRACKER'!$G$3:$G$1275,"Passed")+COUNTIFS('[PBMM_Master_Tracker_v2.xlsx]TRACKER'!$C$3:$C$1275,$A9,'[PBMM_Master_Tracker_v2.xlsx]TRACKER'!$D$3:$D$1275,"AU",'[PBMM_Master_Tracker_v2.xlsx]TRACKER'!$G$3:$G$1275,"Accepted Exception"))/COUNTIFS('[PBMM_Master_Tracker_v2.xlsx]TRACKER'!$C$3:$C$1275,$A9,'[PBMM_Master_Tracker_v2.xlsx]TRACKER'!$D$3:$D$1275,"AU"),"")</f>
        <v/>
      </c>
      <c r="E9" s="24">
        <f>IFERROR(1-(COUNTIFS('[PBMM_Master_Tracker_v2.xlsx]TRACKER'!$C$3:$C$1275,$A9,'[PBMM_Master_Tracker_v2.xlsx]TRACKER'!$D$3:$D$1275,"CA",'[PBMM_Master_Tracker_v2.xlsx]TRACKER'!$G$3:$G$1275,"Passed")+COUNTIFS('[PBMM_Master_Tracker_v2.xlsx]TRACKER'!$C$3:$C$1275,$A9,'[PBMM_Master_Tracker_v2.xlsx]TRACKER'!$D$3:$D$1275,"CA",'[PBMM_Master_Tracker_v2.xlsx]TRACKER'!$G$3:$G$1275,"Accepted Exception"))/COUNTIFS('[PBMM_Master_Tracker_v2.xlsx]TRACKER'!$C$3:$C$1275,$A9,'[PBMM_Master_Tracker_v2.xlsx]TRACKER'!$D$3:$D$1275,"CA"),"")</f>
        <v/>
      </c>
      <c r="F9" s="24">
        <f>IFERROR(1-(COUNTIFS('[PBMM_Master_Tracker_v2.xlsx]TRACKER'!$C$3:$C$1275,$A9,'[PBMM_Master_Tracker_v2.xlsx]TRACKER'!$D$3:$D$1275,"CM",'[PBMM_Master_Tracker_v2.xlsx]TRACKER'!$G$3:$G$1275,"Passed")+COUNTIFS('[PBMM_Master_Tracker_v2.xlsx]TRACKER'!$C$3:$C$1275,$A9,'[PBMM_Master_Tracker_v2.xlsx]TRACKER'!$D$3:$D$1275,"CM",'[PBMM_Master_Tracker_v2.xlsx]TRACKER'!$G$3:$G$1275,"Accepted Exception"))/COUNTIFS('[PBMM_Master_Tracker_v2.xlsx]TRACKER'!$C$3:$C$1275,$A9,'[PBMM_Master_Tracker_v2.xlsx]TRACKER'!$D$3:$D$1275,"CM"),"")</f>
        <v/>
      </c>
      <c r="G9" s="24">
        <f>IFERROR(1-(COUNTIFS('[PBMM_Master_Tracker_v2.xlsx]TRACKER'!$C$3:$C$1275,$A9,'[PBMM_Master_Tracker_v2.xlsx]TRACKER'!$D$3:$D$1275,"CP",'[PBMM_Master_Tracker_v2.xlsx]TRACKER'!$G$3:$G$1275,"Passed")+COUNTIFS('[PBMM_Master_Tracker_v2.xlsx]TRACKER'!$C$3:$C$1275,$A9,'[PBMM_Master_Tracker_v2.xlsx]TRACKER'!$D$3:$D$1275,"CP",'[PBMM_Master_Tracker_v2.xlsx]TRACKER'!$G$3:$G$1275,"Accepted Exception"))/COUNTIFS('[PBMM_Master_Tracker_v2.xlsx]TRACKER'!$C$3:$C$1275,$A9,'[PBMM_Master_Tracker_v2.xlsx]TRACKER'!$D$3:$D$1275,"CP"),"")</f>
        <v/>
      </c>
      <c r="H9" s="24">
        <f>IFERROR(1-(COUNTIFS('[PBMM_Master_Tracker_v2.xlsx]TRACKER'!$C$3:$C$1275,$A9,'[PBMM_Master_Tracker_v2.xlsx]TRACKER'!$D$3:$D$1275,"IA",'[PBMM_Master_Tracker_v2.xlsx]TRACKER'!$G$3:$G$1275,"Passed")+COUNTIFS('[PBMM_Master_Tracker_v2.xlsx]TRACKER'!$C$3:$C$1275,$A9,'[PBMM_Master_Tracker_v2.xlsx]TRACKER'!$D$3:$D$1275,"IA",'[PBMM_Master_Tracker_v2.xlsx]TRACKER'!$G$3:$G$1275,"Accepted Exception"))/COUNTIFS('[PBMM_Master_Tracker_v2.xlsx]TRACKER'!$C$3:$C$1275,$A9,'[PBMM_Master_Tracker_v2.xlsx]TRACKER'!$D$3:$D$1275,"IA"),"")</f>
        <v/>
      </c>
      <c r="I9" s="24">
        <f>IFERROR(1-(COUNTIFS('[PBMM_Master_Tracker_v2.xlsx]TRACKER'!$C$3:$C$1275,$A9,'[PBMM_Master_Tracker_v2.xlsx]TRACKER'!$D$3:$D$1275,"IR",'[PBMM_Master_Tracker_v2.xlsx]TRACKER'!$G$3:$G$1275,"Passed")+COUNTIFS('[PBMM_Master_Tracker_v2.xlsx]TRACKER'!$C$3:$C$1275,$A9,'[PBMM_Master_Tracker_v2.xlsx]TRACKER'!$D$3:$D$1275,"IR",'[PBMM_Master_Tracker_v2.xlsx]TRACKER'!$G$3:$G$1275,"Accepted Exception"))/COUNTIFS('[PBMM_Master_Tracker_v2.xlsx]TRACKER'!$C$3:$C$1275,$A9,'[PBMM_Master_Tracker_v2.xlsx]TRACKER'!$D$3:$D$1275,"IR"),"")</f>
        <v/>
      </c>
      <c r="J9" s="24">
        <f>IFERROR(1-(COUNTIFS('[PBMM_Master_Tracker_v2.xlsx]TRACKER'!$C$3:$C$1275,$A9,'[PBMM_Master_Tracker_v2.xlsx]TRACKER'!$D$3:$D$1275,"MA",'[PBMM_Master_Tracker_v2.xlsx]TRACKER'!$G$3:$G$1275,"Passed")+COUNTIFS('[PBMM_Master_Tracker_v2.xlsx]TRACKER'!$C$3:$C$1275,$A9,'[PBMM_Master_Tracker_v2.xlsx]TRACKER'!$D$3:$D$1275,"MA",'[PBMM_Master_Tracker_v2.xlsx]TRACKER'!$G$3:$G$1275,"Accepted Exception"))/COUNTIFS('[PBMM_Master_Tracker_v2.xlsx]TRACKER'!$C$3:$C$1275,$A9,'[PBMM_Master_Tracker_v2.xlsx]TRACKER'!$D$3:$D$1275,"MA"),"")</f>
        <v/>
      </c>
      <c r="K9" s="24">
        <f>IFERROR(1-(COUNTIFS('[PBMM_Master_Tracker_v2.xlsx]TRACKER'!$C$3:$C$1275,$A9,'[PBMM_Master_Tracker_v2.xlsx]TRACKER'!$D$3:$D$1275,"MP",'[PBMM_Master_Tracker_v2.xlsx]TRACKER'!$G$3:$G$1275,"Passed")+COUNTIFS('[PBMM_Master_Tracker_v2.xlsx]TRACKER'!$C$3:$C$1275,$A9,'[PBMM_Master_Tracker_v2.xlsx]TRACKER'!$D$3:$D$1275,"MP",'[PBMM_Master_Tracker_v2.xlsx]TRACKER'!$G$3:$G$1275,"Accepted Exception"))/COUNTIFS('[PBMM_Master_Tracker_v2.xlsx]TRACKER'!$C$3:$C$1275,$A9,'[PBMM_Master_Tracker_v2.xlsx]TRACKER'!$D$3:$D$1275,"MP"),"")</f>
        <v/>
      </c>
      <c r="L9" s="24">
        <f>IFERROR(1-(COUNTIFS('[PBMM_Master_Tracker_v2.xlsx]TRACKER'!$C$3:$C$1275,$A9,'[PBMM_Master_Tracker_v2.xlsx]TRACKER'!$D$3:$D$1275,"PE",'[PBMM_Master_Tracker_v2.xlsx]TRACKER'!$G$3:$G$1275,"Passed")+COUNTIFS('[PBMM_Master_Tracker_v2.xlsx]TRACKER'!$C$3:$C$1275,$A9,'[PBMM_Master_Tracker_v2.xlsx]TRACKER'!$D$3:$D$1275,"PE",'[PBMM_Master_Tracker_v2.xlsx]TRACKER'!$G$3:$G$1275,"Accepted Exception"))/COUNTIFS('[PBMM_Master_Tracker_v2.xlsx]TRACKER'!$C$3:$C$1275,$A9,'[PBMM_Master_Tracker_v2.xlsx]TRACKER'!$D$3:$D$1275,"PE"),"")</f>
        <v/>
      </c>
      <c r="M9" s="24">
        <f>IFERROR(1-(COUNTIFS('[PBMM_Master_Tracker_v2.xlsx]TRACKER'!$C$3:$C$1275,$A9,'[PBMM_Master_Tracker_v2.xlsx]TRACKER'!$D$3:$D$1275,"PL",'[PBMM_Master_Tracker_v2.xlsx]TRACKER'!$G$3:$G$1275,"Passed")+COUNTIFS('[PBMM_Master_Tracker_v2.xlsx]TRACKER'!$C$3:$C$1275,$A9,'[PBMM_Master_Tracker_v2.xlsx]TRACKER'!$D$3:$D$1275,"PL",'[PBMM_Master_Tracker_v2.xlsx]TRACKER'!$G$3:$G$1275,"Accepted Exception"))/COUNTIFS('[PBMM_Master_Tracker_v2.xlsx]TRACKER'!$C$3:$C$1275,$A9,'[PBMM_Master_Tracker_v2.xlsx]TRACKER'!$D$3:$D$1275,"PL"),"")</f>
        <v/>
      </c>
      <c r="N9" s="24">
        <f>IFERROR(1-(COUNTIFS('[PBMM_Master_Tracker_v2.xlsx]TRACKER'!$C$3:$C$1275,$A9,'[PBMM_Master_Tracker_v2.xlsx]TRACKER'!$D$3:$D$1275,"PS",'[PBMM_Master_Tracker_v2.xlsx]TRACKER'!$G$3:$G$1275,"Passed")+COUNTIFS('[PBMM_Master_Tracker_v2.xlsx]TRACKER'!$C$3:$C$1275,$A9,'[PBMM_Master_Tracker_v2.xlsx]TRACKER'!$D$3:$D$1275,"PS",'[PBMM_Master_Tracker_v2.xlsx]TRACKER'!$G$3:$G$1275,"Accepted Exception"))/COUNTIFS('[PBMM_Master_Tracker_v2.xlsx]TRACKER'!$C$3:$C$1275,$A9,'[PBMM_Master_Tracker_v2.xlsx]TRACKER'!$D$3:$D$1275,"PS"),"")</f>
        <v/>
      </c>
      <c r="O9" s="24">
        <f>IFERROR(1-(COUNTIFS('[PBMM_Master_Tracker_v2.xlsx]TRACKER'!$C$3:$C$1275,$A9,'[PBMM_Master_Tracker_v2.xlsx]TRACKER'!$D$3:$D$1275,"RA",'[PBMM_Master_Tracker_v2.xlsx]TRACKER'!$G$3:$G$1275,"Passed")+COUNTIFS('[PBMM_Master_Tracker_v2.xlsx]TRACKER'!$C$3:$C$1275,$A9,'[PBMM_Master_Tracker_v2.xlsx]TRACKER'!$D$3:$D$1275,"RA",'[PBMM_Master_Tracker_v2.xlsx]TRACKER'!$G$3:$G$1275,"Accepted Exception"))/COUNTIFS('[PBMM_Master_Tracker_v2.xlsx]TRACKER'!$C$3:$C$1275,$A9,'[PBMM_Master_Tracker_v2.xlsx]TRACKER'!$D$3:$D$1275,"RA"),"")</f>
        <v/>
      </c>
      <c r="P9" s="24">
        <f>IFERROR(1-(COUNTIFS('[PBMM_Master_Tracker_v2.xlsx]TRACKER'!$C$3:$C$1275,$A9,'[PBMM_Master_Tracker_v2.xlsx]TRACKER'!$D$3:$D$1275,"SA",'[PBMM_Master_Tracker_v2.xlsx]TRACKER'!$G$3:$G$1275,"Passed")+COUNTIFS('[PBMM_Master_Tracker_v2.xlsx]TRACKER'!$C$3:$C$1275,$A9,'[PBMM_Master_Tracker_v2.xlsx]TRACKER'!$D$3:$D$1275,"SA",'[PBMM_Master_Tracker_v2.xlsx]TRACKER'!$G$3:$G$1275,"Accepted Exception"))/COUNTIFS('[PBMM_Master_Tracker_v2.xlsx]TRACKER'!$C$3:$C$1275,$A9,'[PBMM_Master_Tracker_v2.xlsx]TRACKER'!$D$3:$D$1275,"SA"),"")</f>
        <v/>
      </c>
      <c r="Q9" s="24">
        <f>IFERROR(1-(COUNTIFS('[PBMM_Master_Tracker_v2.xlsx]TRACKER'!$C$3:$C$1275,$A9,'[PBMM_Master_Tracker_v2.xlsx]TRACKER'!$D$3:$D$1275,"SC",'[PBMM_Master_Tracker_v2.xlsx]TRACKER'!$G$3:$G$1275,"Passed")+COUNTIFS('[PBMM_Master_Tracker_v2.xlsx]TRACKER'!$C$3:$C$1275,$A9,'[PBMM_Master_Tracker_v2.xlsx]TRACKER'!$D$3:$D$1275,"SC",'[PBMM_Master_Tracker_v2.xlsx]TRACKER'!$G$3:$G$1275,"Accepted Exception"))/COUNTIFS('[PBMM_Master_Tracker_v2.xlsx]TRACKER'!$C$3:$C$1275,$A9,'[PBMM_Master_Tracker_v2.xlsx]TRACKER'!$D$3:$D$1275,"SC"),"")</f>
        <v/>
      </c>
      <c r="R9" s="24">
        <f>IFERROR(1-(COUNTIFS('[PBMM_Master_Tracker_v2.xlsx]TRACKER'!$C$3:$C$1275,$A9,'[PBMM_Master_Tracker_v2.xlsx]TRACKER'!$D$3:$D$1275,"SI",'[PBMM_Master_Tracker_v2.xlsx]TRACKER'!$G$3:$G$1275,"Passed")+COUNTIFS('[PBMM_Master_Tracker_v2.xlsx]TRACKER'!$C$3:$C$1275,$A9,'[PBMM_Master_Tracker_v2.xlsx]TRACKER'!$D$3:$D$1275,"SI",'[PBMM_Master_Tracker_v2.xlsx]TRACKER'!$G$3:$G$1275,"Accepted Exception"))/COUNTIFS('[PBMM_Master_Tracker_v2.xlsx]TRACKER'!$C$3:$C$1275,$A9,'[PBMM_Master_Tracker_v2.xlsx]TRACKER'!$D$3:$D$1275,"SI"),"")</f>
        <v/>
      </c>
    </row>
    <row r="10" ht="20" customHeight="1">
      <c r="A10" s="25" t="inlineStr">
        <is>
          <t>Hybrid + Multicloud</t>
        </is>
      </c>
      <c r="B10" s="26">
        <f>IFERROR(1-(COUNTIFS('[PBMM_Master_Tracker_v2.xlsx]TRACKER'!$C$3:$C$1275,$A10,'[PBMM_Master_Tracker_v2.xlsx]TRACKER'!$D$3:$D$1275,"AC",'[PBMM_Master_Tracker_v2.xlsx]TRACKER'!$G$3:$G$1275,"Passed")+COUNTIFS('[PBMM_Master_Tracker_v2.xlsx]TRACKER'!$C$3:$C$1275,$A10,'[PBMM_Master_Tracker_v2.xlsx]TRACKER'!$D$3:$D$1275,"AC",'[PBMM_Master_Tracker_v2.xlsx]TRACKER'!$G$3:$G$1275,"Accepted Exception"))/COUNTIFS('[PBMM_Master_Tracker_v2.xlsx]TRACKER'!$C$3:$C$1275,$A10,'[PBMM_Master_Tracker_v2.xlsx]TRACKER'!$D$3:$D$1275,"AC"),"")</f>
        <v/>
      </c>
      <c r="C10" s="26">
        <f>IFERROR(1-(COUNTIFS('[PBMM_Master_Tracker_v2.xlsx]TRACKER'!$C$3:$C$1275,$A10,'[PBMM_Master_Tracker_v2.xlsx]TRACKER'!$D$3:$D$1275,"AT",'[PBMM_Master_Tracker_v2.xlsx]TRACKER'!$G$3:$G$1275,"Passed")+COUNTIFS('[PBMM_Master_Tracker_v2.xlsx]TRACKER'!$C$3:$C$1275,$A10,'[PBMM_Master_Tracker_v2.xlsx]TRACKER'!$D$3:$D$1275,"AT",'[PBMM_Master_Tracker_v2.xlsx]TRACKER'!$G$3:$G$1275,"Accepted Exception"))/COUNTIFS('[PBMM_Master_Tracker_v2.xlsx]TRACKER'!$C$3:$C$1275,$A10,'[PBMM_Master_Tracker_v2.xlsx]TRACKER'!$D$3:$D$1275,"AT"),"")</f>
        <v/>
      </c>
      <c r="D10" s="26">
        <f>IFERROR(1-(COUNTIFS('[PBMM_Master_Tracker_v2.xlsx]TRACKER'!$C$3:$C$1275,$A10,'[PBMM_Master_Tracker_v2.xlsx]TRACKER'!$D$3:$D$1275,"AU",'[PBMM_Master_Tracker_v2.xlsx]TRACKER'!$G$3:$G$1275,"Passed")+COUNTIFS('[PBMM_Master_Tracker_v2.xlsx]TRACKER'!$C$3:$C$1275,$A10,'[PBMM_Master_Tracker_v2.xlsx]TRACKER'!$D$3:$D$1275,"AU",'[PBMM_Master_Tracker_v2.xlsx]TRACKER'!$G$3:$G$1275,"Accepted Exception"))/COUNTIFS('[PBMM_Master_Tracker_v2.xlsx]TRACKER'!$C$3:$C$1275,$A10,'[PBMM_Master_Tracker_v2.xlsx]TRACKER'!$D$3:$D$1275,"AU"),"")</f>
        <v/>
      </c>
      <c r="E10" s="26">
        <f>IFERROR(1-(COUNTIFS('[PBMM_Master_Tracker_v2.xlsx]TRACKER'!$C$3:$C$1275,$A10,'[PBMM_Master_Tracker_v2.xlsx]TRACKER'!$D$3:$D$1275,"CA",'[PBMM_Master_Tracker_v2.xlsx]TRACKER'!$G$3:$G$1275,"Passed")+COUNTIFS('[PBMM_Master_Tracker_v2.xlsx]TRACKER'!$C$3:$C$1275,$A10,'[PBMM_Master_Tracker_v2.xlsx]TRACKER'!$D$3:$D$1275,"CA",'[PBMM_Master_Tracker_v2.xlsx]TRACKER'!$G$3:$G$1275,"Accepted Exception"))/COUNTIFS('[PBMM_Master_Tracker_v2.xlsx]TRACKER'!$C$3:$C$1275,$A10,'[PBMM_Master_Tracker_v2.xlsx]TRACKER'!$D$3:$D$1275,"CA"),"")</f>
        <v/>
      </c>
      <c r="F10" s="26">
        <f>IFERROR(1-(COUNTIFS('[PBMM_Master_Tracker_v2.xlsx]TRACKER'!$C$3:$C$1275,$A10,'[PBMM_Master_Tracker_v2.xlsx]TRACKER'!$D$3:$D$1275,"CM",'[PBMM_Master_Tracker_v2.xlsx]TRACKER'!$G$3:$G$1275,"Passed")+COUNTIFS('[PBMM_Master_Tracker_v2.xlsx]TRACKER'!$C$3:$C$1275,$A10,'[PBMM_Master_Tracker_v2.xlsx]TRACKER'!$D$3:$D$1275,"CM",'[PBMM_Master_Tracker_v2.xlsx]TRACKER'!$G$3:$G$1275,"Accepted Exception"))/COUNTIFS('[PBMM_Master_Tracker_v2.xlsx]TRACKER'!$C$3:$C$1275,$A10,'[PBMM_Master_Tracker_v2.xlsx]TRACKER'!$D$3:$D$1275,"CM"),"")</f>
        <v/>
      </c>
      <c r="G10" s="26">
        <f>IFERROR(1-(COUNTIFS('[PBMM_Master_Tracker_v2.xlsx]TRACKER'!$C$3:$C$1275,$A10,'[PBMM_Master_Tracker_v2.xlsx]TRACKER'!$D$3:$D$1275,"CP",'[PBMM_Master_Tracker_v2.xlsx]TRACKER'!$G$3:$G$1275,"Passed")+COUNTIFS('[PBMM_Master_Tracker_v2.xlsx]TRACKER'!$C$3:$C$1275,$A10,'[PBMM_Master_Tracker_v2.xlsx]TRACKER'!$D$3:$D$1275,"CP",'[PBMM_Master_Tracker_v2.xlsx]TRACKER'!$G$3:$G$1275,"Accepted Exception"))/COUNTIFS('[PBMM_Master_Tracker_v2.xlsx]TRACKER'!$C$3:$C$1275,$A10,'[PBMM_Master_Tracker_v2.xlsx]TRACKER'!$D$3:$D$1275,"CP"),"")</f>
        <v/>
      </c>
      <c r="H10" s="26">
        <f>IFERROR(1-(COUNTIFS('[PBMM_Master_Tracker_v2.xlsx]TRACKER'!$C$3:$C$1275,$A10,'[PBMM_Master_Tracker_v2.xlsx]TRACKER'!$D$3:$D$1275,"IA",'[PBMM_Master_Tracker_v2.xlsx]TRACKER'!$G$3:$G$1275,"Passed")+COUNTIFS('[PBMM_Master_Tracker_v2.xlsx]TRACKER'!$C$3:$C$1275,$A10,'[PBMM_Master_Tracker_v2.xlsx]TRACKER'!$D$3:$D$1275,"IA",'[PBMM_Master_Tracker_v2.xlsx]TRACKER'!$G$3:$G$1275,"Accepted Exception"))/COUNTIFS('[PBMM_Master_Tracker_v2.xlsx]TRACKER'!$C$3:$C$1275,$A10,'[PBMM_Master_Tracker_v2.xlsx]TRACKER'!$D$3:$D$1275,"IA"),"")</f>
        <v/>
      </c>
      <c r="I10" s="26">
        <f>IFERROR(1-(COUNTIFS('[PBMM_Master_Tracker_v2.xlsx]TRACKER'!$C$3:$C$1275,$A10,'[PBMM_Master_Tracker_v2.xlsx]TRACKER'!$D$3:$D$1275,"IR",'[PBMM_Master_Tracker_v2.xlsx]TRACKER'!$G$3:$G$1275,"Passed")+COUNTIFS('[PBMM_Master_Tracker_v2.xlsx]TRACKER'!$C$3:$C$1275,$A10,'[PBMM_Master_Tracker_v2.xlsx]TRACKER'!$D$3:$D$1275,"IR",'[PBMM_Master_Tracker_v2.xlsx]TRACKER'!$G$3:$G$1275,"Accepted Exception"))/COUNTIFS('[PBMM_Master_Tracker_v2.xlsx]TRACKER'!$C$3:$C$1275,$A10,'[PBMM_Master_Tracker_v2.xlsx]TRACKER'!$D$3:$D$1275,"IR"),"")</f>
        <v/>
      </c>
      <c r="J10" s="26">
        <f>IFERROR(1-(COUNTIFS('[PBMM_Master_Tracker_v2.xlsx]TRACKER'!$C$3:$C$1275,$A10,'[PBMM_Master_Tracker_v2.xlsx]TRACKER'!$D$3:$D$1275,"MA",'[PBMM_Master_Tracker_v2.xlsx]TRACKER'!$G$3:$G$1275,"Passed")+COUNTIFS('[PBMM_Master_Tracker_v2.xlsx]TRACKER'!$C$3:$C$1275,$A10,'[PBMM_Master_Tracker_v2.xlsx]TRACKER'!$D$3:$D$1275,"MA",'[PBMM_Master_Tracker_v2.xlsx]TRACKER'!$G$3:$G$1275,"Accepted Exception"))/COUNTIFS('[PBMM_Master_Tracker_v2.xlsx]TRACKER'!$C$3:$C$1275,$A10,'[PBMM_Master_Tracker_v2.xlsx]TRACKER'!$D$3:$D$1275,"MA"),"")</f>
        <v/>
      </c>
      <c r="K10" s="26">
        <f>IFERROR(1-(COUNTIFS('[PBMM_Master_Tracker_v2.xlsx]TRACKER'!$C$3:$C$1275,$A10,'[PBMM_Master_Tracker_v2.xlsx]TRACKER'!$D$3:$D$1275,"MP",'[PBMM_Master_Tracker_v2.xlsx]TRACKER'!$G$3:$G$1275,"Passed")+COUNTIFS('[PBMM_Master_Tracker_v2.xlsx]TRACKER'!$C$3:$C$1275,$A10,'[PBMM_Master_Tracker_v2.xlsx]TRACKER'!$D$3:$D$1275,"MP",'[PBMM_Master_Tracker_v2.xlsx]TRACKER'!$G$3:$G$1275,"Accepted Exception"))/COUNTIFS('[PBMM_Master_Tracker_v2.xlsx]TRACKER'!$C$3:$C$1275,$A10,'[PBMM_Master_Tracker_v2.xlsx]TRACKER'!$D$3:$D$1275,"MP"),"")</f>
        <v/>
      </c>
      <c r="L10" s="26">
        <f>IFERROR(1-(COUNTIFS('[PBMM_Master_Tracker_v2.xlsx]TRACKER'!$C$3:$C$1275,$A10,'[PBMM_Master_Tracker_v2.xlsx]TRACKER'!$D$3:$D$1275,"PE",'[PBMM_Master_Tracker_v2.xlsx]TRACKER'!$G$3:$G$1275,"Passed")+COUNTIFS('[PBMM_Master_Tracker_v2.xlsx]TRACKER'!$C$3:$C$1275,$A10,'[PBMM_Master_Tracker_v2.xlsx]TRACKER'!$D$3:$D$1275,"PE",'[PBMM_Master_Tracker_v2.xlsx]TRACKER'!$G$3:$G$1275,"Accepted Exception"))/COUNTIFS('[PBMM_Master_Tracker_v2.xlsx]TRACKER'!$C$3:$C$1275,$A10,'[PBMM_Master_Tracker_v2.xlsx]TRACKER'!$D$3:$D$1275,"PE"),"")</f>
        <v/>
      </c>
      <c r="M10" s="26">
        <f>IFERROR(1-(COUNTIFS('[PBMM_Master_Tracker_v2.xlsx]TRACKER'!$C$3:$C$1275,$A10,'[PBMM_Master_Tracker_v2.xlsx]TRACKER'!$D$3:$D$1275,"PL",'[PBMM_Master_Tracker_v2.xlsx]TRACKER'!$G$3:$G$1275,"Passed")+COUNTIFS('[PBMM_Master_Tracker_v2.xlsx]TRACKER'!$C$3:$C$1275,$A10,'[PBMM_Master_Tracker_v2.xlsx]TRACKER'!$D$3:$D$1275,"PL",'[PBMM_Master_Tracker_v2.xlsx]TRACKER'!$G$3:$G$1275,"Accepted Exception"))/COUNTIFS('[PBMM_Master_Tracker_v2.xlsx]TRACKER'!$C$3:$C$1275,$A10,'[PBMM_Master_Tracker_v2.xlsx]TRACKER'!$D$3:$D$1275,"PL"),"")</f>
        <v/>
      </c>
      <c r="N10" s="26">
        <f>IFERROR(1-(COUNTIFS('[PBMM_Master_Tracker_v2.xlsx]TRACKER'!$C$3:$C$1275,$A10,'[PBMM_Master_Tracker_v2.xlsx]TRACKER'!$D$3:$D$1275,"PS",'[PBMM_Master_Tracker_v2.xlsx]TRACKER'!$G$3:$G$1275,"Passed")+COUNTIFS('[PBMM_Master_Tracker_v2.xlsx]TRACKER'!$C$3:$C$1275,$A10,'[PBMM_Master_Tracker_v2.xlsx]TRACKER'!$D$3:$D$1275,"PS",'[PBMM_Master_Tracker_v2.xlsx]TRACKER'!$G$3:$G$1275,"Accepted Exception"))/COUNTIFS('[PBMM_Master_Tracker_v2.xlsx]TRACKER'!$C$3:$C$1275,$A10,'[PBMM_Master_Tracker_v2.xlsx]TRACKER'!$D$3:$D$1275,"PS"),"")</f>
        <v/>
      </c>
      <c r="O10" s="26">
        <f>IFERROR(1-(COUNTIFS('[PBMM_Master_Tracker_v2.xlsx]TRACKER'!$C$3:$C$1275,$A10,'[PBMM_Master_Tracker_v2.xlsx]TRACKER'!$D$3:$D$1275,"RA",'[PBMM_Master_Tracker_v2.xlsx]TRACKER'!$G$3:$G$1275,"Passed")+COUNTIFS('[PBMM_Master_Tracker_v2.xlsx]TRACKER'!$C$3:$C$1275,$A10,'[PBMM_Master_Tracker_v2.xlsx]TRACKER'!$D$3:$D$1275,"RA",'[PBMM_Master_Tracker_v2.xlsx]TRACKER'!$G$3:$G$1275,"Accepted Exception"))/COUNTIFS('[PBMM_Master_Tracker_v2.xlsx]TRACKER'!$C$3:$C$1275,$A10,'[PBMM_Master_Tracker_v2.xlsx]TRACKER'!$D$3:$D$1275,"RA"),"")</f>
        <v/>
      </c>
      <c r="P10" s="26">
        <f>IFERROR(1-(COUNTIFS('[PBMM_Master_Tracker_v2.xlsx]TRACKER'!$C$3:$C$1275,$A10,'[PBMM_Master_Tracker_v2.xlsx]TRACKER'!$D$3:$D$1275,"SA",'[PBMM_Master_Tracker_v2.xlsx]TRACKER'!$G$3:$G$1275,"Passed")+COUNTIFS('[PBMM_Master_Tracker_v2.xlsx]TRACKER'!$C$3:$C$1275,$A10,'[PBMM_Master_Tracker_v2.xlsx]TRACKER'!$D$3:$D$1275,"SA",'[PBMM_Master_Tracker_v2.xlsx]TRACKER'!$G$3:$G$1275,"Accepted Exception"))/COUNTIFS('[PBMM_Master_Tracker_v2.xlsx]TRACKER'!$C$3:$C$1275,$A10,'[PBMM_Master_Tracker_v2.xlsx]TRACKER'!$D$3:$D$1275,"SA"),"")</f>
        <v/>
      </c>
      <c r="Q10" s="26">
        <f>IFERROR(1-(COUNTIFS('[PBMM_Master_Tracker_v2.xlsx]TRACKER'!$C$3:$C$1275,$A10,'[PBMM_Master_Tracker_v2.xlsx]TRACKER'!$D$3:$D$1275,"SC",'[PBMM_Master_Tracker_v2.xlsx]TRACKER'!$G$3:$G$1275,"Passed")+COUNTIFS('[PBMM_Master_Tracker_v2.xlsx]TRACKER'!$C$3:$C$1275,$A10,'[PBMM_Master_Tracker_v2.xlsx]TRACKER'!$D$3:$D$1275,"SC",'[PBMM_Master_Tracker_v2.xlsx]TRACKER'!$G$3:$G$1275,"Accepted Exception"))/COUNTIFS('[PBMM_Master_Tracker_v2.xlsx]TRACKER'!$C$3:$C$1275,$A10,'[PBMM_Master_Tracker_v2.xlsx]TRACKER'!$D$3:$D$1275,"SC"),"")</f>
        <v/>
      </c>
      <c r="R10" s="26">
        <f>IFERROR(1-(COUNTIFS('[PBMM_Master_Tracker_v2.xlsx]TRACKER'!$C$3:$C$1275,$A10,'[PBMM_Master_Tracker_v2.xlsx]TRACKER'!$D$3:$D$1275,"SI",'[PBMM_Master_Tracker_v2.xlsx]TRACKER'!$G$3:$G$1275,"Passed")+COUNTIFS('[PBMM_Master_Tracker_v2.xlsx]TRACKER'!$C$3:$C$1275,$A10,'[PBMM_Master_Tracker_v2.xlsx]TRACKER'!$D$3:$D$1275,"SI",'[PBMM_Master_Tracker_v2.xlsx]TRACKER'!$G$3:$G$1275,"Accepted Exception"))/COUNTIFS('[PBMM_Master_Tracker_v2.xlsx]TRACKER'!$C$3:$C$1275,$A10,'[PBMM_Master_Tracker_v2.xlsx]TRACKER'!$D$3:$D$1275,"SI"),"")</f>
        <v/>
      </c>
    </row>
    <row r="11" ht="20" customHeight="1">
      <c r="A11" s="23" t="inlineStr">
        <is>
          <t>Identity</t>
        </is>
      </c>
      <c r="B11" s="24">
        <f>IFERROR(1-(COUNTIFS('[PBMM_Master_Tracker_v2.xlsx]TRACKER'!$C$3:$C$1275,$A11,'[PBMM_Master_Tracker_v2.xlsx]TRACKER'!$D$3:$D$1275,"AC",'[PBMM_Master_Tracker_v2.xlsx]TRACKER'!$G$3:$G$1275,"Passed")+COUNTIFS('[PBMM_Master_Tracker_v2.xlsx]TRACKER'!$C$3:$C$1275,$A11,'[PBMM_Master_Tracker_v2.xlsx]TRACKER'!$D$3:$D$1275,"AC",'[PBMM_Master_Tracker_v2.xlsx]TRACKER'!$G$3:$G$1275,"Accepted Exception"))/COUNTIFS('[PBMM_Master_Tracker_v2.xlsx]TRACKER'!$C$3:$C$1275,$A11,'[PBMM_Master_Tracker_v2.xlsx]TRACKER'!$D$3:$D$1275,"AC"),"")</f>
        <v/>
      </c>
      <c r="C11" s="24">
        <f>IFERROR(1-(COUNTIFS('[PBMM_Master_Tracker_v2.xlsx]TRACKER'!$C$3:$C$1275,$A11,'[PBMM_Master_Tracker_v2.xlsx]TRACKER'!$D$3:$D$1275,"AT",'[PBMM_Master_Tracker_v2.xlsx]TRACKER'!$G$3:$G$1275,"Passed")+COUNTIFS('[PBMM_Master_Tracker_v2.xlsx]TRACKER'!$C$3:$C$1275,$A11,'[PBMM_Master_Tracker_v2.xlsx]TRACKER'!$D$3:$D$1275,"AT",'[PBMM_Master_Tracker_v2.xlsx]TRACKER'!$G$3:$G$1275,"Accepted Exception"))/COUNTIFS('[PBMM_Master_Tracker_v2.xlsx]TRACKER'!$C$3:$C$1275,$A11,'[PBMM_Master_Tracker_v2.xlsx]TRACKER'!$D$3:$D$1275,"AT"),"")</f>
        <v/>
      </c>
      <c r="D11" s="24">
        <f>IFERROR(1-(COUNTIFS('[PBMM_Master_Tracker_v2.xlsx]TRACKER'!$C$3:$C$1275,$A11,'[PBMM_Master_Tracker_v2.xlsx]TRACKER'!$D$3:$D$1275,"AU",'[PBMM_Master_Tracker_v2.xlsx]TRACKER'!$G$3:$G$1275,"Passed")+COUNTIFS('[PBMM_Master_Tracker_v2.xlsx]TRACKER'!$C$3:$C$1275,$A11,'[PBMM_Master_Tracker_v2.xlsx]TRACKER'!$D$3:$D$1275,"AU",'[PBMM_Master_Tracker_v2.xlsx]TRACKER'!$G$3:$G$1275,"Accepted Exception"))/COUNTIFS('[PBMM_Master_Tracker_v2.xlsx]TRACKER'!$C$3:$C$1275,$A11,'[PBMM_Master_Tracker_v2.xlsx]TRACKER'!$D$3:$D$1275,"AU"),"")</f>
        <v/>
      </c>
      <c r="E11" s="24">
        <f>IFERROR(1-(COUNTIFS('[PBMM_Master_Tracker_v2.xlsx]TRACKER'!$C$3:$C$1275,$A11,'[PBMM_Master_Tracker_v2.xlsx]TRACKER'!$D$3:$D$1275,"CA",'[PBMM_Master_Tracker_v2.xlsx]TRACKER'!$G$3:$G$1275,"Passed")+COUNTIFS('[PBMM_Master_Tracker_v2.xlsx]TRACKER'!$C$3:$C$1275,$A11,'[PBMM_Master_Tracker_v2.xlsx]TRACKER'!$D$3:$D$1275,"CA",'[PBMM_Master_Tracker_v2.xlsx]TRACKER'!$G$3:$G$1275,"Accepted Exception"))/COUNTIFS('[PBMM_Master_Tracker_v2.xlsx]TRACKER'!$C$3:$C$1275,$A11,'[PBMM_Master_Tracker_v2.xlsx]TRACKER'!$D$3:$D$1275,"CA"),"")</f>
        <v/>
      </c>
      <c r="F11" s="24">
        <f>IFERROR(1-(COUNTIFS('[PBMM_Master_Tracker_v2.xlsx]TRACKER'!$C$3:$C$1275,$A11,'[PBMM_Master_Tracker_v2.xlsx]TRACKER'!$D$3:$D$1275,"CM",'[PBMM_Master_Tracker_v2.xlsx]TRACKER'!$G$3:$G$1275,"Passed")+COUNTIFS('[PBMM_Master_Tracker_v2.xlsx]TRACKER'!$C$3:$C$1275,$A11,'[PBMM_Master_Tracker_v2.xlsx]TRACKER'!$D$3:$D$1275,"CM",'[PBMM_Master_Tracker_v2.xlsx]TRACKER'!$G$3:$G$1275,"Accepted Exception"))/COUNTIFS('[PBMM_Master_Tracker_v2.xlsx]TRACKER'!$C$3:$C$1275,$A11,'[PBMM_Master_Tracker_v2.xlsx]TRACKER'!$D$3:$D$1275,"CM"),"")</f>
        <v/>
      </c>
      <c r="G11" s="24">
        <f>IFERROR(1-(COUNTIFS('[PBMM_Master_Tracker_v2.xlsx]TRACKER'!$C$3:$C$1275,$A11,'[PBMM_Master_Tracker_v2.xlsx]TRACKER'!$D$3:$D$1275,"CP",'[PBMM_Master_Tracker_v2.xlsx]TRACKER'!$G$3:$G$1275,"Passed")+COUNTIFS('[PBMM_Master_Tracker_v2.xlsx]TRACKER'!$C$3:$C$1275,$A11,'[PBMM_Master_Tracker_v2.xlsx]TRACKER'!$D$3:$D$1275,"CP",'[PBMM_Master_Tracker_v2.xlsx]TRACKER'!$G$3:$G$1275,"Accepted Exception"))/COUNTIFS('[PBMM_Master_Tracker_v2.xlsx]TRACKER'!$C$3:$C$1275,$A11,'[PBMM_Master_Tracker_v2.xlsx]TRACKER'!$D$3:$D$1275,"CP"),"")</f>
        <v/>
      </c>
      <c r="H11" s="24">
        <f>IFERROR(1-(COUNTIFS('[PBMM_Master_Tracker_v2.xlsx]TRACKER'!$C$3:$C$1275,$A11,'[PBMM_Master_Tracker_v2.xlsx]TRACKER'!$D$3:$D$1275,"IA",'[PBMM_Master_Tracker_v2.xlsx]TRACKER'!$G$3:$G$1275,"Passed")+COUNTIFS('[PBMM_Master_Tracker_v2.xlsx]TRACKER'!$C$3:$C$1275,$A11,'[PBMM_Master_Tracker_v2.xlsx]TRACKER'!$D$3:$D$1275,"IA",'[PBMM_Master_Tracker_v2.xlsx]TRACKER'!$G$3:$G$1275,"Accepted Exception"))/COUNTIFS('[PBMM_Master_Tracker_v2.xlsx]TRACKER'!$C$3:$C$1275,$A11,'[PBMM_Master_Tracker_v2.xlsx]TRACKER'!$D$3:$D$1275,"IA"),"")</f>
        <v/>
      </c>
      <c r="I11" s="24">
        <f>IFERROR(1-(COUNTIFS('[PBMM_Master_Tracker_v2.xlsx]TRACKER'!$C$3:$C$1275,$A11,'[PBMM_Master_Tracker_v2.xlsx]TRACKER'!$D$3:$D$1275,"IR",'[PBMM_Master_Tracker_v2.xlsx]TRACKER'!$G$3:$G$1275,"Passed")+COUNTIFS('[PBMM_Master_Tracker_v2.xlsx]TRACKER'!$C$3:$C$1275,$A11,'[PBMM_Master_Tracker_v2.xlsx]TRACKER'!$D$3:$D$1275,"IR",'[PBMM_Master_Tracker_v2.xlsx]TRACKER'!$G$3:$G$1275,"Accepted Exception"))/COUNTIFS('[PBMM_Master_Tracker_v2.xlsx]TRACKER'!$C$3:$C$1275,$A11,'[PBMM_Master_Tracker_v2.xlsx]TRACKER'!$D$3:$D$1275,"IR"),"")</f>
        <v/>
      </c>
      <c r="J11" s="24">
        <f>IFERROR(1-(COUNTIFS('[PBMM_Master_Tracker_v2.xlsx]TRACKER'!$C$3:$C$1275,$A11,'[PBMM_Master_Tracker_v2.xlsx]TRACKER'!$D$3:$D$1275,"MA",'[PBMM_Master_Tracker_v2.xlsx]TRACKER'!$G$3:$G$1275,"Passed")+COUNTIFS('[PBMM_Master_Tracker_v2.xlsx]TRACKER'!$C$3:$C$1275,$A11,'[PBMM_Master_Tracker_v2.xlsx]TRACKER'!$D$3:$D$1275,"MA",'[PBMM_Master_Tracker_v2.xlsx]TRACKER'!$G$3:$G$1275,"Accepted Exception"))/COUNTIFS('[PBMM_Master_Tracker_v2.xlsx]TRACKER'!$C$3:$C$1275,$A11,'[PBMM_Master_Tracker_v2.xlsx]TRACKER'!$D$3:$D$1275,"MA"),"")</f>
        <v/>
      </c>
      <c r="K11" s="24">
        <f>IFERROR(1-(COUNTIFS('[PBMM_Master_Tracker_v2.xlsx]TRACKER'!$C$3:$C$1275,$A11,'[PBMM_Master_Tracker_v2.xlsx]TRACKER'!$D$3:$D$1275,"MP",'[PBMM_Master_Tracker_v2.xlsx]TRACKER'!$G$3:$G$1275,"Passed")+COUNTIFS('[PBMM_Master_Tracker_v2.xlsx]TRACKER'!$C$3:$C$1275,$A11,'[PBMM_Master_Tracker_v2.xlsx]TRACKER'!$D$3:$D$1275,"MP",'[PBMM_Master_Tracker_v2.xlsx]TRACKER'!$G$3:$G$1275,"Accepted Exception"))/COUNTIFS('[PBMM_Master_Tracker_v2.xlsx]TRACKER'!$C$3:$C$1275,$A11,'[PBMM_Master_Tracker_v2.xlsx]TRACKER'!$D$3:$D$1275,"MP"),"")</f>
        <v/>
      </c>
      <c r="L11" s="24">
        <f>IFERROR(1-(COUNTIFS('[PBMM_Master_Tracker_v2.xlsx]TRACKER'!$C$3:$C$1275,$A11,'[PBMM_Master_Tracker_v2.xlsx]TRACKER'!$D$3:$D$1275,"PE",'[PBMM_Master_Tracker_v2.xlsx]TRACKER'!$G$3:$G$1275,"Passed")+COUNTIFS('[PBMM_Master_Tracker_v2.xlsx]TRACKER'!$C$3:$C$1275,$A11,'[PBMM_Master_Tracker_v2.xlsx]TRACKER'!$D$3:$D$1275,"PE",'[PBMM_Master_Tracker_v2.xlsx]TRACKER'!$G$3:$G$1275,"Accepted Exception"))/COUNTIFS('[PBMM_Master_Tracker_v2.xlsx]TRACKER'!$C$3:$C$1275,$A11,'[PBMM_Master_Tracker_v2.xlsx]TRACKER'!$D$3:$D$1275,"PE"),"")</f>
        <v/>
      </c>
      <c r="M11" s="24">
        <f>IFERROR(1-(COUNTIFS('[PBMM_Master_Tracker_v2.xlsx]TRACKER'!$C$3:$C$1275,$A11,'[PBMM_Master_Tracker_v2.xlsx]TRACKER'!$D$3:$D$1275,"PL",'[PBMM_Master_Tracker_v2.xlsx]TRACKER'!$G$3:$G$1275,"Passed")+COUNTIFS('[PBMM_Master_Tracker_v2.xlsx]TRACKER'!$C$3:$C$1275,$A11,'[PBMM_Master_Tracker_v2.xlsx]TRACKER'!$D$3:$D$1275,"PL",'[PBMM_Master_Tracker_v2.xlsx]TRACKER'!$G$3:$G$1275,"Accepted Exception"))/COUNTIFS('[PBMM_Master_Tracker_v2.xlsx]TRACKER'!$C$3:$C$1275,$A11,'[PBMM_Master_Tracker_v2.xlsx]TRACKER'!$D$3:$D$1275,"PL"),"")</f>
        <v/>
      </c>
      <c r="N11" s="24">
        <f>IFERROR(1-(COUNTIFS('[PBMM_Master_Tracker_v2.xlsx]TRACKER'!$C$3:$C$1275,$A11,'[PBMM_Master_Tracker_v2.xlsx]TRACKER'!$D$3:$D$1275,"PS",'[PBMM_Master_Tracker_v2.xlsx]TRACKER'!$G$3:$G$1275,"Passed")+COUNTIFS('[PBMM_Master_Tracker_v2.xlsx]TRACKER'!$C$3:$C$1275,$A11,'[PBMM_Master_Tracker_v2.xlsx]TRACKER'!$D$3:$D$1275,"PS",'[PBMM_Master_Tracker_v2.xlsx]TRACKER'!$G$3:$G$1275,"Accepted Exception"))/COUNTIFS('[PBMM_Master_Tracker_v2.xlsx]TRACKER'!$C$3:$C$1275,$A11,'[PBMM_Master_Tracker_v2.xlsx]TRACKER'!$D$3:$D$1275,"PS"),"")</f>
        <v/>
      </c>
      <c r="O11" s="24">
        <f>IFERROR(1-(COUNTIFS('[PBMM_Master_Tracker_v2.xlsx]TRACKER'!$C$3:$C$1275,$A11,'[PBMM_Master_Tracker_v2.xlsx]TRACKER'!$D$3:$D$1275,"RA",'[PBMM_Master_Tracker_v2.xlsx]TRACKER'!$G$3:$G$1275,"Passed")+COUNTIFS('[PBMM_Master_Tracker_v2.xlsx]TRACKER'!$C$3:$C$1275,$A11,'[PBMM_Master_Tracker_v2.xlsx]TRACKER'!$D$3:$D$1275,"RA",'[PBMM_Master_Tracker_v2.xlsx]TRACKER'!$G$3:$G$1275,"Accepted Exception"))/COUNTIFS('[PBMM_Master_Tracker_v2.xlsx]TRACKER'!$C$3:$C$1275,$A11,'[PBMM_Master_Tracker_v2.xlsx]TRACKER'!$D$3:$D$1275,"RA"),"")</f>
        <v/>
      </c>
      <c r="P11" s="24">
        <f>IFERROR(1-(COUNTIFS('[PBMM_Master_Tracker_v2.xlsx]TRACKER'!$C$3:$C$1275,$A11,'[PBMM_Master_Tracker_v2.xlsx]TRACKER'!$D$3:$D$1275,"SA",'[PBMM_Master_Tracker_v2.xlsx]TRACKER'!$G$3:$G$1275,"Passed")+COUNTIFS('[PBMM_Master_Tracker_v2.xlsx]TRACKER'!$C$3:$C$1275,$A11,'[PBMM_Master_Tracker_v2.xlsx]TRACKER'!$D$3:$D$1275,"SA",'[PBMM_Master_Tracker_v2.xlsx]TRACKER'!$G$3:$G$1275,"Accepted Exception"))/COUNTIFS('[PBMM_Master_Tracker_v2.xlsx]TRACKER'!$C$3:$C$1275,$A11,'[PBMM_Master_Tracker_v2.xlsx]TRACKER'!$D$3:$D$1275,"SA"),"")</f>
        <v/>
      </c>
      <c r="Q11" s="24">
        <f>IFERROR(1-(COUNTIFS('[PBMM_Master_Tracker_v2.xlsx]TRACKER'!$C$3:$C$1275,$A11,'[PBMM_Master_Tracker_v2.xlsx]TRACKER'!$D$3:$D$1275,"SC",'[PBMM_Master_Tracker_v2.xlsx]TRACKER'!$G$3:$G$1275,"Passed")+COUNTIFS('[PBMM_Master_Tracker_v2.xlsx]TRACKER'!$C$3:$C$1275,$A11,'[PBMM_Master_Tracker_v2.xlsx]TRACKER'!$D$3:$D$1275,"SC",'[PBMM_Master_Tracker_v2.xlsx]TRACKER'!$G$3:$G$1275,"Accepted Exception"))/COUNTIFS('[PBMM_Master_Tracker_v2.xlsx]TRACKER'!$C$3:$C$1275,$A11,'[PBMM_Master_Tracker_v2.xlsx]TRACKER'!$D$3:$D$1275,"SC"),"")</f>
        <v/>
      </c>
      <c r="R11" s="24">
        <f>IFERROR(1-(COUNTIFS('[PBMM_Master_Tracker_v2.xlsx]TRACKER'!$C$3:$C$1275,$A11,'[PBMM_Master_Tracker_v2.xlsx]TRACKER'!$D$3:$D$1275,"SI",'[PBMM_Master_Tracker_v2.xlsx]TRACKER'!$G$3:$G$1275,"Passed")+COUNTIFS('[PBMM_Master_Tracker_v2.xlsx]TRACKER'!$C$3:$C$1275,$A11,'[PBMM_Master_Tracker_v2.xlsx]TRACKER'!$D$3:$D$1275,"SI",'[PBMM_Master_Tracker_v2.xlsx]TRACKER'!$G$3:$G$1275,"Accepted Exception"))/COUNTIFS('[PBMM_Master_Tracker_v2.xlsx]TRACKER'!$C$3:$C$1275,$A11,'[PBMM_Master_Tracker_v2.xlsx]TRACKER'!$D$3:$D$1275,"SI"),"")</f>
        <v/>
      </c>
    </row>
    <row r="12" ht="20" customHeight="1">
      <c r="A12" s="25" t="inlineStr">
        <is>
          <t>Management and Governance</t>
        </is>
      </c>
      <c r="B12" s="26">
        <f>IFERROR(1-(COUNTIFS('[PBMM_Master_Tracker_v2.xlsx]TRACKER'!$C$3:$C$1275,$A12,'[PBMM_Master_Tracker_v2.xlsx]TRACKER'!$D$3:$D$1275,"AC",'[PBMM_Master_Tracker_v2.xlsx]TRACKER'!$G$3:$G$1275,"Passed")+COUNTIFS('[PBMM_Master_Tracker_v2.xlsx]TRACKER'!$C$3:$C$1275,$A12,'[PBMM_Master_Tracker_v2.xlsx]TRACKER'!$D$3:$D$1275,"AC",'[PBMM_Master_Tracker_v2.xlsx]TRACKER'!$G$3:$G$1275,"Accepted Exception"))/COUNTIFS('[PBMM_Master_Tracker_v2.xlsx]TRACKER'!$C$3:$C$1275,$A12,'[PBMM_Master_Tracker_v2.xlsx]TRACKER'!$D$3:$D$1275,"AC"),"")</f>
        <v/>
      </c>
      <c r="C12" s="26">
        <f>IFERROR(1-(COUNTIFS('[PBMM_Master_Tracker_v2.xlsx]TRACKER'!$C$3:$C$1275,$A12,'[PBMM_Master_Tracker_v2.xlsx]TRACKER'!$D$3:$D$1275,"AT",'[PBMM_Master_Tracker_v2.xlsx]TRACKER'!$G$3:$G$1275,"Passed")+COUNTIFS('[PBMM_Master_Tracker_v2.xlsx]TRACKER'!$C$3:$C$1275,$A12,'[PBMM_Master_Tracker_v2.xlsx]TRACKER'!$D$3:$D$1275,"AT",'[PBMM_Master_Tracker_v2.xlsx]TRACKER'!$G$3:$G$1275,"Accepted Exception"))/COUNTIFS('[PBMM_Master_Tracker_v2.xlsx]TRACKER'!$C$3:$C$1275,$A12,'[PBMM_Master_Tracker_v2.xlsx]TRACKER'!$D$3:$D$1275,"AT"),"")</f>
        <v/>
      </c>
      <c r="D12" s="26">
        <f>IFERROR(1-(COUNTIFS('[PBMM_Master_Tracker_v2.xlsx]TRACKER'!$C$3:$C$1275,$A12,'[PBMM_Master_Tracker_v2.xlsx]TRACKER'!$D$3:$D$1275,"AU",'[PBMM_Master_Tracker_v2.xlsx]TRACKER'!$G$3:$G$1275,"Passed")+COUNTIFS('[PBMM_Master_Tracker_v2.xlsx]TRACKER'!$C$3:$C$1275,$A12,'[PBMM_Master_Tracker_v2.xlsx]TRACKER'!$D$3:$D$1275,"AU",'[PBMM_Master_Tracker_v2.xlsx]TRACKER'!$G$3:$G$1275,"Accepted Exception"))/COUNTIFS('[PBMM_Master_Tracker_v2.xlsx]TRACKER'!$C$3:$C$1275,$A12,'[PBMM_Master_Tracker_v2.xlsx]TRACKER'!$D$3:$D$1275,"AU"),"")</f>
        <v/>
      </c>
      <c r="E12" s="26">
        <f>IFERROR(1-(COUNTIFS('[PBMM_Master_Tracker_v2.xlsx]TRACKER'!$C$3:$C$1275,$A12,'[PBMM_Master_Tracker_v2.xlsx]TRACKER'!$D$3:$D$1275,"CA",'[PBMM_Master_Tracker_v2.xlsx]TRACKER'!$G$3:$G$1275,"Passed")+COUNTIFS('[PBMM_Master_Tracker_v2.xlsx]TRACKER'!$C$3:$C$1275,$A12,'[PBMM_Master_Tracker_v2.xlsx]TRACKER'!$D$3:$D$1275,"CA",'[PBMM_Master_Tracker_v2.xlsx]TRACKER'!$G$3:$G$1275,"Accepted Exception"))/COUNTIFS('[PBMM_Master_Tracker_v2.xlsx]TRACKER'!$C$3:$C$1275,$A12,'[PBMM_Master_Tracker_v2.xlsx]TRACKER'!$D$3:$D$1275,"CA"),"")</f>
        <v/>
      </c>
      <c r="F12" s="26">
        <f>IFERROR(1-(COUNTIFS('[PBMM_Master_Tracker_v2.xlsx]TRACKER'!$C$3:$C$1275,$A12,'[PBMM_Master_Tracker_v2.xlsx]TRACKER'!$D$3:$D$1275,"CM",'[PBMM_Master_Tracker_v2.xlsx]TRACKER'!$G$3:$G$1275,"Passed")+COUNTIFS('[PBMM_Master_Tracker_v2.xlsx]TRACKER'!$C$3:$C$1275,$A12,'[PBMM_Master_Tracker_v2.xlsx]TRACKER'!$D$3:$D$1275,"CM",'[PBMM_Master_Tracker_v2.xlsx]TRACKER'!$G$3:$G$1275,"Accepted Exception"))/COUNTIFS('[PBMM_Master_Tracker_v2.xlsx]TRACKER'!$C$3:$C$1275,$A12,'[PBMM_Master_Tracker_v2.xlsx]TRACKER'!$D$3:$D$1275,"CM"),"")</f>
        <v/>
      </c>
      <c r="G12" s="26">
        <f>IFERROR(1-(COUNTIFS('[PBMM_Master_Tracker_v2.xlsx]TRACKER'!$C$3:$C$1275,$A12,'[PBMM_Master_Tracker_v2.xlsx]TRACKER'!$D$3:$D$1275,"CP",'[PBMM_Master_Tracker_v2.xlsx]TRACKER'!$G$3:$G$1275,"Passed")+COUNTIFS('[PBMM_Master_Tracker_v2.xlsx]TRACKER'!$C$3:$C$1275,$A12,'[PBMM_Master_Tracker_v2.xlsx]TRACKER'!$D$3:$D$1275,"CP",'[PBMM_Master_Tracker_v2.xlsx]TRACKER'!$G$3:$G$1275,"Accepted Exception"))/COUNTIFS('[PBMM_Master_Tracker_v2.xlsx]TRACKER'!$C$3:$C$1275,$A12,'[PBMM_Master_Tracker_v2.xlsx]TRACKER'!$D$3:$D$1275,"CP"),"")</f>
        <v/>
      </c>
      <c r="H12" s="26">
        <f>IFERROR(1-(COUNTIFS('[PBMM_Master_Tracker_v2.xlsx]TRACKER'!$C$3:$C$1275,$A12,'[PBMM_Master_Tracker_v2.xlsx]TRACKER'!$D$3:$D$1275,"IA",'[PBMM_Master_Tracker_v2.xlsx]TRACKER'!$G$3:$G$1275,"Passed")+COUNTIFS('[PBMM_Master_Tracker_v2.xlsx]TRACKER'!$C$3:$C$1275,$A12,'[PBMM_Master_Tracker_v2.xlsx]TRACKER'!$D$3:$D$1275,"IA",'[PBMM_Master_Tracker_v2.xlsx]TRACKER'!$G$3:$G$1275,"Accepted Exception"))/COUNTIFS('[PBMM_Master_Tracker_v2.xlsx]TRACKER'!$C$3:$C$1275,$A12,'[PBMM_Master_Tracker_v2.xlsx]TRACKER'!$D$3:$D$1275,"IA"),"")</f>
        <v/>
      </c>
      <c r="I12" s="26">
        <f>IFERROR(1-(COUNTIFS('[PBMM_Master_Tracker_v2.xlsx]TRACKER'!$C$3:$C$1275,$A12,'[PBMM_Master_Tracker_v2.xlsx]TRACKER'!$D$3:$D$1275,"IR",'[PBMM_Master_Tracker_v2.xlsx]TRACKER'!$G$3:$G$1275,"Passed")+COUNTIFS('[PBMM_Master_Tracker_v2.xlsx]TRACKER'!$C$3:$C$1275,$A12,'[PBMM_Master_Tracker_v2.xlsx]TRACKER'!$D$3:$D$1275,"IR",'[PBMM_Master_Tracker_v2.xlsx]TRACKER'!$G$3:$G$1275,"Accepted Exception"))/COUNTIFS('[PBMM_Master_Tracker_v2.xlsx]TRACKER'!$C$3:$C$1275,$A12,'[PBMM_Master_Tracker_v2.xlsx]TRACKER'!$D$3:$D$1275,"IR"),"")</f>
        <v/>
      </c>
      <c r="J12" s="26">
        <f>IFERROR(1-(COUNTIFS('[PBMM_Master_Tracker_v2.xlsx]TRACKER'!$C$3:$C$1275,$A12,'[PBMM_Master_Tracker_v2.xlsx]TRACKER'!$D$3:$D$1275,"MA",'[PBMM_Master_Tracker_v2.xlsx]TRACKER'!$G$3:$G$1275,"Passed")+COUNTIFS('[PBMM_Master_Tracker_v2.xlsx]TRACKER'!$C$3:$C$1275,$A12,'[PBMM_Master_Tracker_v2.xlsx]TRACKER'!$D$3:$D$1275,"MA",'[PBMM_Master_Tracker_v2.xlsx]TRACKER'!$G$3:$G$1275,"Accepted Exception"))/COUNTIFS('[PBMM_Master_Tracker_v2.xlsx]TRACKER'!$C$3:$C$1275,$A12,'[PBMM_Master_Tracker_v2.xlsx]TRACKER'!$D$3:$D$1275,"MA"),"")</f>
        <v/>
      </c>
      <c r="K12" s="26">
        <f>IFERROR(1-(COUNTIFS('[PBMM_Master_Tracker_v2.xlsx]TRACKER'!$C$3:$C$1275,$A12,'[PBMM_Master_Tracker_v2.xlsx]TRACKER'!$D$3:$D$1275,"MP",'[PBMM_Master_Tracker_v2.xlsx]TRACKER'!$G$3:$G$1275,"Passed")+COUNTIFS('[PBMM_Master_Tracker_v2.xlsx]TRACKER'!$C$3:$C$1275,$A12,'[PBMM_Master_Tracker_v2.xlsx]TRACKER'!$D$3:$D$1275,"MP",'[PBMM_Master_Tracker_v2.xlsx]TRACKER'!$G$3:$G$1275,"Accepted Exception"))/COUNTIFS('[PBMM_Master_Tracker_v2.xlsx]TRACKER'!$C$3:$C$1275,$A12,'[PBMM_Master_Tracker_v2.xlsx]TRACKER'!$D$3:$D$1275,"MP"),"")</f>
        <v/>
      </c>
      <c r="L12" s="26">
        <f>IFERROR(1-(COUNTIFS('[PBMM_Master_Tracker_v2.xlsx]TRACKER'!$C$3:$C$1275,$A12,'[PBMM_Master_Tracker_v2.xlsx]TRACKER'!$D$3:$D$1275,"PE",'[PBMM_Master_Tracker_v2.xlsx]TRACKER'!$G$3:$G$1275,"Passed")+COUNTIFS('[PBMM_Master_Tracker_v2.xlsx]TRACKER'!$C$3:$C$1275,$A12,'[PBMM_Master_Tracker_v2.xlsx]TRACKER'!$D$3:$D$1275,"PE",'[PBMM_Master_Tracker_v2.xlsx]TRACKER'!$G$3:$G$1275,"Accepted Exception"))/COUNTIFS('[PBMM_Master_Tracker_v2.xlsx]TRACKER'!$C$3:$C$1275,$A12,'[PBMM_Master_Tracker_v2.xlsx]TRACKER'!$D$3:$D$1275,"PE"),"")</f>
        <v/>
      </c>
      <c r="M12" s="26">
        <f>IFERROR(1-(COUNTIFS('[PBMM_Master_Tracker_v2.xlsx]TRACKER'!$C$3:$C$1275,$A12,'[PBMM_Master_Tracker_v2.xlsx]TRACKER'!$D$3:$D$1275,"PL",'[PBMM_Master_Tracker_v2.xlsx]TRACKER'!$G$3:$G$1275,"Passed")+COUNTIFS('[PBMM_Master_Tracker_v2.xlsx]TRACKER'!$C$3:$C$1275,$A12,'[PBMM_Master_Tracker_v2.xlsx]TRACKER'!$D$3:$D$1275,"PL",'[PBMM_Master_Tracker_v2.xlsx]TRACKER'!$G$3:$G$1275,"Accepted Exception"))/COUNTIFS('[PBMM_Master_Tracker_v2.xlsx]TRACKER'!$C$3:$C$1275,$A12,'[PBMM_Master_Tracker_v2.xlsx]TRACKER'!$D$3:$D$1275,"PL"),"")</f>
        <v/>
      </c>
      <c r="N12" s="26">
        <f>IFERROR(1-(COUNTIFS('[PBMM_Master_Tracker_v2.xlsx]TRACKER'!$C$3:$C$1275,$A12,'[PBMM_Master_Tracker_v2.xlsx]TRACKER'!$D$3:$D$1275,"PS",'[PBMM_Master_Tracker_v2.xlsx]TRACKER'!$G$3:$G$1275,"Passed")+COUNTIFS('[PBMM_Master_Tracker_v2.xlsx]TRACKER'!$C$3:$C$1275,$A12,'[PBMM_Master_Tracker_v2.xlsx]TRACKER'!$D$3:$D$1275,"PS",'[PBMM_Master_Tracker_v2.xlsx]TRACKER'!$G$3:$G$1275,"Accepted Exception"))/COUNTIFS('[PBMM_Master_Tracker_v2.xlsx]TRACKER'!$C$3:$C$1275,$A12,'[PBMM_Master_Tracker_v2.xlsx]TRACKER'!$D$3:$D$1275,"PS"),"")</f>
        <v/>
      </c>
      <c r="O12" s="26">
        <f>IFERROR(1-(COUNTIFS('[PBMM_Master_Tracker_v2.xlsx]TRACKER'!$C$3:$C$1275,$A12,'[PBMM_Master_Tracker_v2.xlsx]TRACKER'!$D$3:$D$1275,"RA",'[PBMM_Master_Tracker_v2.xlsx]TRACKER'!$G$3:$G$1275,"Passed")+COUNTIFS('[PBMM_Master_Tracker_v2.xlsx]TRACKER'!$C$3:$C$1275,$A12,'[PBMM_Master_Tracker_v2.xlsx]TRACKER'!$D$3:$D$1275,"RA",'[PBMM_Master_Tracker_v2.xlsx]TRACKER'!$G$3:$G$1275,"Accepted Exception"))/COUNTIFS('[PBMM_Master_Tracker_v2.xlsx]TRACKER'!$C$3:$C$1275,$A12,'[PBMM_Master_Tracker_v2.xlsx]TRACKER'!$D$3:$D$1275,"RA"),"")</f>
        <v/>
      </c>
      <c r="P12" s="26">
        <f>IFERROR(1-(COUNTIFS('[PBMM_Master_Tracker_v2.xlsx]TRACKER'!$C$3:$C$1275,$A12,'[PBMM_Master_Tracker_v2.xlsx]TRACKER'!$D$3:$D$1275,"SA",'[PBMM_Master_Tracker_v2.xlsx]TRACKER'!$G$3:$G$1275,"Passed")+COUNTIFS('[PBMM_Master_Tracker_v2.xlsx]TRACKER'!$C$3:$C$1275,$A12,'[PBMM_Master_Tracker_v2.xlsx]TRACKER'!$D$3:$D$1275,"SA",'[PBMM_Master_Tracker_v2.xlsx]TRACKER'!$G$3:$G$1275,"Accepted Exception"))/COUNTIFS('[PBMM_Master_Tracker_v2.xlsx]TRACKER'!$C$3:$C$1275,$A12,'[PBMM_Master_Tracker_v2.xlsx]TRACKER'!$D$3:$D$1275,"SA"),"")</f>
        <v/>
      </c>
      <c r="Q12" s="26">
        <f>IFERROR(1-(COUNTIFS('[PBMM_Master_Tracker_v2.xlsx]TRACKER'!$C$3:$C$1275,$A12,'[PBMM_Master_Tracker_v2.xlsx]TRACKER'!$D$3:$D$1275,"SC",'[PBMM_Master_Tracker_v2.xlsx]TRACKER'!$G$3:$G$1275,"Passed")+COUNTIFS('[PBMM_Master_Tracker_v2.xlsx]TRACKER'!$C$3:$C$1275,$A12,'[PBMM_Master_Tracker_v2.xlsx]TRACKER'!$D$3:$D$1275,"SC",'[PBMM_Master_Tracker_v2.xlsx]TRACKER'!$G$3:$G$1275,"Accepted Exception"))/COUNTIFS('[PBMM_Master_Tracker_v2.xlsx]TRACKER'!$C$3:$C$1275,$A12,'[PBMM_Master_Tracker_v2.xlsx]TRACKER'!$D$3:$D$1275,"SC"),"")</f>
        <v/>
      </c>
      <c r="R12" s="26">
        <f>IFERROR(1-(COUNTIFS('[PBMM_Master_Tracker_v2.xlsx]TRACKER'!$C$3:$C$1275,$A12,'[PBMM_Master_Tracker_v2.xlsx]TRACKER'!$D$3:$D$1275,"SI",'[PBMM_Master_Tracker_v2.xlsx]TRACKER'!$G$3:$G$1275,"Passed")+COUNTIFS('[PBMM_Master_Tracker_v2.xlsx]TRACKER'!$C$3:$C$1275,$A12,'[PBMM_Master_Tracker_v2.xlsx]TRACKER'!$D$3:$D$1275,"SI",'[PBMM_Master_Tracker_v2.xlsx]TRACKER'!$G$3:$G$1275,"Accepted Exception"))/COUNTIFS('[PBMM_Master_Tracker_v2.xlsx]TRACKER'!$C$3:$C$1275,$A12,'[PBMM_Master_Tracker_v2.xlsx]TRACKER'!$D$3:$D$1275,"SI"),"")</f>
        <v/>
      </c>
    </row>
    <row r="13" ht="20" customHeight="1">
      <c r="A13" s="23" t="inlineStr">
        <is>
          <t>Microsoft-Descoped</t>
        </is>
      </c>
      <c r="B13" s="24">
        <f>IFERROR(1-(COUNTIFS('[PBMM_Master_Tracker_v2.xlsx]TRACKER'!$C$3:$C$1275,$A13,'[PBMM_Master_Tracker_v2.xlsx]TRACKER'!$D$3:$D$1275,"AC",'[PBMM_Master_Tracker_v2.xlsx]TRACKER'!$G$3:$G$1275,"Passed")+COUNTIFS('[PBMM_Master_Tracker_v2.xlsx]TRACKER'!$C$3:$C$1275,$A13,'[PBMM_Master_Tracker_v2.xlsx]TRACKER'!$D$3:$D$1275,"AC",'[PBMM_Master_Tracker_v2.xlsx]TRACKER'!$G$3:$G$1275,"Accepted Exception"))/COUNTIFS('[PBMM_Master_Tracker_v2.xlsx]TRACKER'!$C$3:$C$1275,$A13,'[PBMM_Master_Tracker_v2.xlsx]TRACKER'!$D$3:$D$1275,"AC"),"")</f>
        <v/>
      </c>
      <c r="C13" s="24">
        <f>IFERROR(1-(COUNTIFS('[PBMM_Master_Tracker_v2.xlsx]TRACKER'!$C$3:$C$1275,$A13,'[PBMM_Master_Tracker_v2.xlsx]TRACKER'!$D$3:$D$1275,"AT",'[PBMM_Master_Tracker_v2.xlsx]TRACKER'!$G$3:$G$1275,"Passed")+COUNTIFS('[PBMM_Master_Tracker_v2.xlsx]TRACKER'!$C$3:$C$1275,$A13,'[PBMM_Master_Tracker_v2.xlsx]TRACKER'!$D$3:$D$1275,"AT",'[PBMM_Master_Tracker_v2.xlsx]TRACKER'!$G$3:$G$1275,"Accepted Exception"))/COUNTIFS('[PBMM_Master_Tracker_v2.xlsx]TRACKER'!$C$3:$C$1275,$A13,'[PBMM_Master_Tracker_v2.xlsx]TRACKER'!$D$3:$D$1275,"AT"),"")</f>
        <v/>
      </c>
      <c r="D13" s="24">
        <f>IFERROR(1-(COUNTIFS('[PBMM_Master_Tracker_v2.xlsx]TRACKER'!$C$3:$C$1275,$A13,'[PBMM_Master_Tracker_v2.xlsx]TRACKER'!$D$3:$D$1275,"AU",'[PBMM_Master_Tracker_v2.xlsx]TRACKER'!$G$3:$G$1275,"Passed")+COUNTIFS('[PBMM_Master_Tracker_v2.xlsx]TRACKER'!$C$3:$C$1275,$A13,'[PBMM_Master_Tracker_v2.xlsx]TRACKER'!$D$3:$D$1275,"AU",'[PBMM_Master_Tracker_v2.xlsx]TRACKER'!$G$3:$G$1275,"Accepted Exception"))/COUNTIFS('[PBMM_Master_Tracker_v2.xlsx]TRACKER'!$C$3:$C$1275,$A13,'[PBMM_Master_Tracker_v2.xlsx]TRACKER'!$D$3:$D$1275,"AU"),"")</f>
        <v/>
      </c>
      <c r="E13" s="24">
        <f>IFERROR(1-(COUNTIFS('[PBMM_Master_Tracker_v2.xlsx]TRACKER'!$C$3:$C$1275,$A13,'[PBMM_Master_Tracker_v2.xlsx]TRACKER'!$D$3:$D$1275,"CA",'[PBMM_Master_Tracker_v2.xlsx]TRACKER'!$G$3:$G$1275,"Passed")+COUNTIFS('[PBMM_Master_Tracker_v2.xlsx]TRACKER'!$C$3:$C$1275,$A13,'[PBMM_Master_Tracker_v2.xlsx]TRACKER'!$D$3:$D$1275,"CA",'[PBMM_Master_Tracker_v2.xlsx]TRACKER'!$G$3:$G$1275,"Accepted Exception"))/COUNTIFS('[PBMM_Master_Tracker_v2.xlsx]TRACKER'!$C$3:$C$1275,$A13,'[PBMM_Master_Tracker_v2.xlsx]TRACKER'!$D$3:$D$1275,"CA"),"")</f>
        <v/>
      </c>
      <c r="F13" s="24">
        <f>IFERROR(1-(COUNTIFS('[PBMM_Master_Tracker_v2.xlsx]TRACKER'!$C$3:$C$1275,$A13,'[PBMM_Master_Tracker_v2.xlsx]TRACKER'!$D$3:$D$1275,"CM",'[PBMM_Master_Tracker_v2.xlsx]TRACKER'!$G$3:$G$1275,"Passed")+COUNTIFS('[PBMM_Master_Tracker_v2.xlsx]TRACKER'!$C$3:$C$1275,$A13,'[PBMM_Master_Tracker_v2.xlsx]TRACKER'!$D$3:$D$1275,"CM",'[PBMM_Master_Tracker_v2.xlsx]TRACKER'!$G$3:$G$1275,"Accepted Exception"))/COUNTIFS('[PBMM_Master_Tracker_v2.xlsx]TRACKER'!$C$3:$C$1275,$A13,'[PBMM_Master_Tracker_v2.xlsx]TRACKER'!$D$3:$D$1275,"CM"),"")</f>
        <v/>
      </c>
      <c r="G13" s="24">
        <f>IFERROR(1-(COUNTIFS('[PBMM_Master_Tracker_v2.xlsx]TRACKER'!$C$3:$C$1275,$A13,'[PBMM_Master_Tracker_v2.xlsx]TRACKER'!$D$3:$D$1275,"CP",'[PBMM_Master_Tracker_v2.xlsx]TRACKER'!$G$3:$G$1275,"Passed")+COUNTIFS('[PBMM_Master_Tracker_v2.xlsx]TRACKER'!$C$3:$C$1275,$A13,'[PBMM_Master_Tracker_v2.xlsx]TRACKER'!$D$3:$D$1275,"CP",'[PBMM_Master_Tracker_v2.xlsx]TRACKER'!$G$3:$G$1275,"Accepted Exception"))/COUNTIFS('[PBMM_Master_Tracker_v2.xlsx]TRACKER'!$C$3:$C$1275,$A13,'[PBMM_Master_Tracker_v2.xlsx]TRACKER'!$D$3:$D$1275,"CP"),"")</f>
        <v/>
      </c>
      <c r="H13" s="24">
        <f>IFERROR(1-(COUNTIFS('[PBMM_Master_Tracker_v2.xlsx]TRACKER'!$C$3:$C$1275,$A13,'[PBMM_Master_Tracker_v2.xlsx]TRACKER'!$D$3:$D$1275,"IA",'[PBMM_Master_Tracker_v2.xlsx]TRACKER'!$G$3:$G$1275,"Passed")+COUNTIFS('[PBMM_Master_Tracker_v2.xlsx]TRACKER'!$C$3:$C$1275,$A13,'[PBMM_Master_Tracker_v2.xlsx]TRACKER'!$D$3:$D$1275,"IA",'[PBMM_Master_Tracker_v2.xlsx]TRACKER'!$G$3:$G$1275,"Accepted Exception"))/COUNTIFS('[PBMM_Master_Tracker_v2.xlsx]TRACKER'!$C$3:$C$1275,$A13,'[PBMM_Master_Tracker_v2.xlsx]TRACKER'!$D$3:$D$1275,"IA"),"")</f>
        <v/>
      </c>
      <c r="I13" s="24">
        <f>IFERROR(1-(COUNTIFS('[PBMM_Master_Tracker_v2.xlsx]TRACKER'!$C$3:$C$1275,$A13,'[PBMM_Master_Tracker_v2.xlsx]TRACKER'!$D$3:$D$1275,"IR",'[PBMM_Master_Tracker_v2.xlsx]TRACKER'!$G$3:$G$1275,"Passed")+COUNTIFS('[PBMM_Master_Tracker_v2.xlsx]TRACKER'!$C$3:$C$1275,$A13,'[PBMM_Master_Tracker_v2.xlsx]TRACKER'!$D$3:$D$1275,"IR",'[PBMM_Master_Tracker_v2.xlsx]TRACKER'!$G$3:$G$1275,"Accepted Exception"))/COUNTIFS('[PBMM_Master_Tracker_v2.xlsx]TRACKER'!$C$3:$C$1275,$A13,'[PBMM_Master_Tracker_v2.xlsx]TRACKER'!$D$3:$D$1275,"IR"),"")</f>
        <v/>
      </c>
      <c r="J13" s="24">
        <f>IFERROR(1-(COUNTIFS('[PBMM_Master_Tracker_v2.xlsx]TRACKER'!$C$3:$C$1275,$A13,'[PBMM_Master_Tracker_v2.xlsx]TRACKER'!$D$3:$D$1275,"MA",'[PBMM_Master_Tracker_v2.xlsx]TRACKER'!$G$3:$G$1275,"Passed")+COUNTIFS('[PBMM_Master_Tracker_v2.xlsx]TRACKER'!$C$3:$C$1275,$A13,'[PBMM_Master_Tracker_v2.xlsx]TRACKER'!$D$3:$D$1275,"MA",'[PBMM_Master_Tracker_v2.xlsx]TRACKER'!$G$3:$G$1275,"Accepted Exception"))/COUNTIFS('[PBMM_Master_Tracker_v2.xlsx]TRACKER'!$C$3:$C$1275,$A13,'[PBMM_Master_Tracker_v2.xlsx]TRACKER'!$D$3:$D$1275,"MA"),"")</f>
        <v/>
      </c>
      <c r="K13" s="24">
        <f>IFERROR(1-(COUNTIFS('[PBMM_Master_Tracker_v2.xlsx]TRACKER'!$C$3:$C$1275,$A13,'[PBMM_Master_Tracker_v2.xlsx]TRACKER'!$D$3:$D$1275,"MP",'[PBMM_Master_Tracker_v2.xlsx]TRACKER'!$G$3:$G$1275,"Passed")+COUNTIFS('[PBMM_Master_Tracker_v2.xlsx]TRACKER'!$C$3:$C$1275,$A13,'[PBMM_Master_Tracker_v2.xlsx]TRACKER'!$D$3:$D$1275,"MP",'[PBMM_Master_Tracker_v2.xlsx]TRACKER'!$G$3:$G$1275,"Accepted Exception"))/COUNTIFS('[PBMM_Master_Tracker_v2.xlsx]TRACKER'!$C$3:$C$1275,$A13,'[PBMM_Master_Tracker_v2.xlsx]TRACKER'!$D$3:$D$1275,"MP"),"")</f>
        <v/>
      </c>
      <c r="L13" s="24">
        <f>IFERROR(1-(COUNTIFS('[PBMM_Master_Tracker_v2.xlsx]TRACKER'!$C$3:$C$1275,$A13,'[PBMM_Master_Tracker_v2.xlsx]TRACKER'!$D$3:$D$1275,"PE",'[PBMM_Master_Tracker_v2.xlsx]TRACKER'!$G$3:$G$1275,"Passed")+COUNTIFS('[PBMM_Master_Tracker_v2.xlsx]TRACKER'!$C$3:$C$1275,$A13,'[PBMM_Master_Tracker_v2.xlsx]TRACKER'!$D$3:$D$1275,"PE",'[PBMM_Master_Tracker_v2.xlsx]TRACKER'!$G$3:$G$1275,"Accepted Exception"))/COUNTIFS('[PBMM_Master_Tracker_v2.xlsx]TRACKER'!$C$3:$C$1275,$A13,'[PBMM_Master_Tracker_v2.xlsx]TRACKER'!$D$3:$D$1275,"PE"),"")</f>
        <v/>
      </c>
      <c r="M13" s="24">
        <f>IFERROR(1-(COUNTIFS('[PBMM_Master_Tracker_v2.xlsx]TRACKER'!$C$3:$C$1275,$A13,'[PBMM_Master_Tracker_v2.xlsx]TRACKER'!$D$3:$D$1275,"PL",'[PBMM_Master_Tracker_v2.xlsx]TRACKER'!$G$3:$G$1275,"Passed")+COUNTIFS('[PBMM_Master_Tracker_v2.xlsx]TRACKER'!$C$3:$C$1275,$A13,'[PBMM_Master_Tracker_v2.xlsx]TRACKER'!$D$3:$D$1275,"PL",'[PBMM_Master_Tracker_v2.xlsx]TRACKER'!$G$3:$G$1275,"Accepted Exception"))/COUNTIFS('[PBMM_Master_Tracker_v2.xlsx]TRACKER'!$C$3:$C$1275,$A13,'[PBMM_Master_Tracker_v2.xlsx]TRACKER'!$D$3:$D$1275,"PL"),"")</f>
        <v/>
      </c>
      <c r="N13" s="24">
        <f>IFERROR(1-(COUNTIFS('[PBMM_Master_Tracker_v2.xlsx]TRACKER'!$C$3:$C$1275,$A13,'[PBMM_Master_Tracker_v2.xlsx]TRACKER'!$D$3:$D$1275,"PS",'[PBMM_Master_Tracker_v2.xlsx]TRACKER'!$G$3:$G$1275,"Passed")+COUNTIFS('[PBMM_Master_Tracker_v2.xlsx]TRACKER'!$C$3:$C$1275,$A13,'[PBMM_Master_Tracker_v2.xlsx]TRACKER'!$D$3:$D$1275,"PS",'[PBMM_Master_Tracker_v2.xlsx]TRACKER'!$G$3:$G$1275,"Accepted Exception"))/COUNTIFS('[PBMM_Master_Tracker_v2.xlsx]TRACKER'!$C$3:$C$1275,$A13,'[PBMM_Master_Tracker_v2.xlsx]TRACKER'!$D$3:$D$1275,"PS"),"")</f>
        <v/>
      </c>
      <c r="O13" s="24">
        <f>IFERROR(1-(COUNTIFS('[PBMM_Master_Tracker_v2.xlsx]TRACKER'!$C$3:$C$1275,$A13,'[PBMM_Master_Tracker_v2.xlsx]TRACKER'!$D$3:$D$1275,"RA",'[PBMM_Master_Tracker_v2.xlsx]TRACKER'!$G$3:$G$1275,"Passed")+COUNTIFS('[PBMM_Master_Tracker_v2.xlsx]TRACKER'!$C$3:$C$1275,$A13,'[PBMM_Master_Tracker_v2.xlsx]TRACKER'!$D$3:$D$1275,"RA",'[PBMM_Master_Tracker_v2.xlsx]TRACKER'!$G$3:$G$1275,"Accepted Exception"))/COUNTIFS('[PBMM_Master_Tracker_v2.xlsx]TRACKER'!$C$3:$C$1275,$A13,'[PBMM_Master_Tracker_v2.xlsx]TRACKER'!$D$3:$D$1275,"RA"),"")</f>
        <v/>
      </c>
      <c r="P13" s="24">
        <f>IFERROR(1-(COUNTIFS('[PBMM_Master_Tracker_v2.xlsx]TRACKER'!$C$3:$C$1275,$A13,'[PBMM_Master_Tracker_v2.xlsx]TRACKER'!$D$3:$D$1275,"SA",'[PBMM_Master_Tracker_v2.xlsx]TRACKER'!$G$3:$G$1275,"Passed")+COUNTIFS('[PBMM_Master_Tracker_v2.xlsx]TRACKER'!$C$3:$C$1275,$A13,'[PBMM_Master_Tracker_v2.xlsx]TRACKER'!$D$3:$D$1275,"SA",'[PBMM_Master_Tracker_v2.xlsx]TRACKER'!$G$3:$G$1275,"Accepted Exception"))/COUNTIFS('[PBMM_Master_Tracker_v2.xlsx]TRACKER'!$C$3:$C$1275,$A13,'[PBMM_Master_Tracker_v2.xlsx]TRACKER'!$D$3:$D$1275,"SA"),"")</f>
        <v/>
      </c>
      <c r="Q13" s="24">
        <f>IFERROR(1-(COUNTIFS('[PBMM_Master_Tracker_v2.xlsx]TRACKER'!$C$3:$C$1275,$A13,'[PBMM_Master_Tracker_v2.xlsx]TRACKER'!$D$3:$D$1275,"SC",'[PBMM_Master_Tracker_v2.xlsx]TRACKER'!$G$3:$G$1275,"Passed")+COUNTIFS('[PBMM_Master_Tracker_v2.xlsx]TRACKER'!$C$3:$C$1275,$A13,'[PBMM_Master_Tracker_v2.xlsx]TRACKER'!$D$3:$D$1275,"SC",'[PBMM_Master_Tracker_v2.xlsx]TRACKER'!$G$3:$G$1275,"Accepted Exception"))/COUNTIFS('[PBMM_Master_Tracker_v2.xlsx]TRACKER'!$C$3:$C$1275,$A13,'[PBMM_Master_Tracker_v2.xlsx]TRACKER'!$D$3:$D$1275,"SC"),"")</f>
        <v/>
      </c>
      <c r="R13" s="24">
        <f>IFERROR(1-(COUNTIFS('[PBMM_Master_Tracker_v2.xlsx]TRACKER'!$C$3:$C$1275,$A13,'[PBMM_Master_Tracker_v2.xlsx]TRACKER'!$D$3:$D$1275,"SI",'[PBMM_Master_Tracker_v2.xlsx]TRACKER'!$G$3:$G$1275,"Passed")+COUNTIFS('[PBMM_Master_Tracker_v2.xlsx]TRACKER'!$C$3:$C$1275,$A13,'[PBMM_Master_Tracker_v2.xlsx]TRACKER'!$D$3:$D$1275,"SI",'[PBMM_Master_Tracker_v2.xlsx]TRACKER'!$G$3:$G$1275,"Accepted Exception"))/COUNTIFS('[PBMM_Master_Tracker_v2.xlsx]TRACKER'!$C$3:$C$1275,$A13,'[PBMM_Master_Tracker_v2.xlsx]TRACKER'!$D$3:$D$1275,"SI"),"")</f>
        <v/>
      </c>
    </row>
    <row r="14" ht="20" customHeight="1">
      <c r="A14" s="25" t="inlineStr">
        <is>
          <t>Networking</t>
        </is>
      </c>
      <c r="B14" s="26">
        <f>IFERROR(1-(COUNTIFS('[PBMM_Master_Tracker_v2.xlsx]TRACKER'!$C$3:$C$1275,$A14,'[PBMM_Master_Tracker_v2.xlsx]TRACKER'!$D$3:$D$1275,"AC",'[PBMM_Master_Tracker_v2.xlsx]TRACKER'!$G$3:$G$1275,"Passed")+COUNTIFS('[PBMM_Master_Tracker_v2.xlsx]TRACKER'!$C$3:$C$1275,$A14,'[PBMM_Master_Tracker_v2.xlsx]TRACKER'!$D$3:$D$1275,"AC",'[PBMM_Master_Tracker_v2.xlsx]TRACKER'!$G$3:$G$1275,"Accepted Exception"))/COUNTIFS('[PBMM_Master_Tracker_v2.xlsx]TRACKER'!$C$3:$C$1275,$A14,'[PBMM_Master_Tracker_v2.xlsx]TRACKER'!$D$3:$D$1275,"AC"),"")</f>
        <v/>
      </c>
      <c r="C14" s="26">
        <f>IFERROR(1-(COUNTIFS('[PBMM_Master_Tracker_v2.xlsx]TRACKER'!$C$3:$C$1275,$A14,'[PBMM_Master_Tracker_v2.xlsx]TRACKER'!$D$3:$D$1275,"AT",'[PBMM_Master_Tracker_v2.xlsx]TRACKER'!$G$3:$G$1275,"Passed")+COUNTIFS('[PBMM_Master_Tracker_v2.xlsx]TRACKER'!$C$3:$C$1275,$A14,'[PBMM_Master_Tracker_v2.xlsx]TRACKER'!$D$3:$D$1275,"AT",'[PBMM_Master_Tracker_v2.xlsx]TRACKER'!$G$3:$G$1275,"Accepted Exception"))/COUNTIFS('[PBMM_Master_Tracker_v2.xlsx]TRACKER'!$C$3:$C$1275,$A14,'[PBMM_Master_Tracker_v2.xlsx]TRACKER'!$D$3:$D$1275,"AT"),"")</f>
        <v/>
      </c>
      <c r="D14" s="26">
        <f>IFERROR(1-(COUNTIFS('[PBMM_Master_Tracker_v2.xlsx]TRACKER'!$C$3:$C$1275,$A14,'[PBMM_Master_Tracker_v2.xlsx]TRACKER'!$D$3:$D$1275,"AU",'[PBMM_Master_Tracker_v2.xlsx]TRACKER'!$G$3:$G$1275,"Passed")+COUNTIFS('[PBMM_Master_Tracker_v2.xlsx]TRACKER'!$C$3:$C$1275,$A14,'[PBMM_Master_Tracker_v2.xlsx]TRACKER'!$D$3:$D$1275,"AU",'[PBMM_Master_Tracker_v2.xlsx]TRACKER'!$G$3:$G$1275,"Accepted Exception"))/COUNTIFS('[PBMM_Master_Tracker_v2.xlsx]TRACKER'!$C$3:$C$1275,$A14,'[PBMM_Master_Tracker_v2.xlsx]TRACKER'!$D$3:$D$1275,"AU"),"")</f>
        <v/>
      </c>
      <c r="E14" s="26">
        <f>IFERROR(1-(COUNTIFS('[PBMM_Master_Tracker_v2.xlsx]TRACKER'!$C$3:$C$1275,$A14,'[PBMM_Master_Tracker_v2.xlsx]TRACKER'!$D$3:$D$1275,"CA",'[PBMM_Master_Tracker_v2.xlsx]TRACKER'!$G$3:$G$1275,"Passed")+COUNTIFS('[PBMM_Master_Tracker_v2.xlsx]TRACKER'!$C$3:$C$1275,$A14,'[PBMM_Master_Tracker_v2.xlsx]TRACKER'!$D$3:$D$1275,"CA",'[PBMM_Master_Tracker_v2.xlsx]TRACKER'!$G$3:$G$1275,"Accepted Exception"))/COUNTIFS('[PBMM_Master_Tracker_v2.xlsx]TRACKER'!$C$3:$C$1275,$A14,'[PBMM_Master_Tracker_v2.xlsx]TRACKER'!$D$3:$D$1275,"CA"),"")</f>
        <v/>
      </c>
      <c r="F14" s="26">
        <f>IFERROR(1-(COUNTIFS('[PBMM_Master_Tracker_v2.xlsx]TRACKER'!$C$3:$C$1275,$A14,'[PBMM_Master_Tracker_v2.xlsx]TRACKER'!$D$3:$D$1275,"CM",'[PBMM_Master_Tracker_v2.xlsx]TRACKER'!$G$3:$G$1275,"Passed")+COUNTIFS('[PBMM_Master_Tracker_v2.xlsx]TRACKER'!$C$3:$C$1275,$A14,'[PBMM_Master_Tracker_v2.xlsx]TRACKER'!$D$3:$D$1275,"CM",'[PBMM_Master_Tracker_v2.xlsx]TRACKER'!$G$3:$G$1275,"Accepted Exception"))/COUNTIFS('[PBMM_Master_Tracker_v2.xlsx]TRACKER'!$C$3:$C$1275,$A14,'[PBMM_Master_Tracker_v2.xlsx]TRACKER'!$D$3:$D$1275,"CM"),"")</f>
        <v/>
      </c>
      <c r="G14" s="26">
        <f>IFERROR(1-(COUNTIFS('[PBMM_Master_Tracker_v2.xlsx]TRACKER'!$C$3:$C$1275,$A14,'[PBMM_Master_Tracker_v2.xlsx]TRACKER'!$D$3:$D$1275,"CP",'[PBMM_Master_Tracker_v2.xlsx]TRACKER'!$G$3:$G$1275,"Passed")+COUNTIFS('[PBMM_Master_Tracker_v2.xlsx]TRACKER'!$C$3:$C$1275,$A14,'[PBMM_Master_Tracker_v2.xlsx]TRACKER'!$D$3:$D$1275,"CP",'[PBMM_Master_Tracker_v2.xlsx]TRACKER'!$G$3:$G$1275,"Accepted Exception"))/COUNTIFS('[PBMM_Master_Tracker_v2.xlsx]TRACKER'!$C$3:$C$1275,$A14,'[PBMM_Master_Tracker_v2.xlsx]TRACKER'!$D$3:$D$1275,"CP"),"")</f>
        <v/>
      </c>
      <c r="H14" s="26">
        <f>IFERROR(1-(COUNTIFS('[PBMM_Master_Tracker_v2.xlsx]TRACKER'!$C$3:$C$1275,$A14,'[PBMM_Master_Tracker_v2.xlsx]TRACKER'!$D$3:$D$1275,"IA",'[PBMM_Master_Tracker_v2.xlsx]TRACKER'!$G$3:$G$1275,"Passed")+COUNTIFS('[PBMM_Master_Tracker_v2.xlsx]TRACKER'!$C$3:$C$1275,$A14,'[PBMM_Master_Tracker_v2.xlsx]TRACKER'!$D$3:$D$1275,"IA",'[PBMM_Master_Tracker_v2.xlsx]TRACKER'!$G$3:$G$1275,"Accepted Exception"))/COUNTIFS('[PBMM_Master_Tracker_v2.xlsx]TRACKER'!$C$3:$C$1275,$A14,'[PBMM_Master_Tracker_v2.xlsx]TRACKER'!$D$3:$D$1275,"IA"),"")</f>
        <v/>
      </c>
      <c r="I14" s="26">
        <f>IFERROR(1-(COUNTIFS('[PBMM_Master_Tracker_v2.xlsx]TRACKER'!$C$3:$C$1275,$A14,'[PBMM_Master_Tracker_v2.xlsx]TRACKER'!$D$3:$D$1275,"IR",'[PBMM_Master_Tracker_v2.xlsx]TRACKER'!$G$3:$G$1275,"Passed")+COUNTIFS('[PBMM_Master_Tracker_v2.xlsx]TRACKER'!$C$3:$C$1275,$A14,'[PBMM_Master_Tracker_v2.xlsx]TRACKER'!$D$3:$D$1275,"IR",'[PBMM_Master_Tracker_v2.xlsx]TRACKER'!$G$3:$G$1275,"Accepted Exception"))/COUNTIFS('[PBMM_Master_Tracker_v2.xlsx]TRACKER'!$C$3:$C$1275,$A14,'[PBMM_Master_Tracker_v2.xlsx]TRACKER'!$D$3:$D$1275,"IR"),"")</f>
        <v/>
      </c>
      <c r="J14" s="26">
        <f>IFERROR(1-(COUNTIFS('[PBMM_Master_Tracker_v2.xlsx]TRACKER'!$C$3:$C$1275,$A14,'[PBMM_Master_Tracker_v2.xlsx]TRACKER'!$D$3:$D$1275,"MA",'[PBMM_Master_Tracker_v2.xlsx]TRACKER'!$G$3:$G$1275,"Passed")+COUNTIFS('[PBMM_Master_Tracker_v2.xlsx]TRACKER'!$C$3:$C$1275,$A14,'[PBMM_Master_Tracker_v2.xlsx]TRACKER'!$D$3:$D$1275,"MA",'[PBMM_Master_Tracker_v2.xlsx]TRACKER'!$G$3:$G$1275,"Accepted Exception"))/COUNTIFS('[PBMM_Master_Tracker_v2.xlsx]TRACKER'!$C$3:$C$1275,$A14,'[PBMM_Master_Tracker_v2.xlsx]TRACKER'!$D$3:$D$1275,"MA"),"")</f>
        <v/>
      </c>
      <c r="K14" s="26">
        <f>IFERROR(1-(COUNTIFS('[PBMM_Master_Tracker_v2.xlsx]TRACKER'!$C$3:$C$1275,$A14,'[PBMM_Master_Tracker_v2.xlsx]TRACKER'!$D$3:$D$1275,"MP",'[PBMM_Master_Tracker_v2.xlsx]TRACKER'!$G$3:$G$1275,"Passed")+COUNTIFS('[PBMM_Master_Tracker_v2.xlsx]TRACKER'!$C$3:$C$1275,$A14,'[PBMM_Master_Tracker_v2.xlsx]TRACKER'!$D$3:$D$1275,"MP",'[PBMM_Master_Tracker_v2.xlsx]TRACKER'!$G$3:$G$1275,"Accepted Exception"))/COUNTIFS('[PBMM_Master_Tracker_v2.xlsx]TRACKER'!$C$3:$C$1275,$A14,'[PBMM_Master_Tracker_v2.xlsx]TRACKER'!$D$3:$D$1275,"MP"),"")</f>
        <v/>
      </c>
      <c r="L14" s="26">
        <f>IFERROR(1-(COUNTIFS('[PBMM_Master_Tracker_v2.xlsx]TRACKER'!$C$3:$C$1275,$A14,'[PBMM_Master_Tracker_v2.xlsx]TRACKER'!$D$3:$D$1275,"PE",'[PBMM_Master_Tracker_v2.xlsx]TRACKER'!$G$3:$G$1275,"Passed")+COUNTIFS('[PBMM_Master_Tracker_v2.xlsx]TRACKER'!$C$3:$C$1275,$A14,'[PBMM_Master_Tracker_v2.xlsx]TRACKER'!$D$3:$D$1275,"PE",'[PBMM_Master_Tracker_v2.xlsx]TRACKER'!$G$3:$G$1275,"Accepted Exception"))/COUNTIFS('[PBMM_Master_Tracker_v2.xlsx]TRACKER'!$C$3:$C$1275,$A14,'[PBMM_Master_Tracker_v2.xlsx]TRACKER'!$D$3:$D$1275,"PE"),"")</f>
        <v/>
      </c>
      <c r="M14" s="26">
        <f>IFERROR(1-(COUNTIFS('[PBMM_Master_Tracker_v2.xlsx]TRACKER'!$C$3:$C$1275,$A14,'[PBMM_Master_Tracker_v2.xlsx]TRACKER'!$D$3:$D$1275,"PL",'[PBMM_Master_Tracker_v2.xlsx]TRACKER'!$G$3:$G$1275,"Passed")+COUNTIFS('[PBMM_Master_Tracker_v2.xlsx]TRACKER'!$C$3:$C$1275,$A14,'[PBMM_Master_Tracker_v2.xlsx]TRACKER'!$D$3:$D$1275,"PL",'[PBMM_Master_Tracker_v2.xlsx]TRACKER'!$G$3:$G$1275,"Accepted Exception"))/COUNTIFS('[PBMM_Master_Tracker_v2.xlsx]TRACKER'!$C$3:$C$1275,$A14,'[PBMM_Master_Tracker_v2.xlsx]TRACKER'!$D$3:$D$1275,"PL"),"")</f>
        <v/>
      </c>
      <c r="N14" s="26">
        <f>IFERROR(1-(COUNTIFS('[PBMM_Master_Tracker_v2.xlsx]TRACKER'!$C$3:$C$1275,$A14,'[PBMM_Master_Tracker_v2.xlsx]TRACKER'!$D$3:$D$1275,"PS",'[PBMM_Master_Tracker_v2.xlsx]TRACKER'!$G$3:$G$1275,"Passed")+COUNTIFS('[PBMM_Master_Tracker_v2.xlsx]TRACKER'!$C$3:$C$1275,$A14,'[PBMM_Master_Tracker_v2.xlsx]TRACKER'!$D$3:$D$1275,"PS",'[PBMM_Master_Tracker_v2.xlsx]TRACKER'!$G$3:$G$1275,"Accepted Exception"))/COUNTIFS('[PBMM_Master_Tracker_v2.xlsx]TRACKER'!$C$3:$C$1275,$A14,'[PBMM_Master_Tracker_v2.xlsx]TRACKER'!$D$3:$D$1275,"PS"),"")</f>
        <v/>
      </c>
      <c r="O14" s="26">
        <f>IFERROR(1-(COUNTIFS('[PBMM_Master_Tracker_v2.xlsx]TRACKER'!$C$3:$C$1275,$A14,'[PBMM_Master_Tracker_v2.xlsx]TRACKER'!$D$3:$D$1275,"RA",'[PBMM_Master_Tracker_v2.xlsx]TRACKER'!$G$3:$G$1275,"Passed")+COUNTIFS('[PBMM_Master_Tracker_v2.xlsx]TRACKER'!$C$3:$C$1275,$A14,'[PBMM_Master_Tracker_v2.xlsx]TRACKER'!$D$3:$D$1275,"RA",'[PBMM_Master_Tracker_v2.xlsx]TRACKER'!$G$3:$G$1275,"Accepted Exception"))/COUNTIFS('[PBMM_Master_Tracker_v2.xlsx]TRACKER'!$C$3:$C$1275,$A14,'[PBMM_Master_Tracker_v2.xlsx]TRACKER'!$D$3:$D$1275,"RA"),"")</f>
        <v/>
      </c>
      <c r="P14" s="26">
        <f>IFERROR(1-(COUNTIFS('[PBMM_Master_Tracker_v2.xlsx]TRACKER'!$C$3:$C$1275,$A14,'[PBMM_Master_Tracker_v2.xlsx]TRACKER'!$D$3:$D$1275,"SA",'[PBMM_Master_Tracker_v2.xlsx]TRACKER'!$G$3:$G$1275,"Passed")+COUNTIFS('[PBMM_Master_Tracker_v2.xlsx]TRACKER'!$C$3:$C$1275,$A14,'[PBMM_Master_Tracker_v2.xlsx]TRACKER'!$D$3:$D$1275,"SA",'[PBMM_Master_Tracker_v2.xlsx]TRACKER'!$G$3:$G$1275,"Accepted Exception"))/COUNTIFS('[PBMM_Master_Tracker_v2.xlsx]TRACKER'!$C$3:$C$1275,$A14,'[PBMM_Master_Tracker_v2.xlsx]TRACKER'!$D$3:$D$1275,"SA"),"")</f>
        <v/>
      </c>
      <c r="Q14" s="26">
        <f>IFERROR(1-(COUNTIFS('[PBMM_Master_Tracker_v2.xlsx]TRACKER'!$C$3:$C$1275,$A14,'[PBMM_Master_Tracker_v2.xlsx]TRACKER'!$D$3:$D$1275,"SC",'[PBMM_Master_Tracker_v2.xlsx]TRACKER'!$G$3:$G$1275,"Passed")+COUNTIFS('[PBMM_Master_Tracker_v2.xlsx]TRACKER'!$C$3:$C$1275,$A14,'[PBMM_Master_Tracker_v2.xlsx]TRACKER'!$D$3:$D$1275,"SC",'[PBMM_Master_Tracker_v2.xlsx]TRACKER'!$G$3:$G$1275,"Accepted Exception"))/COUNTIFS('[PBMM_Master_Tracker_v2.xlsx]TRACKER'!$C$3:$C$1275,$A14,'[PBMM_Master_Tracker_v2.xlsx]TRACKER'!$D$3:$D$1275,"SC"),"")</f>
        <v/>
      </c>
      <c r="R14" s="26">
        <f>IFERROR(1-(COUNTIFS('[PBMM_Master_Tracker_v2.xlsx]TRACKER'!$C$3:$C$1275,$A14,'[PBMM_Master_Tracker_v2.xlsx]TRACKER'!$D$3:$D$1275,"SI",'[PBMM_Master_Tracker_v2.xlsx]TRACKER'!$G$3:$G$1275,"Passed")+COUNTIFS('[PBMM_Master_Tracker_v2.xlsx]TRACKER'!$C$3:$C$1275,$A14,'[PBMM_Master_Tracker_v2.xlsx]TRACKER'!$D$3:$D$1275,"SI",'[PBMM_Master_Tracker_v2.xlsx]TRACKER'!$G$3:$G$1275,"Accepted Exception"))/COUNTIFS('[PBMM_Master_Tracker_v2.xlsx]TRACKER'!$C$3:$C$1275,$A14,'[PBMM_Master_Tracker_v2.xlsx]TRACKER'!$D$3:$D$1275,"SI"),"")</f>
        <v/>
      </c>
    </row>
    <row r="15" ht="20" customHeight="1">
      <c r="A15" s="23" t="inlineStr">
        <is>
          <t>Palo Alto Firewalls</t>
        </is>
      </c>
      <c r="B15" s="24">
        <f>IFERROR(1-(COUNTIFS('[PBMM_Master_Tracker_v2.xlsx]TRACKER'!$C$3:$C$1275,$A15,'[PBMM_Master_Tracker_v2.xlsx]TRACKER'!$D$3:$D$1275,"AC",'[PBMM_Master_Tracker_v2.xlsx]TRACKER'!$G$3:$G$1275,"Passed")+COUNTIFS('[PBMM_Master_Tracker_v2.xlsx]TRACKER'!$C$3:$C$1275,$A15,'[PBMM_Master_Tracker_v2.xlsx]TRACKER'!$D$3:$D$1275,"AC",'[PBMM_Master_Tracker_v2.xlsx]TRACKER'!$G$3:$G$1275,"Accepted Exception"))/COUNTIFS('[PBMM_Master_Tracker_v2.xlsx]TRACKER'!$C$3:$C$1275,$A15,'[PBMM_Master_Tracker_v2.xlsx]TRACKER'!$D$3:$D$1275,"AC"),"")</f>
        <v/>
      </c>
      <c r="C15" s="24">
        <f>IFERROR(1-(COUNTIFS('[PBMM_Master_Tracker_v2.xlsx]TRACKER'!$C$3:$C$1275,$A15,'[PBMM_Master_Tracker_v2.xlsx]TRACKER'!$D$3:$D$1275,"AT",'[PBMM_Master_Tracker_v2.xlsx]TRACKER'!$G$3:$G$1275,"Passed")+COUNTIFS('[PBMM_Master_Tracker_v2.xlsx]TRACKER'!$C$3:$C$1275,$A15,'[PBMM_Master_Tracker_v2.xlsx]TRACKER'!$D$3:$D$1275,"AT",'[PBMM_Master_Tracker_v2.xlsx]TRACKER'!$G$3:$G$1275,"Accepted Exception"))/COUNTIFS('[PBMM_Master_Tracker_v2.xlsx]TRACKER'!$C$3:$C$1275,$A15,'[PBMM_Master_Tracker_v2.xlsx]TRACKER'!$D$3:$D$1275,"AT"),"")</f>
        <v/>
      </c>
      <c r="D15" s="24">
        <f>IFERROR(1-(COUNTIFS('[PBMM_Master_Tracker_v2.xlsx]TRACKER'!$C$3:$C$1275,$A15,'[PBMM_Master_Tracker_v2.xlsx]TRACKER'!$D$3:$D$1275,"AU",'[PBMM_Master_Tracker_v2.xlsx]TRACKER'!$G$3:$G$1275,"Passed")+COUNTIFS('[PBMM_Master_Tracker_v2.xlsx]TRACKER'!$C$3:$C$1275,$A15,'[PBMM_Master_Tracker_v2.xlsx]TRACKER'!$D$3:$D$1275,"AU",'[PBMM_Master_Tracker_v2.xlsx]TRACKER'!$G$3:$G$1275,"Accepted Exception"))/COUNTIFS('[PBMM_Master_Tracker_v2.xlsx]TRACKER'!$C$3:$C$1275,$A15,'[PBMM_Master_Tracker_v2.xlsx]TRACKER'!$D$3:$D$1275,"AU"),"")</f>
        <v/>
      </c>
      <c r="E15" s="24">
        <f>IFERROR(1-(COUNTIFS('[PBMM_Master_Tracker_v2.xlsx]TRACKER'!$C$3:$C$1275,$A15,'[PBMM_Master_Tracker_v2.xlsx]TRACKER'!$D$3:$D$1275,"CA",'[PBMM_Master_Tracker_v2.xlsx]TRACKER'!$G$3:$G$1275,"Passed")+COUNTIFS('[PBMM_Master_Tracker_v2.xlsx]TRACKER'!$C$3:$C$1275,$A15,'[PBMM_Master_Tracker_v2.xlsx]TRACKER'!$D$3:$D$1275,"CA",'[PBMM_Master_Tracker_v2.xlsx]TRACKER'!$G$3:$G$1275,"Accepted Exception"))/COUNTIFS('[PBMM_Master_Tracker_v2.xlsx]TRACKER'!$C$3:$C$1275,$A15,'[PBMM_Master_Tracker_v2.xlsx]TRACKER'!$D$3:$D$1275,"CA"),"")</f>
        <v/>
      </c>
      <c r="F15" s="24">
        <f>IFERROR(1-(COUNTIFS('[PBMM_Master_Tracker_v2.xlsx]TRACKER'!$C$3:$C$1275,$A15,'[PBMM_Master_Tracker_v2.xlsx]TRACKER'!$D$3:$D$1275,"CM",'[PBMM_Master_Tracker_v2.xlsx]TRACKER'!$G$3:$G$1275,"Passed")+COUNTIFS('[PBMM_Master_Tracker_v2.xlsx]TRACKER'!$C$3:$C$1275,$A15,'[PBMM_Master_Tracker_v2.xlsx]TRACKER'!$D$3:$D$1275,"CM",'[PBMM_Master_Tracker_v2.xlsx]TRACKER'!$G$3:$G$1275,"Accepted Exception"))/COUNTIFS('[PBMM_Master_Tracker_v2.xlsx]TRACKER'!$C$3:$C$1275,$A15,'[PBMM_Master_Tracker_v2.xlsx]TRACKER'!$D$3:$D$1275,"CM"),"")</f>
        <v/>
      </c>
      <c r="G15" s="24">
        <f>IFERROR(1-(COUNTIFS('[PBMM_Master_Tracker_v2.xlsx]TRACKER'!$C$3:$C$1275,$A15,'[PBMM_Master_Tracker_v2.xlsx]TRACKER'!$D$3:$D$1275,"CP",'[PBMM_Master_Tracker_v2.xlsx]TRACKER'!$G$3:$G$1275,"Passed")+COUNTIFS('[PBMM_Master_Tracker_v2.xlsx]TRACKER'!$C$3:$C$1275,$A15,'[PBMM_Master_Tracker_v2.xlsx]TRACKER'!$D$3:$D$1275,"CP",'[PBMM_Master_Tracker_v2.xlsx]TRACKER'!$G$3:$G$1275,"Accepted Exception"))/COUNTIFS('[PBMM_Master_Tracker_v2.xlsx]TRACKER'!$C$3:$C$1275,$A15,'[PBMM_Master_Tracker_v2.xlsx]TRACKER'!$D$3:$D$1275,"CP"),"")</f>
        <v/>
      </c>
      <c r="H15" s="24">
        <f>IFERROR(1-(COUNTIFS('[PBMM_Master_Tracker_v2.xlsx]TRACKER'!$C$3:$C$1275,$A15,'[PBMM_Master_Tracker_v2.xlsx]TRACKER'!$D$3:$D$1275,"IA",'[PBMM_Master_Tracker_v2.xlsx]TRACKER'!$G$3:$G$1275,"Passed")+COUNTIFS('[PBMM_Master_Tracker_v2.xlsx]TRACKER'!$C$3:$C$1275,$A15,'[PBMM_Master_Tracker_v2.xlsx]TRACKER'!$D$3:$D$1275,"IA",'[PBMM_Master_Tracker_v2.xlsx]TRACKER'!$G$3:$G$1275,"Accepted Exception"))/COUNTIFS('[PBMM_Master_Tracker_v2.xlsx]TRACKER'!$C$3:$C$1275,$A15,'[PBMM_Master_Tracker_v2.xlsx]TRACKER'!$D$3:$D$1275,"IA"),"")</f>
        <v/>
      </c>
      <c r="I15" s="24">
        <f>IFERROR(1-(COUNTIFS('[PBMM_Master_Tracker_v2.xlsx]TRACKER'!$C$3:$C$1275,$A15,'[PBMM_Master_Tracker_v2.xlsx]TRACKER'!$D$3:$D$1275,"IR",'[PBMM_Master_Tracker_v2.xlsx]TRACKER'!$G$3:$G$1275,"Passed")+COUNTIFS('[PBMM_Master_Tracker_v2.xlsx]TRACKER'!$C$3:$C$1275,$A15,'[PBMM_Master_Tracker_v2.xlsx]TRACKER'!$D$3:$D$1275,"IR",'[PBMM_Master_Tracker_v2.xlsx]TRACKER'!$G$3:$G$1275,"Accepted Exception"))/COUNTIFS('[PBMM_Master_Tracker_v2.xlsx]TRACKER'!$C$3:$C$1275,$A15,'[PBMM_Master_Tracker_v2.xlsx]TRACKER'!$D$3:$D$1275,"IR"),"")</f>
        <v/>
      </c>
      <c r="J15" s="24">
        <f>IFERROR(1-(COUNTIFS('[PBMM_Master_Tracker_v2.xlsx]TRACKER'!$C$3:$C$1275,$A15,'[PBMM_Master_Tracker_v2.xlsx]TRACKER'!$D$3:$D$1275,"MA",'[PBMM_Master_Tracker_v2.xlsx]TRACKER'!$G$3:$G$1275,"Passed")+COUNTIFS('[PBMM_Master_Tracker_v2.xlsx]TRACKER'!$C$3:$C$1275,$A15,'[PBMM_Master_Tracker_v2.xlsx]TRACKER'!$D$3:$D$1275,"MA",'[PBMM_Master_Tracker_v2.xlsx]TRACKER'!$G$3:$G$1275,"Accepted Exception"))/COUNTIFS('[PBMM_Master_Tracker_v2.xlsx]TRACKER'!$C$3:$C$1275,$A15,'[PBMM_Master_Tracker_v2.xlsx]TRACKER'!$D$3:$D$1275,"MA"),"")</f>
        <v/>
      </c>
      <c r="K15" s="24">
        <f>IFERROR(1-(COUNTIFS('[PBMM_Master_Tracker_v2.xlsx]TRACKER'!$C$3:$C$1275,$A15,'[PBMM_Master_Tracker_v2.xlsx]TRACKER'!$D$3:$D$1275,"MP",'[PBMM_Master_Tracker_v2.xlsx]TRACKER'!$G$3:$G$1275,"Passed")+COUNTIFS('[PBMM_Master_Tracker_v2.xlsx]TRACKER'!$C$3:$C$1275,$A15,'[PBMM_Master_Tracker_v2.xlsx]TRACKER'!$D$3:$D$1275,"MP",'[PBMM_Master_Tracker_v2.xlsx]TRACKER'!$G$3:$G$1275,"Accepted Exception"))/COUNTIFS('[PBMM_Master_Tracker_v2.xlsx]TRACKER'!$C$3:$C$1275,$A15,'[PBMM_Master_Tracker_v2.xlsx]TRACKER'!$D$3:$D$1275,"MP"),"")</f>
        <v/>
      </c>
      <c r="L15" s="24">
        <f>IFERROR(1-(COUNTIFS('[PBMM_Master_Tracker_v2.xlsx]TRACKER'!$C$3:$C$1275,$A15,'[PBMM_Master_Tracker_v2.xlsx]TRACKER'!$D$3:$D$1275,"PE",'[PBMM_Master_Tracker_v2.xlsx]TRACKER'!$G$3:$G$1275,"Passed")+COUNTIFS('[PBMM_Master_Tracker_v2.xlsx]TRACKER'!$C$3:$C$1275,$A15,'[PBMM_Master_Tracker_v2.xlsx]TRACKER'!$D$3:$D$1275,"PE",'[PBMM_Master_Tracker_v2.xlsx]TRACKER'!$G$3:$G$1275,"Accepted Exception"))/COUNTIFS('[PBMM_Master_Tracker_v2.xlsx]TRACKER'!$C$3:$C$1275,$A15,'[PBMM_Master_Tracker_v2.xlsx]TRACKER'!$D$3:$D$1275,"PE"),"")</f>
        <v/>
      </c>
      <c r="M15" s="24">
        <f>IFERROR(1-(COUNTIFS('[PBMM_Master_Tracker_v2.xlsx]TRACKER'!$C$3:$C$1275,$A15,'[PBMM_Master_Tracker_v2.xlsx]TRACKER'!$D$3:$D$1275,"PL",'[PBMM_Master_Tracker_v2.xlsx]TRACKER'!$G$3:$G$1275,"Passed")+COUNTIFS('[PBMM_Master_Tracker_v2.xlsx]TRACKER'!$C$3:$C$1275,$A15,'[PBMM_Master_Tracker_v2.xlsx]TRACKER'!$D$3:$D$1275,"PL",'[PBMM_Master_Tracker_v2.xlsx]TRACKER'!$G$3:$G$1275,"Accepted Exception"))/COUNTIFS('[PBMM_Master_Tracker_v2.xlsx]TRACKER'!$C$3:$C$1275,$A15,'[PBMM_Master_Tracker_v2.xlsx]TRACKER'!$D$3:$D$1275,"PL"),"")</f>
        <v/>
      </c>
      <c r="N15" s="24">
        <f>IFERROR(1-(COUNTIFS('[PBMM_Master_Tracker_v2.xlsx]TRACKER'!$C$3:$C$1275,$A15,'[PBMM_Master_Tracker_v2.xlsx]TRACKER'!$D$3:$D$1275,"PS",'[PBMM_Master_Tracker_v2.xlsx]TRACKER'!$G$3:$G$1275,"Passed")+COUNTIFS('[PBMM_Master_Tracker_v2.xlsx]TRACKER'!$C$3:$C$1275,$A15,'[PBMM_Master_Tracker_v2.xlsx]TRACKER'!$D$3:$D$1275,"PS",'[PBMM_Master_Tracker_v2.xlsx]TRACKER'!$G$3:$G$1275,"Accepted Exception"))/COUNTIFS('[PBMM_Master_Tracker_v2.xlsx]TRACKER'!$C$3:$C$1275,$A15,'[PBMM_Master_Tracker_v2.xlsx]TRACKER'!$D$3:$D$1275,"PS"),"")</f>
        <v/>
      </c>
      <c r="O15" s="24">
        <f>IFERROR(1-(COUNTIFS('[PBMM_Master_Tracker_v2.xlsx]TRACKER'!$C$3:$C$1275,$A15,'[PBMM_Master_Tracker_v2.xlsx]TRACKER'!$D$3:$D$1275,"RA",'[PBMM_Master_Tracker_v2.xlsx]TRACKER'!$G$3:$G$1275,"Passed")+COUNTIFS('[PBMM_Master_Tracker_v2.xlsx]TRACKER'!$C$3:$C$1275,$A15,'[PBMM_Master_Tracker_v2.xlsx]TRACKER'!$D$3:$D$1275,"RA",'[PBMM_Master_Tracker_v2.xlsx]TRACKER'!$G$3:$G$1275,"Accepted Exception"))/COUNTIFS('[PBMM_Master_Tracker_v2.xlsx]TRACKER'!$C$3:$C$1275,$A15,'[PBMM_Master_Tracker_v2.xlsx]TRACKER'!$D$3:$D$1275,"RA"),"")</f>
        <v/>
      </c>
      <c r="P15" s="24">
        <f>IFERROR(1-(COUNTIFS('[PBMM_Master_Tracker_v2.xlsx]TRACKER'!$C$3:$C$1275,$A15,'[PBMM_Master_Tracker_v2.xlsx]TRACKER'!$D$3:$D$1275,"SA",'[PBMM_Master_Tracker_v2.xlsx]TRACKER'!$G$3:$G$1275,"Passed")+COUNTIFS('[PBMM_Master_Tracker_v2.xlsx]TRACKER'!$C$3:$C$1275,$A15,'[PBMM_Master_Tracker_v2.xlsx]TRACKER'!$D$3:$D$1275,"SA",'[PBMM_Master_Tracker_v2.xlsx]TRACKER'!$G$3:$G$1275,"Accepted Exception"))/COUNTIFS('[PBMM_Master_Tracker_v2.xlsx]TRACKER'!$C$3:$C$1275,$A15,'[PBMM_Master_Tracker_v2.xlsx]TRACKER'!$D$3:$D$1275,"SA"),"")</f>
        <v/>
      </c>
      <c r="Q15" s="24">
        <f>IFERROR(1-(COUNTIFS('[PBMM_Master_Tracker_v2.xlsx]TRACKER'!$C$3:$C$1275,$A15,'[PBMM_Master_Tracker_v2.xlsx]TRACKER'!$D$3:$D$1275,"SC",'[PBMM_Master_Tracker_v2.xlsx]TRACKER'!$G$3:$G$1275,"Passed")+COUNTIFS('[PBMM_Master_Tracker_v2.xlsx]TRACKER'!$C$3:$C$1275,$A15,'[PBMM_Master_Tracker_v2.xlsx]TRACKER'!$D$3:$D$1275,"SC",'[PBMM_Master_Tracker_v2.xlsx]TRACKER'!$G$3:$G$1275,"Accepted Exception"))/COUNTIFS('[PBMM_Master_Tracker_v2.xlsx]TRACKER'!$C$3:$C$1275,$A15,'[PBMM_Master_Tracker_v2.xlsx]TRACKER'!$D$3:$D$1275,"SC"),"")</f>
        <v/>
      </c>
      <c r="R15" s="24">
        <f>IFERROR(1-(COUNTIFS('[PBMM_Master_Tracker_v2.xlsx]TRACKER'!$C$3:$C$1275,$A15,'[PBMM_Master_Tracker_v2.xlsx]TRACKER'!$D$3:$D$1275,"SI",'[PBMM_Master_Tracker_v2.xlsx]TRACKER'!$G$3:$G$1275,"Passed")+COUNTIFS('[PBMM_Master_Tracker_v2.xlsx]TRACKER'!$C$3:$C$1275,$A15,'[PBMM_Master_Tracker_v2.xlsx]TRACKER'!$D$3:$D$1275,"SI",'[PBMM_Master_Tracker_v2.xlsx]TRACKER'!$G$3:$G$1275,"Accepted Exception"))/COUNTIFS('[PBMM_Master_Tracker_v2.xlsx]TRACKER'!$C$3:$C$1275,$A15,'[PBMM_Master_Tracker_v2.xlsx]TRACKER'!$D$3:$D$1275,"SI"),"")</f>
        <v/>
      </c>
    </row>
    <row r="16" ht="20" customHeight="1">
      <c r="A16" s="25" t="inlineStr">
        <is>
          <t>Panorama</t>
        </is>
      </c>
      <c r="B16" s="26">
        <f>IFERROR(1-(COUNTIFS('[PBMM_Master_Tracker_v2.xlsx]TRACKER'!$C$3:$C$1275,$A16,'[PBMM_Master_Tracker_v2.xlsx]TRACKER'!$D$3:$D$1275,"AC",'[PBMM_Master_Tracker_v2.xlsx]TRACKER'!$G$3:$G$1275,"Passed")+COUNTIFS('[PBMM_Master_Tracker_v2.xlsx]TRACKER'!$C$3:$C$1275,$A16,'[PBMM_Master_Tracker_v2.xlsx]TRACKER'!$D$3:$D$1275,"AC",'[PBMM_Master_Tracker_v2.xlsx]TRACKER'!$G$3:$G$1275,"Accepted Exception"))/COUNTIFS('[PBMM_Master_Tracker_v2.xlsx]TRACKER'!$C$3:$C$1275,$A16,'[PBMM_Master_Tracker_v2.xlsx]TRACKER'!$D$3:$D$1275,"AC"),"")</f>
        <v/>
      </c>
      <c r="C16" s="26">
        <f>IFERROR(1-(COUNTIFS('[PBMM_Master_Tracker_v2.xlsx]TRACKER'!$C$3:$C$1275,$A16,'[PBMM_Master_Tracker_v2.xlsx]TRACKER'!$D$3:$D$1275,"AT",'[PBMM_Master_Tracker_v2.xlsx]TRACKER'!$G$3:$G$1275,"Passed")+COUNTIFS('[PBMM_Master_Tracker_v2.xlsx]TRACKER'!$C$3:$C$1275,$A16,'[PBMM_Master_Tracker_v2.xlsx]TRACKER'!$D$3:$D$1275,"AT",'[PBMM_Master_Tracker_v2.xlsx]TRACKER'!$G$3:$G$1275,"Accepted Exception"))/COUNTIFS('[PBMM_Master_Tracker_v2.xlsx]TRACKER'!$C$3:$C$1275,$A16,'[PBMM_Master_Tracker_v2.xlsx]TRACKER'!$D$3:$D$1275,"AT"),"")</f>
        <v/>
      </c>
      <c r="D16" s="26">
        <f>IFERROR(1-(COUNTIFS('[PBMM_Master_Tracker_v2.xlsx]TRACKER'!$C$3:$C$1275,$A16,'[PBMM_Master_Tracker_v2.xlsx]TRACKER'!$D$3:$D$1275,"AU",'[PBMM_Master_Tracker_v2.xlsx]TRACKER'!$G$3:$G$1275,"Passed")+COUNTIFS('[PBMM_Master_Tracker_v2.xlsx]TRACKER'!$C$3:$C$1275,$A16,'[PBMM_Master_Tracker_v2.xlsx]TRACKER'!$D$3:$D$1275,"AU",'[PBMM_Master_Tracker_v2.xlsx]TRACKER'!$G$3:$G$1275,"Accepted Exception"))/COUNTIFS('[PBMM_Master_Tracker_v2.xlsx]TRACKER'!$C$3:$C$1275,$A16,'[PBMM_Master_Tracker_v2.xlsx]TRACKER'!$D$3:$D$1275,"AU"),"")</f>
        <v/>
      </c>
      <c r="E16" s="26">
        <f>IFERROR(1-(COUNTIFS('[PBMM_Master_Tracker_v2.xlsx]TRACKER'!$C$3:$C$1275,$A16,'[PBMM_Master_Tracker_v2.xlsx]TRACKER'!$D$3:$D$1275,"CA",'[PBMM_Master_Tracker_v2.xlsx]TRACKER'!$G$3:$G$1275,"Passed")+COUNTIFS('[PBMM_Master_Tracker_v2.xlsx]TRACKER'!$C$3:$C$1275,$A16,'[PBMM_Master_Tracker_v2.xlsx]TRACKER'!$D$3:$D$1275,"CA",'[PBMM_Master_Tracker_v2.xlsx]TRACKER'!$G$3:$G$1275,"Accepted Exception"))/COUNTIFS('[PBMM_Master_Tracker_v2.xlsx]TRACKER'!$C$3:$C$1275,$A16,'[PBMM_Master_Tracker_v2.xlsx]TRACKER'!$D$3:$D$1275,"CA"),"")</f>
        <v/>
      </c>
      <c r="F16" s="26">
        <f>IFERROR(1-(COUNTIFS('[PBMM_Master_Tracker_v2.xlsx]TRACKER'!$C$3:$C$1275,$A16,'[PBMM_Master_Tracker_v2.xlsx]TRACKER'!$D$3:$D$1275,"CM",'[PBMM_Master_Tracker_v2.xlsx]TRACKER'!$G$3:$G$1275,"Passed")+COUNTIFS('[PBMM_Master_Tracker_v2.xlsx]TRACKER'!$C$3:$C$1275,$A16,'[PBMM_Master_Tracker_v2.xlsx]TRACKER'!$D$3:$D$1275,"CM",'[PBMM_Master_Tracker_v2.xlsx]TRACKER'!$G$3:$G$1275,"Accepted Exception"))/COUNTIFS('[PBMM_Master_Tracker_v2.xlsx]TRACKER'!$C$3:$C$1275,$A16,'[PBMM_Master_Tracker_v2.xlsx]TRACKER'!$D$3:$D$1275,"CM"),"")</f>
        <v/>
      </c>
      <c r="G16" s="26">
        <f>IFERROR(1-(COUNTIFS('[PBMM_Master_Tracker_v2.xlsx]TRACKER'!$C$3:$C$1275,$A16,'[PBMM_Master_Tracker_v2.xlsx]TRACKER'!$D$3:$D$1275,"CP",'[PBMM_Master_Tracker_v2.xlsx]TRACKER'!$G$3:$G$1275,"Passed")+COUNTIFS('[PBMM_Master_Tracker_v2.xlsx]TRACKER'!$C$3:$C$1275,$A16,'[PBMM_Master_Tracker_v2.xlsx]TRACKER'!$D$3:$D$1275,"CP",'[PBMM_Master_Tracker_v2.xlsx]TRACKER'!$G$3:$G$1275,"Accepted Exception"))/COUNTIFS('[PBMM_Master_Tracker_v2.xlsx]TRACKER'!$C$3:$C$1275,$A16,'[PBMM_Master_Tracker_v2.xlsx]TRACKER'!$D$3:$D$1275,"CP"),"")</f>
        <v/>
      </c>
      <c r="H16" s="26">
        <f>IFERROR(1-(COUNTIFS('[PBMM_Master_Tracker_v2.xlsx]TRACKER'!$C$3:$C$1275,$A16,'[PBMM_Master_Tracker_v2.xlsx]TRACKER'!$D$3:$D$1275,"IA",'[PBMM_Master_Tracker_v2.xlsx]TRACKER'!$G$3:$G$1275,"Passed")+COUNTIFS('[PBMM_Master_Tracker_v2.xlsx]TRACKER'!$C$3:$C$1275,$A16,'[PBMM_Master_Tracker_v2.xlsx]TRACKER'!$D$3:$D$1275,"IA",'[PBMM_Master_Tracker_v2.xlsx]TRACKER'!$G$3:$G$1275,"Accepted Exception"))/COUNTIFS('[PBMM_Master_Tracker_v2.xlsx]TRACKER'!$C$3:$C$1275,$A16,'[PBMM_Master_Tracker_v2.xlsx]TRACKER'!$D$3:$D$1275,"IA"),"")</f>
        <v/>
      </c>
      <c r="I16" s="26">
        <f>IFERROR(1-(COUNTIFS('[PBMM_Master_Tracker_v2.xlsx]TRACKER'!$C$3:$C$1275,$A16,'[PBMM_Master_Tracker_v2.xlsx]TRACKER'!$D$3:$D$1275,"IR",'[PBMM_Master_Tracker_v2.xlsx]TRACKER'!$G$3:$G$1275,"Passed")+COUNTIFS('[PBMM_Master_Tracker_v2.xlsx]TRACKER'!$C$3:$C$1275,$A16,'[PBMM_Master_Tracker_v2.xlsx]TRACKER'!$D$3:$D$1275,"IR",'[PBMM_Master_Tracker_v2.xlsx]TRACKER'!$G$3:$G$1275,"Accepted Exception"))/COUNTIFS('[PBMM_Master_Tracker_v2.xlsx]TRACKER'!$C$3:$C$1275,$A16,'[PBMM_Master_Tracker_v2.xlsx]TRACKER'!$D$3:$D$1275,"IR"),"")</f>
        <v/>
      </c>
      <c r="J16" s="26">
        <f>IFERROR(1-(COUNTIFS('[PBMM_Master_Tracker_v2.xlsx]TRACKER'!$C$3:$C$1275,$A16,'[PBMM_Master_Tracker_v2.xlsx]TRACKER'!$D$3:$D$1275,"MA",'[PBMM_Master_Tracker_v2.xlsx]TRACKER'!$G$3:$G$1275,"Passed")+COUNTIFS('[PBMM_Master_Tracker_v2.xlsx]TRACKER'!$C$3:$C$1275,$A16,'[PBMM_Master_Tracker_v2.xlsx]TRACKER'!$D$3:$D$1275,"MA",'[PBMM_Master_Tracker_v2.xlsx]TRACKER'!$G$3:$G$1275,"Accepted Exception"))/COUNTIFS('[PBMM_Master_Tracker_v2.xlsx]TRACKER'!$C$3:$C$1275,$A16,'[PBMM_Master_Tracker_v2.xlsx]TRACKER'!$D$3:$D$1275,"MA"),"")</f>
        <v/>
      </c>
      <c r="K16" s="26">
        <f>IFERROR(1-(COUNTIFS('[PBMM_Master_Tracker_v2.xlsx]TRACKER'!$C$3:$C$1275,$A16,'[PBMM_Master_Tracker_v2.xlsx]TRACKER'!$D$3:$D$1275,"MP",'[PBMM_Master_Tracker_v2.xlsx]TRACKER'!$G$3:$G$1275,"Passed")+COUNTIFS('[PBMM_Master_Tracker_v2.xlsx]TRACKER'!$C$3:$C$1275,$A16,'[PBMM_Master_Tracker_v2.xlsx]TRACKER'!$D$3:$D$1275,"MP",'[PBMM_Master_Tracker_v2.xlsx]TRACKER'!$G$3:$G$1275,"Accepted Exception"))/COUNTIFS('[PBMM_Master_Tracker_v2.xlsx]TRACKER'!$C$3:$C$1275,$A16,'[PBMM_Master_Tracker_v2.xlsx]TRACKER'!$D$3:$D$1275,"MP"),"")</f>
        <v/>
      </c>
      <c r="L16" s="26">
        <f>IFERROR(1-(COUNTIFS('[PBMM_Master_Tracker_v2.xlsx]TRACKER'!$C$3:$C$1275,$A16,'[PBMM_Master_Tracker_v2.xlsx]TRACKER'!$D$3:$D$1275,"PE",'[PBMM_Master_Tracker_v2.xlsx]TRACKER'!$G$3:$G$1275,"Passed")+COUNTIFS('[PBMM_Master_Tracker_v2.xlsx]TRACKER'!$C$3:$C$1275,$A16,'[PBMM_Master_Tracker_v2.xlsx]TRACKER'!$D$3:$D$1275,"PE",'[PBMM_Master_Tracker_v2.xlsx]TRACKER'!$G$3:$G$1275,"Accepted Exception"))/COUNTIFS('[PBMM_Master_Tracker_v2.xlsx]TRACKER'!$C$3:$C$1275,$A16,'[PBMM_Master_Tracker_v2.xlsx]TRACKER'!$D$3:$D$1275,"PE"),"")</f>
        <v/>
      </c>
      <c r="M16" s="26">
        <f>IFERROR(1-(COUNTIFS('[PBMM_Master_Tracker_v2.xlsx]TRACKER'!$C$3:$C$1275,$A16,'[PBMM_Master_Tracker_v2.xlsx]TRACKER'!$D$3:$D$1275,"PL",'[PBMM_Master_Tracker_v2.xlsx]TRACKER'!$G$3:$G$1275,"Passed")+COUNTIFS('[PBMM_Master_Tracker_v2.xlsx]TRACKER'!$C$3:$C$1275,$A16,'[PBMM_Master_Tracker_v2.xlsx]TRACKER'!$D$3:$D$1275,"PL",'[PBMM_Master_Tracker_v2.xlsx]TRACKER'!$G$3:$G$1275,"Accepted Exception"))/COUNTIFS('[PBMM_Master_Tracker_v2.xlsx]TRACKER'!$C$3:$C$1275,$A16,'[PBMM_Master_Tracker_v2.xlsx]TRACKER'!$D$3:$D$1275,"PL"),"")</f>
        <v/>
      </c>
      <c r="N16" s="26">
        <f>IFERROR(1-(COUNTIFS('[PBMM_Master_Tracker_v2.xlsx]TRACKER'!$C$3:$C$1275,$A16,'[PBMM_Master_Tracker_v2.xlsx]TRACKER'!$D$3:$D$1275,"PS",'[PBMM_Master_Tracker_v2.xlsx]TRACKER'!$G$3:$G$1275,"Passed")+COUNTIFS('[PBMM_Master_Tracker_v2.xlsx]TRACKER'!$C$3:$C$1275,$A16,'[PBMM_Master_Tracker_v2.xlsx]TRACKER'!$D$3:$D$1275,"PS",'[PBMM_Master_Tracker_v2.xlsx]TRACKER'!$G$3:$G$1275,"Accepted Exception"))/COUNTIFS('[PBMM_Master_Tracker_v2.xlsx]TRACKER'!$C$3:$C$1275,$A16,'[PBMM_Master_Tracker_v2.xlsx]TRACKER'!$D$3:$D$1275,"PS"),"")</f>
        <v/>
      </c>
      <c r="O16" s="26">
        <f>IFERROR(1-(COUNTIFS('[PBMM_Master_Tracker_v2.xlsx]TRACKER'!$C$3:$C$1275,$A16,'[PBMM_Master_Tracker_v2.xlsx]TRACKER'!$D$3:$D$1275,"RA",'[PBMM_Master_Tracker_v2.xlsx]TRACKER'!$G$3:$G$1275,"Passed")+COUNTIFS('[PBMM_Master_Tracker_v2.xlsx]TRACKER'!$C$3:$C$1275,$A16,'[PBMM_Master_Tracker_v2.xlsx]TRACKER'!$D$3:$D$1275,"RA",'[PBMM_Master_Tracker_v2.xlsx]TRACKER'!$G$3:$G$1275,"Accepted Exception"))/COUNTIFS('[PBMM_Master_Tracker_v2.xlsx]TRACKER'!$C$3:$C$1275,$A16,'[PBMM_Master_Tracker_v2.xlsx]TRACKER'!$D$3:$D$1275,"RA"),"")</f>
        <v/>
      </c>
      <c r="P16" s="26">
        <f>IFERROR(1-(COUNTIFS('[PBMM_Master_Tracker_v2.xlsx]TRACKER'!$C$3:$C$1275,$A16,'[PBMM_Master_Tracker_v2.xlsx]TRACKER'!$D$3:$D$1275,"SA",'[PBMM_Master_Tracker_v2.xlsx]TRACKER'!$G$3:$G$1275,"Passed")+COUNTIFS('[PBMM_Master_Tracker_v2.xlsx]TRACKER'!$C$3:$C$1275,$A16,'[PBMM_Master_Tracker_v2.xlsx]TRACKER'!$D$3:$D$1275,"SA",'[PBMM_Master_Tracker_v2.xlsx]TRACKER'!$G$3:$G$1275,"Accepted Exception"))/COUNTIFS('[PBMM_Master_Tracker_v2.xlsx]TRACKER'!$C$3:$C$1275,$A16,'[PBMM_Master_Tracker_v2.xlsx]TRACKER'!$D$3:$D$1275,"SA"),"")</f>
        <v/>
      </c>
      <c r="Q16" s="26">
        <f>IFERROR(1-(COUNTIFS('[PBMM_Master_Tracker_v2.xlsx]TRACKER'!$C$3:$C$1275,$A16,'[PBMM_Master_Tracker_v2.xlsx]TRACKER'!$D$3:$D$1275,"SC",'[PBMM_Master_Tracker_v2.xlsx]TRACKER'!$G$3:$G$1275,"Passed")+COUNTIFS('[PBMM_Master_Tracker_v2.xlsx]TRACKER'!$C$3:$C$1275,$A16,'[PBMM_Master_Tracker_v2.xlsx]TRACKER'!$D$3:$D$1275,"SC",'[PBMM_Master_Tracker_v2.xlsx]TRACKER'!$G$3:$G$1275,"Accepted Exception"))/COUNTIFS('[PBMM_Master_Tracker_v2.xlsx]TRACKER'!$C$3:$C$1275,$A16,'[PBMM_Master_Tracker_v2.xlsx]TRACKER'!$D$3:$D$1275,"SC"),"")</f>
        <v/>
      </c>
      <c r="R16" s="26">
        <f>IFERROR(1-(COUNTIFS('[PBMM_Master_Tracker_v2.xlsx]TRACKER'!$C$3:$C$1275,$A16,'[PBMM_Master_Tracker_v2.xlsx]TRACKER'!$D$3:$D$1275,"SI",'[PBMM_Master_Tracker_v2.xlsx]TRACKER'!$G$3:$G$1275,"Passed")+COUNTIFS('[PBMM_Master_Tracker_v2.xlsx]TRACKER'!$C$3:$C$1275,$A16,'[PBMM_Master_Tracker_v2.xlsx]TRACKER'!$D$3:$D$1275,"SI",'[PBMM_Master_Tracker_v2.xlsx]TRACKER'!$G$3:$G$1275,"Accepted Exception"))/COUNTIFS('[PBMM_Master_Tracker_v2.xlsx]TRACKER'!$C$3:$C$1275,$A16,'[PBMM_Master_Tracker_v2.xlsx]TRACKER'!$D$3:$D$1275,"SI"),"")</f>
        <v/>
      </c>
    </row>
    <row r="17" ht="20" customHeight="1">
      <c r="A17" s="23" t="inlineStr">
        <is>
          <t>Security</t>
        </is>
      </c>
      <c r="B17" s="24">
        <f>IFERROR(1-(COUNTIFS('[PBMM_Master_Tracker_v2.xlsx]TRACKER'!$C$3:$C$1275,$A17,'[PBMM_Master_Tracker_v2.xlsx]TRACKER'!$D$3:$D$1275,"AC",'[PBMM_Master_Tracker_v2.xlsx]TRACKER'!$G$3:$G$1275,"Passed")+COUNTIFS('[PBMM_Master_Tracker_v2.xlsx]TRACKER'!$C$3:$C$1275,$A17,'[PBMM_Master_Tracker_v2.xlsx]TRACKER'!$D$3:$D$1275,"AC",'[PBMM_Master_Tracker_v2.xlsx]TRACKER'!$G$3:$G$1275,"Accepted Exception"))/COUNTIFS('[PBMM_Master_Tracker_v2.xlsx]TRACKER'!$C$3:$C$1275,$A17,'[PBMM_Master_Tracker_v2.xlsx]TRACKER'!$D$3:$D$1275,"AC"),"")</f>
        <v/>
      </c>
      <c r="C17" s="24">
        <f>IFERROR(1-(COUNTIFS('[PBMM_Master_Tracker_v2.xlsx]TRACKER'!$C$3:$C$1275,$A17,'[PBMM_Master_Tracker_v2.xlsx]TRACKER'!$D$3:$D$1275,"AT",'[PBMM_Master_Tracker_v2.xlsx]TRACKER'!$G$3:$G$1275,"Passed")+COUNTIFS('[PBMM_Master_Tracker_v2.xlsx]TRACKER'!$C$3:$C$1275,$A17,'[PBMM_Master_Tracker_v2.xlsx]TRACKER'!$D$3:$D$1275,"AT",'[PBMM_Master_Tracker_v2.xlsx]TRACKER'!$G$3:$G$1275,"Accepted Exception"))/COUNTIFS('[PBMM_Master_Tracker_v2.xlsx]TRACKER'!$C$3:$C$1275,$A17,'[PBMM_Master_Tracker_v2.xlsx]TRACKER'!$D$3:$D$1275,"AT"),"")</f>
        <v/>
      </c>
      <c r="D17" s="24">
        <f>IFERROR(1-(COUNTIFS('[PBMM_Master_Tracker_v2.xlsx]TRACKER'!$C$3:$C$1275,$A17,'[PBMM_Master_Tracker_v2.xlsx]TRACKER'!$D$3:$D$1275,"AU",'[PBMM_Master_Tracker_v2.xlsx]TRACKER'!$G$3:$G$1275,"Passed")+COUNTIFS('[PBMM_Master_Tracker_v2.xlsx]TRACKER'!$C$3:$C$1275,$A17,'[PBMM_Master_Tracker_v2.xlsx]TRACKER'!$D$3:$D$1275,"AU",'[PBMM_Master_Tracker_v2.xlsx]TRACKER'!$G$3:$G$1275,"Accepted Exception"))/COUNTIFS('[PBMM_Master_Tracker_v2.xlsx]TRACKER'!$C$3:$C$1275,$A17,'[PBMM_Master_Tracker_v2.xlsx]TRACKER'!$D$3:$D$1275,"AU"),"")</f>
        <v/>
      </c>
      <c r="E17" s="24">
        <f>IFERROR(1-(COUNTIFS('[PBMM_Master_Tracker_v2.xlsx]TRACKER'!$C$3:$C$1275,$A17,'[PBMM_Master_Tracker_v2.xlsx]TRACKER'!$D$3:$D$1275,"CA",'[PBMM_Master_Tracker_v2.xlsx]TRACKER'!$G$3:$G$1275,"Passed")+COUNTIFS('[PBMM_Master_Tracker_v2.xlsx]TRACKER'!$C$3:$C$1275,$A17,'[PBMM_Master_Tracker_v2.xlsx]TRACKER'!$D$3:$D$1275,"CA",'[PBMM_Master_Tracker_v2.xlsx]TRACKER'!$G$3:$G$1275,"Accepted Exception"))/COUNTIFS('[PBMM_Master_Tracker_v2.xlsx]TRACKER'!$C$3:$C$1275,$A17,'[PBMM_Master_Tracker_v2.xlsx]TRACKER'!$D$3:$D$1275,"CA"),"")</f>
        <v/>
      </c>
      <c r="F17" s="24">
        <f>IFERROR(1-(COUNTIFS('[PBMM_Master_Tracker_v2.xlsx]TRACKER'!$C$3:$C$1275,$A17,'[PBMM_Master_Tracker_v2.xlsx]TRACKER'!$D$3:$D$1275,"CM",'[PBMM_Master_Tracker_v2.xlsx]TRACKER'!$G$3:$G$1275,"Passed")+COUNTIFS('[PBMM_Master_Tracker_v2.xlsx]TRACKER'!$C$3:$C$1275,$A17,'[PBMM_Master_Tracker_v2.xlsx]TRACKER'!$D$3:$D$1275,"CM",'[PBMM_Master_Tracker_v2.xlsx]TRACKER'!$G$3:$G$1275,"Accepted Exception"))/COUNTIFS('[PBMM_Master_Tracker_v2.xlsx]TRACKER'!$C$3:$C$1275,$A17,'[PBMM_Master_Tracker_v2.xlsx]TRACKER'!$D$3:$D$1275,"CM"),"")</f>
        <v/>
      </c>
      <c r="G17" s="24">
        <f>IFERROR(1-(COUNTIFS('[PBMM_Master_Tracker_v2.xlsx]TRACKER'!$C$3:$C$1275,$A17,'[PBMM_Master_Tracker_v2.xlsx]TRACKER'!$D$3:$D$1275,"CP",'[PBMM_Master_Tracker_v2.xlsx]TRACKER'!$G$3:$G$1275,"Passed")+COUNTIFS('[PBMM_Master_Tracker_v2.xlsx]TRACKER'!$C$3:$C$1275,$A17,'[PBMM_Master_Tracker_v2.xlsx]TRACKER'!$D$3:$D$1275,"CP",'[PBMM_Master_Tracker_v2.xlsx]TRACKER'!$G$3:$G$1275,"Accepted Exception"))/COUNTIFS('[PBMM_Master_Tracker_v2.xlsx]TRACKER'!$C$3:$C$1275,$A17,'[PBMM_Master_Tracker_v2.xlsx]TRACKER'!$D$3:$D$1275,"CP"),"")</f>
        <v/>
      </c>
      <c r="H17" s="24">
        <f>IFERROR(1-(COUNTIFS('[PBMM_Master_Tracker_v2.xlsx]TRACKER'!$C$3:$C$1275,$A17,'[PBMM_Master_Tracker_v2.xlsx]TRACKER'!$D$3:$D$1275,"IA",'[PBMM_Master_Tracker_v2.xlsx]TRACKER'!$G$3:$G$1275,"Passed")+COUNTIFS('[PBMM_Master_Tracker_v2.xlsx]TRACKER'!$C$3:$C$1275,$A17,'[PBMM_Master_Tracker_v2.xlsx]TRACKER'!$D$3:$D$1275,"IA",'[PBMM_Master_Tracker_v2.xlsx]TRACKER'!$G$3:$G$1275,"Accepted Exception"))/COUNTIFS('[PBMM_Master_Tracker_v2.xlsx]TRACKER'!$C$3:$C$1275,$A17,'[PBMM_Master_Tracker_v2.xlsx]TRACKER'!$D$3:$D$1275,"IA"),"")</f>
        <v/>
      </c>
      <c r="I17" s="24">
        <f>IFERROR(1-(COUNTIFS('[PBMM_Master_Tracker_v2.xlsx]TRACKER'!$C$3:$C$1275,$A17,'[PBMM_Master_Tracker_v2.xlsx]TRACKER'!$D$3:$D$1275,"IR",'[PBMM_Master_Tracker_v2.xlsx]TRACKER'!$G$3:$G$1275,"Passed")+COUNTIFS('[PBMM_Master_Tracker_v2.xlsx]TRACKER'!$C$3:$C$1275,$A17,'[PBMM_Master_Tracker_v2.xlsx]TRACKER'!$D$3:$D$1275,"IR",'[PBMM_Master_Tracker_v2.xlsx]TRACKER'!$G$3:$G$1275,"Accepted Exception"))/COUNTIFS('[PBMM_Master_Tracker_v2.xlsx]TRACKER'!$C$3:$C$1275,$A17,'[PBMM_Master_Tracker_v2.xlsx]TRACKER'!$D$3:$D$1275,"IR"),"")</f>
        <v/>
      </c>
      <c r="J17" s="24">
        <f>IFERROR(1-(COUNTIFS('[PBMM_Master_Tracker_v2.xlsx]TRACKER'!$C$3:$C$1275,$A17,'[PBMM_Master_Tracker_v2.xlsx]TRACKER'!$D$3:$D$1275,"MA",'[PBMM_Master_Tracker_v2.xlsx]TRACKER'!$G$3:$G$1275,"Passed")+COUNTIFS('[PBMM_Master_Tracker_v2.xlsx]TRACKER'!$C$3:$C$1275,$A17,'[PBMM_Master_Tracker_v2.xlsx]TRACKER'!$D$3:$D$1275,"MA",'[PBMM_Master_Tracker_v2.xlsx]TRACKER'!$G$3:$G$1275,"Accepted Exception"))/COUNTIFS('[PBMM_Master_Tracker_v2.xlsx]TRACKER'!$C$3:$C$1275,$A17,'[PBMM_Master_Tracker_v2.xlsx]TRACKER'!$D$3:$D$1275,"MA"),"")</f>
        <v/>
      </c>
      <c r="K17" s="24">
        <f>IFERROR(1-(COUNTIFS('[PBMM_Master_Tracker_v2.xlsx]TRACKER'!$C$3:$C$1275,$A17,'[PBMM_Master_Tracker_v2.xlsx]TRACKER'!$D$3:$D$1275,"MP",'[PBMM_Master_Tracker_v2.xlsx]TRACKER'!$G$3:$G$1275,"Passed")+COUNTIFS('[PBMM_Master_Tracker_v2.xlsx]TRACKER'!$C$3:$C$1275,$A17,'[PBMM_Master_Tracker_v2.xlsx]TRACKER'!$D$3:$D$1275,"MP",'[PBMM_Master_Tracker_v2.xlsx]TRACKER'!$G$3:$G$1275,"Accepted Exception"))/COUNTIFS('[PBMM_Master_Tracker_v2.xlsx]TRACKER'!$C$3:$C$1275,$A17,'[PBMM_Master_Tracker_v2.xlsx]TRACKER'!$D$3:$D$1275,"MP"),"")</f>
        <v/>
      </c>
      <c r="L17" s="24">
        <f>IFERROR(1-(COUNTIFS('[PBMM_Master_Tracker_v2.xlsx]TRACKER'!$C$3:$C$1275,$A17,'[PBMM_Master_Tracker_v2.xlsx]TRACKER'!$D$3:$D$1275,"PE",'[PBMM_Master_Tracker_v2.xlsx]TRACKER'!$G$3:$G$1275,"Passed")+COUNTIFS('[PBMM_Master_Tracker_v2.xlsx]TRACKER'!$C$3:$C$1275,$A17,'[PBMM_Master_Tracker_v2.xlsx]TRACKER'!$D$3:$D$1275,"PE",'[PBMM_Master_Tracker_v2.xlsx]TRACKER'!$G$3:$G$1275,"Accepted Exception"))/COUNTIFS('[PBMM_Master_Tracker_v2.xlsx]TRACKER'!$C$3:$C$1275,$A17,'[PBMM_Master_Tracker_v2.xlsx]TRACKER'!$D$3:$D$1275,"PE"),"")</f>
        <v/>
      </c>
      <c r="M17" s="24">
        <f>IFERROR(1-(COUNTIFS('[PBMM_Master_Tracker_v2.xlsx]TRACKER'!$C$3:$C$1275,$A17,'[PBMM_Master_Tracker_v2.xlsx]TRACKER'!$D$3:$D$1275,"PL",'[PBMM_Master_Tracker_v2.xlsx]TRACKER'!$G$3:$G$1275,"Passed")+COUNTIFS('[PBMM_Master_Tracker_v2.xlsx]TRACKER'!$C$3:$C$1275,$A17,'[PBMM_Master_Tracker_v2.xlsx]TRACKER'!$D$3:$D$1275,"PL",'[PBMM_Master_Tracker_v2.xlsx]TRACKER'!$G$3:$G$1275,"Accepted Exception"))/COUNTIFS('[PBMM_Master_Tracker_v2.xlsx]TRACKER'!$C$3:$C$1275,$A17,'[PBMM_Master_Tracker_v2.xlsx]TRACKER'!$D$3:$D$1275,"PL"),"")</f>
        <v/>
      </c>
      <c r="N17" s="24">
        <f>IFERROR(1-(COUNTIFS('[PBMM_Master_Tracker_v2.xlsx]TRACKER'!$C$3:$C$1275,$A17,'[PBMM_Master_Tracker_v2.xlsx]TRACKER'!$D$3:$D$1275,"PS",'[PBMM_Master_Tracker_v2.xlsx]TRACKER'!$G$3:$G$1275,"Passed")+COUNTIFS('[PBMM_Master_Tracker_v2.xlsx]TRACKER'!$C$3:$C$1275,$A17,'[PBMM_Master_Tracker_v2.xlsx]TRACKER'!$D$3:$D$1275,"PS",'[PBMM_Master_Tracker_v2.xlsx]TRACKER'!$G$3:$G$1275,"Accepted Exception"))/COUNTIFS('[PBMM_Master_Tracker_v2.xlsx]TRACKER'!$C$3:$C$1275,$A17,'[PBMM_Master_Tracker_v2.xlsx]TRACKER'!$D$3:$D$1275,"PS"),"")</f>
        <v/>
      </c>
      <c r="O17" s="24">
        <f>IFERROR(1-(COUNTIFS('[PBMM_Master_Tracker_v2.xlsx]TRACKER'!$C$3:$C$1275,$A17,'[PBMM_Master_Tracker_v2.xlsx]TRACKER'!$D$3:$D$1275,"RA",'[PBMM_Master_Tracker_v2.xlsx]TRACKER'!$G$3:$G$1275,"Passed")+COUNTIFS('[PBMM_Master_Tracker_v2.xlsx]TRACKER'!$C$3:$C$1275,$A17,'[PBMM_Master_Tracker_v2.xlsx]TRACKER'!$D$3:$D$1275,"RA",'[PBMM_Master_Tracker_v2.xlsx]TRACKER'!$G$3:$G$1275,"Accepted Exception"))/COUNTIFS('[PBMM_Master_Tracker_v2.xlsx]TRACKER'!$C$3:$C$1275,$A17,'[PBMM_Master_Tracker_v2.xlsx]TRACKER'!$D$3:$D$1275,"RA"),"")</f>
        <v/>
      </c>
      <c r="P17" s="24">
        <f>IFERROR(1-(COUNTIFS('[PBMM_Master_Tracker_v2.xlsx]TRACKER'!$C$3:$C$1275,$A17,'[PBMM_Master_Tracker_v2.xlsx]TRACKER'!$D$3:$D$1275,"SA",'[PBMM_Master_Tracker_v2.xlsx]TRACKER'!$G$3:$G$1275,"Passed")+COUNTIFS('[PBMM_Master_Tracker_v2.xlsx]TRACKER'!$C$3:$C$1275,$A17,'[PBMM_Master_Tracker_v2.xlsx]TRACKER'!$D$3:$D$1275,"SA",'[PBMM_Master_Tracker_v2.xlsx]TRACKER'!$G$3:$G$1275,"Accepted Exception"))/COUNTIFS('[PBMM_Master_Tracker_v2.xlsx]TRACKER'!$C$3:$C$1275,$A17,'[PBMM_Master_Tracker_v2.xlsx]TRACKER'!$D$3:$D$1275,"SA"),"")</f>
        <v/>
      </c>
      <c r="Q17" s="24">
        <f>IFERROR(1-(COUNTIFS('[PBMM_Master_Tracker_v2.xlsx]TRACKER'!$C$3:$C$1275,$A17,'[PBMM_Master_Tracker_v2.xlsx]TRACKER'!$D$3:$D$1275,"SC",'[PBMM_Master_Tracker_v2.xlsx]TRACKER'!$G$3:$G$1275,"Passed")+COUNTIFS('[PBMM_Master_Tracker_v2.xlsx]TRACKER'!$C$3:$C$1275,$A17,'[PBMM_Master_Tracker_v2.xlsx]TRACKER'!$D$3:$D$1275,"SC",'[PBMM_Master_Tracker_v2.xlsx]TRACKER'!$G$3:$G$1275,"Accepted Exception"))/COUNTIFS('[PBMM_Master_Tracker_v2.xlsx]TRACKER'!$C$3:$C$1275,$A17,'[PBMM_Master_Tracker_v2.xlsx]TRACKER'!$D$3:$D$1275,"SC"),"")</f>
        <v/>
      </c>
      <c r="R17" s="24">
        <f>IFERROR(1-(COUNTIFS('[PBMM_Master_Tracker_v2.xlsx]TRACKER'!$C$3:$C$1275,$A17,'[PBMM_Master_Tracker_v2.xlsx]TRACKER'!$D$3:$D$1275,"SI",'[PBMM_Master_Tracker_v2.xlsx]TRACKER'!$G$3:$G$1275,"Passed")+COUNTIFS('[PBMM_Master_Tracker_v2.xlsx]TRACKER'!$C$3:$C$1275,$A17,'[PBMM_Master_Tracker_v2.xlsx]TRACKER'!$D$3:$D$1275,"SI",'[PBMM_Master_Tracker_v2.xlsx]TRACKER'!$G$3:$G$1275,"Accepted Exception"))/COUNTIFS('[PBMM_Master_Tracker_v2.xlsx]TRACKER'!$C$3:$C$1275,$A17,'[PBMM_Master_Tracker_v2.xlsx]TRACKER'!$D$3:$D$1275,"SI"),"")</f>
        <v/>
      </c>
    </row>
    <row r="18" ht="20" customHeight="1">
      <c r="A18" s="25" t="inlineStr">
        <is>
          <t>ServiceNow</t>
        </is>
      </c>
      <c r="B18" s="26">
        <f>IFERROR(1-(COUNTIFS('[PBMM_Master_Tracker_v2.xlsx]TRACKER'!$C$3:$C$1275,$A18,'[PBMM_Master_Tracker_v2.xlsx]TRACKER'!$D$3:$D$1275,"AC",'[PBMM_Master_Tracker_v2.xlsx]TRACKER'!$G$3:$G$1275,"Passed")+COUNTIFS('[PBMM_Master_Tracker_v2.xlsx]TRACKER'!$C$3:$C$1275,$A18,'[PBMM_Master_Tracker_v2.xlsx]TRACKER'!$D$3:$D$1275,"AC",'[PBMM_Master_Tracker_v2.xlsx]TRACKER'!$G$3:$G$1275,"Accepted Exception"))/COUNTIFS('[PBMM_Master_Tracker_v2.xlsx]TRACKER'!$C$3:$C$1275,$A18,'[PBMM_Master_Tracker_v2.xlsx]TRACKER'!$D$3:$D$1275,"AC"),"")</f>
        <v/>
      </c>
      <c r="C18" s="26">
        <f>IFERROR(1-(COUNTIFS('[PBMM_Master_Tracker_v2.xlsx]TRACKER'!$C$3:$C$1275,$A18,'[PBMM_Master_Tracker_v2.xlsx]TRACKER'!$D$3:$D$1275,"AT",'[PBMM_Master_Tracker_v2.xlsx]TRACKER'!$G$3:$G$1275,"Passed")+COUNTIFS('[PBMM_Master_Tracker_v2.xlsx]TRACKER'!$C$3:$C$1275,$A18,'[PBMM_Master_Tracker_v2.xlsx]TRACKER'!$D$3:$D$1275,"AT",'[PBMM_Master_Tracker_v2.xlsx]TRACKER'!$G$3:$G$1275,"Accepted Exception"))/COUNTIFS('[PBMM_Master_Tracker_v2.xlsx]TRACKER'!$C$3:$C$1275,$A18,'[PBMM_Master_Tracker_v2.xlsx]TRACKER'!$D$3:$D$1275,"AT"),"")</f>
        <v/>
      </c>
      <c r="D18" s="26">
        <f>IFERROR(1-(COUNTIFS('[PBMM_Master_Tracker_v2.xlsx]TRACKER'!$C$3:$C$1275,$A18,'[PBMM_Master_Tracker_v2.xlsx]TRACKER'!$D$3:$D$1275,"AU",'[PBMM_Master_Tracker_v2.xlsx]TRACKER'!$G$3:$G$1275,"Passed")+COUNTIFS('[PBMM_Master_Tracker_v2.xlsx]TRACKER'!$C$3:$C$1275,$A18,'[PBMM_Master_Tracker_v2.xlsx]TRACKER'!$D$3:$D$1275,"AU",'[PBMM_Master_Tracker_v2.xlsx]TRACKER'!$G$3:$G$1275,"Accepted Exception"))/COUNTIFS('[PBMM_Master_Tracker_v2.xlsx]TRACKER'!$C$3:$C$1275,$A18,'[PBMM_Master_Tracker_v2.xlsx]TRACKER'!$D$3:$D$1275,"AU"),"")</f>
        <v/>
      </c>
      <c r="E18" s="26">
        <f>IFERROR(1-(COUNTIFS('[PBMM_Master_Tracker_v2.xlsx]TRACKER'!$C$3:$C$1275,$A18,'[PBMM_Master_Tracker_v2.xlsx]TRACKER'!$D$3:$D$1275,"CA",'[PBMM_Master_Tracker_v2.xlsx]TRACKER'!$G$3:$G$1275,"Passed")+COUNTIFS('[PBMM_Master_Tracker_v2.xlsx]TRACKER'!$C$3:$C$1275,$A18,'[PBMM_Master_Tracker_v2.xlsx]TRACKER'!$D$3:$D$1275,"CA",'[PBMM_Master_Tracker_v2.xlsx]TRACKER'!$G$3:$G$1275,"Accepted Exception"))/COUNTIFS('[PBMM_Master_Tracker_v2.xlsx]TRACKER'!$C$3:$C$1275,$A18,'[PBMM_Master_Tracker_v2.xlsx]TRACKER'!$D$3:$D$1275,"CA"),"")</f>
        <v/>
      </c>
      <c r="F18" s="26">
        <f>IFERROR(1-(COUNTIFS('[PBMM_Master_Tracker_v2.xlsx]TRACKER'!$C$3:$C$1275,$A18,'[PBMM_Master_Tracker_v2.xlsx]TRACKER'!$D$3:$D$1275,"CM",'[PBMM_Master_Tracker_v2.xlsx]TRACKER'!$G$3:$G$1275,"Passed")+COUNTIFS('[PBMM_Master_Tracker_v2.xlsx]TRACKER'!$C$3:$C$1275,$A18,'[PBMM_Master_Tracker_v2.xlsx]TRACKER'!$D$3:$D$1275,"CM",'[PBMM_Master_Tracker_v2.xlsx]TRACKER'!$G$3:$G$1275,"Accepted Exception"))/COUNTIFS('[PBMM_Master_Tracker_v2.xlsx]TRACKER'!$C$3:$C$1275,$A18,'[PBMM_Master_Tracker_v2.xlsx]TRACKER'!$D$3:$D$1275,"CM"),"")</f>
        <v/>
      </c>
      <c r="G18" s="26">
        <f>IFERROR(1-(COUNTIFS('[PBMM_Master_Tracker_v2.xlsx]TRACKER'!$C$3:$C$1275,$A18,'[PBMM_Master_Tracker_v2.xlsx]TRACKER'!$D$3:$D$1275,"CP",'[PBMM_Master_Tracker_v2.xlsx]TRACKER'!$G$3:$G$1275,"Passed")+COUNTIFS('[PBMM_Master_Tracker_v2.xlsx]TRACKER'!$C$3:$C$1275,$A18,'[PBMM_Master_Tracker_v2.xlsx]TRACKER'!$D$3:$D$1275,"CP",'[PBMM_Master_Tracker_v2.xlsx]TRACKER'!$G$3:$G$1275,"Accepted Exception"))/COUNTIFS('[PBMM_Master_Tracker_v2.xlsx]TRACKER'!$C$3:$C$1275,$A18,'[PBMM_Master_Tracker_v2.xlsx]TRACKER'!$D$3:$D$1275,"CP"),"")</f>
        <v/>
      </c>
      <c r="H18" s="26">
        <f>IFERROR(1-(COUNTIFS('[PBMM_Master_Tracker_v2.xlsx]TRACKER'!$C$3:$C$1275,$A18,'[PBMM_Master_Tracker_v2.xlsx]TRACKER'!$D$3:$D$1275,"IA",'[PBMM_Master_Tracker_v2.xlsx]TRACKER'!$G$3:$G$1275,"Passed")+COUNTIFS('[PBMM_Master_Tracker_v2.xlsx]TRACKER'!$C$3:$C$1275,$A18,'[PBMM_Master_Tracker_v2.xlsx]TRACKER'!$D$3:$D$1275,"IA",'[PBMM_Master_Tracker_v2.xlsx]TRACKER'!$G$3:$G$1275,"Accepted Exception"))/COUNTIFS('[PBMM_Master_Tracker_v2.xlsx]TRACKER'!$C$3:$C$1275,$A18,'[PBMM_Master_Tracker_v2.xlsx]TRACKER'!$D$3:$D$1275,"IA"),"")</f>
        <v/>
      </c>
      <c r="I18" s="26">
        <f>IFERROR(1-(COUNTIFS('[PBMM_Master_Tracker_v2.xlsx]TRACKER'!$C$3:$C$1275,$A18,'[PBMM_Master_Tracker_v2.xlsx]TRACKER'!$D$3:$D$1275,"IR",'[PBMM_Master_Tracker_v2.xlsx]TRACKER'!$G$3:$G$1275,"Passed")+COUNTIFS('[PBMM_Master_Tracker_v2.xlsx]TRACKER'!$C$3:$C$1275,$A18,'[PBMM_Master_Tracker_v2.xlsx]TRACKER'!$D$3:$D$1275,"IR",'[PBMM_Master_Tracker_v2.xlsx]TRACKER'!$G$3:$G$1275,"Accepted Exception"))/COUNTIFS('[PBMM_Master_Tracker_v2.xlsx]TRACKER'!$C$3:$C$1275,$A18,'[PBMM_Master_Tracker_v2.xlsx]TRACKER'!$D$3:$D$1275,"IR"),"")</f>
        <v/>
      </c>
      <c r="J18" s="26">
        <f>IFERROR(1-(COUNTIFS('[PBMM_Master_Tracker_v2.xlsx]TRACKER'!$C$3:$C$1275,$A18,'[PBMM_Master_Tracker_v2.xlsx]TRACKER'!$D$3:$D$1275,"MA",'[PBMM_Master_Tracker_v2.xlsx]TRACKER'!$G$3:$G$1275,"Passed")+COUNTIFS('[PBMM_Master_Tracker_v2.xlsx]TRACKER'!$C$3:$C$1275,$A18,'[PBMM_Master_Tracker_v2.xlsx]TRACKER'!$D$3:$D$1275,"MA",'[PBMM_Master_Tracker_v2.xlsx]TRACKER'!$G$3:$G$1275,"Accepted Exception"))/COUNTIFS('[PBMM_Master_Tracker_v2.xlsx]TRACKER'!$C$3:$C$1275,$A18,'[PBMM_Master_Tracker_v2.xlsx]TRACKER'!$D$3:$D$1275,"MA"),"")</f>
        <v/>
      </c>
      <c r="K18" s="26">
        <f>IFERROR(1-(COUNTIFS('[PBMM_Master_Tracker_v2.xlsx]TRACKER'!$C$3:$C$1275,$A18,'[PBMM_Master_Tracker_v2.xlsx]TRACKER'!$D$3:$D$1275,"MP",'[PBMM_Master_Tracker_v2.xlsx]TRACKER'!$G$3:$G$1275,"Passed")+COUNTIFS('[PBMM_Master_Tracker_v2.xlsx]TRACKER'!$C$3:$C$1275,$A18,'[PBMM_Master_Tracker_v2.xlsx]TRACKER'!$D$3:$D$1275,"MP",'[PBMM_Master_Tracker_v2.xlsx]TRACKER'!$G$3:$G$1275,"Accepted Exception"))/COUNTIFS('[PBMM_Master_Tracker_v2.xlsx]TRACKER'!$C$3:$C$1275,$A18,'[PBMM_Master_Tracker_v2.xlsx]TRACKER'!$D$3:$D$1275,"MP"),"")</f>
        <v/>
      </c>
      <c r="L18" s="26">
        <f>IFERROR(1-(COUNTIFS('[PBMM_Master_Tracker_v2.xlsx]TRACKER'!$C$3:$C$1275,$A18,'[PBMM_Master_Tracker_v2.xlsx]TRACKER'!$D$3:$D$1275,"PE",'[PBMM_Master_Tracker_v2.xlsx]TRACKER'!$G$3:$G$1275,"Passed")+COUNTIFS('[PBMM_Master_Tracker_v2.xlsx]TRACKER'!$C$3:$C$1275,$A18,'[PBMM_Master_Tracker_v2.xlsx]TRACKER'!$D$3:$D$1275,"PE",'[PBMM_Master_Tracker_v2.xlsx]TRACKER'!$G$3:$G$1275,"Accepted Exception"))/COUNTIFS('[PBMM_Master_Tracker_v2.xlsx]TRACKER'!$C$3:$C$1275,$A18,'[PBMM_Master_Tracker_v2.xlsx]TRACKER'!$D$3:$D$1275,"PE"),"")</f>
        <v/>
      </c>
      <c r="M18" s="26">
        <f>IFERROR(1-(COUNTIFS('[PBMM_Master_Tracker_v2.xlsx]TRACKER'!$C$3:$C$1275,$A18,'[PBMM_Master_Tracker_v2.xlsx]TRACKER'!$D$3:$D$1275,"PL",'[PBMM_Master_Tracker_v2.xlsx]TRACKER'!$G$3:$G$1275,"Passed")+COUNTIFS('[PBMM_Master_Tracker_v2.xlsx]TRACKER'!$C$3:$C$1275,$A18,'[PBMM_Master_Tracker_v2.xlsx]TRACKER'!$D$3:$D$1275,"PL",'[PBMM_Master_Tracker_v2.xlsx]TRACKER'!$G$3:$G$1275,"Accepted Exception"))/COUNTIFS('[PBMM_Master_Tracker_v2.xlsx]TRACKER'!$C$3:$C$1275,$A18,'[PBMM_Master_Tracker_v2.xlsx]TRACKER'!$D$3:$D$1275,"PL"),"")</f>
        <v/>
      </c>
      <c r="N18" s="26">
        <f>IFERROR(1-(COUNTIFS('[PBMM_Master_Tracker_v2.xlsx]TRACKER'!$C$3:$C$1275,$A18,'[PBMM_Master_Tracker_v2.xlsx]TRACKER'!$D$3:$D$1275,"PS",'[PBMM_Master_Tracker_v2.xlsx]TRACKER'!$G$3:$G$1275,"Passed")+COUNTIFS('[PBMM_Master_Tracker_v2.xlsx]TRACKER'!$C$3:$C$1275,$A18,'[PBMM_Master_Tracker_v2.xlsx]TRACKER'!$D$3:$D$1275,"PS",'[PBMM_Master_Tracker_v2.xlsx]TRACKER'!$G$3:$G$1275,"Accepted Exception"))/COUNTIFS('[PBMM_Master_Tracker_v2.xlsx]TRACKER'!$C$3:$C$1275,$A18,'[PBMM_Master_Tracker_v2.xlsx]TRACKER'!$D$3:$D$1275,"PS"),"")</f>
        <v/>
      </c>
      <c r="O18" s="26">
        <f>IFERROR(1-(COUNTIFS('[PBMM_Master_Tracker_v2.xlsx]TRACKER'!$C$3:$C$1275,$A18,'[PBMM_Master_Tracker_v2.xlsx]TRACKER'!$D$3:$D$1275,"RA",'[PBMM_Master_Tracker_v2.xlsx]TRACKER'!$G$3:$G$1275,"Passed")+COUNTIFS('[PBMM_Master_Tracker_v2.xlsx]TRACKER'!$C$3:$C$1275,$A18,'[PBMM_Master_Tracker_v2.xlsx]TRACKER'!$D$3:$D$1275,"RA",'[PBMM_Master_Tracker_v2.xlsx]TRACKER'!$G$3:$G$1275,"Accepted Exception"))/COUNTIFS('[PBMM_Master_Tracker_v2.xlsx]TRACKER'!$C$3:$C$1275,$A18,'[PBMM_Master_Tracker_v2.xlsx]TRACKER'!$D$3:$D$1275,"RA"),"")</f>
        <v/>
      </c>
      <c r="P18" s="26">
        <f>IFERROR(1-(COUNTIFS('[PBMM_Master_Tracker_v2.xlsx]TRACKER'!$C$3:$C$1275,$A18,'[PBMM_Master_Tracker_v2.xlsx]TRACKER'!$D$3:$D$1275,"SA",'[PBMM_Master_Tracker_v2.xlsx]TRACKER'!$G$3:$G$1275,"Passed")+COUNTIFS('[PBMM_Master_Tracker_v2.xlsx]TRACKER'!$C$3:$C$1275,$A18,'[PBMM_Master_Tracker_v2.xlsx]TRACKER'!$D$3:$D$1275,"SA",'[PBMM_Master_Tracker_v2.xlsx]TRACKER'!$G$3:$G$1275,"Accepted Exception"))/COUNTIFS('[PBMM_Master_Tracker_v2.xlsx]TRACKER'!$C$3:$C$1275,$A18,'[PBMM_Master_Tracker_v2.xlsx]TRACKER'!$D$3:$D$1275,"SA"),"")</f>
        <v/>
      </c>
      <c r="Q18" s="26">
        <f>IFERROR(1-(COUNTIFS('[PBMM_Master_Tracker_v2.xlsx]TRACKER'!$C$3:$C$1275,$A18,'[PBMM_Master_Tracker_v2.xlsx]TRACKER'!$D$3:$D$1275,"SC",'[PBMM_Master_Tracker_v2.xlsx]TRACKER'!$G$3:$G$1275,"Passed")+COUNTIFS('[PBMM_Master_Tracker_v2.xlsx]TRACKER'!$C$3:$C$1275,$A18,'[PBMM_Master_Tracker_v2.xlsx]TRACKER'!$D$3:$D$1275,"SC",'[PBMM_Master_Tracker_v2.xlsx]TRACKER'!$G$3:$G$1275,"Accepted Exception"))/COUNTIFS('[PBMM_Master_Tracker_v2.xlsx]TRACKER'!$C$3:$C$1275,$A18,'[PBMM_Master_Tracker_v2.xlsx]TRACKER'!$D$3:$D$1275,"SC"),"")</f>
        <v/>
      </c>
      <c r="R18" s="26">
        <f>IFERROR(1-(COUNTIFS('[PBMM_Master_Tracker_v2.xlsx]TRACKER'!$C$3:$C$1275,$A18,'[PBMM_Master_Tracker_v2.xlsx]TRACKER'!$D$3:$D$1275,"SI",'[PBMM_Master_Tracker_v2.xlsx]TRACKER'!$G$3:$G$1275,"Passed")+COUNTIFS('[PBMM_Master_Tracker_v2.xlsx]TRACKER'!$C$3:$C$1275,$A18,'[PBMM_Master_Tracker_v2.xlsx]TRACKER'!$D$3:$D$1275,"SI",'[PBMM_Master_Tracker_v2.xlsx]TRACKER'!$G$3:$G$1275,"Accepted Exception"))/COUNTIFS('[PBMM_Master_Tracker_v2.xlsx]TRACKER'!$C$3:$C$1275,$A18,'[PBMM_Master_Tracker_v2.xlsx]TRACKER'!$D$3:$D$1275,"SI"),"")</f>
        <v/>
      </c>
    </row>
    <row r="19" ht="20" customHeight="1">
      <c r="A19" s="23" t="inlineStr">
        <is>
          <t>Storage</t>
        </is>
      </c>
      <c r="B19" s="24">
        <f>IFERROR(1-(COUNTIFS('[PBMM_Master_Tracker_v2.xlsx]TRACKER'!$C$3:$C$1275,$A19,'[PBMM_Master_Tracker_v2.xlsx]TRACKER'!$D$3:$D$1275,"AC",'[PBMM_Master_Tracker_v2.xlsx]TRACKER'!$G$3:$G$1275,"Passed")+COUNTIFS('[PBMM_Master_Tracker_v2.xlsx]TRACKER'!$C$3:$C$1275,$A19,'[PBMM_Master_Tracker_v2.xlsx]TRACKER'!$D$3:$D$1275,"AC",'[PBMM_Master_Tracker_v2.xlsx]TRACKER'!$G$3:$G$1275,"Accepted Exception"))/COUNTIFS('[PBMM_Master_Tracker_v2.xlsx]TRACKER'!$C$3:$C$1275,$A19,'[PBMM_Master_Tracker_v2.xlsx]TRACKER'!$D$3:$D$1275,"AC"),"")</f>
        <v/>
      </c>
      <c r="C19" s="24">
        <f>IFERROR(1-(COUNTIFS('[PBMM_Master_Tracker_v2.xlsx]TRACKER'!$C$3:$C$1275,$A19,'[PBMM_Master_Tracker_v2.xlsx]TRACKER'!$D$3:$D$1275,"AT",'[PBMM_Master_Tracker_v2.xlsx]TRACKER'!$G$3:$G$1275,"Passed")+COUNTIFS('[PBMM_Master_Tracker_v2.xlsx]TRACKER'!$C$3:$C$1275,$A19,'[PBMM_Master_Tracker_v2.xlsx]TRACKER'!$D$3:$D$1275,"AT",'[PBMM_Master_Tracker_v2.xlsx]TRACKER'!$G$3:$G$1275,"Accepted Exception"))/COUNTIFS('[PBMM_Master_Tracker_v2.xlsx]TRACKER'!$C$3:$C$1275,$A19,'[PBMM_Master_Tracker_v2.xlsx]TRACKER'!$D$3:$D$1275,"AT"),"")</f>
        <v/>
      </c>
      <c r="D19" s="24">
        <f>IFERROR(1-(COUNTIFS('[PBMM_Master_Tracker_v2.xlsx]TRACKER'!$C$3:$C$1275,$A19,'[PBMM_Master_Tracker_v2.xlsx]TRACKER'!$D$3:$D$1275,"AU",'[PBMM_Master_Tracker_v2.xlsx]TRACKER'!$G$3:$G$1275,"Passed")+COUNTIFS('[PBMM_Master_Tracker_v2.xlsx]TRACKER'!$C$3:$C$1275,$A19,'[PBMM_Master_Tracker_v2.xlsx]TRACKER'!$D$3:$D$1275,"AU",'[PBMM_Master_Tracker_v2.xlsx]TRACKER'!$G$3:$G$1275,"Accepted Exception"))/COUNTIFS('[PBMM_Master_Tracker_v2.xlsx]TRACKER'!$C$3:$C$1275,$A19,'[PBMM_Master_Tracker_v2.xlsx]TRACKER'!$D$3:$D$1275,"AU"),"")</f>
        <v/>
      </c>
      <c r="E19" s="24">
        <f>IFERROR(1-(COUNTIFS('[PBMM_Master_Tracker_v2.xlsx]TRACKER'!$C$3:$C$1275,$A19,'[PBMM_Master_Tracker_v2.xlsx]TRACKER'!$D$3:$D$1275,"CA",'[PBMM_Master_Tracker_v2.xlsx]TRACKER'!$G$3:$G$1275,"Passed")+COUNTIFS('[PBMM_Master_Tracker_v2.xlsx]TRACKER'!$C$3:$C$1275,$A19,'[PBMM_Master_Tracker_v2.xlsx]TRACKER'!$D$3:$D$1275,"CA",'[PBMM_Master_Tracker_v2.xlsx]TRACKER'!$G$3:$G$1275,"Accepted Exception"))/COUNTIFS('[PBMM_Master_Tracker_v2.xlsx]TRACKER'!$C$3:$C$1275,$A19,'[PBMM_Master_Tracker_v2.xlsx]TRACKER'!$D$3:$D$1275,"CA"),"")</f>
        <v/>
      </c>
      <c r="F19" s="24">
        <f>IFERROR(1-(COUNTIFS('[PBMM_Master_Tracker_v2.xlsx]TRACKER'!$C$3:$C$1275,$A19,'[PBMM_Master_Tracker_v2.xlsx]TRACKER'!$D$3:$D$1275,"CM",'[PBMM_Master_Tracker_v2.xlsx]TRACKER'!$G$3:$G$1275,"Passed")+COUNTIFS('[PBMM_Master_Tracker_v2.xlsx]TRACKER'!$C$3:$C$1275,$A19,'[PBMM_Master_Tracker_v2.xlsx]TRACKER'!$D$3:$D$1275,"CM",'[PBMM_Master_Tracker_v2.xlsx]TRACKER'!$G$3:$G$1275,"Accepted Exception"))/COUNTIFS('[PBMM_Master_Tracker_v2.xlsx]TRACKER'!$C$3:$C$1275,$A19,'[PBMM_Master_Tracker_v2.xlsx]TRACKER'!$D$3:$D$1275,"CM"),"")</f>
        <v/>
      </c>
      <c r="G19" s="24">
        <f>IFERROR(1-(COUNTIFS('[PBMM_Master_Tracker_v2.xlsx]TRACKER'!$C$3:$C$1275,$A19,'[PBMM_Master_Tracker_v2.xlsx]TRACKER'!$D$3:$D$1275,"CP",'[PBMM_Master_Tracker_v2.xlsx]TRACKER'!$G$3:$G$1275,"Passed")+COUNTIFS('[PBMM_Master_Tracker_v2.xlsx]TRACKER'!$C$3:$C$1275,$A19,'[PBMM_Master_Tracker_v2.xlsx]TRACKER'!$D$3:$D$1275,"CP",'[PBMM_Master_Tracker_v2.xlsx]TRACKER'!$G$3:$G$1275,"Accepted Exception"))/COUNTIFS('[PBMM_Master_Tracker_v2.xlsx]TRACKER'!$C$3:$C$1275,$A19,'[PBMM_Master_Tracker_v2.xlsx]TRACKER'!$D$3:$D$1275,"CP"),"")</f>
        <v/>
      </c>
      <c r="H19" s="24">
        <f>IFERROR(1-(COUNTIFS('[PBMM_Master_Tracker_v2.xlsx]TRACKER'!$C$3:$C$1275,$A19,'[PBMM_Master_Tracker_v2.xlsx]TRACKER'!$D$3:$D$1275,"IA",'[PBMM_Master_Tracker_v2.xlsx]TRACKER'!$G$3:$G$1275,"Passed")+COUNTIFS('[PBMM_Master_Tracker_v2.xlsx]TRACKER'!$C$3:$C$1275,$A19,'[PBMM_Master_Tracker_v2.xlsx]TRACKER'!$D$3:$D$1275,"IA",'[PBMM_Master_Tracker_v2.xlsx]TRACKER'!$G$3:$G$1275,"Accepted Exception"))/COUNTIFS('[PBMM_Master_Tracker_v2.xlsx]TRACKER'!$C$3:$C$1275,$A19,'[PBMM_Master_Tracker_v2.xlsx]TRACKER'!$D$3:$D$1275,"IA"),"")</f>
        <v/>
      </c>
      <c r="I19" s="24">
        <f>IFERROR(1-(COUNTIFS('[PBMM_Master_Tracker_v2.xlsx]TRACKER'!$C$3:$C$1275,$A19,'[PBMM_Master_Tracker_v2.xlsx]TRACKER'!$D$3:$D$1275,"IR",'[PBMM_Master_Tracker_v2.xlsx]TRACKER'!$G$3:$G$1275,"Passed")+COUNTIFS('[PBMM_Master_Tracker_v2.xlsx]TRACKER'!$C$3:$C$1275,$A19,'[PBMM_Master_Tracker_v2.xlsx]TRACKER'!$D$3:$D$1275,"IR",'[PBMM_Master_Tracker_v2.xlsx]TRACKER'!$G$3:$G$1275,"Accepted Exception"))/COUNTIFS('[PBMM_Master_Tracker_v2.xlsx]TRACKER'!$C$3:$C$1275,$A19,'[PBMM_Master_Tracker_v2.xlsx]TRACKER'!$D$3:$D$1275,"IR"),"")</f>
        <v/>
      </c>
      <c r="J19" s="24">
        <f>IFERROR(1-(COUNTIFS('[PBMM_Master_Tracker_v2.xlsx]TRACKER'!$C$3:$C$1275,$A19,'[PBMM_Master_Tracker_v2.xlsx]TRACKER'!$D$3:$D$1275,"MA",'[PBMM_Master_Tracker_v2.xlsx]TRACKER'!$G$3:$G$1275,"Passed")+COUNTIFS('[PBMM_Master_Tracker_v2.xlsx]TRACKER'!$C$3:$C$1275,$A19,'[PBMM_Master_Tracker_v2.xlsx]TRACKER'!$D$3:$D$1275,"MA",'[PBMM_Master_Tracker_v2.xlsx]TRACKER'!$G$3:$G$1275,"Accepted Exception"))/COUNTIFS('[PBMM_Master_Tracker_v2.xlsx]TRACKER'!$C$3:$C$1275,$A19,'[PBMM_Master_Tracker_v2.xlsx]TRACKER'!$D$3:$D$1275,"MA"),"")</f>
        <v/>
      </c>
      <c r="K19" s="24">
        <f>IFERROR(1-(COUNTIFS('[PBMM_Master_Tracker_v2.xlsx]TRACKER'!$C$3:$C$1275,$A19,'[PBMM_Master_Tracker_v2.xlsx]TRACKER'!$D$3:$D$1275,"MP",'[PBMM_Master_Tracker_v2.xlsx]TRACKER'!$G$3:$G$1275,"Passed")+COUNTIFS('[PBMM_Master_Tracker_v2.xlsx]TRACKER'!$C$3:$C$1275,$A19,'[PBMM_Master_Tracker_v2.xlsx]TRACKER'!$D$3:$D$1275,"MP",'[PBMM_Master_Tracker_v2.xlsx]TRACKER'!$G$3:$G$1275,"Accepted Exception"))/COUNTIFS('[PBMM_Master_Tracker_v2.xlsx]TRACKER'!$C$3:$C$1275,$A19,'[PBMM_Master_Tracker_v2.xlsx]TRACKER'!$D$3:$D$1275,"MP"),"")</f>
        <v/>
      </c>
      <c r="L19" s="24">
        <f>IFERROR(1-(COUNTIFS('[PBMM_Master_Tracker_v2.xlsx]TRACKER'!$C$3:$C$1275,$A19,'[PBMM_Master_Tracker_v2.xlsx]TRACKER'!$D$3:$D$1275,"PE",'[PBMM_Master_Tracker_v2.xlsx]TRACKER'!$G$3:$G$1275,"Passed")+COUNTIFS('[PBMM_Master_Tracker_v2.xlsx]TRACKER'!$C$3:$C$1275,$A19,'[PBMM_Master_Tracker_v2.xlsx]TRACKER'!$D$3:$D$1275,"PE",'[PBMM_Master_Tracker_v2.xlsx]TRACKER'!$G$3:$G$1275,"Accepted Exception"))/COUNTIFS('[PBMM_Master_Tracker_v2.xlsx]TRACKER'!$C$3:$C$1275,$A19,'[PBMM_Master_Tracker_v2.xlsx]TRACKER'!$D$3:$D$1275,"PE"),"")</f>
        <v/>
      </c>
      <c r="M19" s="24">
        <f>IFERROR(1-(COUNTIFS('[PBMM_Master_Tracker_v2.xlsx]TRACKER'!$C$3:$C$1275,$A19,'[PBMM_Master_Tracker_v2.xlsx]TRACKER'!$D$3:$D$1275,"PL",'[PBMM_Master_Tracker_v2.xlsx]TRACKER'!$G$3:$G$1275,"Passed")+COUNTIFS('[PBMM_Master_Tracker_v2.xlsx]TRACKER'!$C$3:$C$1275,$A19,'[PBMM_Master_Tracker_v2.xlsx]TRACKER'!$D$3:$D$1275,"PL",'[PBMM_Master_Tracker_v2.xlsx]TRACKER'!$G$3:$G$1275,"Accepted Exception"))/COUNTIFS('[PBMM_Master_Tracker_v2.xlsx]TRACKER'!$C$3:$C$1275,$A19,'[PBMM_Master_Tracker_v2.xlsx]TRACKER'!$D$3:$D$1275,"PL"),"")</f>
        <v/>
      </c>
      <c r="N19" s="24">
        <f>IFERROR(1-(COUNTIFS('[PBMM_Master_Tracker_v2.xlsx]TRACKER'!$C$3:$C$1275,$A19,'[PBMM_Master_Tracker_v2.xlsx]TRACKER'!$D$3:$D$1275,"PS",'[PBMM_Master_Tracker_v2.xlsx]TRACKER'!$G$3:$G$1275,"Passed")+COUNTIFS('[PBMM_Master_Tracker_v2.xlsx]TRACKER'!$C$3:$C$1275,$A19,'[PBMM_Master_Tracker_v2.xlsx]TRACKER'!$D$3:$D$1275,"PS",'[PBMM_Master_Tracker_v2.xlsx]TRACKER'!$G$3:$G$1275,"Accepted Exception"))/COUNTIFS('[PBMM_Master_Tracker_v2.xlsx]TRACKER'!$C$3:$C$1275,$A19,'[PBMM_Master_Tracker_v2.xlsx]TRACKER'!$D$3:$D$1275,"PS"),"")</f>
        <v/>
      </c>
      <c r="O19" s="24">
        <f>IFERROR(1-(COUNTIFS('[PBMM_Master_Tracker_v2.xlsx]TRACKER'!$C$3:$C$1275,$A19,'[PBMM_Master_Tracker_v2.xlsx]TRACKER'!$D$3:$D$1275,"RA",'[PBMM_Master_Tracker_v2.xlsx]TRACKER'!$G$3:$G$1275,"Passed")+COUNTIFS('[PBMM_Master_Tracker_v2.xlsx]TRACKER'!$C$3:$C$1275,$A19,'[PBMM_Master_Tracker_v2.xlsx]TRACKER'!$D$3:$D$1275,"RA",'[PBMM_Master_Tracker_v2.xlsx]TRACKER'!$G$3:$G$1275,"Accepted Exception"))/COUNTIFS('[PBMM_Master_Tracker_v2.xlsx]TRACKER'!$C$3:$C$1275,$A19,'[PBMM_Master_Tracker_v2.xlsx]TRACKER'!$D$3:$D$1275,"RA"),"")</f>
        <v/>
      </c>
      <c r="P19" s="24">
        <f>IFERROR(1-(COUNTIFS('[PBMM_Master_Tracker_v2.xlsx]TRACKER'!$C$3:$C$1275,$A19,'[PBMM_Master_Tracker_v2.xlsx]TRACKER'!$D$3:$D$1275,"SA",'[PBMM_Master_Tracker_v2.xlsx]TRACKER'!$G$3:$G$1275,"Passed")+COUNTIFS('[PBMM_Master_Tracker_v2.xlsx]TRACKER'!$C$3:$C$1275,$A19,'[PBMM_Master_Tracker_v2.xlsx]TRACKER'!$D$3:$D$1275,"SA",'[PBMM_Master_Tracker_v2.xlsx]TRACKER'!$G$3:$G$1275,"Accepted Exception"))/COUNTIFS('[PBMM_Master_Tracker_v2.xlsx]TRACKER'!$C$3:$C$1275,$A19,'[PBMM_Master_Tracker_v2.xlsx]TRACKER'!$D$3:$D$1275,"SA"),"")</f>
        <v/>
      </c>
      <c r="Q19" s="24">
        <f>IFERROR(1-(COUNTIFS('[PBMM_Master_Tracker_v2.xlsx]TRACKER'!$C$3:$C$1275,$A19,'[PBMM_Master_Tracker_v2.xlsx]TRACKER'!$D$3:$D$1275,"SC",'[PBMM_Master_Tracker_v2.xlsx]TRACKER'!$G$3:$G$1275,"Passed")+COUNTIFS('[PBMM_Master_Tracker_v2.xlsx]TRACKER'!$C$3:$C$1275,$A19,'[PBMM_Master_Tracker_v2.xlsx]TRACKER'!$D$3:$D$1275,"SC",'[PBMM_Master_Tracker_v2.xlsx]TRACKER'!$G$3:$G$1275,"Accepted Exception"))/COUNTIFS('[PBMM_Master_Tracker_v2.xlsx]TRACKER'!$C$3:$C$1275,$A19,'[PBMM_Master_Tracker_v2.xlsx]TRACKER'!$D$3:$D$1275,"SC"),"")</f>
        <v/>
      </c>
      <c r="R19" s="24">
        <f>IFERROR(1-(COUNTIFS('[PBMM_Master_Tracker_v2.xlsx]TRACKER'!$C$3:$C$1275,$A19,'[PBMM_Master_Tracker_v2.xlsx]TRACKER'!$D$3:$D$1275,"SI",'[PBMM_Master_Tracker_v2.xlsx]TRACKER'!$G$3:$G$1275,"Passed")+COUNTIFS('[PBMM_Master_Tracker_v2.xlsx]TRACKER'!$C$3:$C$1275,$A19,'[PBMM_Master_Tracker_v2.xlsx]TRACKER'!$D$3:$D$1275,"SI",'[PBMM_Master_Tracker_v2.xlsx]TRACKER'!$G$3:$G$1275,"Accepted Exception"))/COUNTIFS('[PBMM_Master_Tracker_v2.xlsx]TRACKER'!$C$3:$C$1275,$A19,'[PBMM_Master_Tracker_v2.xlsx]TRACKER'!$D$3:$D$1275,"SI"),"")</f>
        <v/>
      </c>
    </row>
    <row r="20" ht="20" customHeight="1">
      <c r="A20" s="25" t="inlineStr">
        <is>
          <t>Tenable Nessus</t>
        </is>
      </c>
      <c r="B20" s="26">
        <f>IFERROR(1-(COUNTIFS('[PBMM_Master_Tracker_v2.xlsx]TRACKER'!$C$3:$C$1275,$A20,'[PBMM_Master_Tracker_v2.xlsx]TRACKER'!$D$3:$D$1275,"AC",'[PBMM_Master_Tracker_v2.xlsx]TRACKER'!$G$3:$G$1275,"Passed")+COUNTIFS('[PBMM_Master_Tracker_v2.xlsx]TRACKER'!$C$3:$C$1275,$A20,'[PBMM_Master_Tracker_v2.xlsx]TRACKER'!$D$3:$D$1275,"AC",'[PBMM_Master_Tracker_v2.xlsx]TRACKER'!$G$3:$G$1275,"Accepted Exception"))/COUNTIFS('[PBMM_Master_Tracker_v2.xlsx]TRACKER'!$C$3:$C$1275,$A20,'[PBMM_Master_Tracker_v2.xlsx]TRACKER'!$D$3:$D$1275,"AC"),"")</f>
        <v/>
      </c>
      <c r="C20" s="26">
        <f>IFERROR(1-(COUNTIFS('[PBMM_Master_Tracker_v2.xlsx]TRACKER'!$C$3:$C$1275,$A20,'[PBMM_Master_Tracker_v2.xlsx]TRACKER'!$D$3:$D$1275,"AT",'[PBMM_Master_Tracker_v2.xlsx]TRACKER'!$G$3:$G$1275,"Passed")+COUNTIFS('[PBMM_Master_Tracker_v2.xlsx]TRACKER'!$C$3:$C$1275,$A20,'[PBMM_Master_Tracker_v2.xlsx]TRACKER'!$D$3:$D$1275,"AT",'[PBMM_Master_Tracker_v2.xlsx]TRACKER'!$G$3:$G$1275,"Accepted Exception"))/COUNTIFS('[PBMM_Master_Tracker_v2.xlsx]TRACKER'!$C$3:$C$1275,$A20,'[PBMM_Master_Tracker_v2.xlsx]TRACKER'!$D$3:$D$1275,"AT"),"")</f>
        <v/>
      </c>
      <c r="D20" s="26">
        <f>IFERROR(1-(COUNTIFS('[PBMM_Master_Tracker_v2.xlsx]TRACKER'!$C$3:$C$1275,$A20,'[PBMM_Master_Tracker_v2.xlsx]TRACKER'!$D$3:$D$1275,"AU",'[PBMM_Master_Tracker_v2.xlsx]TRACKER'!$G$3:$G$1275,"Passed")+COUNTIFS('[PBMM_Master_Tracker_v2.xlsx]TRACKER'!$C$3:$C$1275,$A20,'[PBMM_Master_Tracker_v2.xlsx]TRACKER'!$D$3:$D$1275,"AU",'[PBMM_Master_Tracker_v2.xlsx]TRACKER'!$G$3:$G$1275,"Accepted Exception"))/COUNTIFS('[PBMM_Master_Tracker_v2.xlsx]TRACKER'!$C$3:$C$1275,$A20,'[PBMM_Master_Tracker_v2.xlsx]TRACKER'!$D$3:$D$1275,"AU"),"")</f>
        <v/>
      </c>
      <c r="E20" s="26">
        <f>IFERROR(1-(COUNTIFS('[PBMM_Master_Tracker_v2.xlsx]TRACKER'!$C$3:$C$1275,$A20,'[PBMM_Master_Tracker_v2.xlsx]TRACKER'!$D$3:$D$1275,"CA",'[PBMM_Master_Tracker_v2.xlsx]TRACKER'!$G$3:$G$1275,"Passed")+COUNTIFS('[PBMM_Master_Tracker_v2.xlsx]TRACKER'!$C$3:$C$1275,$A20,'[PBMM_Master_Tracker_v2.xlsx]TRACKER'!$D$3:$D$1275,"CA",'[PBMM_Master_Tracker_v2.xlsx]TRACKER'!$G$3:$G$1275,"Accepted Exception"))/COUNTIFS('[PBMM_Master_Tracker_v2.xlsx]TRACKER'!$C$3:$C$1275,$A20,'[PBMM_Master_Tracker_v2.xlsx]TRACKER'!$D$3:$D$1275,"CA"),"")</f>
        <v/>
      </c>
      <c r="F20" s="26">
        <f>IFERROR(1-(COUNTIFS('[PBMM_Master_Tracker_v2.xlsx]TRACKER'!$C$3:$C$1275,$A20,'[PBMM_Master_Tracker_v2.xlsx]TRACKER'!$D$3:$D$1275,"CM",'[PBMM_Master_Tracker_v2.xlsx]TRACKER'!$G$3:$G$1275,"Passed")+COUNTIFS('[PBMM_Master_Tracker_v2.xlsx]TRACKER'!$C$3:$C$1275,$A20,'[PBMM_Master_Tracker_v2.xlsx]TRACKER'!$D$3:$D$1275,"CM",'[PBMM_Master_Tracker_v2.xlsx]TRACKER'!$G$3:$G$1275,"Accepted Exception"))/COUNTIFS('[PBMM_Master_Tracker_v2.xlsx]TRACKER'!$C$3:$C$1275,$A20,'[PBMM_Master_Tracker_v2.xlsx]TRACKER'!$D$3:$D$1275,"CM"),"")</f>
        <v/>
      </c>
      <c r="G20" s="26">
        <f>IFERROR(1-(COUNTIFS('[PBMM_Master_Tracker_v2.xlsx]TRACKER'!$C$3:$C$1275,$A20,'[PBMM_Master_Tracker_v2.xlsx]TRACKER'!$D$3:$D$1275,"CP",'[PBMM_Master_Tracker_v2.xlsx]TRACKER'!$G$3:$G$1275,"Passed")+COUNTIFS('[PBMM_Master_Tracker_v2.xlsx]TRACKER'!$C$3:$C$1275,$A20,'[PBMM_Master_Tracker_v2.xlsx]TRACKER'!$D$3:$D$1275,"CP",'[PBMM_Master_Tracker_v2.xlsx]TRACKER'!$G$3:$G$1275,"Accepted Exception"))/COUNTIFS('[PBMM_Master_Tracker_v2.xlsx]TRACKER'!$C$3:$C$1275,$A20,'[PBMM_Master_Tracker_v2.xlsx]TRACKER'!$D$3:$D$1275,"CP"),"")</f>
        <v/>
      </c>
      <c r="H20" s="26">
        <f>IFERROR(1-(COUNTIFS('[PBMM_Master_Tracker_v2.xlsx]TRACKER'!$C$3:$C$1275,$A20,'[PBMM_Master_Tracker_v2.xlsx]TRACKER'!$D$3:$D$1275,"IA",'[PBMM_Master_Tracker_v2.xlsx]TRACKER'!$G$3:$G$1275,"Passed")+COUNTIFS('[PBMM_Master_Tracker_v2.xlsx]TRACKER'!$C$3:$C$1275,$A20,'[PBMM_Master_Tracker_v2.xlsx]TRACKER'!$D$3:$D$1275,"IA",'[PBMM_Master_Tracker_v2.xlsx]TRACKER'!$G$3:$G$1275,"Accepted Exception"))/COUNTIFS('[PBMM_Master_Tracker_v2.xlsx]TRACKER'!$C$3:$C$1275,$A20,'[PBMM_Master_Tracker_v2.xlsx]TRACKER'!$D$3:$D$1275,"IA"),"")</f>
        <v/>
      </c>
      <c r="I20" s="26">
        <f>IFERROR(1-(COUNTIFS('[PBMM_Master_Tracker_v2.xlsx]TRACKER'!$C$3:$C$1275,$A20,'[PBMM_Master_Tracker_v2.xlsx]TRACKER'!$D$3:$D$1275,"IR",'[PBMM_Master_Tracker_v2.xlsx]TRACKER'!$G$3:$G$1275,"Passed")+COUNTIFS('[PBMM_Master_Tracker_v2.xlsx]TRACKER'!$C$3:$C$1275,$A20,'[PBMM_Master_Tracker_v2.xlsx]TRACKER'!$D$3:$D$1275,"IR",'[PBMM_Master_Tracker_v2.xlsx]TRACKER'!$G$3:$G$1275,"Accepted Exception"))/COUNTIFS('[PBMM_Master_Tracker_v2.xlsx]TRACKER'!$C$3:$C$1275,$A20,'[PBMM_Master_Tracker_v2.xlsx]TRACKER'!$D$3:$D$1275,"IR"),"")</f>
        <v/>
      </c>
      <c r="J20" s="26">
        <f>IFERROR(1-(COUNTIFS('[PBMM_Master_Tracker_v2.xlsx]TRACKER'!$C$3:$C$1275,$A20,'[PBMM_Master_Tracker_v2.xlsx]TRACKER'!$D$3:$D$1275,"MA",'[PBMM_Master_Tracker_v2.xlsx]TRACKER'!$G$3:$G$1275,"Passed")+COUNTIFS('[PBMM_Master_Tracker_v2.xlsx]TRACKER'!$C$3:$C$1275,$A20,'[PBMM_Master_Tracker_v2.xlsx]TRACKER'!$D$3:$D$1275,"MA",'[PBMM_Master_Tracker_v2.xlsx]TRACKER'!$G$3:$G$1275,"Accepted Exception"))/COUNTIFS('[PBMM_Master_Tracker_v2.xlsx]TRACKER'!$C$3:$C$1275,$A20,'[PBMM_Master_Tracker_v2.xlsx]TRACKER'!$D$3:$D$1275,"MA"),"")</f>
        <v/>
      </c>
      <c r="K20" s="26">
        <f>IFERROR(1-(COUNTIFS('[PBMM_Master_Tracker_v2.xlsx]TRACKER'!$C$3:$C$1275,$A20,'[PBMM_Master_Tracker_v2.xlsx]TRACKER'!$D$3:$D$1275,"MP",'[PBMM_Master_Tracker_v2.xlsx]TRACKER'!$G$3:$G$1275,"Passed")+COUNTIFS('[PBMM_Master_Tracker_v2.xlsx]TRACKER'!$C$3:$C$1275,$A20,'[PBMM_Master_Tracker_v2.xlsx]TRACKER'!$D$3:$D$1275,"MP",'[PBMM_Master_Tracker_v2.xlsx]TRACKER'!$G$3:$G$1275,"Accepted Exception"))/COUNTIFS('[PBMM_Master_Tracker_v2.xlsx]TRACKER'!$C$3:$C$1275,$A20,'[PBMM_Master_Tracker_v2.xlsx]TRACKER'!$D$3:$D$1275,"MP"),"")</f>
        <v/>
      </c>
      <c r="L20" s="26">
        <f>IFERROR(1-(COUNTIFS('[PBMM_Master_Tracker_v2.xlsx]TRACKER'!$C$3:$C$1275,$A20,'[PBMM_Master_Tracker_v2.xlsx]TRACKER'!$D$3:$D$1275,"PE",'[PBMM_Master_Tracker_v2.xlsx]TRACKER'!$G$3:$G$1275,"Passed")+COUNTIFS('[PBMM_Master_Tracker_v2.xlsx]TRACKER'!$C$3:$C$1275,$A20,'[PBMM_Master_Tracker_v2.xlsx]TRACKER'!$D$3:$D$1275,"PE",'[PBMM_Master_Tracker_v2.xlsx]TRACKER'!$G$3:$G$1275,"Accepted Exception"))/COUNTIFS('[PBMM_Master_Tracker_v2.xlsx]TRACKER'!$C$3:$C$1275,$A20,'[PBMM_Master_Tracker_v2.xlsx]TRACKER'!$D$3:$D$1275,"PE"),"")</f>
        <v/>
      </c>
      <c r="M20" s="26">
        <f>IFERROR(1-(COUNTIFS('[PBMM_Master_Tracker_v2.xlsx]TRACKER'!$C$3:$C$1275,$A20,'[PBMM_Master_Tracker_v2.xlsx]TRACKER'!$D$3:$D$1275,"PL",'[PBMM_Master_Tracker_v2.xlsx]TRACKER'!$G$3:$G$1275,"Passed")+COUNTIFS('[PBMM_Master_Tracker_v2.xlsx]TRACKER'!$C$3:$C$1275,$A20,'[PBMM_Master_Tracker_v2.xlsx]TRACKER'!$D$3:$D$1275,"PL",'[PBMM_Master_Tracker_v2.xlsx]TRACKER'!$G$3:$G$1275,"Accepted Exception"))/COUNTIFS('[PBMM_Master_Tracker_v2.xlsx]TRACKER'!$C$3:$C$1275,$A20,'[PBMM_Master_Tracker_v2.xlsx]TRACKER'!$D$3:$D$1275,"PL"),"")</f>
        <v/>
      </c>
      <c r="N20" s="26">
        <f>IFERROR(1-(COUNTIFS('[PBMM_Master_Tracker_v2.xlsx]TRACKER'!$C$3:$C$1275,$A20,'[PBMM_Master_Tracker_v2.xlsx]TRACKER'!$D$3:$D$1275,"PS",'[PBMM_Master_Tracker_v2.xlsx]TRACKER'!$G$3:$G$1275,"Passed")+COUNTIFS('[PBMM_Master_Tracker_v2.xlsx]TRACKER'!$C$3:$C$1275,$A20,'[PBMM_Master_Tracker_v2.xlsx]TRACKER'!$D$3:$D$1275,"PS",'[PBMM_Master_Tracker_v2.xlsx]TRACKER'!$G$3:$G$1275,"Accepted Exception"))/COUNTIFS('[PBMM_Master_Tracker_v2.xlsx]TRACKER'!$C$3:$C$1275,$A20,'[PBMM_Master_Tracker_v2.xlsx]TRACKER'!$D$3:$D$1275,"PS"),"")</f>
        <v/>
      </c>
      <c r="O20" s="26">
        <f>IFERROR(1-(COUNTIFS('[PBMM_Master_Tracker_v2.xlsx]TRACKER'!$C$3:$C$1275,$A20,'[PBMM_Master_Tracker_v2.xlsx]TRACKER'!$D$3:$D$1275,"RA",'[PBMM_Master_Tracker_v2.xlsx]TRACKER'!$G$3:$G$1275,"Passed")+COUNTIFS('[PBMM_Master_Tracker_v2.xlsx]TRACKER'!$C$3:$C$1275,$A20,'[PBMM_Master_Tracker_v2.xlsx]TRACKER'!$D$3:$D$1275,"RA",'[PBMM_Master_Tracker_v2.xlsx]TRACKER'!$G$3:$G$1275,"Accepted Exception"))/COUNTIFS('[PBMM_Master_Tracker_v2.xlsx]TRACKER'!$C$3:$C$1275,$A20,'[PBMM_Master_Tracker_v2.xlsx]TRACKER'!$D$3:$D$1275,"RA"),"")</f>
        <v/>
      </c>
      <c r="P20" s="26">
        <f>IFERROR(1-(COUNTIFS('[PBMM_Master_Tracker_v2.xlsx]TRACKER'!$C$3:$C$1275,$A20,'[PBMM_Master_Tracker_v2.xlsx]TRACKER'!$D$3:$D$1275,"SA",'[PBMM_Master_Tracker_v2.xlsx]TRACKER'!$G$3:$G$1275,"Passed")+COUNTIFS('[PBMM_Master_Tracker_v2.xlsx]TRACKER'!$C$3:$C$1275,$A20,'[PBMM_Master_Tracker_v2.xlsx]TRACKER'!$D$3:$D$1275,"SA",'[PBMM_Master_Tracker_v2.xlsx]TRACKER'!$G$3:$G$1275,"Accepted Exception"))/COUNTIFS('[PBMM_Master_Tracker_v2.xlsx]TRACKER'!$C$3:$C$1275,$A20,'[PBMM_Master_Tracker_v2.xlsx]TRACKER'!$D$3:$D$1275,"SA"),"")</f>
        <v/>
      </c>
      <c r="Q20" s="26">
        <f>IFERROR(1-(COUNTIFS('[PBMM_Master_Tracker_v2.xlsx]TRACKER'!$C$3:$C$1275,$A20,'[PBMM_Master_Tracker_v2.xlsx]TRACKER'!$D$3:$D$1275,"SC",'[PBMM_Master_Tracker_v2.xlsx]TRACKER'!$G$3:$G$1275,"Passed")+COUNTIFS('[PBMM_Master_Tracker_v2.xlsx]TRACKER'!$C$3:$C$1275,$A20,'[PBMM_Master_Tracker_v2.xlsx]TRACKER'!$D$3:$D$1275,"SC",'[PBMM_Master_Tracker_v2.xlsx]TRACKER'!$G$3:$G$1275,"Accepted Exception"))/COUNTIFS('[PBMM_Master_Tracker_v2.xlsx]TRACKER'!$C$3:$C$1275,$A20,'[PBMM_Master_Tracker_v2.xlsx]TRACKER'!$D$3:$D$1275,"SC"),"")</f>
        <v/>
      </c>
      <c r="R20" s="26">
        <f>IFERROR(1-(COUNTIFS('[PBMM_Master_Tracker_v2.xlsx]TRACKER'!$C$3:$C$1275,$A20,'[PBMM_Master_Tracker_v2.xlsx]TRACKER'!$D$3:$D$1275,"SI",'[PBMM_Master_Tracker_v2.xlsx]TRACKER'!$G$3:$G$1275,"Passed")+COUNTIFS('[PBMM_Master_Tracker_v2.xlsx]TRACKER'!$C$3:$C$1275,$A20,'[PBMM_Master_Tracker_v2.xlsx]TRACKER'!$D$3:$D$1275,"SI",'[PBMM_Master_Tracker_v2.xlsx]TRACKER'!$G$3:$G$1275,"Accepted Exception"))/COUNTIFS('[PBMM_Master_Tracker_v2.xlsx]TRACKER'!$C$3:$C$1275,$A20,'[PBMM_Master_Tracker_v2.xlsx]TRACKER'!$D$3:$D$1275,"SI"),"")</f>
        <v/>
      </c>
    </row>
    <row r="21" ht="20" customHeight="1">
      <c r="A21" s="23" t="inlineStr">
        <is>
          <t>Tenable Security Centre+</t>
        </is>
      </c>
      <c r="B21" s="24">
        <f>IFERROR(1-(COUNTIFS('[PBMM_Master_Tracker_v2.xlsx]TRACKER'!$C$3:$C$1275,$A21,'[PBMM_Master_Tracker_v2.xlsx]TRACKER'!$D$3:$D$1275,"AC",'[PBMM_Master_Tracker_v2.xlsx]TRACKER'!$G$3:$G$1275,"Passed")+COUNTIFS('[PBMM_Master_Tracker_v2.xlsx]TRACKER'!$C$3:$C$1275,$A21,'[PBMM_Master_Tracker_v2.xlsx]TRACKER'!$D$3:$D$1275,"AC",'[PBMM_Master_Tracker_v2.xlsx]TRACKER'!$G$3:$G$1275,"Accepted Exception"))/COUNTIFS('[PBMM_Master_Tracker_v2.xlsx]TRACKER'!$C$3:$C$1275,$A21,'[PBMM_Master_Tracker_v2.xlsx]TRACKER'!$D$3:$D$1275,"AC"),"")</f>
        <v/>
      </c>
      <c r="C21" s="24">
        <f>IFERROR(1-(COUNTIFS('[PBMM_Master_Tracker_v2.xlsx]TRACKER'!$C$3:$C$1275,$A21,'[PBMM_Master_Tracker_v2.xlsx]TRACKER'!$D$3:$D$1275,"AT",'[PBMM_Master_Tracker_v2.xlsx]TRACKER'!$G$3:$G$1275,"Passed")+COUNTIFS('[PBMM_Master_Tracker_v2.xlsx]TRACKER'!$C$3:$C$1275,$A21,'[PBMM_Master_Tracker_v2.xlsx]TRACKER'!$D$3:$D$1275,"AT",'[PBMM_Master_Tracker_v2.xlsx]TRACKER'!$G$3:$G$1275,"Accepted Exception"))/COUNTIFS('[PBMM_Master_Tracker_v2.xlsx]TRACKER'!$C$3:$C$1275,$A21,'[PBMM_Master_Tracker_v2.xlsx]TRACKER'!$D$3:$D$1275,"AT"),"")</f>
        <v/>
      </c>
      <c r="D21" s="24">
        <f>IFERROR(1-(COUNTIFS('[PBMM_Master_Tracker_v2.xlsx]TRACKER'!$C$3:$C$1275,$A21,'[PBMM_Master_Tracker_v2.xlsx]TRACKER'!$D$3:$D$1275,"AU",'[PBMM_Master_Tracker_v2.xlsx]TRACKER'!$G$3:$G$1275,"Passed")+COUNTIFS('[PBMM_Master_Tracker_v2.xlsx]TRACKER'!$C$3:$C$1275,$A21,'[PBMM_Master_Tracker_v2.xlsx]TRACKER'!$D$3:$D$1275,"AU",'[PBMM_Master_Tracker_v2.xlsx]TRACKER'!$G$3:$G$1275,"Accepted Exception"))/COUNTIFS('[PBMM_Master_Tracker_v2.xlsx]TRACKER'!$C$3:$C$1275,$A21,'[PBMM_Master_Tracker_v2.xlsx]TRACKER'!$D$3:$D$1275,"AU"),"")</f>
        <v/>
      </c>
      <c r="E21" s="24">
        <f>IFERROR(1-(COUNTIFS('[PBMM_Master_Tracker_v2.xlsx]TRACKER'!$C$3:$C$1275,$A21,'[PBMM_Master_Tracker_v2.xlsx]TRACKER'!$D$3:$D$1275,"CA",'[PBMM_Master_Tracker_v2.xlsx]TRACKER'!$G$3:$G$1275,"Passed")+COUNTIFS('[PBMM_Master_Tracker_v2.xlsx]TRACKER'!$C$3:$C$1275,$A21,'[PBMM_Master_Tracker_v2.xlsx]TRACKER'!$D$3:$D$1275,"CA",'[PBMM_Master_Tracker_v2.xlsx]TRACKER'!$G$3:$G$1275,"Accepted Exception"))/COUNTIFS('[PBMM_Master_Tracker_v2.xlsx]TRACKER'!$C$3:$C$1275,$A21,'[PBMM_Master_Tracker_v2.xlsx]TRACKER'!$D$3:$D$1275,"CA"),"")</f>
        <v/>
      </c>
      <c r="F21" s="24">
        <f>IFERROR(1-(COUNTIFS('[PBMM_Master_Tracker_v2.xlsx]TRACKER'!$C$3:$C$1275,$A21,'[PBMM_Master_Tracker_v2.xlsx]TRACKER'!$D$3:$D$1275,"CM",'[PBMM_Master_Tracker_v2.xlsx]TRACKER'!$G$3:$G$1275,"Passed")+COUNTIFS('[PBMM_Master_Tracker_v2.xlsx]TRACKER'!$C$3:$C$1275,$A21,'[PBMM_Master_Tracker_v2.xlsx]TRACKER'!$D$3:$D$1275,"CM",'[PBMM_Master_Tracker_v2.xlsx]TRACKER'!$G$3:$G$1275,"Accepted Exception"))/COUNTIFS('[PBMM_Master_Tracker_v2.xlsx]TRACKER'!$C$3:$C$1275,$A21,'[PBMM_Master_Tracker_v2.xlsx]TRACKER'!$D$3:$D$1275,"CM"),"")</f>
        <v/>
      </c>
      <c r="G21" s="24">
        <f>IFERROR(1-(COUNTIFS('[PBMM_Master_Tracker_v2.xlsx]TRACKER'!$C$3:$C$1275,$A21,'[PBMM_Master_Tracker_v2.xlsx]TRACKER'!$D$3:$D$1275,"CP",'[PBMM_Master_Tracker_v2.xlsx]TRACKER'!$G$3:$G$1275,"Passed")+COUNTIFS('[PBMM_Master_Tracker_v2.xlsx]TRACKER'!$C$3:$C$1275,$A21,'[PBMM_Master_Tracker_v2.xlsx]TRACKER'!$D$3:$D$1275,"CP",'[PBMM_Master_Tracker_v2.xlsx]TRACKER'!$G$3:$G$1275,"Accepted Exception"))/COUNTIFS('[PBMM_Master_Tracker_v2.xlsx]TRACKER'!$C$3:$C$1275,$A21,'[PBMM_Master_Tracker_v2.xlsx]TRACKER'!$D$3:$D$1275,"CP"),"")</f>
        <v/>
      </c>
      <c r="H21" s="24">
        <f>IFERROR(1-(COUNTIFS('[PBMM_Master_Tracker_v2.xlsx]TRACKER'!$C$3:$C$1275,$A21,'[PBMM_Master_Tracker_v2.xlsx]TRACKER'!$D$3:$D$1275,"IA",'[PBMM_Master_Tracker_v2.xlsx]TRACKER'!$G$3:$G$1275,"Passed")+COUNTIFS('[PBMM_Master_Tracker_v2.xlsx]TRACKER'!$C$3:$C$1275,$A21,'[PBMM_Master_Tracker_v2.xlsx]TRACKER'!$D$3:$D$1275,"IA",'[PBMM_Master_Tracker_v2.xlsx]TRACKER'!$G$3:$G$1275,"Accepted Exception"))/COUNTIFS('[PBMM_Master_Tracker_v2.xlsx]TRACKER'!$C$3:$C$1275,$A21,'[PBMM_Master_Tracker_v2.xlsx]TRACKER'!$D$3:$D$1275,"IA"),"")</f>
        <v/>
      </c>
      <c r="I21" s="24">
        <f>IFERROR(1-(COUNTIFS('[PBMM_Master_Tracker_v2.xlsx]TRACKER'!$C$3:$C$1275,$A21,'[PBMM_Master_Tracker_v2.xlsx]TRACKER'!$D$3:$D$1275,"IR",'[PBMM_Master_Tracker_v2.xlsx]TRACKER'!$G$3:$G$1275,"Passed")+COUNTIFS('[PBMM_Master_Tracker_v2.xlsx]TRACKER'!$C$3:$C$1275,$A21,'[PBMM_Master_Tracker_v2.xlsx]TRACKER'!$D$3:$D$1275,"IR",'[PBMM_Master_Tracker_v2.xlsx]TRACKER'!$G$3:$G$1275,"Accepted Exception"))/COUNTIFS('[PBMM_Master_Tracker_v2.xlsx]TRACKER'!$C$3:$C$1275,$A21,'[PBMM_Master_Tracker_v2.xlsx]TRACKER'!$D$3:$D$1275,"IR"),"")</f>
        <v/>
      </c>
      <c r="J21" s="24">
        <f>IFERROR(1-(COUNTIFS('[PBMM_Master_Tracker_v2.xlsx]TRACKER'!$C$3:$C$1275,$A21,'[PBMM_Master_Tracker_v2.xlsx]TRACKER'!$D$3:$D$1275,"MA",'[PBMM_Master_Tracker_v2.xlsx]TRACKER'!$G$3:$G$1275,"Passed")+COUNTIFS('[PBMM_Master_Tracker_v2.xlsx]TRACKER'!$C$3:$C$1275,$A21,'[PBMM_Master_Tracker_v2.xlsx]TRACKER'!$D$3:$D$1275,"MA",'[PBMM_Master_Tracker_v2.xlsx]TRACKER'!$G$3:$G$1275,"Accepted Exception"))/COUNTIFS('[PBMM_Master_Tracker_v2.xlsx]TRACKER'!$C$3:$C$1275,$A21,'[PBMM_Master_Tracker_v2.xlsx]TRACKER'!$D$3:$D$1275,"MA"),"")</f>
        <v/>
      </c>
      <c r="K21" s="24">
        <f>IFERROR(1-(COUNTIFS('[PBMM_Master_Tracker_v2.xlsx]TRACKER'!$C$3:$C$1275,$A21,'[PBMM_Master_Tracker_v2.xlsx]TRACKER'!$D$3:$D$1275,"MP",'[PBMM_Master_Tracker_v2.xlsx]TRACKER'!$G$3:$G$1275,"Passed")+COUNTIFS('[PBMM_Master_Tracker_v2.xlsx]TRACKER'!$C$3:$C$1275,$A21,'[PBMM_Master_Tracker_v2.xlsx]TRACKER'!$D$3:$D$1275,"MP",'[PBMM_Master_Tracker_v2.xlsx]TRACKER'!$G$3:$G$1275,"Accepted Exception"))/COUNTIFS('[PBMM_Master_Tracker_v2.xlsx]TRACKER'!$C$3:$C$1275,$A21,'[PBMM_Master_Tracker_v2.xlsx]TRACKER'!$D$3:$D$1275,"MP"),"")</f>
        <v/>
      </c>
      <c r="L21" s="24">
        <f>IFERROR(1-(COUNTIFS('[PBMM_Master_Tracker_v2.xlsx]TRACKER'!$C$3:$C$1275,$A21,'[PBMM_Master_Tracker_v2.xlsx]TRACKER'!$D$3:$D$1275,"PE",'[PBMM_Master_Tracker_v2.xlsx]TRACKER'!$G$3:$G$1275,"Passed")+COUNTIFS('[PBMM_Master_Tracker_v2.xlsx]TRACKER'!$C$3:$C$1275,$A21,'[PBMM_Master_Tracker_v2.xlsx]TRACKER'!$D$3:$D$1275,"PE",'[PBMM_Master_Tracker_v2.xlsx]TRACKER'!$G$3:$G$1275,"Accepted Exception"))/COUNTIFS('[PBMM_Master_Tracker_v2.xlsx]TRACKER'!$C$3:$C$1275,$A21,'[PBMM_Master_Tracker_v2.xlsx]TRACKER'!$D$3:$D$1275,"PE"),"")</f>
        <v/>
      </c>
      <c r="M21" s="24">
        <f>IFERROR(1-(COUNTIFS('[PBMM_Master_Tracker_v2.xlsx]TRACKER'!$C$3:$C$1275,$A21,'[PBMM_Master_Tracker_v2.xlsx]TRACKER'!$D$3:$D$1275,"PL",'[PBMM_Master_Tracker_v2.xlsx]TRACKER'!$G$3:$G$1275,"Passed")+COUNTIFS('[PBMM_Master_Tracker_v2.xlsx]TRACKER'!$C$3:$C$1275,$A21,'[PBMM_Master_Tracker_v2.xlsx]TRACKER'!$D$3:$D$1275,"PL",'[PBMM_Master_Tracker_v2.xlsx]TRACKER'!$G$3:$G$1275,"Accepted Exception"))/COUNTIFS('[PBMM_Master_Tracker_v2.xlsx]TRACKER'!$C$3:$C$1275,$A21,'[PBMM_Master_Tracker_v2.xlsx]TRACKER'!$D$3:$D$1275,"PL"),"")</f>
        <v/>
      </c>
      <c r="N21" s="24">
        <f>IFERROR(1-(COUNTIFS('[PBMM_Master_Tracker_v2.xlsx]TRACKER'!$C$3:$C$1275,$A21,'[PBMM_Master_Tracker_v2.xlsx]TRACKER'!$D$3:$D$1275,"PS",'[PBMM_Master_Tracker_v2.xlsx]TRACKER'!$G$3:$G$1275,"Passed")+COUNTIFS('[PBMM_Master_Tracker_v2.xlsx]TRACKER'!$C$3:$C$1275,$A21,'[PBMM_Master_Tracker_v2.xlsx]TRACKER'!$D$3:$D$1275,"PS",'[PBMM_Master_Tracker_v2.xlsx]TRACKER'!$G$3:$G$1275,"Accepted Exception"))/COUNTIFS('[PBMM_Master_Tracker_v2.xlsx]TRACKER'!$C$3:$C$1275,$A21,'[PBMM_Master_Tracker_v2.xlsx]TRACKER'!$D$3:$D$1275,"PS"),"")</f>
        <v/>
      </c>
      <c r="O21" s="24">
        <f>IFERROR(1-(COUNTIFS('[PBMM_Master_Tracker_v2.xlsx]TRACKER'!$C$3:$C$1275,$A21,'[PBMM_Master_Tracker_v2.xlsx]TRACKER'!$D$3:$D$1275,"RA",'[PBMM_Master_Tracker_v2.xlsx]TRACKER'!$G$3:$G$1275,"Passed")+COUNTIFS('[PBMM_Master_Tracker_v2.xlsx]TRACKER'!$C$3:$C$1275,$A21,'[PBMM_Master_Tracker_v2.xlsx]TRACKER'!$D$3:$D$1275,"RA",'[PBMM_Master_Tracker_v2.xlsx]TRACKER'!$G$3:$G$1275,"Accepted Exception"))/COUNTIFS('[PBMM_Master_Tracker_v2.xlsx]TRACKER'!$C$3:$C$1275,$A21,'[PBMM_Master_Tracker_v2.xlsx]TRACKER'!$D$3:$D$1275,"RA"),"")</f>
        <v/>
      </c>
      <c r="P21" s="24">
        <f>IFERROR(1-(COUNTIFS('[PBMM_Master_Tracker_v2.xlsx]TRACKER'!$C$3:$C$1275,$A21,'[PBMM_Master_Tracker_v2.xlsx]TRACKER'!$D$3:$D$1275,"SA",'[PBMM_Master_Tracker_v2.xlsx]TRACKER'!$G$3:$G$1275,"Passed")+COUNTIFS('[PBMM_Master_Tracker_v2.xlsx]TRACKER'!$C$3:$C$1275,$A21,'[PBMM_Master_Tracker_v2.xlsx]TRACKER'!$D$3:$D$1275,"SA",'[PBMM_Master_Tracker_v2.xlsx]TRACKER'!$G$3:$G$1275,"Accepted Exception"))/COUNTIFS('[PBMM_Master_Tracker_v2.xlsx]TRACKER'!$C$3:$C$1275,$A21,'[PBMM_Master_Tracker_v2.xlsx]TRACKER'!$D$3:$D$1275,"SA"),"")</f>
        <v/>
      </c>
      <c r="Q21" s="24">
        <f>IFERROR(1-(COUNTIFS('[PBMM_Master_Tracker_v2.xlsx]TRACKER'!$C$3:$C$1275,$A21,'[PBMM_Master_Tracker_v2.xlsx]TRACKER'!$D$3:$D$1275,"SC",'[PBMM_Master_Tracker_v2.xlsx]TRACKER'!$G$3:$G$1275,"Passed")+COUNTIFS('[PBMM_Master_Tracker_v2.xlsx]TRACKER'!$C$3:$C$1275,$A21,'[PBMM_Master_Tracker_v2.xlsx]TRACKER'!$D$3:$D$1275,"SC",'[PBMM_Master_Tracker_v2.xlsx]TRACKER'!$G$3:$G$1275,"Accepted Exception"))/COUNTIFS('[PBMM_Master_Tracker_v2.xlsx]TRACKER'!$C$3:$C$1275,$A21,'[PBMM_Master_Tracker_v2.xlsx]TRACKER'!$D$3:$D$1275,"SC"),"")</f>
        <v/>
      </c>
      <c r="R21" s="24">
        <f>IFERROR(1-(COUNTIFS('[PBMM_Master_Tracker_v2.xlsx]TRACKER'!$C$3:$C$1275,$A21,'[PBMM_Master_Tracker_v2.xlsx]TRACKER'!$D$3:$D$1275,"SI",'[PBMM_Master_Tracker_v2.xlsx]TRACKER'!$G$3:$G$1275,"Passed")+COUNTIFS('[PBMM_Master_Tracker_v2.xlsx]TRACKER'!$C$3:$C$1275,$A21,'[PBMM_Master_Tracker_v2.xlsx]TRACKER'!$D$3:$D$1275,"SI",'[PBMM_Master_Tracker_v2.xlsx]TRACKER'!$G$3:$G$1275,"Accepted Exception"))/COUNTIFS('[PBMM_Master_Tracker_v2.xlsx]TRACKER'!$C$3:$C$1275,$A21,'[PBMM_Master_Tracker_v2.xlsx]TRACKER'!$D$3:$D$1275,"SI"),"")</f>
        <v/>
      </c>
    </row>
    <row r="22" ht="20" customHeight="1">
      <c r="A22" s="25" t="inlineStr">
        <is>
          <t>Virtual Desktop Infrastructure</t>
        </is>
      </c>
      <c r="B22" s="26">
        <f>IFERROR(1-(COUNTIFS('[PBMM_Master_Tracker_v2.xlsx]TRACKER'!$C$3:$C$1275,$A22,'[PBMM_Master_Tracker_v2.xlsx]TRACKER'!$D$3:$D$1275,"AC",'[PBMM_Master_Tracker_v2.xlsx]TRACKER'!$G$3:$G$1275,"Passed")+COUNTIFS('[PBMM_Master_Tracker_v2.xlsx]TRACKER'!$C$3:$C$1275,$A22,'[PBMM_Master_Tracker_v2.xlsx]TRACKER'!$D$3:$D$1275,"AC",'[PBMM_Master_Tracker_v2.xlsx]TRACKER'!$G$3:$G$1275,"Accepted Exception"))/COUNTIFS('[PBMM_Master_Tracker_v2.xlsx]TRACKER'!$C$3:$C$1275,$A22,'[PBMM_Master_Tracker_v2.xlsx]TRACKER'!$D$3:$D$1275,"AC"),"")</f>
        <v/>
      </c>
      <c r="C22" s="26">
        <f>IFERROR(1-(COUNTIFS('[PBMM_Master_Tracker_v2.xlsx]TRACKER'!$C$3:$C$1275,$A22,'[PBMM_Master_Tracker_v2.xlsx]TRACKER'!$D$3:$D$1275,"AT",'[PBMM_Master_Tracker_v2.xlsx]TRACKER'!$G$3:$G$1275,"Passed")+COUNTIFS('[PBMM_Master_Tracker_v2.xlsx]TRACKER'!$C$3:$C$1275,$A22,'[PBMM_Master_Tracker_v2.xlsx]TRACKER'!$D$3:$D$1275,"AT",'[PBMM_Master_Tracker_v2.xlsx]TRACKER'!$G$3:$G$1275,"Accepted Exception"))/COUNTIFS('[PBMM_Master_Tracker_v2.xlsx]TRACKER'!$C$3:$C$1275,$A22,'[PBMM_Master_Tracker_v2.xlsx]TRACKER'!$D$3:$D$1275,"AT"),"")</f>
        <v/>
      </c>
      <c r="D22" s="26">
        <f>IFERROR(1-(COUNTIFS('[PBMM_Master_Tracker_v2.xlsx]TRACKER'!$C$3:$C$1275,$A22,'[PBMM_Master_Tracker_v2.xlsx]TRACKER'!$D$3:$D$1275,"AU",'[PBMM_Master_Tracker_v2.xlsx]TRACKER'!$G$3:$G$1275,"Passed")+COUNTIFS('[PBMM_Master_Tracker_v2.xlsx]TRACKER'!$C$3:$C$1275,$A22,'[PBMM_Master_Tracker_v2.xlsx]TRACKER'!$D$3:$D$1275,"AU",'[PBMM_Master_Tracker_v2.xlsx]TRACKER'!$G$3:$G$1275,"Accepted Exception"))/COUNTIFS('[PBMM_Master_Tracker_v2.xlsx]TRACKER'!$C$3:$C$1275,$A22,'[PBMM_Master_Tracker_v2.xlsx]TRACKER'!$D$3:$D$1275,"AU"),"")</f>
        <v/>
      </c>
      <c r="E22" s="26">
        <f>IFERROR(1-(COUNTIFS('[PBMM_Master_Tracker_v2.xlsx]TRACKER'!$C$3:$C$1275,$A22,'[PBMM_Master_Tracker_v2.xlsx]TRACKER'!$D$3:$D$1275,"CA",'[PBMM_Master_Tracker_v2.xlsx]TRACKER'!$G$3:$G$1275,"Passed")+COUNTIFS('[PBMM_Master_Tracker_v2.xlsx]TRACKER'!$C$3:$C$1275,$A22,'[PBMM_Master_Tracker_v2.xlsx]TRACKER'!$D$3:$D$1275,"CA",'[PBMM_Master_Tracker_v2.xlsx]TRACKER'!$G$3:$G$1275,"Accepted Exception"))/COUNTIFS('[PBMM_Master_Tracker_v2.xlsx]TRACKER'!$C$3:$C$1275,$A22,'[PBMM_Master_Tracker_v2.xlsx]TRACKER'!$D$3:$D$1275,"CA"),"")</f>
        <v/>
      </c>
      <c r="F22" s="26">
        <f>IFERROR(1-(COUNTIFS('[PBMM_Master_Tracker_v2.xlsx]TRACKER'!$C$3:$C$1275,$A22,'[PBMM_Master_Tracker_v2.xlsx]TRACKER'!$D$3:$D$1275,"CM",'[PBMM_Master_Tracker_v2.xlsx]TRACKER'!$G$3:$G$1275,"Passed")+COUNTIFS('[PBMM_Master_Tracker_v2.xlsx]TRACKER'!$C$3:$C$1275,$A22,'[PBMM_Master_Tracker_v2.xlsx]TRACKER'!$D$3:$D$1275,"CM",'[PBMM_Master_Tracker_v2.xlsx]TRACKER'!$G$3:$G$1275,"Accepted Exception"))/COUNTIFS('[PBMM_Master_Tracker_v2.xlsx]TRACKER'!$C$3:$C$1275,$A22,'[PBMM_Master_Tracker_v2.xlsx]TRACKER'!$D$3:$D$1275,"CM"),"")</f>
        <v/>
      </c>
      <c r="G22" s="26">
        <f>IFERROR(1-(COUNTIFS('[PBMM_Master_Tracker_v2.xlsx]TRACKER'!$C$3:$C$1275,$A22,'[PBMM_Master_Tracker_v2.xlsx]TRACKER'!$D$3:$D$1275,"CP",'[PBMM_Master_Tracker_v2.xlsx]TRACKER'!$G$3:$G$1275,"Passed")+COUNTIFS('[PBMM_Master_Tracker_v2.xlsx]TRACKER'!$C$3:$C$1275,$A22,'[PBMM_Master_Tracker_v2.xlsx]TRACKER'!$D$3:$D$1275,"CP",'[PBMM_Master_Tracker_v2.xlsx]TRACKER'!$G$3:$G$1275,"Accepted Exception"))/COUNTIFS('[PBMM_Master_Tracker_v2.xlsx]TRACKER'!$C$3:$C$1275,$A22,'[PBMM_Master_Tracker_v2.xlsx]TRACKER'!$D$3:$D$1275,"CP"),"")</f>
        <v/>
      </c>
      <c r="H22" s="26">
        <f>IFERROR(1-(COUNTIFS('[PBMM_Master_Tracker_v2.xlsx]TRACKER'!$C$3:$C$1275,$A22,'[PBMM_Master_Tracker_v2.xlsx]TRACKER'!$D$3:$D$1275,"IA",'[PBMM_Master_Tracker_v2.xlsx]TRACKER'!$G$3:$G$1275,"Passed")+COUNTIFS('[PBMM_Master_Tracker_v2.xlsx]TRACKER'!$C$3:$C$1275,$A22,'[PBMM_Master_Tracker_v2.xlsx]TRACKER'!$D$3:$D$1275,"IA",'[PBMM_Master_Tracker_v2.xlsx]TRACKER'!$G$3:$G$1275,"Accepted Exception"))/COUNTIFS('[PBMM_Master_Tracker_v2.xlsx]TRACKER'!$C$3:$C$1275,$A22,'[PBMM_Master_Tracker_v2.xlsx]TRACKER'!$D$3:$D$1275,"IA"),"")</f>
        <v/>
      </c>
      <c r="I22" s="26">
        <f>IFERROR(1-(COUNTIFS('[PBMM_Master_Tracker_v2.xlsx]TRACKER'!$C$3:$C$1275,$A22,'[PBMM_Master_Tracker_v2.xlsx]TRACKER'!$D$3:$D$1275,"IR",'[PBMM_Master_Tracker_v2.xlsx]TRACKER'!$G$3:$G$1275,"Passed")+COUNTIFS('[PBMM_Master_Tracker_v2.xlsx]TRACKER'!$C$3:$C$1275,$A22,'[PBMM_Master_Tracker_v2.xlsx]TRACKER'!$D$3:$D$1275,"IR",'[PBMM_Master_Tracker_v2.xlsx]TRACKER'!$G$3:$G$1275,"Accepted Exception"))/COUNTIFS('[PBMM_Master_Tracker_v2.xlsx]TRACKER'!$C$3:$C$1275,$A22,'[PBMM_Master_Tracker_v2.xlsx]TRACKER'!$D$3:$D$1275,"IR"),"")</f>
        <v/>
      </c>
      <c r="J22" s="26">
        <f>IFERROR(1-(COUNTIFS('[PBMM_Master_Tracker_v2.xlsx]TRACKER'!$C$3:$C$1275,$A22,'[PBMM_Master_Tracker_v2.xlsx]TRACKER'!$D$3:$D$1275,"MA",'[PBMM_Master_Tracker_v2.xlsx]TRACKER'!$G$3:$G$1275,"Passed")+COUNTIFS('[PBMM_Master_Tracker_v2.xlsx]TRACKER'!$C$3:$C$1275,$A22,'[PBMM_Master_Tracker_v2.xlsx]TRACKER'!$D$3:$D$1275,"MA",'[PBMM_Master_Tracker_v2.xlsx]TRACKER'!$G$3:$G$1275,"Accepted Exception"))/COUNTIFS('[PBMM_Master_Tracker_v2.xlsx]TRACKER'!$C$3:$C$1275,$A22,'[PBMM_Master_Tracker_v2.xlsx]TRACKER'!$D$3:$D$1275,"MA"),"")</f>
        <v/>
      </c>
      <c r="K22" s="26">
        <f>IFERROR(1-(COUNTIFS('[PBMM_Master_Tracker_v2.xlsx]TRACKER'!$C$3:$C$1275,$A22,'[PBMM_Master_Tracker_v2.xlsx]TRACKER'!$D$3:$D$1275,"MP",'[PBMM_Master_Tracker_v2.xlsx]TRACKER'!$G$3:$G$1275,"Passed")+COUNTIFS('[PBMM_Master_Tracker_v2.xlsx]TRACKER'!$C$3:$C$1275,$A22,'[PBMM_Master_Tracker_v2.xlsx]TRACKER'!$D$3:$D$1275,"MP",'[PBMM_Master_Tracker_v2.xlsx]TRACKER'!$G$3:$G$1275,"Accepted Exception"))/COUNTIFS('[PBMM_Master_Tracker_v2.xlsx]TRACKER'!$C$3:$C$1275,$A22,'[PBMM_Master_Tracker_v2.xlsx]TRACKER'!$D$3:$D$1275,"MP"),"")</f>
        <v/>
      </c>
      <c r="L22" s="26">
        <f>IFERROR(1-(COUNTIFS('[PBMM_Master_Tracker_v2.xlsx]TRACKER'!$C$3:$C$1275,$A22,'[PBMM_Master_Tracker_v2.xlsx]TRACKER'!$D$3:$D$1275,"PE",'[PBMM_Master_Tracker_v2.xlsx]TRACKER'!$G$3:$G$1275,"Passed")+COUNTIFS('[PBMM_Master_Tracker_v2.xlsx]TRACKER'!$C$3:$C$1275,$A22,'[PBMM_Master_Tracker_v2.xlsx]TRACKER'!$D$3:$D$1275,"PE",'[PBMM_Master_Tracker_v2.xlsx]TRACKER'!$G$3:$G$1275,"Accepted Exception"))/COUNTIFS('[PBMM_Master_Tracker_v2.xlsx]TRACKER'!$C$3:$C$1275,$A22,'[PBMM_Master_Tracker_v2.xlsx]TRACKER'!$D$3:$D$1275,"PE"),"")</f>
        <v/>
      </c>
      <c r="M22" s="26">
        <f>IFERROR(1-(COUNTIFS('[PBMM_Master_Tracker_v2.xlsx]TRACKER'!$C$3:$C$1275,$A22,'[PBMM_Master_Tracker_v2.xlsx]TRACKER'!$D$3:$D$1275,"PL",'[PBMM_Master_Tracker_v2.xlsx]TRACKER'!$G$3:$G$1275,"Passed")+COUNTIFS('[PBMM_Master_Tracker_v2.xlsx]TRACKER'!$C$3:$C$1275,$A22,'[PBMM_Master_Tracker_v2.xlsx]TRACKER'!$D$3:$D$1275,"PL",'[PBMM_Master_Tracker_v2.xlsx]TRACKER'!$G$3:$G$1275,"Accepted Exception"))/COUNTIFS('[PBMM_Master_Tracker_v2.xlsx]TRACKER'!$C$3:$C$1275,$A22,'[PBMM_Master_Tracker_v2.xlsx]TRACKER'!$D$3:$D$1275,"PL"),"")</f>
        <v/>
      </c>
      <c r="N22" s="26">
        <f>IFERROR(1-(COUNTIFS('[PBMM_Master_Tracker_v2.xlsx]TRACKER'!$C$3:$C$1275,$A22,'[PBMM_Master_Tracker_v2.xlsx]TRACKER'!$D$3:$D$1275,"PS",'[PBMM_Master_Tracker_v2.xlsx]TRACKER'!$G$3:$G$1275,"Passed")+COUNTIFS('[PBMM_Master_Tracker_v2.xlsx]TRACKER'!$C$3:$C$1275,$A22,'[PBMM_Master_Tracker_v2.xlsx]TRACKER'!$D$3:$D$1275,"PS",'[PBMM_Master_Tracker_v2.xlsx]TRACKER'!$G$3:$G$1275,"Accepted Exception"))/COUNTIFS('[PBMM_Master_Tracker_v2.xlsx]TRACKER'!$C$3:$C$1275,$A22,'[PBMM_Master_Tracker_v2.xlsx]TRACKER'!$D$3:$D$1275,"PS"),"")</f>
        <v/>
      </c>
      <c r="O22" s="26">
        <f>IFERROR(1-(COUNTIFS('[PBMM_Master_Tracker_v2.xlsx]TRACKER'!$C$3:$C$1275,$A22,'[PBMM_Master_Tracker_v2.xlsx]TRACKER'!$D$3:$D$1275,"RA",'[PBMM_Master_Tracker_v2.xlsx]TRACKER'!$G$3:$G$1275,"Passed")+COUNTIFS('[PBMM_Master_Tracker_v2.xlsx]TRACKER'!$C$3:$C$1275,$A22,'[PBMM_Master_Tracker_v2.xlsx]TRACKER'!$D$3:$D$1275,"RA",'[PBMM_Master_Tracker_v2.xlsx]TRACKER'!$G$3:$G$1275,"Accepted Exception"))/COUNTIFS('[PBMM_Master_Tracker_v2.xlsx]TRACKER'!$C$3:$C$1275,$A22,'[PBMM_Master_Tracker_v2.xlsx]TRACKER'!$D$3:$D$1275,"RA"),"")</f>
        <v/>
      </c>
      <c r="P22" s="26">
        <f>IFERROR(1-(COUNTIFS('[PBMM_Master_Tracker_v2.xlsx]TRACKER'!$C$3:$C$1275,$A22,'[PBMM_Master_Tracker_v2.xlsx]TRACKER'!$D$3:$D$1275,"SA",'[PBMM_Master_Tracker_v2.xlsx]TRACKER'!$G$3:$G$1275,"Passed")+COUNTIFS('[PBMM_Master_Tracker_v2.xlsx]TRACKER'!$C$3:$C$1275,$A22,'[PBMM_Master_Tracker_v2.xlsx]TRACKER'!$D$3:$D$1275,"SA",'[PBMM_Master_Tracker_v2.xlsx]TRACKER'!$G$3:$G$1275,"Accepted Exception"))/COUNTIFS('[PBMM_Master_Tracker_v2.xlsx]TRACKER'!$C$3:$C$1275,$A22,'[PBMM_Master_Tracker_v2.xlsx]TRACKER'!$D$3:$D$1275,"SA"),"")</f>
        <v/>
      </c>
      <c r="Q22" s="26">
        <f>IFERROR(1-(COUNTIFS('[PBMM_Master_Tracker_v2.xlsx]TRACKER'!$C$3:$C$1275,$A22,'[PBMM_Master_Tracker_v2.xlsx]TRACKER'!$D$3:$D$1275,"SC",'[PBMM_Master_Tracker_v2.xlsx]TRACKER'!$G$3:$G$1275,"Passed")+COUNTIFS('[PBMM_Master_Tracker_v2.xlsx]TRACKER'!$C$3:$C$1275,$A22,'[PBMM_Master_Tracker_v2.xlsx]TRACKER'!$D$3:$D$1275,"SC",'[PBMM_Master_Tracker_v2.xlsx]TRACKER'!$G$3:$G$1275,"Accepted Exception"))/COUNTIFS('[PBMM_Master_Tracker_v2.xlsx]TRACKER'!$C$3:$C$1275,$A22,'[PBMM_Master_Tracker_v2.xlsx]TRACKER'!$D$3:$D$1275,"SC"),"")</f>
        <v/>
      </c>
      <c r="R22" s="26">
        <f>IFERROR(1-(COUNTIFS('[PBMM_Master_Tracker_v2.xlsx]TRACKER'!$C$3:$C$1275,$A22,'[PBMM_Master_Tracker_v2.xlsx]TRACKER'!$D$3:$D$1275,"SI",'[PBMM_Master_Tracker_v2.xlsx]TRACKER'!$G$3:$G$1275,"Passed")+COUNTIFS('[PBMM_Master_Tracker_v2.xlsx]TRACKER'!$C$3:$C$1275,$A22,'[PBMM_Master_Tracker_v2.xlsx]TRACKER'!$D$3:$D$1275,"SI",'[PBMM_Master_Tracker_v2.xlsx]TRACKER'!$G$3:$G$1275,"Accepted Exception"))/COUNTIFS('[PBMM_Master_Tracker_v2.xlsx]TRACKER'!$C$3:$C$1275,$A22,'[PBMM_Master_Tracker_v2.xlsx]TRACKER'!$D$3:$D$1275,"SI"),"")</f>
        <v/>
      </c>
    </row>
    <row r="23" ht="20" customHeight="1">
      <c r="A23" s="23" t="inlineStr">
        <is>
          <t>Web</t>
        </is>
      </c>
      <c r="B23" s="24">
        <f>IFERROR(1-(COUNTIFS('[PBMM_Master_Tracker_v2.xlsx]TRACKER'!$C$3:$C$1275,$A23,'[PBMM_Master_Tracker_v2.xlsx]TRACKER'!$D$3:$D$1275,"AC",'[PBMM_Master_Tracker_v2.xlsx]TRACKER'!$G$3:$G$1275,"Passed")+COUNTIFS('[PBMM_Master_Tracker_v2.xlsx]TRACKER'!$C$3:$C$1275,$A23,'[PBMM_Master_Tracker_v2.xlsx]TRACKER'!$D$3:$D$1275,"AC",'[PBMM_Master_Tracker_v2.xlsx]TRACKER'!$G$3:$G$1275,"Accepted Exception"))/COUNTIFS('[PBMM_Master_Tracker_v2.xlsx]TRACKER'!$C$3:$C$1275,$A23,'[PBMM_Master_Tracker_v2.xlsx]TRACKER'!$D$3:$D$1275,"AC"),"")</f>
        <v/>
      </c>
      <c r="C23" s="24">
        <f>IFERROR(1-(COUNTIFS('[PBMM_Master_Tracker_v2.xlsx]TRACKER'!$C$3:$C$1275,$A23,'[PBMM_Master_Tracker_v2.xlsx]TRACKER'!$D$3:$D$1275,"AT",'[PBMM_Master_Tracker_v2.xlsx]TRACKER'!$G$3:$G$1275,"Passed")+COUNTIFS('[PBMM_Master_Tracker_v2.xlsx]TRACKER'!$C$3:$C$1275,$A23,'[PBMM_Master_Tracker_v2.xlsx]TRACKER'!$D$3:$D$1275,"AT",'[PBMM_Master_Tracker_v2.xlsx]TRACKER'!$G$3:$G$1275,"Accepted Exception"))/COUNTIFS('[PBMM_Master_Tracker_v2.xlsx]TRACKER'!$C$3:$C$1275,$A23,'[PBMM_Master_Tracker_v2.xlsx]TRACKER'!$D$3:$D$1275,"AT"),"")</f>
        <v/>
      </c>
      <c r="D23" s="24">
        <f>IFERROR(1-(COUNTIFS('[PBMM_Master_Tracker_v2.xlsx]TRACKER'!$C$3:$C$1275,$A23,'[PBMM_Master_Tracker_v2.xlsx]TRACKER'!$D$3:$D$1275,"AU",'[PBMM_Master_Tracker_v2.xlsx]TRACKER'!$G$3:$G$1275,"Passed")+COUNTIFS('[PBMM_Master_Tracker_v2.xlsx]TRACKER'!$C$3:$C$1275,$A23,'[PBMM_Master_Tracker_v2.xlsx]TRACKER'!$D$3:$D$1275,"AU",'[PBMM_Master_Tracker_v2.xlsx]TRACKER'!$G$3:$G$1275,"Accepted Exception"))/COUNTIFS('[PBMM_Master_Tracker_v2.xlsx]TRACKER'!$C$3:$C$1275,$A23,'[PBMM_Master_Tracker_v2.xlsx]TRACKER'!$D$3:$D$1275,"AU"),"")</f>
        <v/>
      </c>
      <c r="E23" s="24">
        <f>IFERROR(1-(COUNTIFS('[PBMM_Master_Tracker_v2.xlsx]TRACKER'!$C$3:$C$1275,$A23,'[PBMM_Master_Tracker_v2.xlsx]TRACKER'!$D$3:$D$1275,"CA",'[PBMM_Master_Tracker_v2.xlsx]TRACKER'!$G$3:$G$1275,"Passed")+COUNTIFS('[PBMM_Master_Tracker_v2.xlsx]TRACKER'!$C$3:$C$1275,$A23,'[PBMM_Master_Tracker_v2.xlsx]TRACKER'!$D$3:$D$1275,"CA",'[PBMM_Master_Tracker_v2.xlsx]TRACKER'!$G$3:$G$1275,"Accepted Exception"))/COUNTIFS('[PBMM_Master_Tracker_v2.xlsx]TRACKER'!$C$3:$C$1275,$A23,'[PBMM_Master_Tracker_v2.xlsx]TRACKER'!$D$3:$D$1275,"CA"),"")</f>
        <v/>
      </c>
      <c r="F23" s="24">
        <f>IFERROR(1-(COUNTIFS('[PBMM_Master_Tracker_v2.xlsx]TRACKER'!$C$3:$C$1275,$A23,'[PBMM_Master_Tracker_v2.xlsx]TRACKER'!$D$3:$D$1275,"CM",'[PBMM_Master_Tracker_v2.xlsx]TRACKER'!$G$3:$G$1275,"Passed")+COUNTIFS('[PBMM_Master_Tracker_v2.xlsx]TRACKER'!$C$3:$C$1275,$A23,'[PBMM_Master_Tracker_v2.xlsx]TRACKER'!$D$3:$D$1275,"CM",'[PBMM_Master_Tracker_v2.xlsx]TRACKER'!$G$3:$G$1275,"Accepted Exception"))/COUNTIFS('[PBMM_Master_Tracker_v2.xlsx]TRACKER'!$C$3:$C$1275,$A23,'[PBMM_Master_Tracker_v2.xlsx]TRACKER'!$D$3:$D$1275,"CM"),"")</f>
        <v/>
      </c>
      <c r="G23" s="24">
        <f>IFERROR(1-(COUNTIFS('[PBMM_Master_Tracker_v2.xlsx]TRACKER'!$C$3:$C$1275,$A23,'[PBMM_Master_Tracker_v2.xlsx]TRACKER'!$D$3:$D$1275,"CP",'[PBMM_Master_Tracker_v2.xlsx]TRACKER'!$G$3:$G$1275,"Passed")+COUNTIFS('[PBMM_Master_Tracker_v2.xlsx]TRACKER'!$C$3:$C$1275,$A23,'[PBMM_Master_Tracker_v2.xlsx]TRACKER'!$D$3:$D$1275,"CP",'[PBMM_Master_Tracker_v2.xlsx]TRACKER'!$G$3:$G$1275,"Accepted Exception"))/COUNTIFS('[PBMM_Master_Tracker_v2.xlsx]TRACKER'!$C$3:$C$1275,$A23,'[PBMM_Master_Tracker_v2.xlsx]TRACKER'!$D$3:$D$1275,"CP"),"")</f>
        <v/>
      </c>
      <c r="H23" s="24">
        <f>IFERROR(1-(COUNTIFS('[PBMM_Master_Tracker_v2.xlsx]TRACKER'!$C$3:$C$1275,$A23,'[PBMM_Master_Tracker_v2.xlsx]TRACKER'!$D$3:$D$1275,"IA",'[PBMM_Master_Tracker_v2.xlsx]TRACKER'!$G$3:$G$1275,"Passed")+COUNTIFS('[PBMM_Master_Tracker_v2.xlsx]TRACKER'!$C$3:$C$1275,$A23,'[PBMM_Master_Tracker_v2.xlsx]TRACKER'!$D$3:$D$1275,"IA",'[PBMM_Master_Tracker_v2.xlsx]TRACKER'!$G$3:$G$1275,"Accepted Exception"))/COUNTIFS('[PBMM_Master_Tracker_v2.xlsx]TRACKER'!$C$3:$C$1275,$A23,'[PBMM_Master_Tracker_v2.xlsx]TRACKER'!$D$3:$D$1275,"IA"),"")</f>
        <v/>
      </c>
      <c r="I23" s="24">
        <f>IFERROR(1-(COUNTIFS('[PBMM_Master_Tracker_v2.xlsx]TRACKER'!$C$3:$C$1275,$A23,'[PBMM_Master_Tracker_v2.xlsx]TRACKER'!$D$3:$D$1275,"IR",'[PBMM_Master_Tracker_v2.xlsx]TRACKER'!$G$3:$G$1275,"Passed")+COUNTIFS('[PBMM_Master_Tracker_v2.xlsx]TRACKER'!$C$3:$C$1275,$A23,'[PBMM_Master_Tracker_v2.xlsx]TRACKER'!$D$3:$D$1275,"IR",'[PBMM_Master_Tracker_v2.xlsx]TRACKER'!$G$3:$G$1275,"Accepted Exception"))/COUNTIFS('[PBMM_Master_Tracker_v2.xlsx]TRACKER'!$C$3:$C$1275,$A23,'[PBMM_Master_Tracker_v2.xlsx]TRACKER'!$D$3:$D$1275,"IR"),"")</f>
        <v/>
      </c>
      <c r="J23" s="24">
        <f>IFERROR(1-(COUNTIFS('[PBMM_Master_Tracker_v2.xlsx]TRACKER'!$C$3:$C$1275,$A23,'[PBMM_Master_Tracker_v2.xlsx]TRACKER'!$D$3:$D$1275,"MA",'[PBMM_Master_Tracker_v2.xlsx]TRACKER'!$G$3:$G$1275,"Passed")+COUNTIFS('[PBMM_Master_Tracker_v2.xlsx]TRACKER'!$C$3:$C$1275,$A23,'[PBMM_Master_Tracker_v2.xlsx]TRACKER'!$D$3:$D$1275,"MA",'[PBMM_Master_Tracker_v2.xlsx]TRACKER'!$G$3:$G$1275,"Accepted Exception"))/COUNTIFS('[PBMM_Master_Tracker_v2.xlsx]TRACKER'!$C$3:$C$1275,$A23,'[PBMM_Master_Tracker_v2.xlsx]TRACKER'!$D$3:$D$1275,"MA"),"")</f>
        <v/>
      </c>
      <c r="K23" s="24">
        <f>IFERROR(1-(COUNTIFS('[PBMM_Master_Tracker_v2.xlsx]TRACKER'!$C$3:$C$1275,$A23,'[PBMM_Master_Tracker_v2.xlsx]TRACKER'!$D$3:$D$1275,"MP",'[PBMM_Master_Tracker_v2.xlsx]TRACKER'!$G$3:$G$1275,"Passed")+COUNTIFS('[PBMM_Master_Tracker_v2.xlsx]TRACKER'!$C$3:$C$1275,$A23,'[PBMM_Master_Tracker_v2.xlsx]TRACKER'!$D$3:$D$1275,"MP",'[PBMM_Master_Tracker_v2.xlsx]TRACKER'!$G$3:$G$1275,"Accepted Exception"))/COUNTIFS('[PBMM_Master_Tracker_v2.xlsx]TRACKER'!$C$3:$C$1275,$A23,'[PBMM_Master_Tracker_v2.xlsx]TRACKER'!$D$3:$D$1275,"MP"),"")</f>
        <v/>
      </c>
      <c r="L23" s="24">
        <f>IFERROR(1-(COUNTIFS('[PBMM_Master_Tracker_v2.xlsx]TRACKER'!$C$3:$C$1275,$A23,'[PBMM_Master_Tracker_v2.xlsx]TRACKER'!$D$3:$D$1275,"PE",'[PBMM_Master_Tracker_v2.xlsx]TRACKER'!$G$3:$G$1275,"Passed")+COUNTIFS('[PBMM_Master_Tracker_v2.xlsx]TRACKER'!$C$3:$C$1275,$A23,'[PBMM_Master_Tracker_v2.xlsx]TRACKER'!$D$3:$D$1275,"PE",'[PBMM_Master_Tracker_v2.xlsx]TRACKER'!$G$3:$G$1275,"Accepted Exception"))/COUNTIFS('[PBMM_Master_Tracker_v2.xlsx]TRACKER'!$C$3:$C$1275,$A23,'[PBMM_Master_Tracker_v2.xlsx]TRACKER'!$D$3:$D$1275,"PE"),"")</f>
        <v/>
      </c>
      <c r="M23" s="24">
        <f>IFERROR(1-(COUNTIFS('[PBMM_Master_Tracker_v2.xlsx]TRACKER'!$C$3:$C$1275,$A23,'[PBMM_Master_Tracker_v2.xlsx]TRACKER'!$D$3:$D$1275,"PL",'[PBMM_Master_Tracker_v2.xlsx]TRACKER'!$G$3:$G$1275,"Passed")+COUNTIFS('[PBMM_Master_Tracker_v2.xlsx]TRACKER'!$C$3:$C$1275,$A23,'[PBMM_Master_Tracker_v2.xlsx]TRACKER'!$D$3:$D$1275,"PL",'[PBMM_Master_Tracker_v2.xlsx]TRACKER'!$G$3:$G$1275,"Accepted Exception"))/COUNTIFS('[PBMM_Master_Tracker_v2.xlsx]TRACKER'!$C$3:$C$1275,$A23,'[PBMM_Master_Tracker_v2.xlsx]TRACKER'!$D$3:$D$1275,"PL"),"")</f>
        <v/>
      </c>
      <c r="N23" s="24">
        <f>IFERROR(1-(COUNTIFS('[PBMM_Master_Tracker_v2.xlsx]TRACKER'!$C$3:$C$1275,$A23,'[PBMM_Master_Tracker_v2.xlsx]TRACKER'!$D$3:$D$1275,"PS",'[PBMM_Master_Tracker_v2.xlsx]TRACKER'!$G$3:$G$1275,"Passed")+COUNTIFS('[PBMM_Master_Tracker_v2.xlsx]TRACKER'!$C$3:$C$1275,$A23,'[PBMM_Master_Tracker_v2.xlsx]TRACKER'!$D$3:$D$1275,"PS",'[PBMM_Master_Tracker_v2.xlsx]TRACKER'!$G$3:$G$1275,"Accepted Exception"))/COUNTIFS('[PBMM_Master_Tracker_v2.xlsx]TRACKER'!$C$3:$C$1275,$A23,'[PBMM_Master_Tracker_v2.xlsx]TRACKER'!$D$3:$D$1275,"PS"),"")</f>
        <v/>
      </c>
      <c r="O23" s="24">
        <f>IFERROR(1-(COUNTIFS('[PBMM_Master_Tracker_v2.xlsx]TRACKER'!$C$3:$C$1275,$A23,'[PBMM_Master_Tracker_v2.xlsx]TRACKER'!$D$3:$D$1275,"RA",'[PBMM_Master_Tracker_v2.xlsx]TRACKER'!$G$3:$G$1275,"Passed")+COUNTIFS('[PBMM_Master_Tracker_v2.xlsx]TRACKER'!$C$3:$C$1275,$A23,'[PBMM_Master_Tracker_v2.xlsx]TRACKER'!$D$3:$D$1275,"RA",'[PBMM_Master_Tracker_v2.xlsx]TRACKER'!$G$3:$G$1275,"Accepted Exception"))/COUNTIFS('[PBMM_Master_Tracker_v2.xlsx]TRACKER'!$C$3:$C$1275,$A23,'[PBMM_Master_Tracker_v2.xlsx]TRACKER'!$D$3:$D$1275,"RA"),"")</f>
        <v/>
      </c>
      <c r="P23" s="24">
        <f>IFERROR(1-(COUNTIFS('[PBMM_Master_Tracker_v2.xlsx]TRACKER'!$C$3:$C$1275,$A23,'[PBMM_Master_Tracker_v2.xlsx]TRACKER'!$D$3:$D$1275,"SA",'[PBMM_Master_Tracker_v2.xlsx]TRACKER'!$G$3:$G$1275,"Passed")+COUNTIFS('[PBMM_Master_Tracker_v2.xlsx]TRACKER'!$C$3:$C$1275,$A23,'[PBMM_Master_Tracker_v2.xlsx]TRACKER'!$D$3:$D$1275,"SA",'[PBMM_Master_Tracker_v2.xlsx]TRACKER'!$G$3:$G$1275,"Accepted Exception"))/COUNTIFS('[PBMM_Master_Tracker_v2.xlsx]TRACKER'!$C$3:$C$1275,$A23,'[PBMM_Master_Tracker_v2.xlsx]TRACKER'!$D$3:$D$1275,"SA"),"")</f>
        <v/>
      </c>
      <c r="Q23" s="24">
        <f>IFERROR(1-(COUNTIFS('[PBMM_Master_Tracker_v2.xlsx]TRACKER'!$C$3:$C$1275,$A23,'[PBMM_Master_Tracker_v2.xlsx]TRACKER'!$D$3:$D$1275,"SC",'[PBMM_Master_Tracker_v2.xlsx]TRACKER'!$G$3:$G$1275,"Passed")+COUNTIFS('[PBMM_Master_Tracker_v2.xlsx]TRACKER'!$C$3:$C$1275,$A23,'[PBMM_Master_Tracker_v2.xlsx]TRACKER'!$D$3:$D$1275,"SC",'[PBMM_Master_Tracker_v2.xlsx]TRACKER'!$G$3:$G$1275,"Accepted Exception"))/COUNTIFS('[PBMM_Master_Tracker_v2.xlsx]TRACKER'!$C$3:$C$1275,$A23,'[PBMM_Master_Tracker_v2.xlsx]TRACKER'!$D$3:$D$1275,"SC"),"")</f>
        <v/>
      </c>
      <c r="R23" s="24">
        <f>IFERROR(1-(COUNTIFS('[PBMM_Master_Tracker_v2.xlsx]TRACKER'!$C$3:$C$1275,$A23,'[PBMM_Master_Tracker_v2.xlsx]TRACKER'!$D$3:$D$1275,"SI",'[PBMM_Master_Tracker_v2.xlsx]TRACKER'!$G$3:$G$1275,"Passed")+COUNTIFS('[PBMM_Master_Tracker_v2.xlsx]TRACKER'!$C$3:$C$1275,$A23,'[PBMM_Master_Tracker_v2.xlsx]TRACKER'!$D$3:$D$1275,"SI",'[PBMM_Master_Tracker_v2.xlsx]TRACKER'!$G$3:$G$1275,"Accepted Exception"))/COUNTIFS('[PBMM_Master_Tracker_v2.xlsx]TRACKER'!$C$3:$C$1275,$A23,'[PBMM_Master_Tracker_v2.xlsx]TRACKER'!$D$3:$D$1275,"SI"),"")</f>
        <v/>
      </c>
    </row>
  </sheetData>
  <mergeCells count="1">
    <mergeCell ref="A1:R1"/>
  </mergeCells>
  <conditionalFormatting sqref="B3:R23">
    <cfRule type="colorScale" priority="1">
      <colorScale>
        <cfvo type="num" val="0"/>
        <cfvo type="num" val="0.5"/>
        <cfvo type="num" val="1"/>
        <color rgb="00B6D7A8"/>
        <color rgb="00FFE599"/>
        <color rgb="00F4CCCC"/>
      </colorScale>
    </cfRule>
  </conditionalFormatting>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K1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4" customWidth="1" min="3" max="3"/>
    <col width="34" customWidth="1" min="4" max="4"/>
    <col width="55" customWidth="1" min="5" max="5"/>
    <col width="40" customWidth="1" min="6" max="6"/>
    <col width="40" customWidth="1" min="7" max="7"/>
    <col width="14" customWidth="1" min="8" max="8"/>
    <col width="14" customWidth="1" min="9" max="9"/>
    <col width="14" customWidth="1" min="10" max="10"/>
    <col width="14" customWidth="1" min="11" max="11"/>
  </cols>
  <sheetData>
    <row r="1" ht="32" customHeight="1">
      <c r="A1" s="1" t="inlineStr">
        <is>
          <t>Remediation Action Plan — Gap Closure</t>
        </is>
      </c>
      <c r="B1" s="2" t="n"/>
      <c r="C1" s="2" t="n"/>
      <c r="D1" s="2" t="n"/>
      <c r="E1" s="2" t="n"/>
      <c r="F1" s="2" t="n"/>
      <c r="G1" s="2" t="n"/>
      <c r="H1" s="2" t="n"/>
      <c r="I1" s="2" t="n"/>
      <c r="J1" s="2" t="n"/>
      <c r="K1" s="3" t="n"/>
    </row>
    <row r="2" ht="45" customHeight="1">
      <c r="A2" s="4" t="inlineStr">
        <is>
          <t>#</t>
        </is>
      </c>
      <c r="B2" s="4" t="inlineStr">
        <is>
          <t>Control ID</t>
        </is>
      </c>
      <c r="C2" s="4" t="inlineStr">
        <is>
          <t>Family</t>
        </is>
      </c>
      <c r="D2" s="4" t="inlineStr">
        <is>
          <t>Technology</t>
        </is>
      </c>
      <c r="E2" s="4" t="inlineStr">
        <is>
          <t>Finding (What's Missing)</t>
        </is>
      </c>
      <c r="F2" s="4" t="inlineStr">
        <is>
          <t>Risk / Impact</t>
        </is>
      </c>
      <c r="G2" s="4" t="inlineStr">
        <is>
          <t>Remediation Action</t>
        </is>
      </c>
      <c r="H2" s="4" t="inlineStr">
        <is>
          <t>Priority</t>
        </is>
      </c>
      <c r="I2" s="4" t="inlineStr">
        <is>
          <t>Owner</t>
        </is>
      </c>
      <c r="J2" s="4" t="inlineStr">
        <is>
          <t>Target Date</t>
        </is>
      </c>
      <c r="K2" s="4" t="inlineStr">
        <is>
          <t>Status</t>
        </is>
      </c>
    </row>
    <row r="3" ht="45" customHeight="1">
      <c r="A3" s="27" t="n">
        <v>1</v>
      </c>
      <c r="B3" s="28" t="inlineStr"/>
      <c r="C3" s="28" t="inlineStr"/>
      <c r="D3" s="28" t="inlineStr"/>
      <c r="E3" s="28" t="inlineStr"/>
      <c r="F3" s="28" t="inlineStr"/>
      <c r="G3" s="28" t="inlineStr"/>
      <c r="H3" s="28" t="inlineStr"/>
      <c r="I3" s="28" t="inlineStr"/>
      <c r="J3" s="28" t="inlineStr"/>
      <c r="K3" s="28" t="inlineStr"/>
    </row>
    <row r="4" ht="45" customHeight="1">
      <c r="A4" s="29" t="n">
        <v>2</v>
      </c>
      <c r="B4" s="30" t="inlineStr"/>
      <c r="C4" s="30" t="inlineStr"/>
      <c r="D4" s="30" t="inlineStr"/>
      <c r="E4" s="30" t="inlineStr"/>
      <c r="F4" s="30" t="inlineStr"/>
      <c r="G4" s="30" t="inlineStr"/>
      <c r="H4" s="30" t="inlineStr"/>
      <c r="I4" s="30" t="inlineStr"/>
      <c r="J4" s="30" t="inlineStr"/>
      <c r="K4" s="30" t="inlineStr"/>
    </row>
    <row r="5" ht="45" customHeight="1">
      <c r="A5" s="27" t="n">
        <v>3</v>
      </c>
      <c r="B5" s="28" t="inlineStr"/>
      <c r="C5" s="28" t="inlineStr"/>
      <c r="D5" s="28" t="inlineStr"/>
      <c r="E5" s="28" t="inlineStr"/>
      <c r="F5" s="28" t="inlineStr"/>
      <c r="G5" s="28" t="inlineStr"/>
      <c r="H5" s="28" t="inlineStr"/>
      <c r="I5" s="28" t="inlineStr"/>
      <c r="J5" s="28" t="inlineStr"/>
      <c r="K5" s="28" t="inlineStr"/>
    </row>
    <row r="6" ht="45" customHeight="1">
      <c r="A6" s="29" t="n">
        <v>4</v>
      </c>
      <c r="B6" s="30" t="inlineStr"/>
      <c r="C6" s="30" t="inlineStr"/>
      <c r="D6" s="30" t="inlineStr"/>
      <c r="E6" s="30" t="inlineStr"/>
      <c r="F6" s="30" t="inlineStr"/>
      <c r="G6" s="30" t="inlineStr"/>
      <c r="H6" s="30" t="inlineStr"/>
      <c r="I6" s="30" t="inlineStr"/>
      <c r="J6" s="30" t="inlineStr"/>
      <c r="K6" s="30" t="inlineStr"/>
    </row>
    <row r="7" ht="45" customHeight="1">
      <c r="A7" s="27" t="n">
        <v>5</v>
      </c>
      <c r="B7" s="28" t="inlineStr"/>
      <c r="C7" s="28" t="inlineStr"/>
      <c r="D7" s="28" t="inlineStr"/>
      <c r="E7" s="28" t="inlineStr"/>
      <c r="F7" s="28" t="inlineStr"/>
      <c r="G7" s="28" t="inlineStr"/>
      <c r="H7" s="28" t="inlineStr"/>
      <c r="I7" s="28" t="inlineStr"/>
      <c r="J7" s="28" t="inlineStr"/>
      <c r="K7" s="28" t="inlineStr"/>
    </row>
    <row r="8" ht="45" customHeight="1">
      <c r="A8" s="29" t="n">
        <v>6</v>
      </c>
      <c r="B8" s="30" t="inlineStr"/>
      <c r="C8" s="30" t="inlineStr"/>
      <c r="D8" s="30" t="inlineStr"/>
      <c r="E8" s="30" t="inlineStr"/>
      <c r="F8" s="30" t="inlineStr"/>
      <c r="G8" s="30" t="inlineStr"/>
      <c r="H8" s="30" t="inlineStr"/>
      <c r="I8" s="30" t="inlineStr"/>
      <c r="J8" s="30" t="inlineStr"/>
      <c r="K8" s="30" t="inlineStr"/>
    </row>
    <row r="9" ht="45" customHeight="1">
      <c r="A9" s="27" t="n">
        <v>7</v>
      </c>
      <c r="B9" s="28" t="inlineStr"/>
      <c r="C9" s="28" t="inlineStr"/>
      <c r="D9" s="28" t="inlineStr"/>
      <c r="E9" s="28" t="inlineStr"/>
      <c r="F9" s="28" t="inlineStr"/>
      <c r="G9" s="28" t="inlineStr"/>
      <c r="H9" s="28" t="inlineStr"/>
      <c r="I9" s="28" t="inlineStr"/>
      <c r="J9" s="28" t="inlineStr"/>
      <c r="K9" s="28" t="inlineStr"/>
    </row>
    <row r="10" ht="45" customHeight="1">
      <c r="A10" s="29" t="n">
        <v>8</v>
      </c>
      <c r="B10" s="30" t="inlineStr"/>
      <c r="C10" s="30" t="inlineStr"/>
      <c r="D10" s="30" t="inlineStr"/>
      <c r="E10" s="30" t="inlineStr"/>
      <c r="F10" s="30" t="inlineStr"/>
      <c r="G10" s="30" t="inlineStr"/>
      <c r="H10" s="30" t="inlineStr"/>
      <c r="I10" s="30" t="inlineStr"/>
      <c r="J10" s="30" t="inlineStr"/>
      <c r="K10" s="30" t="inlineStr"/>
    </row>
    <row r="11" ht="45" customHeight="1">
      <c r="A11" s="27" t="n">
        <v>9</v>
      </c>
      <c r="B11" s="28" t="inlineStr"/>
      <c r="C11" s="28" t="inlineStr"/>
      <c r="D11" s="28" t="inlineStr"/>
      <c r="E11" s="28" t="inlineStr"/>
      <c r="F11" s="28" t="inlineStr"/>
      <c r="G11" s="28" t="inlineStr"/>
      <c r="H11" s="28" t="inlineStr"/>
      <c r="I11" s="28" t="inlineStr"/>
      <c r="J11" s="28" t="inlineStr"/>
      <c r="K11" s="28" t="inlineStr"/>
    </row>
    <row r="12" ht="45" customHeight="1">
      <c r="A12" s="29" t="n">
        <v>10</v>
      </c>
      <c r="B12" s="30" t="inlineStr"/>
      <c r="C12" s="30" t="inlineStr"/>
      <c r="D12" s="30" t="inlineStr"/>
      <c r="E12" s="30" t="inlineStr"/>
      <c r="F12" s="30" t="inlineStr"/>
      <c r="G12" s="30" t="inlineStr"/>
      <c r="H12" s="30" t="inlineStr"/>
      <c r="I12" s="30" t="inlineStr"/>
      <c r="J12" s="30" t="inlineStr"/>
      <c r="K12" s="30" t="inlineStr"/>
    </row>
    <row r="13" ht="45" customHeight="1">
      <c r="A13" s="27" t="n">
        <v>11</v>
      </c>
      <c r="B13" s="28" t="inlineStr"/>
      <c r="C13" s="28" t="inlineStr"/>
      <c r="D13" s="28" t="inlineStr"/>
      <c r="E13" s="28" t="inlineStr"/>
      <c r="F13" s="28" t="inlineStr"/>
      <c r="G13" s="28" t="inlineStr"/>
      <c r="H13" s="28" t="inlineStr"/>
      <c r="I13" s="28" t="inlineStr"/>
      <c r="J13" s="28" t="inlineStr"/>
      <c r="K13" s="28" t="inlineStr"/>
    </row>
    <row r="14" ht="45" customHeight="1">
      <c r="A14" s="29" t="n">
        <v>12</v>
      </c>
      <c r="B14" s="30" t="inlineStr"/>
      <c r="C14" s="30" t="inlineStr"/>
      <c r="D14" s="30" t="inlineStr"/>
      <c r="E14" s="30" t="inlineStr"/>
      <c r="F14" s="30" t="inlineStr"/>
      <c r="G14" s="30" t="inlineStr"/>
      <c r="H14" s="30" t="inlineStr"/>
      <c r="I14" s="30" t="inlineStr"/>
      <c r="J14" s="30" t="inlineStr"/>
      <c r="K14" s="30" t="inlineStr"/>
    </row>
    <row r="15" ht="45" customHeight="1">
      <c r="A15" s="27" t="n">
        <v>13</v>
      </c>
      <c r="B15" s="28" t="inlineStr"/>
      <c r="C15" s="28" t="inlineStr"/>
      <c r="D15" s="28" t="inlineStr"/>
      <c r="E15" s="28" t="inlineStr"/>
      <c r="F15" s="28" t="inlineStr"/>
      <c r="G15" s="28" t="inlineStr"/>
      <c r="H15" s="28" t="inlineStr"/>
      <c r="I15" s="28" t="inlineStr"/>
      <c r="J15" s="28" t="inlineStr"/>
      <c r="K15" s="28" t="inlineStr"/>
    </row>
    <row r="16" ht="45" customHeight="1">
      <c r="A16" s="29" t="n">
        <v>14</v>
      </c>
      <c r="B16" s="30" t="inlineStr"/>
      <c r="C16" s="30" t="inlineStr"/>
      <c r="D16" s="30" t="inlineStr"/>
      <c r="E16" s="30" t="inlineStr"/>
      <c r="F16" s="30" t="inlineStr"/>
      <c r="G16" s="30" t="inlineStr"/>
      <c r="H16" s="30" t="inlineStr"/>
      <c r="I16" s="30" t="inlineStr"/>
      <c r="J16" s="30" t="inlineStr"/>
      <c r="K16" s="30" t="inlineStr"/>
    </row>
    <row r="17" ht="45" customHeight="1">
      <c r="A17" s="27" t="n">
        <v>15</v>
      </c>
      <c r="B17" s="28" t="inlineStr"/>
      <c r="C17" s="28" t="inlineStr"/>
      <c r="D17" s="28" t="inlineStr"/>
      <c r="E17" s="28" t="inlineStr"/>
      <c r="F17" s="28" t="inlineStr"/>
      <c r="G17" s="28" t="inlineStr"/>
      <c r="H17" s="28" t="inlineStr"/>
      <c r="I17" s="28" t="inlineStr"/>
      <c r="J17" s="28" t="inlineStr"/>
      <c r="K17" s="28" t="inlineStr"/>
    </row>
    <row r="18" ht="45" customHeight="1">
      <c r="A18" s="29" t="n">
        <v>16</v>
      </c>
      <c r="B18" s="30" t="inlineStr"/>
      <c r="C18" s="30" t="inlineStr"/>
      <c r="D18" s="30" t="inlineStr"/>
      <c r="E18" s="30" t="inlineStr"/>
      <c r="F18" s="30" t="inlineStr"/>
      <c r="G18" s="30" t="inlineStr"/>
      <c r="H18" s="30" t="inlineStr"/>
      <c r="I18" s="30" t="inlineStr"/>
      <c r="J18" s="30" t="inlineStr"/>
      <c r="K18" s="30" t="inlineStr"/>
    </row>
    <row r="19" ht="45" customHeight="1">
      <c r="A19" s="27" t="n">
        <v>17</v>
      </c>
      <c r="B19" s="28" t="inlineStr"/>
      <c r="C19" s="28" t="inlineStr"/>
      <c r="D19" s="28" t="inlineStr"/>
      <c r="E19" s="28" t="inlineStr"/>
      <c r="F19" s="28" t="inlineStr"/>
      <c r="G19" s="28" t="inlineStr"/>
      <c r="H19" s="28" t="inlineStr"/>
      <c r="I19" s="28" t="inlineStr"/>
      <c r="J19" s="28" t="inlineStr"/>
      <c r="K19" s="28" t="inlineStr"/>
    </row>
    <row r="20" ht="45" customHeight="1">
      <c r="A20" s="29" t="n">
        <v>18</v>
      </c>
      <c r="B20" s="30" t="inlineStr"/>
      <c r="C20" s="30" t="inlineStr"/>
      <c r="D20" s="30" t="inlineStr"/>
      <c r="E20" s="30" t="inlineStr"/>
      <c r="F20" s="30" t="inlineStr"/>
      <c r="G20" s="30" t="inlineStr"/>
      <c r="H20" s="30" t="inlineStr"/>
      <c r="I20" s="30" t="inlineStr"/>
      <c r="J20" s="30" t="inlineStr"/>
      <c r="K20" s="30" t="inlineStr"/>
    </row>
    <row r="21" ht="45" customHeight="1">
      <c r="A21" s="27" t="n">
        <v>19</v>
      </c>
      <c r="B21" s="28" t="inlineStr"/>
      <c r="C21" s="28" t="inlineStr"/>
      <c r="D21" s="28" t="inlineStr"/>
      <c r="E21" s="28" t="inlineStr"/>
      <c r="F21" s="28" t="inlineStr"/>
      <c r="G21" s="28" t="inlineStr"/>
      <c r="H21" s="28" t="inlineStr"/>
      <c r="I21" s="28" t="inlineStr"/>
      <c r="J21" s="28" t="inlineStr"/>
      <c r="K21" s="28" t="inlineStr"/>
    </row>
    <row r="22" ht="45" customHeight="1">
      <c r="A22" s="29" t="n">
        <v>20</v>
      </c>
      <c r="B22" s="30" t="inlineStr"/>
      <c r="C22" s="30" t="inlineStr"/>
      <c r="D22" s="30" t="inlineStr"/>
      <c r="E22" s="30" t="inlineStr"/>
      <c r="F22" s="30" t="inlineStr"/>
      <c r="G22" s="30" t="inlineStr"/>
      <c r="H22" s="30" t="inlineStr"/>
      <c r="I22" s="30" t="inlineStr"/>
      <c r="J22" s="30" t="inlineStr"/>
      <c r="K22" s="30" t="inlineStr"/>
    </row>
    <row r="23" ht="45" customHeight="1">
      <c r="A23" s="27" t="n">
        <v>21</v>
      </c>
      <c r="B23" s="28" t="inlineStr"/>
      <c r="C23" s="28" t="inlineStr"/>
      <c r="D23" s="28" t="inlineStr"/>
      <c r="E23" s="28" t="inlineStr"/>
      <c r="F23" s="28" t="inlineStr"/>
      <c r="G23" s="28" t="inlineStr"/>
      <c r="H23" s="28" t="inlineStr"/>
      <c r="I23" s="28" t="inlineStr"/>
      <c r="J23" s="28" t="inlineStr"/>
      <c r="K23" s="28" t="inlineStr"/>
    </row>
    <row r="24" ht="45" customHeight="1">
      <c r="A24" s="29" t="n">
        <v>22</v>
      </c>
      <c r="B24" s="30" t="inlineStr"/>
      <c r="C24" s="30" t="inlineStr"/>
      <c r="D24" s="30" t="inlineStr"/>
      <c r="E24" s="30" t="inlineStr"/>
      <c r="F24" s="30" t="inlineStr"/>
      <c r="G24" s="30" t="inlineStr"/>
      <c r="H24" s="30" t="inlineStr"/>
      <c r="I24" s="30" t="inlineStr"/>
      <c r="J24" s="30" t="inlineStr"/>
      <c r="K24" s="30" t="inlineStr"/>
    </row>
    <row r="25" ht="45" customHeight="1">
      <c r="A25" s="27" t="n">
        <v>23</v>
      </c>
      <c r="B25" s="28" t="inlineStr"/>
      <c r="C25" s="28" t="inlineStr"/>
      <c r="D25" s="28" t="inlineStr"/>
      <c r="E25" s="28" t="inlineStr"/>
      <c r="F25" s="28" t="inlineStr"/>
      <c r="G25" s="28" t="inlineStr"/>
      <c r="H25" s="28" t="inlineStr"/>
      <c r="I25" s="28" t="inlineStr"/>
      <c r="J25" s="28" t="inlineStr"/>
      <c r="K25" s="28" t="inlineStr"/>
    </row>
    <row r="26" ht="45" customHeight="1">
      <c r="A26" s="29" t="n">
        <v>24</v>
      </c>
      <c r="B26" s="30" t="inlineStr"/>
      <c r="C26" s="30" t="inlineStr"/>
      <c r="D26" s="30" t="inlineStr"/>
      <c r="E26" s="30" t="inlineStr"/>
      <c r="F26" s="30" t="inlineStr"/>
      <c r="G26" s="30" t="inlineStr"/>
      <c r="H26" s="30" t="inlineStr"/>
      <c r="I26" s="30" t="inlineStr"/>
      <c r="J26" s="30" t="inlineStr"/>
      <c r="K26" s="30" t="inlineStr"/>
    </row>
    <row r="27" ht="45" customHeight="1">
      <c r="A27" s="27" t="n">
        <v>25</v>
      </c>
      <c r="B27" s="28" t="inlineStr"/>
      <c r="C27" s="28" t="inlineStr"/>
      <c r="D27" s="28" t="inlineStr"/>
      <c r="E27" s="28" t="inlineStr"/>
      <c r="F27" s="28" t="inlineStr"/>
      <c r="G27" s="28" t="inlineStr"/>
      <c r="H27" s="28" t="inlineStr"/>
      <c r="I27" s="28" t="inlineStr"/>
      <c r="J27" s="28" t="inlineStr"/>
      <c r="K27" s="28" t="inlineStr"/>
    </row>
    <row r="28" ht="45" customHeight="1">
      <c r="A28" s="29" t="n">
        <v>26</v>
      </c>
      <c r="B28" s="30" t="inlineStr"/>
      <c r="C28" s="30" t="inlineStr"/>
      <c r="D28" s="30" t="inlineStr"/>
      <c r="E28" s="30" t="inlineStr"/>
      <c r="F28" s="30" t="inlineStr"/>
      <c r="G28" s="30" t="inlineStr"/>
      <c r="H28" s="30" t="inlineStr"/>
      <c r="I28" s="30" t="inlineStr"/>
      <c r="J28" s="30" t="inlineStr"/>
      <c r="K28" s="30" t="inlineStr"/>
    </row>
    <row r="29" ht="45" customHeight="1">
      <c r="A29" s="27" t="n">
        <v>27</v>
      </c>
      <c r="B29" s="28" t="inlineStr"/>
      <c r="C29" s="28" t="inlineStr"/>
      <c r="D29" s="28" t="inlineStr"/>
      <c r="E29" s="28" t="inlineStr"/>
      <c r="F29" s="28" t="inlineStr"/>
      <c r="G29" s="28" t="inlineStr"/>
      <c r="H29" s="28" t="inlineStr"/>
      <c r="I29" s="28" t="inlineStr"/>
      <c r="J29" s="28" t="inlineStr"/>
      <c r="K29" s="28" t="inlineStr"/>
    </row>
    <row r="30" ht="45" customHeight="1">
      <c r="A30" s="29" t="n">
        <v>28</v>
      </c>
      <c r="B30" s="30" t="inlineStr"/>
      <c r="C30" s="30" t="inlineStr"/>
      <c r="D30" s="30" t="inlineStr"/>
      <c r="E30" s="30" t="inlineStr"/>
      <c r="F30" s="30" t="inlineStr"/>
      <c r="G30" s="30" t="inlineStr"/>
      <c r="H30" s="30" t="inlineStr"/>
      <c r="I30" s="30" t="inlineStr"/>
      <c r="J30" s="30" t="inlineStr"/>
      <c r="K30" s="30" t="inlineStr"/>
    </row>
    <row r="31" ht="45" customHeight="1">
      <c r="A31" s="27" t="n">
        <v>29</v>
      </c>
      <c r="B31" s="28" t="inlineStr"/>
      <c r="C31" s="28" t="inlineStr"/>
      <c r="D31" s="28" t="inlineStr"/>
      <c r="E31" s="28" t="inlineStr"/>
      <c r="F31" s="28" t="inlineStr"/>
      <c r="G31" s="28" t="inlineStr"/>
      <c r="H31" s="28" t="inlineStr"/>
      <c r="I31" s="28" t="inlineStr"/>
      <c r="J31" s="28" t="inlineStr"/>
      <c r="K31" s="28" t="inlineStr"/>
    </row>
    <row r="32" ht="45" customHeight="1">
      <c r="A32" s="29" t="n">
        <v>30</v>
      </c>
      <c r="B32" s="30" t="inlineStr"/>
      <c r="C32" s="30" t="inlineStr"/>
      <c r="D32" s="30" t="inlineStr"/>
      <c r="E32" s="30" t="inlineStr"/>
      <c r="F32" s="30" t="inlineStr"/>
      <c r="G32" s="30" t="inlineStr"/>
      <c r="H32" s="30" t="inlineStr"/>
      <c r="I32" s="30" t="inlineStr"/>
      <c r="J32" s="30" t="inlineStr"/>
      <c r="K32" s="30" t="inlineStr"/>
    </row>
    <row r="33" ht="45" customHeight="1">
      <c r="A33" s="27" t="n">
        <v>31</v>
      </c>
      <c r="B33" s="28" t="inlineStr"/>
      <c r="C33" s="28" t="inlineStr"/>
      <c r="D33" s="28" t="inlineStr"/>
      <c r="E33" s="28" t="inlineStr"/>
      <c r="F33" s="28" t="inlineStr"/>
      <c r="G33" s="28" t="inlineStr"/>
      <c r="H33" s="28" t="inlineStr"/>
      <c r="I33" s="28" t="inlineStr"/>
      <c r="J33" s="28" t="inlineStr"/>
      <c r="K33" s="28" t="inlineStr"/>
    </row>
    <row r="34" ht="45" customHeight="1">
      <c r="A34" s="29" t="n">
        <v>32</v>
      </c>
      <c r="B34" s="30" t="inlineStr"/>
      <c r="C34" s="30" t="inlineStr"/>
      <c r="D34" s="30" t="inlineStr"/>
      <c r="E34" s="30" t="inlineStr"/>
      <c r="F34" s="30" t="inlineStr"/>
      <c r="G34" s="30" t="inlineStr"/>
      <c r="H34" s="30" t="inlineStr"/>
      <c r="I34" s="30" t="inlineStr"/>
      <c r="J34" s="30" t="inlineStr"/>
      <c r="K34" s="30" t="inlineStr"/>
    </row>
    <row r="35" ht="45" customHeight="1">
      <c r="A35" s="27" t="n">
        <v>33</v>
      </c>
      <c r="B35" s="28" t="inlineStr"/>
      <c r="C35" s="28" t="inlineStr"/>
      <c r="D35" s="28" t="inlineStr"/>
      <c r="E35" s="28" t="inlineStr"/>
      <c r="F35" s="28" t="inlineStr"/>
      <c r="G35" s="28" t="inlineStr"/>
      <c r="H35" s="28" t="inlineStr"/>
      <c r="I35" s="28" t="inlineStr"/>
      <c r="J35" s="28" t="inlineStr"/>
      <c r="K35" s="28" t="inlineStr"/>
    </row>
    <row r="36" ht="45" customHeight="1">
      <c r="A36" s="29" t="n">
        <v>34</v>
      </c>
      <c r="B36" s="30" t="inlineStr"/>
      <c r="C36" s="30" t="inlineStr"/>
      <c r="D36" s="30" t="inlineStr"/>
      <c r="E36" s="30" t="inlineStr"/>
      <c r="F36" s="30" t="inlineStr"/>
      <c r="G36" s="30" t="inlineStr"/>
      <c r="H36" s="30" t="inlineStr"/>
      <c r="I36" s="30" t="inlineStr"/>
      <c r="J36" s="30" t="inlineStr"/>
      <c r="K36" s="30" t="inlineStr"/>
    </row>
    <row r="37" ht="45" customHeight="1">
      <c r="A37" s="27" t="n">
        <v>35</v>
      </c>
      <c r="B37" s="28" t="inlineStr"/>
      <c r="C37" s="28" t="inlineStr"/>
      <c r="D37" s="28" t="inlineStr"/>
      <c r="E37" s="28" t="inlineStr"/>
      <c r="F37" s="28" t="inlineStr"/>
      <c r="G37" s="28" t="inlineStr"/>
      <c r="H37" s="28" t="inlineStr"/>
      <c r="I37" s="28" t="inlineStr"/>
      <c r="J37" s="28" t="inlineStr"/>
      <c r="K37" s="28" t="inlineStr"/>
    </row>
    <row r="38" ht="45" customHeight="1">
      <c r="A38" s="29" t="n">
        <v>36</v>
      </c>
      <c r="B38" s="30" t="inlineStr"/>
      <c r="C38" s="30" t="inlineStr"/>
      <c r="D38" s="30" t="inlineStr"/>
      <c r="E38" s="30" t="inlineStr"/>
      <c r="F38" s="30" t="inlineStr"/>
      <c r="G38" s="30" t="inlineStr"/>
      <c r="H38" s="30" t="inlineStr"/>
      <c r="I38" s="30" t="inlineStr"/>
      <c r="J38" s="30" t="inlineStr"/>
      <c r="K38" s="30" t="inlineStr"/>
    </row>
    <row r="39" ht="45" customHeight="1">
      <c r="A39" s="27" t="n">
        <v>37</v>
      </c>
      <c r="B39" s="28" t="inlineStr"/>
      <c r="C39" s="28" t="inlineStr"/>
      <c r="D39" s="28" t="inlineStr"/>
      <c r="E39" s="28" t="inlineStr"/>
      <c r="F39" s="28" t="inlineStr"/>
      <c r="G39" s="28" t="inlineStr"/>
      <c r="H39" s="28" t="inlineStr"/>
      <c r="I39" s="28" t="inlineStr"/>
      <c r="J39" s="28" t="inlineStr"/>
      <c r="K39" s="28" t="inlineStr"/>
    </row>
    <row r="40" ht="45" customHeight="1">
      <c r="A40" s="29" t="n">
        <v>38</v>
      </c>
      <c r="B40" s="30" t="inlineStr"/>
      <c r="C40" s="30" t="inlineStr"/>
      <c r="D40" s="30" t="inlineStr"/>
      <c r="E40" s="30" t="inlineStr"/>
      <c r="F40" s="30" t="inlineStr"/>
      <c r="G40" s="30" t="inlineStr"/>
      <c r="H40" s="30" t="inlineStr"/>
      <c r="I40" s="30" t="inlineStr"/>
      <c r="J40" s="30" t="inlineStr"/>
      <c r="K40" s="30" t="inlineStr"/>
    </row>
    <row r="41" ht="45" customHeight="1">
      <c r="A41" s="27" t="n">
        <v>39</v>
      </c>
      <c r="B41" s="28" t="inlineStr"/>
      <c r="C41" s="28" t="inlineStr"/>
      <c r="D41" s="28" t="inlineStr"/>
      <c r="E41" s="28" t="inlineStr"/>
      <c r="F41" s="28" t="inlineStr"/>
      <c r="G41" s="28" t="inlineStr"/>
      <c r="H41" s="28" t="inlineStr"/>
      <c r="I41" s="28" t="inlineStr"/>
      <c r="J41" s="28" t="inlineStr"/>
      <c r="K41" s="28" t="inlineStr"/>
    </row>
    <row r="42" ht="45" customHeight="1">
      <c r="A42" s="29" t="n">
        <v>40</v>
      </c>
      <c r="B42" s="30" t="inlineStr"/>
      <c r="C42" s="30" t="inlineStr"/>
      <c r="D42" s="30" t="inlineStr"/>
      <c r="E42" s="30" t="inlineStr"/>
      <c r="F42" s="30" t="inlineStr"/>
      <c r="G42" s="30" t="inlineStr"/>
      <c r="H42" s="30" t="inlineStr"/>
      <c r="I42" s="30" t="inlineStr"/>
      <c r="J42" s="30" t="inlineStr"/>
      <c r="K42" s="30" t="inlineStr"/>
    </row>
    <row r="43" ht="45" customHeight="1">
      <c r="A43" s="27" t="n">
        <v>41</v>
      </c>
      <c r="B43" s="28" t="inlineStr"/>
      <c r="C43" s="28" t="inlineStr"/>
      <c r="D43" s="28" t="inlineStr"/>
      <c r="E43" s="28" t="inlineStr"/>
      <c r="F43" s="28" t="inlineStr"/>
      <c r="G43" s="28" t="inlineStr"/>
      <c r="H43" s="28" t="inlineStr"/>
      <c r="I43" s="28" t="inlineStr"/>
      <c r="J43" s="28" t="inlineStr"/>
      <c r="K43" s="28" t="inlineStr"/>
    </row>
    <row r="44" ht="45" customHeight="1">
      <c r="A44" s="29" t="n">
        <v>42</v>
      </c>
      <c r="B44" s="30" t="inlineStr"/>
      <c r="C44" s="30" t="inlineStr"/>
      <c r="D44" s="30" t="inlineStr"/>
      <c r="E44" s="30" t="inlineStr"/>
      <c r="F44" s="30" t="inlineStr"/>
      <c r="G44" s="30" t="inlineStr"/>
      <c r="H44" s="30" t="inlineStr"/>
      <c r="I44" s="30" t="inlineStr"/>
      <c r="J44" s="30" t="inlineStr"/>
      <c r="K44" s="30" t="inlineStr"/>
    </row>
    <row r="45" ht="45" customHeight="1">
      <c r="A45" s="27" t="n">
        <v>43</v>
      </c>
      <c r="B45" s="28" t="inlineStr"/>
      <c r="C45" s="28" t="inlineStr"/>
      <c r="D45" s="28" t="inlineStr"/>
      <c r="E45" s="28" t="inlineStr"/>
      <c r="F45" s="28" t="inlineStr"/>
      <c r="G45" s="28" t="inlineStr"/>
      <c r="H45" s="28" t="inlineStr"/>
      <c r="I45" s="28" t="inlineStr"/>
      <c r="J45" s="28" t="inlineStr"/>
      <c r="K45" s="28" t="inlineStr"/>
    </row>
    <row r="46" ht="45" customHeight="1">
      <c r="A46" s="29" t="n">
        <v>44</v>
      </c>
      <c r="B46" s="30" t="inlineStr"/>
      <c r="C46" s="30" t="inlineStr"/>
      <c r="D46" s="30" t="inlineStr"/>
      <c r="E46" s="30" t="inlineStr"/>
      <c r="F46" s="30" t="inlineStr"/>
      <c r="G46" s="30" t="inlineStr"/>
      <c r="H46" s="30" t="inlineStr"/>
      <c r="I46" s="30" t="inlineStr"/>
      <c r="J46" s="30" t="inlineStr"/>
      <c r="K46" s="30" t="inlineStr"/>
    </row>
    <row r="47" ht="45" customHeight="1">
      <c r="A47" s="27" t="n">
        <v>45</v>
      </c>
      <c r="B47" s="28" t="inlineStr"/>
      <c r="C47" s="28" t="inlineStr"/>
      <c r="D47" s="28" t="inlineStr"/>
      <c r="E47" s="28" t="inlineStr"/>
      <c r="F47" s="28" t="inlineStr"/>
      <c r="G47" s="28" t="inlineStr"/>
      <c r="H47" s="28" t="inlineStr"/>
      <c r="I47" s="28" t="inlineStr"/>
      <c r="J47" s="28" t="inlineStr"/>
      <c r="K47" s="28" t="inlineStr"/>
    </row>
    <row r="48" ht="45" customHeight="1">
      <c r="A48" s="29" t="n">
        <v>46</v>
      </c>
      <c r="B48" s="30" t="inlineStr"/>
      <c r="C48" s="30" t="inlineStr"/>
      <c r="D48" s="30" t="inlineStr"/>
      <c r="E48" s="30" t="inlineStr"/>
      <c r="F48" s="30" t="inlineStr"/>
      <c r="G48" s="30" t="inlineStr"/>
      <c r="H48" s="30" t="inlineStr"/>
      <c r="I48" s="30" t="inlineStr"/>
      <c r="J48" s="30" t="inlineStr"/>
      <c r="K48" s="30" t="inlineStr"/>
    </row>
    <row r="49" ht="45" customHeight="1">
      <c r="A49" s="27" t="n">
        <v>47</v>
      </c>
      <c r="B49" s="28" t="inlineStr"/>
      <c r="C49" s="28" t="inlineStr"/>
      <c r="D49" s="28" t="inlineStr"/>
      <c r="E49" s="28" t="inlineStr"/>
      <c r="F49" s="28" t="inlineStr"/>
      <c r="G49" s="28" t="inlineStr"/>
      <c r="H49" s="28" t="inlineStr"/>
      <c r="I49" s="28" t="inlineStr"/>
      <c r="J49" s="28" t="inlineStr"/>
      <c r="K49" s="28" t="inlineStr"/>
    </row>
    <row r="50" ht="45" customHeight="1">
      <c r="A50" s="29" t="n">
        <v>48</v>
      </c>
      <c r="B50" s="30" t="inlineStr"/>
      <c r="C50" s="30" t="inlineStr"/>
      <c r="D50" s="30" t="inlineStr"/>
      <c r="E50" s="30" t="inlineStr"/>
      <c r="F50" s="30" t="inlineStr"/>
      <c r="G50" s="30" t="inlineStr"/>
      <c r="H50" s="30" t="inlineStr"/>
      <c r="I50" s="30" t="inlineStr"/>
      <c r="J50" s="30" t="inlineStr"/>
      <c r="K50" s="30" t="inlineStr"/>
    </row>
    <row r="51" ht="45" customHeight="1">
      <c r="A51" s="27" t="n">
        <v>49</v>
      </c>
      <c r="B51" s="28" t="inlineStr"/>
      <c r="C51" s="28" t="inlineStr"/>
      <c r="D51" s="28" t="inlineStr"/>
      <c r="E51" s="28" t="inlineStr"/>
      <c r="F51" s="28" t="inlineStr"/>
      <c r="G51" s="28" t="inlineStr"/>
      <c r="H51" s="28" t="inlineStr"/>
      <c r="I51" s="28" t="inlineStr"/>
      <c r="J51" s="28" t="inlineStr"/>
      <c r="K51" s="28" t="inlineStr"/>
    </row>
    <row r="52" ht="45" customHeight="1">
      <c r="A52" s="29" t="n">
        <v>50</v>
      </c>
      <c r="B52" s="30" t="inlineStr"/>
      <c r="C52" s="30" t="inlineStr"/>
      <c r="D52" s="30" t="inlineStr"/>
      <c r="E52" s="30" t="inlineStr"/>
      <c r="F52" s="30" t="inlineStr"/>
      <c r="G52" s="30" t="inlineStr"/>
      <c r="H52" s="30" t="inlineStr"/>
      <c r="I52" s="30" t="inlineStr"/>
      <c r="J52" s="30" t="inlineStr"/>
      <c r="K52" s="30" t="inlineStr"/>
    </row>
    <row r="53" ht="45" customHeight="1">
      <c r="A53" s="27" t="n">
        <v>51</v>
      </c>
      <c r="B53" s="28" t="inlineStr"/>
      <c r="C53" s="28" t="inlineStr"/>
      <c r="D53" s="28" t="inlineStr"/>
      <c r="E53" s="28" t="inlineStr"/>
      <c r="F53" s="28" t="inlineStr"/>
      <c r="G53" s="28" t="inlineStr"/>
      <c r="H53" s="28" t="inlineStr"/>
      <c r="I53" s="28" t="inlineStr"/>
      <c r="J53" s="28" t="inlineStr"/>
      <c r="K53" s="28" t="inlineStr"/>
    </row>
    <row r="54" ht="45" customHeight="1">
      <c r="A54" s="29" t="n">
        <v>52</v>
      </c>
      <c r="B54" s="30" t="inlineStr"/>
      <c r="C54" s="30" t="inlineStr"/>
      <c r="D54" s="30" t="inlineStr"/>
      <c r="E54" s="30" t="inlineStr"/>
      <c r="F54" s="30" t="inlineStr"/>
      <c r="G54" s="30" t="inlineStr"/>
      <c r="H54" s="30" t="inlineStr"/>
      <c r="I54" s="30" t="inlineStr"/>
      <c r="J54" s="30" t="inlineStr"/>
      <c r="K54" s="30" t="inlineStr"/>
    </row>
    <row r="55" ht="45" customHeight="1">
      <c r="A55" s="27" t="n">
        <v>53</v>
      </c>
      <c r="B55" s="28" t="inlineStr"/>
      <c r="C55" s="28" t="inlineStr"/>
      <c r="D55" s="28" t="inlineStr"/>
      <c r="E55" s="28" t="inlineStr"/>
      <c r="F55" s="28" t="inlineStr"/>
      <c r="G55" s="28" t="inlineStr"/>
      <c r="H55" s="28" t="inlineStr"/>
      <c r="I55" s="28" t="inlineStr"/>
      <c r="J55" s="28" t="inlineStr"/>
      <c r="K55" s="28" t="inlineStr"/>
    </row>
    <row r="56" ht="45" customHeight="1">
      <c r="A56" s="29" t="n">
        <v>54</v>
      </c>
      <c r="B56" s="30" t="inlineStr"/>
      <c r="C56" s="30" t="inlineStr"/>
      <c r="D56" s="30" t="inlineStr"/>
      <c r="E56" s="30" t="inlineStr"/>
      <c r="F56" s="30" t="inlineStr"/>
      <c r="G56" s="30" t="inlineStr"/>
      <c r="H56" s="30" t="inlineStr"/>
      <c r="I56" s="30" t="inlineStr"/>
      <c r="J56" s="30" t="inlineStr"/>
      <c r="K56" s="30" t="inlineStr"/>
    </row>
    <row r="57" ht="45" customHeight="1">
      <c r="A57" s="27" t="n">
        <v>55</v>
      </c>
      <c r="B57" s="28" t="inlineStr"/>
      <c r="C57" s="28" t="inlineStr"/>
      <c r="D57" s="28" t="inlineStr"/>
      <c r="E57" s="28" t="inlineStr"/>
      <c r="F57" s="28" t="inlineStr"/>
      <c r="G57" s="28" t="inlineStr"/>
      <c r="H57" s="28" t="inlineStr"/>
      <c r="I57" s="28" t="inlineStr"/>
      <c r="J57" s="28" t="inlineStr"/>
      <c r="K57" s="28" t="inlineStr"/>
    </row>
    <row r="58" ht="45" customHeight="1">
      <c r="A58" s="29" t="n">
        <v>56</v>
      </c>
      <c r="B58" s="30" t="inlineStr"/>
      <c r="C58" s="30" t="inlineStr"/>
      <c r="D58" s="30" t="inlineStr"/>
      <c r="E58" s="30" t="inlineStr"/>
      <c r="F58" s="30" t="inlineStr"/>
      <c r="G58" s="30" t="inlineStr"/>
      <c r="H58" s="30" t="inlineStr"/>
      <c r="I58" s="30" t="inlineStr"/>
      <c r="J58" s="30" t="inlineStr"/>
      <c r="K58" s="30" t="inlineStr"/>
    </row>
    <row r="59" ht="45" customHeight="1">
      <c r="A59" s="27" t="n">
        <v>57</v>
      </c>
      <c r="B59" s="28" t="inlineStr"/>
      <c r="C59" s="28" t="inlineStr"/>
      <c r="D59" s="28" t="inlineStr"/>
      <c r="E59" s="28" t="inlineStr"/>
      <c r="F59" s="28" t="inlineStr"/>
      <c r="G59" s="28" t="inlineStr"/>
      <c r="H59" s="28" t="inlineStr"/>
      <c r="I59" s="28" t="inlineStr"/>
      <c r="J59" s="28" t="inlineStr"/>
      <c r="K59" s="28" t="inlineStr"/>
    </row>
    <row r="60" ht="45" customHeight="1">
      <c r="A60" s="29" t="n">
        <v>58</v>
      </c>
      <c r="B60" s="30" t="inlineStr"/>
      <c r="C60" s="30" t="inlineStr"/>
      <c r="D60" s="30" t="inlineStr"/>
      <c r="E60" s="30" t="inlineStr"/>
      <c r="F60" s="30" t="inlineStr"/>
      <c r="G60" s="30" t="inlineStr"/>
      <c r="H60" s="30" t="inlineStr"/>
      <c r="I60" s="30" t="inlineStr"/>
      <c r="J60" s="30" t="inlineStr"/>
      <c r="K60" s="30" t="inlineStr"/>
    </row>
    <row r="61" ht="45" customHeight="1">
      <c r="A61" s="27" t="n">
        <v>59</v>
      </c>
      <c r="B61" s="28" t="inlineStr"/>
      <c r="C61" s="28" t="inlineStr"/>
      <c r="D61" s="28" t="inlineStr"/>
      <c r="E61" s="28" t="inlineStr"/>
      <c r="F61" s="28" t="inlineStr"/>
      <c r="G61" s="28" t="inlineStr"/>
      <c r="H61" s="28" t="inlineStr"/>
      <c r="I61" s="28" t="inlineStr"/>
      <c r="J61" s="28" t="inlineStr"/>
      <c r="K61" s="28" t="inlineStr"/>
    </row>
    <row r="62" ht="45" customHeight="1">
      <c r="A62" s="29" t="n">
        <v>60</v>
      </c>
      <c r="B62" s="30" t="inlineStr"/>
      <c r="C62" s="30" t="inlineStr"/>
      <c r="D62" s="30" t="inlineStr"/>
      <c r="E62" s="30" t="inlineStr"/>
      <c r="F62" s="30" t="inlineStr"/>
      <c r="G62" s="30" t="inlineStr"/>
      <c r="H62" s="30" t="inlineStr"/>
      <c r="I62" s="30" t="inlineStr"/>
      <c r="J62" s="30" t="inlineStr"/>
      <c r="K62" s="30" t="inlineStr"/>
    </row>
    <row r="63" ht="45" customHeight="1">
      <c r="A63" s="27" t="n">
        <v>61</v>
      </c>
      <c r="B63" s="28" t="inlineStr"/>
      <c r="C63" s="28" t="inlineStr"/>
      <c r="D63" s="28" t="inlineStr"/>
      <c r="E63" s="28" t="inlineStr"/>
      <c r="F63" s="28" t="inlineStr"/>
      <c r="G63" s="28" t="inlineStr"/>
      <c r="H63" s="28" t="inlineStr"/>
      <c r="I63" s="28" t="inlineStr"/>
      <c r="J63" s="28" t="inlineStr"/>
      <c r="K63" s="28" t="inlineStr"/>
    </row>
    <row r="64" ht="45" customHeight="1">
      <c r="A64" s="29" t="n">
        <v>62</v>
      </c>
      <c r="B64" s="30" t="inlineStr"/>
      <c r="C64" s="30" t="inlineStr"/>
      <c r="D64" s="30" t="inlineStr"/>
      <c r="E64" s="30" t="inlineStr"/>
      <c r="F64" s="30" t="inlineStr"/>
      <c r="G64" s="30" t="inlineStr"/>
      <c r="H64" s="30" t="inlineStr"/>
      <c r="I64" s="30" t="inlineStr"/>
      <c r="J64" s="30" t="inlineStr"/>
      <c r="K64" s="30" t="inlineStr"/>
    </row>
    <row r="65" ht="45" customHeight="1">
      <c r="A65" s="27" t="n">
        <v>63</v>
      </c>
      <c r="B65" s="28" t="inlineStr"/>
      <c r="C65" s="28" t="inlineStr"/>
      <c r="D65" s="28" t="inlineStr"/>
      <c r="E65" s="28" t="inlineStr"/>
      <c r="F65" s="28" t="inlineStr"/>
      <c r="G65" s="28" t="inlineStr"/>
      <c r="H65" s="28" t="inlineStr"/>
      <c r="I65" s="28" t="inlineStr"/>
      <c r="J65" s="28" t="inlineStr"/>
      <c r="K65" s="28" t="inlineStr"/>
    </row>
    <row r="66" ht="45" customHeight="1">
      <c r="A66" s="29" t="n">
        <v>64</v>
      </c>
      <c r="B66" s="30" t="inlineStr"/>
      <c r="C66" s="30" t="inlineStr"/>
      <c r="D66" s="30" t="inlineStr"/>
      <c r="E66" s="30" t="inlineStr"/>
      <c r="F66" s="30" t="inlineStr"/>
      <c r="G66" s="30" t="inlineStr"/>
      <c r="H66" s="30" t="inlineStr"/>
      <c r="I66" s="30" t="inlineStr"/>
      <c r="J66" s="30" t="inlineStr"/>
      <c r="K66" s="30" t="inlineStr"/>
    </row>
    <row r="67" ht="45" customHeight="1">
      <c r="A67" s="27" t="n">
        <v>65</v>
      </c>
      <c r="B67" s="28" t="inlineStr"/>
      <c r="C67" s="28" t="inlineStr"/>
      <c r="D67" s="28" t="inlineStr"/>
      <c r="E67" s="28" t="inlineStr"/>
      <c r="F67" s="28" t="inlineStr"/>
      <c r="G67" s="28" t="inlineStr"/>
      <c r="H67" s="28" t="inlineStr"/>
      <c r="I67" s="28" t="inlineStr"/>
      <c r="J67" s="28" t="inlineStr"/>
      <c r="K67" s="28" t="inlineStr"/>
    </row>
    <row r="68" ht="45" customHeight="1">
      <c r="A68" s="29" t="n">
        <v>66</v>
      </c>
      <c r="B68" s="30" t="inlineStr"/>
      <c r="C68" s="30" t="inlineStr"/>
      <c r="D68" s="30" t="inlineStr"/>
      <c r="E68" s="30" t="inlineStr"/>
      <c r="F68" s="30" t="inlineStr"/>
      <c r="G68" s="30" t="inlineStr"/>
      <c r="H68" s="30" t="inlineStr"/>
      <c r="I68" s="30" t="inlineStr"/>
      <c r="J68" s="30" t="inlineStr"/>
      <c r="K68" s="30" t="inlineStr"/>
    </row>
    <row r="69" ht="45" customHeight="1">
      <c r="A69" s="27" t="n">
        <v>67</v>
      </c>
      <c r="B69" s="28" t="inlineStr"/>
      <c r="C69" s="28" t="inlineStr"/>
      <c r="D69" s="28" t="inlineStr"/>
      <c r="E69" s="28" t="inlineStr"/>
      <c r="F69" s="28" t="inlineStr"/>
      <c r="G69" s="28" t="inlineStr"/>
      <c r="H69" s="28" t="inlineStr"/>
      <c r="I69" s="28" t="inlineStr"/>
      <c r="J69" s="28" t="inlineStr"/>
      <c r="K69" s="28" t="inlineStr"/>
    </row>
    <row r="70" ht="45" customHeight="1">
      <c r="A70" s="29" t="n">
        <v>68</v>
      </c>
      <c r="B70" s="30" t="inlineStr"/>
      <c r="C70" s="30" t="inlineStr"/>
      <c r="D70" s="30" t="inlineStr"/>
      <c r="E70" s="30" t="inlineStr"/>
      <c r="F70" s="30" t="inlineStr"/>
      <c r="G70" s="30" t="inlineStr"/>
      <c r="H70" s="30" t="inlineStr"/>
      <c r="I70" s="30" t="inlineStr"/>
      <c r="J70" s="30" t="inlineStr"/>
      <c r="K70" s="30" t="inlineStr"/>
    </row>
    <row r="71" ht="45" customHeight="1">
      <c r="A71" s="27" t="n">
        <v>69</v>
      </c>
      <c r="B71" s="28" t="inlineStr"/>
      <c r="C71" s="28" t="inlineStr"/>
      <c r="D71" s="28" t="inlineStr"/>
      <c r="E71" s="28" t="inlineStr"/>
      <c r="F71" s="28" t="inlineStr"/>
      <c r="G71" s="28" t="inlineStr"/>
      <c r="H71" s="28" t="inlineStr"/>
      <c r="I71" s="28" t="inlineStr"/>
      <c r="J71" s="28" t="inlineStr"/>
      <c r="K71" s="28" t="inlineStr"/>
    </row>
    <row r="72" ht="45" customHeight="1">
      <c r="A72" s="29" t="n">
        <v>70</v>
      </c>
      <c r="B72" s="30" t="inlineStr"/>
      <c r="C72" s="30" t="inlineStr"/>
      <c r="D72" s="30" t="inlineStr"/>
      <c r="E72" s="30" t="inlineStr"/>
      <c r="F72" s="30" t="inlineStr"/>
      <c r="G72" s="30" t="inlineStr"/>
      <c r="H72" s="30" t="inlineStr"/>
      <c r="I72" s="30" t="inlineStr"/>
      <c r="J72" s="30" t="inlineStr"/>
      <c r="K72" s="30" t="inlineStr"/>
    </row>
    <row r="73" ht="45" customHeight="1">
      <c r="A73" s="27" t="n">
        <v>71</v>
      </c>
      <c r="B73" s="28" t="inlineStr"/>
      <c r="C73" s="28" t="inlineStr"/>
      <c r="D73" s="28" t="inlineStr"/>
      <c r="E73" s="28" t="inlineStr"/>
      <c r="F73" s="28" t="inlineStr"/>
      <c r="G73" s="28" t="inlineStr"/>
      <c r="H73" s="28" t="inlineStr"/>
      <c r="I73" s="28" t="inlineStr"/>
      <c r="J73" s="28" t="inlineStr"/>
      <c r="K73" s="28" t="inlineStr"/>
    </row>
    <row r="74" ht="45" customHeight="1">
      <c r="A74" s="29" t="n">
        <v>72</v>
      </c>
      <c r="B74" s="30" t="inlineStr"/>
      <c r="C74" s="30" t="inlineStr"/>
      <c r="D74" s="30" t="inlineStr"/>
      <c r="E74" s="30" t="inlineStr"/>
      <c r="F74" s="30" t="inlineStr"/>
      <c r="G74" s="30" t="inlineStr"/>
      <c r="H74" s="30" t="inlineStr"/>
      <c r="I74" s="30" t="inlineStr"/>
      <c r="J74" s="30" t="inlineStr"/>
      <c r="K74" s="30" t="inlineStr"/>
    </row>
    <row r="75" ht="45" customHeight="1">
      <c r="A75" s="27" t="n">
        <v>73</v>
      </c>
      <c r="B75" s="28" t="inlineStr"/>
      <c r="C75" s="28" t="inlineStr"/>
      <c r="D75" s="28" t="inlineStr"/>
      <c r="E75" s="28" t="inlineStr"/>
      <c r="F75" s="28" t="inlineStr"/>
      <c r="G75" s="28" t="inlineStr"/>
      <c r="H75" s="28" t="inlineStr"/>
      <c r="I75" s="28" t="inlineStr"/>
      <c r="J75" s="28" t="inlineStr"/>
      <c r="K75" s="28" t="inlineStr"/>
    </row>
    <row r="76" ht="45" customHeight="1">
      <c r="A76" s="29" t="n">
        <v>74</v>
      </c>
      <c r="B76" s="30" t="inlineStr"/>
      <c r="C76" s="30" t="inlineStr"/>
      <c r="D76" s="30" t="inlineStr"/>
      <c r="E76" s="30" t="inlineStr"/>
      <c r="F76" s="30" t="inlineStr"/>
      <c r="G76" s="30" t="inlineStr"/>
      <c r="H76" s="30" t="inlineStr"/>
      <c r="I76" s="30" t="inlineStr"/>
      <c r="J76" s="30" t="inlineStr"/>
      <c r="K76" s="30" t="inlineStr"/>
    </row>
    <row r="77" ht="45" customHeight="1">
      <c r="A77" s="27" t="n">
        <v>75</v>
      </c>
      <c r="B77" s="28" t="inlineStr"/>
      <c r="C77" s="28" t="inlineStr"/>
      <c r="D77" s="28" t="inlineStr"/>
      <c r="E77" s="28" t="inlineStr"/>
      <c r="F77" s="28" t="inlineStr"/>
      <c r="G77" s="28" t="inlineStr"/>
      <c r="H77" s="28" t="inlineStr"/>
      <c r="I77" s="28" t="inlineStr"/>
      <c r="J77" s="28" t="inlineStr"/>
      <c r="K77" s="28" t="inlineStr"/>
    </row>
    <row r="78" ht="45" customHeight="1">
      <c r="A78" s="29" t="n">
        <v>76</v>
      </c>
      <c r="B78" s="30" t="inlineStr"/>
      <c r="C78" s="30" t="inlineStr"/>
      <c r="D78" s="30" t="inlineStr"/>
      <c r="E78" s="30" t="inlineStr"/>
      <c r="F78" s="30" t="inlineStr"/>
      <c r="G78" s="30" t="inlineStr"/>
      <c r="H78" s="30" t="inlineStr"/>
      <c r="I78" s="30" t="inlineStr"/>
      <c r="J78" s="30" t="inlineStr"/>
      <c r="K78" s="30" t="inlineStr"/>
    </row>
    <row r="79" ht="45" customHeight="1">
      <c r="A79" s="27" t="n">
        <v>77</v>
      </c>
      <c r="B79" s="28" t="inlineStr"/>
      <c r="C79" s="28" t="inlineStr"/>
      <c r="D79" s="28" t="inlineStr"/>
      <c r="E79" s="28" t="inlineStr"/>
      <c r="F79" s="28" t="inlineStr"/>
      <c r="G79" s="28" t="inlineStr"/>
      <c r="H79" s="28" t="inlineStr"/>
      <c r="I79" s="28" t="inlineStr"/>
      <c r="J79" s="28" t="inlineStr"/>
      <c r="K79" s="28" t="inlineStr"/>
    </row>
    <row r="80" ht="45" customHeight="1">
      <c r="A80" s="29" t="n">
        <v>78</v>
      </c>
      <c r="B80" s="30" t="inlineStr"/>
      <c r="C80" s="30" t="inlineStr"/>
      <c r="D80" s="30" t="inlineStr"/>
      <c r="E80" s="30" t="inlineStr"/>
      <c r="F80" s="30" t="inlineStr"/>
      <c r="G80" s="30" t="inlineStr"/>
      <c r="H80" s="30" t="inlineStr"/>
      <c r="I80" s="30" t="inlineStr"/>
      <c r="J80" s="30" t="inlineStr"/>
      <c r="K80" s="30" t="inlineStr"/>
    </row>
    <row r="81" ht="45" customHeight="1">
      <c r="A81" s="27" t="n">
        <v>79</v>
      </c>
      <c r="B81" s="28" t="inlineStr"/>
      <c r="C81" s="28" t="inlineStr"/>
      <c r="D81" s="28" t="inlineStr"/>
      <c r="E81" s="28" t="inlineStr"/>
      <c r="F81" s="28" t="inlineStr"/>
      <c r="G81" s="28" t="inlineStr"/>
      <c r="H81" s="28" t="inlineStr"/>
      <c r="I81" s="28" t="inlineStr"/>
      <c r="J81" s="28" t="inlineStr"/>
      <c r="K81" s="28" t="inlineStr"/>
    </row>
    <row r="82" ht="45" customHeight="1">
      <c r="A82" s="29" t="n">
        <v>80</v>
      </c>
      <c r="B82" s="30" t="inlineStr"/>
      <c r="C82" s="30" t="inlineStr"/>
      <c r="D82" s="30" t="inlineStr"/>
      <c r="E82" s="30" t="inlineStr"/>
      <c r="F82" s="30" t="inlineStr"/>
      <c r="G82" s="30" t="inlineStr"/>
      <c r="H82" s="30" t="inlineStr"/>
      <c r="I82" s="30" t="inlineStr"/>
      <c r="J82" s="30" t="inlineStr"/>
      <c r="K82" s="30" t="inlineStr"/>
    </row>
    <row r="83" ht="45" customHeight="1">
      <c r="A83" s="27" t="n">
        <v>81</v>
      </c>
      <c r="B83" s="28" t="inlineStr"/>
      <c r="C83" s="28" t="inlineStr"/>
      <c r="D83" s="28" t="inlineStr"/>
      <c r="E83" s="28" t="inlineStr"/>
      <c r="F83" s="28" t="inlineStr"/>
      <c r="G83" s="28" t="inlineStr"/>
      <c r="H83" s="28" t="inlineStr"/>
      <c r="I83" s="28" t="inlineStr"/>
      <c r="J83" s="28" t="inlineStr"/>
      <c r="K83" s="28" t="inlineStr"/>
    </row>
    <row r="84" ht="45" customHeight="1">
      <c r="A84" s="29" t="n">
        <v>82</v>
      </c>
      <c r="B84" s="30" t="inlineStr"/>
      <c r="C84" s="30" t="inlineStr"/>
      <c r="D84" s="30" t="inlineStr"/>
      <c r="E84" s="30" t="inlineStr"/>
      <c r="F84" s="30" t="inlineStr"/>
      <c r="G84" s="30" t="inlineStr"/>
      <c r="H84" s="30" t="inlineStr"/>
      <c r="I84" s="30" t="inlineStr"/>
      <c r="J84" s="30" t="inlineStr"/>
      <c r="K84" s="30" t="inlineStr"/>
    </row>
    <row r="85" ht="45" customHeight="1">
      <c r="A85" s="27" t="n">
        <v>83</v>
      </c>
      <c r="B85" s="28" t="inlineStr"/>
      <c r="C85" s="28" t="inlineStr"/>
      <c r="D85" s="28" t="inlineStr"/>
      <c r="E85" s="28" t="inlineStr"/>
      <c r="F85" s="28" t="inlineStr"/>
      <c r="G85" s="28" t="inlineStr"/>
      <c r="H85" s="28" t="inlineStr"/>
      <c r="I85" s="28" t="inlineStr"/>
      <c r="J85" s="28" t="inlineStr"/>
      <c r="K85" s="28" t="inlineStr"/>
    </row>
    <row r="86" ht="45" customHeight="1">
      <c r="A86" s="29" t="n">
        <v>84</v>
      </c>
      <c r="B86" s="30" t="inlineStr"/>
      <c r="C86" s="30" t="inlineStr"/>
      <c r="D86" s="30" t="inlineStr"/>
      <c r="E86" s="30" t="inlineStr"/>
      <c r="F86" s="30" t="inlineStr"/>
      <c r="G86" s="30" t="inlineStr"/>
      <c r="H86" s="30" t="inlineStr"/>
      <c r="I86" s="30" t="inlineStr"/>
      <c r="J86" s="30" t="inlineStr"/>
      <c r="K86" s="30" t="inlineStr"/>
    </row>
    <row r="87" ht="45" customHeight="1">
      <c r="A87" s="27" t="n">
        <v>85</v>
      </c>
      <c r="B87" s="28" t="inlineStr"/>
      <c r="C87" s="28" t="inlineStr"/>
      <c r="D87" s="28" t="inlineStr"/>
      <c r="E87" s="28" t="inlineStr"/>
      <c r="F87" s="28" t="inlineStr"/>
      <c r="G87" s="28" t="inlineStr"/>
      <c r="H87" s="28" t="inlineStr"/>
      <c r="I87" s="28" t="inlineStr"/>
      <c r="J87" s="28" t="inlineStr"/>
      <c r="K87" s="28" t="inlineStr"/>
    </row>
    <row r="88" ht="45" customHeight="1">
      <c r="A88" s="29" t="n">
        <v>86</v>
      </c>
      <c r="B88" s="30" t="inlineStr"/>
      <c r="C88" s="30" t="inlineStr"/>
      <c r="D88" s="30" t="inlineStr"/>
      <c r="E88" s="30" t="inlineStr"/>
      <c r="F88" s="30" t="inlineStr"/>
      <c r="G88" s="30" t="inlineStr"/>
      <c r="H88" s="30" t="inlineStr"/>
      <c r="I88" s="30" t="inlineStr"/>
      <c r="J88" s="30" t="inlineStr"/>
      <c r="K88" s="30" t="inlineStr"/>
    </row>
    <row r="89" ht="45" customHeight="1">
      <c r="A89" s="27" t="n">
        <v>87</v>
      </c>
      <c r="B89" s="28" t="inlineStr"/>
      <c r="C89" s="28" t="inlineStr"/>
      <c r="D89" s="28" t="inlineStr"/>
      <c r="E89" s="28" t="inlineStr"/>
      <c r="F89" s="28" t="inlineStr"/>
      <c r="G89" s="28" t="inlineStr"/>
      <c r="H89" s="28" t="inlineStr"/>
      <c r="I89" s="28" t="inlineStr"/>
      <c r="J89" s="28" t="inlineStr"/>
      <c r="K89" s="28" t="inlineStr"/>
    </row>
    <row r="90" ht="45" customHeight="1">
      <c r="A90" s="29" t="n">
        <v>88</v>
      </c>
      <c r="B90" s="30" t="inlineStr"/>
      <c r="C90" s="30" t="inlineStr"/>
      <c r="D90" s="30" t="inlineStr"/>
      <c r="E90" s="30" t="inlineStr"/>
      <c r="F90" s="30" t="inlineStr"/>
      <c r="G90" s="30" t="inlineStr"/>
      <c r="H90" s="30" t="inlineStr"/>
      <c r="I90" s="30" t="inlineStr"/>
      <c r="J90" s="30" t="inlineStr"/>
      <c r="K90" s="30" t="inlineStr"/>
    </row>
    <row r="91" ht="45" customHeight="1">
      <c r="A91" s="27" t="n">
        <v>89</v>
      </c>
      <c r="B91" s="28" t="inlineStr"/>
      <c r="C91" s="28" t="inlineStr"/>
      <c r="D91" s="28" t="inlineStr"/>
      <c r="E91" s="28" t="inlineStr"/>
      <c r="F91" s="28" t="inlineStr"/>
      <c r="G91" s="28" t="inlineStr"/>
      <c r="H91" s="28" t="inlineStr"/>
      <c r="I91" s="28" t="inlineStr"/>
      <c r="J91" s="28" t="inlineStr"/>
      <c r="K91" s="28" t="inlineStr"/>
    </row>
    <row r="92" ht="45" customHeight="1">
      <c r="A92" s="29" t="n">
        <v>90</v>
      </c>
      <c r="B92" s="30" t="inlineStr"/>
      <c r="C92" s="30" t="inlineStr"/>
      <c r="D92" s="30" t="inlineStr"/>
      <c r="E92" s="30" t="inlineStr"/>
      <c r="F92" s="30" t="inlineStr"/>
      <c r="G92" s="30" t="inlineStr"/>
      <c r="H92" s="30" t="inlineStr"/>
      <c r="I92" s="30" t="inlineStr"/>
      <c r="J92" s="30" t="inlineStr"/>
      <c r="K92" s="30" t="inlineStr"/>
    </row>
    <row r="93" ht="45" customHeight="1">
      <c r="A93" s="27" t="n">
        <v>91</v>
      </c>
      <c r="B93" s="28" t="inlineStr"/>
      <c r="C93" s="28" t="inlineStr"/>
      <c r="D93" s="28" t="inlineStr"/>
      <c r="E93" s="28" t="inlineStr"/>
      <c r="F93" s="28" t="inlineStr"/>
      <c r="G93" s="28" t="inlineStr"/>
      <c r="H93" s="28" t="inlineStr"/>
      <c r="I93" s="28" t="inlineStr"/>
      <c r="J93" s="28" t="inlineStr"/>
      <c r="K93" s="28" t="inlineStr"/>
    </row>
    <row r="94" ht="45" customHeight="1">
      <c r="A94" s="29" t="n">
        <v>92</v>
      </c>
      <c r="B94" s="30" t="inlineStr"/>
      <c r="C94" s="30" t="inlineStr"/>
      <c r="D94" s="30" t="inlineStr"/>
      <c r="E94" s="30" t="inlineStr"/>
      <c r="F94" s="30" t="inlineStr"/>
      <c r="G94" s="30" t="inlineStr"/>
      <c r="H94" s="30" t="inlineStr"/>
      <c r="I94" s="30" t="inlineStr"/>
      <c r="J94" s="30" t="inlineStr"/>
      <c r="K94" s="30" t="inlineStr"/>
    </row>
    <row r="95" ht="45" customHeight="1">
      <c r="A95" s="27" t="n">
        <v>93</v>
      </c>
      <c r="B95" s="28" t="inlineStr"/>
      <c r="C95" s="28" t="inlineStr"/>
      <c r="D95" s="28" t="inlineStr"/>
      <c r="E95" s="28" t="inlineStr"/>
      <c r="F95" s="28" t="inlineStr"/>
      <c r="G95" s="28" t="inlineStr"/>
      <c r="H95" s="28" t="inlineStr"/>
      <c r="I95" s="28" t="inlineStr"/>
      <c r="J95" s="28" t="inlineStr"/>
      <c r="K95" s="28" t="inlineStr"/>
    </row>
    <row r="96" ht="45" customHeight="1">
      <c r="A96" s="29" t="n">
        <v>94</v>
      </c>
      <c r="B96" s="30" t="inlineStr"/>
      <c r="C96" s="30" t="inlineStr"/>
      <c r="D96" s="30" t="inlineStr"/>
      <c r="E96" s="30" t="inlineStr"/>
      <c r="F96" s="30" t="inlineStr"/>
      <c r="G96" s="30" t="inlineStr"/>
      <c r="H96" s="30" t="inlineStr"/>
      <c r="I96" s="30" t="inlineStr"/>
      <c r="J96" s="30" t="inlineStr"/>
      <c r="K96" s="30" t="inlineStr"/>
    </row>
    <row r="97" ht="45" customHeight="1">
      <c r="A97" s="27" t="n">
        <v>95</v>
      </c>
      <c r="B97" s="28" t="inlineStr"/>
      <c r="C97" s="28" t="inlineStr"/>
      <c r="D97" s="28" t="inlineStr"/>
      <c r="E97" s="28" t="inlineStr"/>
      <c r="F97" s="28" t="inlineStr"/>
      <c r="G97" s="28" t="inlineStr"/>
      <c r="H97" s="28" t="inlineStr"/>
      <c r="I97" s="28" t="inlineStr"/>
      <c r="J97" s="28" t="inlineStr"/>
      <c r="K97" s="28" t="inlineStr"/>
    </row>
    <row r="98" ht="45" customHeight="1">
      <c r="A98" s="29" t="n">
        <v>96</v>
      </c>
      <c r="B98" s="30" t="inlineStr"/>
      <c r="C98" s="30" t="inlineStr"/>
      <c r="D98" s="30" t="inlineStr"/>
      <c r="E98" s="30" t="inlineStr"/>
      <c r="F98" s="30" t="inlineStr"/>
      <c r="G98" s="30" t="inlineStr"/>
      <c r="H98" s="30" t="inlineStr"/>
      <c r="I98" s="30" t="inlineStr"/>
      <c r="J98" s="30" t="inlineStr"/>
      <c r="K98" s="30" t="inlineStr"/>
    </row>
    <row r="99" ht="45" customHeight="1">
      <c r="A99" s="27" t="n">
        <v>97</v>
      </c>
      <c r="B99" s="28" t="inlineStr"/>
      <c r="C99" s="28" t="inlineStr"/>
      <c r="D99" s="28" t="inlineStr"/>
      <c r="E99" s="28" t="inlineStr"/>
      <c r="F99" s="28" t="inlineStr"/>
      <c r="G99" s="28" t="inlineStr"/>
      <c r="H99" s="28" t="inlineStr"/>
      <c r="I99" s="28" t="inlineStr"/>
      <c r="J99" s="28" t="inlineStr"/>
      <c r="K99" s="28" t="inlineStr"/>
    </row>
    <row r="100" ht="45" customHeight="1">
      <c r="A100" s="29" t="n">
        <v>98</v>
      </c>
      <c r="B100" s="30" t="inlineStr"/>
      <c r="C100" s="30" t="inlineStr"/>
      <c r="D100" s="30" t="inlineStr"/>
      <c r="E100" s="30" t="inlineStr"/>
      <c r="F100" s="30" t="inlineStr"/>
      <c r="G100" s="30" t="inlineStr"/>
      <c r="H100" s="30" t="inlineStr"/>
      <c r="I100" s="30" t="inlineStr"/>
      <c r="J100" s="30" t="inlineStr"/>
      <c r="K100" s="30" t="inlineStr"/>
    </row>
    <row r="101" ht="45" customHeight="1">
      <c r="A101" s="27" t="n">
        <v>99</v>
      </c>
      <c r="B101" s="28" t="inlineStr"/>
      <c r="C101" s="28" t="inlineStr"/>
      <c r="D101" s="28" t="inlineStr"/>
      <c r="E101" s="28" t="inlineStr"/>
      <c r="F101" s="28" t="inlineStr"/>
      <c r="G101" s="28" t="inlineStr"/>
      <c r="H101" s="28" t="inlineStr"/>
      <c r="I101" s="28" t="inlineStr"/>
      <c r="J101" s="28" t="inlineStr"/>
      <c r="K101" s="28" t="inlineStr"/>
    </row>
    <row r="102" ht="45" customHeight="1">
      <c r="A102" s="29" t="n">
        <v>100</v>
      </c>
      <c r="B102" s="30" t="inlineStr"/>
      <c r="C102" s="30" t="inlineStr"/>
      <c r="D102" s="30" t="inlineStr"/>
      <c r="E102" s="30" t="inlineStr"/>
      <c r="F102" s="30" t="inlineStr"/>
      <c r="G102" s="30" t="inlineStr"/>
      <c r="H102" s="30" t="inlineStr"/>
      <c r="I102" s="30" t="inlineStr"/>
      <c r="J102" s="30" t="inlineStr"/>
      <c r="K102" s="30" t="inlineStr"/>
    </row>
  </sheetData>
  <autoFilter ref="A2:K2"/>
  <mergeCells count="1">
    <mergeCell ref="A1:K1"/>
  </mergeCells>
  <conditionalFormatting sqref="H3:H102">
    <cfRule type="expression" priority="1" dxfId="2">
      <formula>H3="Critical"</formula>
    </cfRule>
    <cfRule type="expression" priority="2" dxfId="3">
      <formula>H3="High"</formula>
    </cfRule>
    <cfRule type="expression" priority="3" dxfId="1">
      <formula>H3="Medium"</formula>
    </cfRule>
    <cfRule type="expression" priority="4" dxfId="0">
      <formula>H3="Low"</formula>
    </cfRule>
  </conditionalFormatting>
  <conditionalFormatting sqref="K3:K102">
    <cfRule type="expression" priority="5" dxfId="0">
      <formula>K3="Completed"</formula>
    </cfRule>
    <cfRule type="expression" priority="6" dxfId="1">
      <formula>K3="In Progress"</formula>
    </cfRule>
    <cfRule type="expression" priority="7" dxfId="2">
      <formula>K3="Not Started"</formula>
    </cfRule>
    <cfRule type="expression" priority="8" dxfId="4">
      <formula>K3="Deferred"</formula>
    </cfRule>
    <cfRule type="expression" priority="9" dxfId="5">
      <formula>K3="Waived"</formula>
    </cfRule>
  </conditionalFormatting>
  <dataValidations count="2">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showDropDown="0" showInputMessage="0" showErrorMessage="0" allowBlank="1" type="list">
      <formula1>"Critical,High,Medium,Low"</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showDropDown="0" showInputMessage="0" showErrorMessage="0" allowBlank="1" type="list">
      <formula1>"Not Started,In Progress,Completed,Deferred,Waived"</formula1>
    </dataValidation>
  </dataValidations>
  <pageMargins left="0.75" right="0.75" top="1" bottom="1" header="0.5" footer="0.5"/>
</worksheet>
</file>

<file path=xl/worksheets/sheet5.xml><?xml version="1.0" encoding="utf-8"?>
<worksheet xmlns="http://schemas.openxmlformats.org/spreadsheetml/2006/main">
  <sheetPr>
    <tabColor rgb="00F39C12"/>
    <outlinePr summaryBelow="1" summaryRight="1"/>
    <pageSetUpPr/>
  </sheetPr>
  <dimension ref="A1:E41"/>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s>
  <sheetData>
    <row r="1" ht="32" customHeight="1">
      <c r="A1" s="1" t="inlineStr">
        <is>
          <t>Remediation Progress — Summary</t>
        </is>
      </c>
      <c r="B1" s="2" t="n"/>
      <c r="C1" s="2" t="n"/>
      <c r="D1" s="2" t="n"/>
      <c r="E1" s="3" t="n"/>
    </row>
    <row r="2" ht="24" customHeight="1">
      <c r="A2" s="13" t="inlineStr">
        <is>
          <t>By Priority</t>
        </is>
      </c>
      <c r="B2" s="14" t="inlineStr"/>
      <c r="C2" s="14" t="inlineStr"/>
      <c r="D2" s="14" t="inlineStr"/>
      <c r="E2" s="14" t="inlineStr"/>
    </row>
    <row r="3" ht="30" customHeight="1">
      <c r="A3" s="4" t="inlineStr">
        <is>
          <t>Priority</t>
        </is>
      </c>
      <c r="B3" s="4" t="inlineStr">
        <is>
          <t>Total</t>
        </is>
      </c>
      <c r="C3" s="4" t="inlineStr">
        <is>
          <t>Completed</t>
        </is>
      </c>
      <c r="D3" s="4" t="inlineStr">
        <is>
          <t>Remaining</t>
        </is>
      </c>
    </row>
    <row r="4">
      <c r="A4" s="5" t="inlineStr">
        <is>
          <t>Critical</t>
        </is>
      </c>
      <c r="B4" s="6">
        <f>COUNTIF('REMEDIATION PLAN'!H$2:H$102,A4)</f>
        <v/>
      </c>
      <c r="C4" s="6">
        <f>COUNTIFS('REMEDIATION PLAN'!H$2:H$102,A4,'REMEDIATION PLAN'!K$2:K$102,"Completed")</f>
        <v/>
      </c>
      <c r="D4" s="6">
        <f>B4-C4</f>
        <v/>
      </c>
    </row>
    <row r="5">
      <c r="A5" s="9" t="inlineStr">
        <is>
          <t>High</t>
        </is>
      </c>
      <c r="B5" s="10">
        <f>COUNTIF('REMEDIATION PLAN'!H$2:H$102,A5)</f>
        <v/>
      </c>
      <c r="C5" s="10">
        <f>COUNTIFS('REMEDIATION PLAN'!H$2:H$102,A5,'REMEDIATION PLAN'!K$2:K$102,"Completed")</f>
        <v/>
      </c>
      <c r="D5" s="10">
        <f>B5-C5</f>
        <v/>
      </c>
    </row>
    <row r="6">
      <c r="A6" s="5" t="inlineStr">
        <is>
          <t>Medium</t>
        </is>
      </c>
      <c r="B6" s="6">
        <f>COUNTIF('REMEDIATION PLAN'!H$2:H$102,A6)</f>
        <v/>
      </c>
      <c r="C6" s="6">
        <f>COUNTIFS('REMEDIATION PLAN'!H$2:H$102,A6,'REMEDIATION PLAN'!K$2:K$102,"Completed")</f>
        <v/>
      </c>
      <c r="D6" s="6">
        <f>B6-C6</f>
        <v/>
      </c>
    </row>
    <row r="7">
      <c r="A7" s="9" t="inlineStr">
        <is>
          <t>Low</t>
        </is>
      </c>
      <c r="B7" s="10">
        <f>COUNTIF('REMEDIATION PLAN'!H$2:H$102,A7)</f>
        <v/>
      </c>
      <c r="C7" s="10">
        <f>COUNTIFS('REMEDIATION PLAN'!H$2:H$102,A7,'REMEDIATION PLAN'!K$2:K$102,"Completed")</f>
        <v/>
      </c>
      <c r="D7" s="10">
        <f>B7-C7</f>
        <v/>
      </c>
    </row>
    <row r="8">
      <c r="A8" s="15" t="inlineStr">
        <is>
          <t>TOTAL</t>
        </is>
      </c>
      <c r="B8" s="16">
        <f>SUM(B4:B7)</f>
        <v/>
      </c>
      <c r="C8" s="16">
        <f>SUM(C4:C7)</f>
        <v/>
      </c>
      <c r="D8" s="16">
        <f>SUM(D4:D7)</f>
        <v/>
      </c>
    </row>
    <row r="9"/>
    <row r="10" ht="24" customHeight="1">
      <c r="A10" s="13" t="inlineStr">
        <is>
          <t>By Status</t>
        </is>
      </c>
      <c r="B10" s="14" t="inlineStr"/>
      <c r="C10" s="14" t="inlineStr"/>
      <c r="D10" s="14" t="inlineStr"/>
      <c r="E10" s="14" t="inlineStr"/>
    </row>
    <row r="11">
      <c r="A11" s="5" t="inlineStr">
        <is>
          <t>Not Started</t>
        </is>
      </c>
      <c r="B11" s="6">
        <f>COUNTIF('REMEDIATION PLAN'!K$2:K$102,A11)</f>
        <v/>
      </c>
    </row>
    <row r="12">
      <c r="A12" s="9" t="inlineStr">
        <is>
          <t>In Progress</t>
        </is>
      </c>
      <c r="B12" s="10">
        <f>COUNTIF('REMEDIATION PLAN'!K$2:K$102,A12)</f>
        <v/>
      </c>
    </row>
    <row r="13">
      <c r="A13" s="5" t="inlineStr">
        <is>
          <t>Completed</t>
        </is>
      </c>
      <c r="B13" s="6">
        <f>COUNTIF('REMEDIATION PLAN'!K$2:K$102,A13)</f>
        <v/>
      </c>
    </row>
    <row r="14">
      <c r="A14" s="9" t="inlineStr">
        <is>
          <t>Deferred</t>
        </is>
      </c>
      <c r="B14" s="10">
        <f>COUNTIF('REMEDIATION PLAN'!K$2:K$102,A14)</f>
        <v/>
      </c>
    </row>
    <row r="15">
      <c r="A15" s="5" t="inlineStr">
        <is>
          <t>Waived</t>
        </is>
      </c>
      <c r="B15" s="6">
        <f>COUNTIF('REMEDIATION PLAN'!K$2:K$102,A15)</f>
        <v/>
      </c>
    </row>
    <row r="16"/>
    <row r="17" ht="24" customHeight="1">
      <c r="A17" s="15" t="inlineStr">
        <is>
          <t>% Remediated</t>
        </is>
      </c>
      <c r="B17" s="17">
        <f>IFERROR(C8/B8,0)</f>
        <v/>
      </c>
    </row>
    <row r="18"/>
    <row r="19" ht="24" customHeight="1">
      <c r="A19" s="13" t="inlineStr">
        <is>
          <t>By Technology — Open Items</t>
        </is>
      </c>
      <c r="B19" s="14" t="inlineStr"/>
      <c r="C19" s="14" t="inlineStr"/>
      <c r="D19" s="14" t="inlineStr"/>
      <c r="E19" s="14" t="inlineStr"/>
    </row>
    <row r="20" ht="30" customHeight="1">
      <c r="A20" s="4" t="inlineStr">
        <is>
          <t>Technology</t>
        </is>
      </c>
      <c r="B20" s="4" t="inlineStr">
        <is>
          <t>Critical</t>
        </is>
      </c>
      <c r="C20" s="4" t="inlineStr">
        <is>
          <t>High</t>
        </is>
      </c>
      <c r="D20" s="4" t="inlineStr">
        <is>
          <t>Medium + Low</t>
        </is>
      </c>
    </row>
    <row r="21">
      <c r="A21" s="23" t="inlineStr">
        <is>
          <t>Analytics</t>
        </is>
      </c>
      <c r="B21" s="27">
        <f>COUNTIFS('REMEDIATION PLAN'!D$2:D$102,A21,'REMEDIATION PLAN'!H$2:H$102,"Critical",'REMEDIATION PLAN'!K$2:K$102,"&lt;&gt;Completed")</f>
        <v/>
      </c>
      <c r="C21" s="27">
        <f>COUNTIFS('REMEDIATION PLAN'!D$2:D$102,A21,'REMEDIATION PLAN'!H$2:H$102,"High",'REMEDIATION PLAN'!K$2:K$102,"&lt;&gt;Completed")</f>
        <v/>
      </c>
      <c r="D21" s="27">
        <f>COUNTIFS('REMEDIATION PLAN'!D$2:D$102,A21,'REMEDIATION PLAN'!H$2:H$102,"Medium",'REMEDIATION PLAN'!K$2:K$102,"&lt;&gt;Completed")+COUNTIFS('REMEDIATION PLAN'!D$2:D$102,A21,'REMEDIATION PLAN'!H$2:H$102,"Low",'REMEDIATION PLAN'!K$2:K$102,"&lt;&gt;Completed")</f>
        <v/>
      </c>
    </row>
    <row r="22">
      <c r="A22" s="25" t="inlineStr">
        <is>
          <t>Compute</t>
        </is>
      </c>
      <c r="B22" s="29">
        <f>COUNTIFS('REMEDIATION PLAN'!D$2:D$102,A22,'REMEDIATION PLAN'!H$2:H$102,"Critical",'REMEDIATION PLAN'!K$2:K$102,"&lt;&gt;Completed")</f>
        <v/>
      </c>
      <c r="C22" s="29">
        <f>COUNTIFS('REMEDIATION PLAN'!D$2:D$102,A22,'REMEDIATION PLAN'!H$2:H$102,"High",'REMEDIATION PLAN'!K$2:K$102,"&lt;&gt;Completed")</f>
        <v/>
      </c>
      <c r="D22" s="29">
        <f>COUNTIFS('REMEDIATION PLAN'!D$2:D$102,A22,'REMEDIATION PLAN'!H$2:H$102,"Medium",'REMEDIATION PLAN'!K$2:K$102,"&lt;&gt;Completed")+COUNTIFS('REMEDIATION PLAN'!D$2:D$102,A22,'REMEDIATION PLAN'!H$2:H$102,"Low",'REMEDIATION PLAN'!K$2:K$102,"&lt;&gt;Completed")</f>
        <v/>
      </c>
    </row>
    <row r="23">
      <c r="A23" s="23" t="inlineStr">
        <is>
          <t>Containers</t>
        </is>
      </c>
      <c r="B23" s="27">
        <f>COUNTIFS('REMEDIATION PLAN'!D$2:D$102,A23,'REMEDIATION PLAN'!H$2:H$102,"Critical",'REMEDIATION PLAN'!K$2:K$102,"&lt;&gt;Completed")</f>
        <v/>
      </c>
      <c r="C23" s="27">
        <f>COUNTIFS('REMEDIATION PLAN'!D$2:D$102,A23,'REMEDIATION PLAN'!H$2:H$102,"High",'REMEDIATION PLAN'!K$2:K$102,"&lt;&gt;Completed")</f>
        <v/>
      </c>
      <c r="D23" s="27">
        <f>COUNTIFS('REMEDIATION PLAN'!D$2:D$102,A23,'REMEDIATION PLAN'!H$2:H$102,"Medium",'REMEDIATION PLAN'!K$2:K$102,"&lt;&gt;Completed")+COUNTIFS('REMEDIATION PLAN'!D$2:D$102,A23,'REMEDIATION PLAN'!H$2:H$102,"Low",'REMEDIATION PLAN'!K$2:K$102,"&lt;&gt;Completed")</f>
        <v/>
      </c>
    </row>
    <row r="24">
      <c r="A24" s="25" t="inlineStr">
        <is>
          <t>Database</t>
        </is>
      </c>
      <c r="B24" s="29">
        <f>COUNTIFS('REMEDIATION PLAN'!D$2:D$102,A24,'REMEDIATION PLAN'!H$2:H$102,"Critical",'REMEDIATION PLAN'!K$2:K$102,"&lt;&gt;Completed")</f>
        <v/>
      </c>
      <c r="C24" s="29">
        <f>COUNTIFS('REMEDIATION PLAN'!D$2:D$102,A24,'REMEDIATION PLAN'!H$2:H$102,"High",'REMEDIATION PLAN'!K$2:K$102,"&lt;&gt;Completed")</f>
        <v/>
      </c>
      <c r="D24" s="29">
        <f>COUNTIFS('REMEDIATION PLAN'!D$2:D$102,A24,'REMEDIATION PLAN'!H$2:H$102,"Medium",'REMEDIATION PLAN'!K$2:K$102,"&lt;&gt;Completed")+COUNTIFS('REMEDIATION PLAN'!D$2:D$102,A24,'REMEDIATION PLAN'!H$2:H$102,"Low",'REMEDIATION PLAN'!K$2:K$102,"&lt;&gt;Completed")</f>
        <v/>
      </c>
    </row>
    <row r="25">
      <c r="A25" s="23" t="inlineStr">
        <is>
          <t>Developer Tools</t>
        </is>
      </c>
      <c r="B25" s="27">
        <f>COUNTIFS('REMEDIATION PLAN'!D$2:D$102,A25,'REMEDIATION PLAN'!H$2:H$102,"Critical",'REMEDIATION PLAN'!K$2:K$102,"&lt;&gt;Completed")</f>
        <v/>
      </c>
      <c r="C25" s="27">
        <f>COUNTIFS('REMEDIATION PLAN'!D$2:D$102,A25,'REMEDIATION PLAN'!H$2:H$102,"High",'REMEDIATION PLAN'!K$2:K$102,"&lt;&gt;Completed")</f>
        <v/>
      </c>
      <c r="D25" s="27">
        <f>COUNTIFS('REMEDIATION PLAN'!D$2:D$102,A25,'REMEDIATION PLAN'!H$2:H$102,"Medium",'REMEDIATION PLAN'!K$2:K$102,"&lt;&gt;Completed")+COUNTIFS('REMEDIATION PLAN'!D$2:D$102,A25,'REMEDIATION PLAN'!H$2:H$102,"Low",'REMEDIATION PLAN'!K$2:K$102,"&lt;&gt;Completed")</f>
        <v/>
      </c>
    </row>
    <row r="26">
      <c r="A26" s="25" t="inlineStr">
        <is>
          <t>DevOps</t>
        </is>
      </c>
      <c r="B26" s="29">
        <f>COUNTIFS('REMEDIATION PLAN'!D$2:D$102,A26,'REMEDIATION PLAN'!H$2:H$102,"Critical",'REMEDIATION PLAN'!K$2:K$102,"&lt;&gt;Completed")</f>
        <v/>
      </c>
      <c r="C26" s="29">
        <f>COUNTIFS('REMEDIATION PLAN'!D$2:D$102,A26,'REMEDIATION PLAN'!H$2:H$102,"High",'REMEDIATION PLAN'!K$2:K$102,"&lt;&gt;Completed")</f>
        <v/>
      </c>
      <c r="D26" s="29">
        <f>COUNTIFS('REMEDIATION PLAN'!D$2:D$102,A26,'REMEDIATION PLAN'!H$2:H$102,"Medium",'REMEDIATION PLAN'!K$2:K$102,"&lt;&gt;Completed")+COUNTIFS('REMEDIATION PLAN'!D$2:D$102,A26,'REMEDIATION PLAN'!H$2:H$102,"Low",'REMEDIATION PLAN'!K$2:K$102,"&lt;&gt;Completed")</f>
        <v/>
      </c>
    </row>
    <row r="27">
      <c r="A27" s="23" t="inlineStr">
        <is>
          <t>Documentation</t>
        </is>
      </c>
      <c r="B27" s="27">
        <f>COUNTIFS('REMEDIATION PLAN'!D$2:D$102,A27,'REMEDIATION PLAN'!H$2:H$102,"Critical",'REMEDIATION PLAN'!K$2:K$102,"&lt;&gt;Completed")</f>
        <v/>
      </c>
      <c r="C27" s="27">
        <f>COUNTIFS('REMEDIATION PLAN'!D$2:D$102,A27,'REMEDIATION PLAN'!H$2:H$102,"High",'REMEDIATION PLAN'!K$2:K$102,"&lt;&gt;Completed")</f>
        <v/>
      </c>
      <c r="D27" s="27">
        <f>COUNTIFS('REMEDIATION PLAN'!D$2:D$102,A27,'REMEDIATION PLAN'!H$2:H$102,"Medium",'REMEDIATION PLAN'!K$2:K$102,"&lt;&gt;Completed")+COUNTIFS('REMEDIATION PLAN'!D$2:D$102,A27,'REMEDIATION PLAN'!H$2:H$102,"Low",'REMEDIATION PLAN'!K$2:K$102,"&lt;&gt;Completed")</f>
        <v/>
      </c>
    </row>
    <row r="28">
      <c r="A28" s="25" t="inlineStr">
        <is>
          <t>Hybrid + Multicloud</t>
        </is>
      </c>
      <c r="B28" s="29">
        <f>COUNTIFS('REMEDIATION PLAN'!D$2:D$102,A28,'REMEDIATION PLAN'!H$2:H$102,"Critical",'REMEDIATION PLAN'!K$2:K$102,"&lt;&gt;Completed")</f>
        <v/>
      </c>
      <c r="C28" s="29">
        <f>COUNTIFS('REMEDIATION PLAN'!D$2:D$102,A28,'REMEDIATION PLAN'!H$2:H$102,"High",'REMEDIATION PLAN'!K$2:K$102,"&lt;&gt;Completed")</f>
        <v/>
      </c>
      <c r="D28" s="29">
        <f>COUNTIFS('REMEDIATION PLAN'!D$2:D$102,A28,'REMEDIATION PLAN'!H$2:H$102,"Medium",'REMEDIATION PLAN'!K$2:K$102,"&lt;&gt;Completed")+COUNTIFS('REMEDIATION PLAN'!D$2:D$102,A28,'REMEDIATION PLAN'!H$2:H$102,"Low",'REMEDIATION PLAN'!K$2:K$102,"&lt;&gt;Completed")</f>
        <v/>
      </c>
    </row>
    <row r="29">
      <c r="A29" s="23" t="inlineStr">
        <is>
          <t>Identity</t>
        </is>
      </c>
      <c r="B29" s="27">
        <f>COUNTIFS('REMEDIATION PLAN'!D$2:D$102,A29,'REMEDIATION PLAN'!H$2:H$102,"Critical",'REMEDIATION PLAN'!K$2:K$102,"&lt;&gt;Completed")</f>
        <v/>
      </c>
      <c r="C29" s="27">
        <f>COUNTIFS('REMEDIATION PLAN'!D$2:D$102,A29,'REMEDIATION PLAN'!H$2:H$102,"High",'REMEDIATION PLAN'!K$2:K$102,"&lt;&gt;Completed")</f>
        <v/>
      </c>
      <c r="D29" s="27">
        <f>COUNTIFS('REMEDIATION PLAN'!D$2:D$102,A29,'REMEDIATION PLAN'!H$2:H$102,"Medium",'REMEDIATION PLAN'!K$2:K$102,"&lt;&gt;Completed")+COUNTIFS('REMEDIATION PLAN'!D$2:D$102,A29,'REMEDIATION PLAN'!H$2:H$102,"Low",'REMEDIATION PLAN'!K$2:K$102,"&lt;&gt;Completed")</f>
        <v/>
      </c>
    </row>
    <row r="30">
      <c r="A30" s="25" t="inlineStr">
        <is>
          <t>Management and Governance</t>
        </is>
      </c>
      <c r="B30" s="29">
        <f>COUNTIFS('REMEDIATION PLAN'!D$2:D$102,A30,'REMEDIATION PLAN'!H$2:H$102,"Critical",'REMEDIATION PLAN'!K$2:K$102,"&lt;&gt;Completed")</f>
        <v/>
      </c>
      <c r="C30" s="29">
        <f>COUNTIFS('REMEDIATION PLAN'!D$2:D$102,A30,'REMEDIATION PLAN'!H$2:H$102,"High",'REMEDIATION PLAN'!K$2:K$102,"&lt;&gt;Completed")</f>
        <v/>
      </c>
      <c r="D30" s="29">
        <f>COUNTIFS('REMEDIATION PLAN'!D$2:D$102,A30,'REMEDIATION PLAN'!H$2:H$102,"Medium",'REMEDIATION PLAN'!K$2:K$102,"&lt;&gt;Completed")+COUNTIFS('REMEDIATION PLAN'!D$2:D$102,A30,'REMEDIATION PLAN'!H$2:H$102,"Low",'REMEDIATION PLAN'!K$2:K$102,"&lt;&gt;Completed")</f>
        <v/>
      </c>
    </row>
    <row r="31">
      <c r="A31" s="23" t="inlineStr">
        <is>
          <t>Microsoft-Descoped</t>
        </is>
      </c>
      <c r="B31" s="27">
        <f>COUNTIFS('REMEDIATION PLAN'!D$2:D$102,A31,'REMEDIATION PLAN'!H$2:H$102,"Critical",'REMEDIATION PLAN'!K$2:K$102,"&lt;&gt;Completed")</f>
        <v/>
      </c>
      <c r="C31" s="27">
        <f>COUNTIFS('REMEDIATION PLAN'!D$2:D$102,A31,'REMEDIATION PLAN'!H$2:H$102,"High",'REMEDIATION PLAN'!K$2:K$102,"&lt;&gt;Completed")</f>
        <v/>
      </c>
      <c r="D31" s="27">
        <f>COUNTIFS('REMEDIATION PLAN'!D$2:D$102,A31,'REMEDIATION PLAN'!H$2:H$102,"Medium",'REMEDIATION PLAN'!K$2:K$102,"&lt;&gt;Completed")+COUNTIFS('REMEDIATION PLAN'!D$2:D$102,A31,'REMEDIATION PLAN'!H$2:H$102,"Low",'REMEDIATION PLAN'!K$2:K$102,"&lt;&gt;Completed")</f>
        <v/>
      </c>
    </row>
    <row r="32">
      <c r="A32" s="25" t="inlineStr">
        <is>
          <t>Networking</t>
        </is>
      </c>
      <c r="B32" s="29">
        <f>COUNTIFS('REMEDIATION PLAN'!D$2:D$102,A32,'REMEDIATION PLAN'!H$2:H$102,"Critical",'REMEDIATION PLAN'!K$2:K$102,"&lt;&gt;Completed")</f>
        <v/>
      </c>
      <c r="C32" s="29">
        <f>COUNTIFS('REMEDIATION PLAN'!D$2:D$102,A32,'REMEDIATION PLAN'!H$2:H$102,"High",'REMEDIATION PLAN'!K$2:K$102,"&lt;&gt;Completed")</f>
        <v/>
      </c>
      <c r="D32" s="29">
        <f>COUNTIFS('REMEDIATION PLAN'!D$2:D$102,A32,'REMEDIATION PLAN'!H$2:H$102,"Medium",'REMEDIATION PLAN'!K$2:K$102,"&lt;&gt;Completed")+COUNTIFS('REMEDIATION PLAN'!D$2:D$102,A32,'REMEDIATION PLAN'!H$2:H$102,"Low",'REMEDIATION PLAN'!K$2:K$102,"&lt;&gt;Completed")</f>
        <v/>
      </c>
    </row>
    <row r="33">
      <c r="A33" s="23" t="inlineStr">
        <is>
          <t>Palo Alto Firewalls</t>
        </is>
      </c>
      <c r="B33" s="27">
        <f>COUNTIFS('REMEDIATION PLAN'!D$2:D$102,A33,'REMEDIATION PLAN'!H$2:H$102,"Critical",'REMEDIATION PLAN'!K$2:K$102,"&lt;&gt;Completed")</f>
        <v/>
      </c>
      <c r="C33" s="27">
        <f>COUNTIFS('REMEDIATION PLAN'!D$2:D$102,A33,'REMEDIATION PLAN'!H$2:H$102,"High",'REMEDIATION PLAN'!K$2:K$102,"&lt;&gt;Completed")</f>
        <v/>
      </c>
      <c r="D33" s="27">
        <f>COUNTIFS('REMEDIATION PLAN'!D$2:D$102,A33,'REMEDIATION PLAN'!H$2:H$102,"Medium",'REMEDIATION PLAN'!K$2:K$102,"&lt;&gt;Completed")+COUNTIFS('REMEDIATION PLAN'!D$2:D$102,A33,'REMEDIATION PLAN'!H$2:H$102,"Low",'REMEDIATION PLAN'!K$2:K$102,"&lt;&gt;Completed")</f>
        <v/>
      </c>
    </row>
    <row r="34">
      <c r="A34" s="25" t="inlineStr">
        <is>
          <t>Panorama</t>
        </is>
      </c>
      <c r="B34" s="29">
        <f>COUNTIFS('REMEDIATION PLAN'!D$2:D$102,A34,'REMEDIATION PLAN'!H$2:H$102,"Critical",'REMEDIATION PLAN'!K$2:K$102,"&lt;&gt;Completed")</f>
        <v/>
      </c>
      <c r="C34" s="29">
        <f>COUNTIFS('REMEDIATION PLAN'!D$2:D$102,A34,'REMEDIATION PLAN'!H$2:H$102,"High",'REMEDIATION PLAN'!K$2:K$102,"&lt;&gt;Completed")</f>
        <v/>
      </c>
      <c r="D34" s="29">
        <f>COUNTIFS('REMEDIATION PLAN'!D$2:D$102,A34,'REMEDIATION PLAN'!H$2:H$102,"Medium",'REMEDIATION PLAN'!K$2:K$102,"&lt;&gt;Completed")+COUNTIFS('REMEDIATION PLAN'!D$2:D$102,A34,'REMEDIATION PLAN'!H$2:H$102,"Low",'REMEDIATION PLAN'!K$2:K$102,"&lt;&gt;Completed")</f>
        <v/>
      </c>
    </row>
    <row r="35">
      <c r="A35" s="23" t="inlineStr">
        <is>
          <t>Security</t>
        </is>
      </c>
      <c r="B35" s="27">
        <f>COUNTIFS('REMEDIATION PLAN'!D$2:D$102,A35,'REMEDIATION PLAN'!H$2:H$102,"Critical",'REMEDIATION PLAN'!K$2:K$102,"&lt;&gt;Completed")</f>
        <v/>
      </c>
      <c r="C35" s="27">
        <f>COUNTIFS('REMEDIATION PLAN'!D$2:D$102,A35,'REMEDIATION PLAN'!H$2:H$102,"High",'REMEDIATION PLAN'!K$2:K$102,"&lt;&gt;Completed")</f>
        <v/>
      </c>
      <c r="D35" s="27">
        <f>COUNTIFS('REMEDIATION PLAN'!D$2:D$102,A35,'REMEDIATION PLAN'!H$2:H$102,"Medium",'REMEDIATION PLAN'!K$2:K$102,"&lt;&gt;Completed")+COUNTIFS('REMEDIATION PLAN'!D$2:D$102,A35,'REMEDIATION PLAN'!H$2:H$102,"Low",'REMEDIATION PLAN'!K$2:K$102,"&lt;&gt;Completed")</f>
        <v/>
      </c>
    </row>
    <row r="36">
      <c r="A36" s="25" t="inlineStr">
        <is>
          <t>ServiceNow</t>
        </is>
      </c>
      <c r="B36" s="29">
        <f>COUNTIFS('REMEDIATION PLAN'!D$2:D$102,A36,'REMEDIATION PLAN'!H$2:H$102,"Critical",'REMEDIATION PLAN'!K$2:K$102,"&lt;&gt;Completed")</f>
        <v/>
      </c>
      <c r="C36" s="29">
        <f>COUNTIFS('REMEDIATION PLAN'!D$2:D$102,A36,'REMEDIATION PLAN'!H$2:H$102,"High",'REMEDIATION PLAN'!K$2:K$102,"&lt;&gt;Completed")</f>
        <v/>
      </c>
      <c r="D36" s="29">
        <f>COUNTIFS('REMEDIATION PLAN'!D$2:D$102,A36,'REMEDIATION PLAN'!H$2:H$102,"Medium",'REMEDIATION PLAN'!K$2:K$102,"&lt;&gt;Completed")+COUNTIFS('REMEDIATION PLAN'!D$2:D$102,A36,'REMEDIATION PLAN'!H$2:H$102,"Low",'REMEDIATION PLAN'!K$2:K$102,"&lt;&gt;Completed")</f>
        <v/>
      </c>
    </row>
    <row r="37">
      <c r="A37" s="23" t="inlineStr">
        <is>
          <t>Storage</t>
        </is>
      </c>
      <c r="B37" s="27">
        <f>COUNTIFS('REMEDIATION PLAN'!D$2:D$102,A37,'REMEDIATION PLAN'!H$2:H$102,"Critical",'REMEDIATION PLAN'!K$2:K$102,"&lt;&gt;Completed")</f>
        <v/>
      </c>
      <c r="C37" s="27">
        <f>COUNTIFS('REMEDIATION PLAN'!D$2:D$102,A37,'REMEDIATION PLAN'!H$2:H$102,"High",'REMEDIATION PLAN'!K$2:K$102,"&lt;&gt;Completed")</f>
        <v/>
      </c>
      <c r="D37" s="27">
        <f>COUNTIFS('REMEDIATION PLAN'!D$2:D$102,A37,'REMEDIATION PLAN'!H$2:H$102,"Medium",'REMEDIATION PLAN'!K$2:K$102,"&lt;&gt;Completed")+COUNTIFS('REMEDIATION PLAN'!D$2:D$102,A37,'REMEDIATION PLAN'!H$2:H$102,"Low",'REMEDIATION PLAN'!K$2:K$102,"&lt;&gt;Completed")</f>
        <v/>
      </c>
    </row>
    <row r="38">
      <c r="A38" s="25" t="inlineStr">
        <is>
          <t>Tenable Nessus</t>
        </is>
      </c>
      <c r="B38" s="29">
        <f>COUNTIFS('REMEDIATION PLAN'!D$2:D$102,A38,'REMEDIATION PLAN'!H$2:H$102,"Critical",'REMEDIATION PLAN'!K$2:K$102,"&lt;&gt;Completed")</f>
        <v/>
      </c>
      <c r="C38" s="29">
        <f>COUNTIFS('REMEDIATION PLAN'!D$2:D$102,A38,'REMEDIATION PLAN'!H$2:H$102,"High",'REMEDIATION PLAN'!K$2:K$102,"&lt;&gt;Completed")</f>
        <v/>
      </c>
      <c r="D38" s="29">
        <f>COUNTIFS('REMEDIATION PLAN'!D$2:D$102,A38,'REMEDIATION PLAN'!H$2:H$102,"Medium",'REMEDIATION PLAN'!K$2:K$102,"&lt;&gt;Completed")+COUNTIFS('REMEDIATION PLAN'!D$2:D$102,A38,'REMEDIATION PLAN'!H$2:H$102,"Low",'REMEDIATION PLAN'!K$2:K$102,"&lt;&gt;Completed")</f>
        <v/>
      </c>
    </row>
    <row r="39">
      <c r="A39" s="23" t="inlineStr">
        <is>
          <t>Tenable Security Centre+</t>
        </is>
      </c>
      <c r="B39" s="27">
        <f>COUNTIFS('REMEDIATION PLAN'!D$2:D$102,A39,'REMEDIATION PLAN'!H$2:H$102,"Critical",'REMEDIATION PLAN'!K$2:K$102,"&lt;&gt;Completed")</f>
        <v/>
      </c>
      <c r="C39" s="27">
        <f>COUNTIFS('REMEDIATION PLAN'!D$2:D$102,A39,'REMEDIATION PLAN'!H$2:H$102,"High",'REMEDIATION PLAN'!K$2:K$102,"&lt;&gt;Completed")</f>
        <v/>
      </c>
      <c r="D39" s="27">
        <f>COUNTIFS('REMEDIATION PLAN'!D$2:D$102,A39,'REMEDIATION PLAN'!H$2:H$102,"Medium",'REMEDIATION PLAN'!K$2:K$102,"&lt;&gt;Completed")+COUNTIFS('REMEDIATION PLAN'!D$2:D$102,A39,'REMEDIATION PLAN'!H$2:H$102,"Low",'REMEDIATION PLAN'!K$2:K$102,"&lt;&gt;Completed")</f>
        <v/>
      </c>
    </row>
    <row r="40">
      <c r="A40" s="25" t="inlineStr">
        <is>
          <t>Virtual Desktop Infrastructure</t>
        </is>
      </c>
      <c r="B40" s="29">
        <f>COUNTIFS('REMEDIATION PLAN'!D$2:D$102,A40,'REMEDIATION PLAN'!H$2:H$102,"Critical",'REMEDIATION PLAN'!K$2:K$102,"&lt;&gt;Completed")</f>
        <v/>
      </c>
      <c r="C40" s="29">
        <f>COUNTIFS('REMEDIATION PLAN'!D$2:D$102,A40,'REMEDIATION PLAN'!H$2:H$102,"High",'REMEDIATION PLAN'!K$2:K$102,"&lt;&gt;Completed")</f>
        <v/>
      </c>
      <c r="D40" s="29">
        <f>COUNTIFS('REMEDIATION PLAN'!D$2:D$102,A40,'REMEDIATION PLAN'!H$2:H$102,"Medium",'REMEDIATION PLAN'!K$2:K$102,"&lt;&gt;Completed")+COUNTIFS('REMEDIATION PLAN'!D$2:D$102,A40,'REMEDIATION PLAN'!H$2:H$102,"Low",'REMEDIATION PLAN'!K$2:K$102,"&lt;&gt;Completed")</f>
        <v/>
      </c>
    </row>
    <row r="41">
      <c r="A41" s="23" t="inlineStr">
        <is>
          <t>Web</t>
        </is>
      </c>
      <c r="B41" s="27">
        <f>COUNTIFS('REMEDIATION PLAN'!D$2:D$102,A41,'REMEDIATION PLAN'!H$2:H$102,"Critical",'REMEDIATION PLAN'!K$2:K$102,"&lt;&gt;Completed")</f>
        <v/>
      </c>
      <c r="C41" s="27">
        <f>COUNTIFS('REMEDIATION PLAN'!D$2:D$102,A41,'REMEDIATION PLAN'!H$2:H$102,"High",'REMEDIATION PLAN'!K$2:K$102,"&lt;&gt;Completed")</f>
        <v/>
      </c>
      <c r="D41" s="27">
        <f>COUNTIFS('REMEDIATION PLAN'!D$2:D$102,A41,'REMEDIATION PLAN'!H$2:H$102,"Medium",'REMEDIATION PLAN'!K$2:K$102,"&lt;&gt;Completed")+COUNTIFS('REMEDIATION PLAN'!D$2:D$102,A41,'REMEDIATION PLAN'!H$2:H$102,"Low",'REMEDIATION PLAN'!K$2:K$102,"&lt;&gt;Completed")</f>
        <v/>
      </c>
    </row>
  </sheetData>
  <mergeCells count="1">
    <mergeCell ref="A1:E1"/>
  </mergeCells>
  <conditionalFormatting sqref="B21:B41">
    <cfRule type="expression" priority="1" dxfId="6">
      <formula>B21&gt;0</formula>
    </cfRule>
  </conditionalFormatting>
  <conditionalFormatting sqref="C21:C41">
    <cfRule type="expression" priority="2" dxfId="7">
      <formula>C21&gt;0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2026-07-10T17:20:35Z</dcterms:created>
  <dcterms:modified xmlns:dcterms="http://purl.org/dc/terms/" xmlns:xsi="http://www.w3.org/2001/XMLSchema-instance" xsi:type="dcterms:W3CDTF">2026-07-10T17:30:22Z</dcterms:modified>
</cp:coreProperties>
</file>