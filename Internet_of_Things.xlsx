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C-6" sheetId="3" state="visible" r:id="rId5"/>
    <sheet name="AC-6-1" sheetId="4" state="visible" r:id="rId6"/>
    <sheet name="AU-2" sheetId="5" state="visible" r:id="rId7"/>
    <sheet name="AU-3" sheetId="6" state="visible" r:id="rId8"/>
    <sheet name="AU-3-1" sheetId="7" state="visible" r:id="rId9"/>
    <sheet name="AU-9-2" sheetId="8" state="visible" r:id="rId10"/>
    <sheet name="AU-12" sheetId="9" state="visible" r:id="rId11"/>
    <sheet name="CM-6" sheetId="10" state="visible" r:id="rId12"/>
    <sheet name="CM-7" sheetId="11" state="visible" r:id="rId13"/>
    <sheet name="CM-7-1" sheetId="12" state="visible" r:id="rId14"/>
    <sheet name="CP-7" sheetId="13" state="visible" r:id="rId15"/>
    <sheet name="CP-7-4" sheetId="14" state="visible" r:id="rId16"/>
    <sheet name="CP-10" sheetId="15" state="visible" r:id="rId17"/>
    <sheet name="CP-10-4" sheetId="16" state="visible" r:id="rId18"/>
    <sheet name="IA-5-7" sheetId="17" state="visible" r:id="rId19"/>
    <sheet name="SA-9-5" sheetId="18" state="visible" r:id="rId20"/>
    <sheet name="SC-13" sheetId="19" state="visible" r:id="rId21"/>
    <sheet name="SC-18" sheetId="20" state="visible" r:id="rId22"/>
    <sheet name="SC-28-1" sheetId="21" state="visible" r:id="rId23"/>
    <sheet name="SI-4-2" sheetId="22" state="visible" r:id="rId24"/>
    <sheet name="SI-6"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<sst xmlns="http://schemas.openxmlformats.org/spreadsheetml/2006/main" count="1378" uniqueCount="282">
  <si>
    <t xml:space="preserve">DASHBOARD — PBMM Evidence: Internet of Things</t>
  </si>
  <si>
    <t xml:space="preserve">Control ID</t>
  </si>
  <si>
    <t xml:space="preserve">Control Name</t>
  </si>
  <si>
    <t xml:space="preserve">Primary Tool</t>
  </si>
  <si>
    <t xml:space="preserve">Tab</t>
  </si>
  <si>
    <t xml:space="preserve">Status</t>
  </si>
  <si>
    <t xml:space="preserve">AC-6</t>
  </si>
  <si>
    <t xml:space="preserve">Least Privilege</t>
  </si>
  <si>
    <t xml:space="preserve">AC-6(1)</t>
  </si>
  <si>
    <t xml:space="preserve">AC-6-1</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</si>
  <si>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</si>
  <si>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</si>
  <si>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</si>
  <si>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</si>
  <si>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</si>
  <si>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</si>
  <si>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</si>
  <si>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</si>
  <si>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</si>
  <si>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</si>
  <si>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</si>
  <si>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CM-6</t>
  </si>
  <si>
    <t xml:space="preserve">Configuration Settings</t>
  </si>
  <si>
    <t xml:space="preserve">CM-7</t>
  </si>
  <si>
    <t xml:space="preserve">Least Functionality</t>
  </si>
  <si>
    <t xml:space="preserve">CM-7(1)</t>
  </si>
  <si>
    <t xml:space="preserve">CM-7-1</t>
  </si>
  <si>
    <t xml:space="preserve">CP-7</t>
  </si>
  <si>
    <t xml:space="preserve">Alternate Processing Site</t>
  </si>
  <si>
    <t xml:space="preserve">CP-7(4)</t>
  </si>
  <si>
    <t xml:space="preserve">CP-7-4</t>
  </si>
  <si>
    <t xml:space="preserve">CP-10</t>
  </si>
  <si>
    <t xml:space="preserve">Information System Recovery and Reconstitution</t>
  </si>
  <si>
    <t xml:space="preserve">CP-10(4)</t>
  </si>
  <si>
    <t xml:space="preserve">CP-10-4</t>
  </si>
  <si>
    <t xml:space="preserve">IA-5(7)</t>
  </si>
  <si>
    <t xml:space="preserve">Authenticator Management</t>
  </si>
  <si>
    <t xml:space="preserve">IA-5-7</t>
  </si>
  <si>
    <t xml:space="preserve">SA-9(5)</t>
  </si>
  <si>
    <t xml:space="preserve">External Information System Services</t>
  </si>
  <si>
    <t xml:space="preserve">SA-9-5</t>
  </si>
  <si>
    <t xml:space="preserve">SC-13</t>
  </si>
  <si>
    <t xml:space="preserve">Cryptographic Protection</t>
  </si>
  <si>
    <t xml:space="preserve">SC-18</t>
  </si>
  <si>
    <t xml:space="preserve">Mobile Code</t>
  </si>
  <si>
    <t xml:space="preserve">SC-28(1)</t>
  </si>
  <si>
    <t xml:space="preserve">Protection of Information At Rest</t>
  </si>
  <si>
    <t xml:space="preserve">SC-28-1</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</si>
  <si>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</si>
  <si>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</si>
  <si>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</si>
  <si>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</si>
  <si>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</si>
  <si>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</si>
  <si>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</si>
  <si>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</si>
  <si>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</si>
  <si>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</si>
  <si>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</si>
  <si>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</si>
  <si>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</si>
  <si>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</si>
  <si>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</si>
  <si>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</si>
  <si>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Internet of Things</t>
  </si>
  <si>
    <t xml:space="preserve">ID Contrôle</t>
  </si>
  <si>
    <t xml:space="preserve">Nom du contrôle</t>
  </si>
  <si>
    <t xml:space="preserve">Outil principal</t>
  </si>
  <si>
    <t xml:space="preserve">Onglet</t>
  </si>
  <si>
    <t xml:space="preserve">Statut</t>
  </si>
  <si>
    <t xml:space="preserve">Moindre privilège</t>
  </si>
  <si>
    <t xml:space="preserve">Événements vérifiables</t>
  </si>
  <si>
    <t xml:space="preserve">Contenu des enregistrements de vérification</t>
  </si>
  <si>
    <t xml:space="preserve">Protection des renseignements de vérification</t>
  </si>
  <si>
    <t xml:space="preserve">Génération des vérifications</t>
  </si>
  <si>
    <t xml:space="preserve">Paramètres de configuration</t>
  </si>
  <si>
    <t xml:space="preserve">Moindre fonctionnalité</t>
  </si>
  <si>
    <t xml:space="preserve">Site de traitement auxiliaire</t>
  </si>
  <si>
    <t xml:space="preserve">Reprise et reconstitution du système d’information</t>
  </si>
  <si>
    <t xml:space="preserve">Gestion des authentifiants</t>
  </si>
  <si>
    <t xml:space="preserve">Services de systèmes d’information externes</t>
  </si>
  <si>
    <t xml:space="preserve">Protection cryptographique</t>
  </si>
  <si>
    <t xml:space="preserve">Code mobile</t>
  </si>
  <si>
    <t xml:space="preserve">Protection de l’information inactive</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</si>
  <si>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</si>
  <si>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</si>
  <si>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</si>
  <si>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</si>
  <si>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</si>
  <si>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</si>
  <si>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</si>
  <si>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</si>
  <si>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</si>
  <si>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</si>
  <si>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</si>
  <si>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</si>
  <si>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</si>
  <si>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AC-6 — Evidence Tracking</t>
  </si>
  <si>
    <t xml:space="preserve">Contrôle AC-6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</si>
  <si>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</si>
  <si>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</si>
  <si>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</si>
  <si>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</si>
  <si>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</si>
  <si>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</si>
  <si>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</si>
  <si>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</si>
  <si>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</si>
  <si>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</si>
  <si>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</si>
  <si>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</si>
  <si>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</si>
  <si>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</si>
  <si>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</si>
  <si>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employs the principle of least privilege, allowing only authorized accesses for users (or processes acting on behalf of users) which are necessary to accomplish assigned tasks in accordance with organizational missions and business functions.</t>
  </si>
  <si>
    <t xml:space="preserve">Description du contrôle</t>
  </si>
  <si>
    <t xml:space="preserve">(A) L’organisation utilise le principe du moindre privilège, qui permet seulement les accès autorisés aux utilisateurs (ou aux processus qui agissent pour le compte des utilisateurs) qui sont nécessaires pour accomplir les tâches assignées conformément aux missions et aux fonctions opérationnelles de l’organisation.</t>
  </si>
  <si>
    <t xml:space="preserve">Supplemental Guidance</t>
  </si>
  <si>
    <t xml:space="preserve">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</si>
  <si>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 xml:space="preserve">Directives supplémentaires</t>
  </si>
  <si>
    <t xml:space="preserve">Les organisations utilisent le moindre privilège pour certaines tâches et certains systèmes d’information. Le principe du moindre privilège s’applique également aux processus du système d’information, ce qui fait en sorte que les processus ne fonctionnent pas à des niveaux de privilège plus élevés que nécessaire pour accomplir les missions et les fonctions opérationnelles requises de l’organisation. Les organisations envisagent la création de processus, de rôles et de comptes de système d’information supplémentaires lorsque nécessaire, pour obtenir le moindre privilège. Les organisations appliquent également le moindre privilège au développement, à la mise en œuvre et à l’exploitation de leurs systèmes d’information. Contrôles connexes : AC-2, AC-3, AC-5, CM-6, CM-7, PL-2</t>
  </si>
  <si>
    <t xml:space="preserve">Test Case</t>
  </si>
  <si>
    <t xml:space="preserve">Cas de test</t>
  </si>
  <si>
    <t xml:space="preserve">Test</t>
  </si>
  <si>
    <t xml:space="preserve">TEST-AC-6</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</si>
  <si>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</si>
  <si>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</si>
  <si>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</si>
  <si>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</si>
  <si>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</si>
  <si>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</si>
  <si>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</si>
  <si>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</si>
  <si>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</si>
  <si>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</si>
  <si>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</si>
  <si>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</si>
  <si>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</si>
  <si>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</si>
  <si>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</si>
  <si>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</si>
  <si>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</si>
  <si>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AC-6(1) — Evidence Tracking</t>
  </si>
  <si>
    <t xml:space="preserve">Contrôle AC-6(1) — Suivi des preuves</t>
  </si>
  <si>
    <t xml:space="preserve">LEAST PRIVILEGE | AUTHORIZE ACCESS TO SECURITY FUNCTIONS
The organization explicitly authorizes access to all security functions not publicly accessible and all security-relevant information not publicly available.</t>
  </si>
  <si>
    <t xml:space="preserve">MOINDRE PRIVILÈGE | AUTORISATION D’ACCÈS AUX FONCTIONS DE SÉCURITÉ
L’organisation autorise explicitement l’accès à toutes les fonctions de sécurité qui ne sont pas accessibles au public et à toute l’information pertinente à la sécurité qui n’est pas accessible au public.</t>
  </si>
  <si>
    <t xml:space="preserve">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</si>
  <si>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 xml:space="preserve">Les fonctions de sécurité comprennent, par exemple, l’établissement des comptes système, la configuration des autorisations d’accès (c.-à-d. les permissions, les privilèges), le réglage des événements à vérifier, et l’établissement des paramètres de détection des intrusions. Les renseignements pertinents pour la sécurité comprennent, par exemple, les règles de filtrage pour les routeurs/pare-feu, l’information de gestion des clés cryptographiques, les paramètres de configuration pour les services de sécurité et les listes de contrôle d’accès. Le personnel explicitement autorisé comprend, par exemple, les administrateurs de la sécurité, les administrateurs de systèmes et de réseaux, les agents de sécurité des systèmes, le personnel de maintenance des systèmes, les programmeurs de systèmes et d’autres utilisateurs privilégiés. Contrôles connexes : AC-17, AC-18, AC-19.</t>
  </si>
  <si>
    <t xml:space="preserve">TEST-AC-6(1)</t>
  </si>
  <si>
    <t xml:space="preserve">Control AU-2 — Evidence Tracking</t>
  </si>
  <si>
    <t xml:space="preserve">Contrôle AU-2 — Suivi des preuves</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</si>
  <si>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</si>
  <si>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</si>
  <si>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</si>
  <si>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</si>
  <si>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TEST-AU-2</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</si>
  <si>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</si>
  <si>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</si>
  <si>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</si>
  <si>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</si>
  <si>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</si>
  <si>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</si>
  <si>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</si>
  <si>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</si>
  <si>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</si>
  <si>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</si>
  <si>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</si>
  <si>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</si>
  <si>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</si>
  <si>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</si>
  <si>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</si>
  <si>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</si>
  <si>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</si>
  <si>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</si>
  <si>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</si>
  <si>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</si>
  <si>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</si>
  <si>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</si>
  <si>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</si>
  <si>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</si>
  <si>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</si>
  <si>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</si>
  <si>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</si>
  <si>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</si>
  <si>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</si>
  <si>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</si>
  <si>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</si>
  <si>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</si>
  <si>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</si>
  <si>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</si>
  <si>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</si>
  <si>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</si>
  <si>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</si>
  <si>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</si>
  <si>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</si>
  <si>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</si>
  <si>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</si>
  <si>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</si>
  <si>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</si>
  <si>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</si>
  <si>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</si>
  <si>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</si>
  <si>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</si>
  <si>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</si>
  <si>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</si>
  <si>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</si>
  <si>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</si>
  <si>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</si>
  <si>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</si>
  <si>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</si>
  <si>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</si>
  <si>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</si>
  <si>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</si>
  <si>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</si>
  <si>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</si>
  <si>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</si>
  <si>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</si>
  <si>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</si>
  <si>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</si>
  <si>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</si>
  <si>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</si>
  <si>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</si>
  <si>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</si>
  <si>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</si>
  <si>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</si>
  <si>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</si>
  <si>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</si>
  <si>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</si>
  <si>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</si>
  <si>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</si>
  <si>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</si>
  <si>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</si>
  <si>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</si>
  <si>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IA-5(7) — Evidence Tracking</t>
  </si>
  <si>
    <t xml:space="preserve">Contrôle IA-5(7) — Suivi des preuves</t>
  </si>
  <si>
    <t xml:space="preserve">AUTHENTICATOR MANAGEMENT | NO EMBEDDED UNENCRYPTED STATIC AUTHENTICATORS
The organization ensures that unencrypted static authenticators are not embedded in applications or access scripts or stored on function keys.</t>
  </si>
  <si>
    <t xml:space="preserve">GESTION DES AUTHENTIFIANTS | AUCUN AUTHENTIFIANT STATIQUE INTÉGRÉ NON CHIFFRÉ
L’organisation veille à ce que les authentifiants statiques non chiffrés ne soient pas intégrés dans les applications ou les scripts d’accès ou stockés sur les clés de fonction.</t>
  </si>
  <si>
    <t xml:space="preserve">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</si>
  <si>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 xml:space="preserve">Les organisations usent de prudence lorsqu’il s’agit de déterminer si les authentifiants intégrés ou stockés sont chiffrés ou non chiffrés. Si les authentifiants sont utilisés sous leur forme stockée, ces représentations sont alors considérées comme étant des authentifiants non chiffrés. Cela n’a rien à voir avec le fait que cette représentation puisse être une version chiffrée de quelque chose d’autre (p. ex., un mot de passe).</t>
  </si>
  <si>
    <t xml:space="preserve">TEST-IA-5(7)</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</si>
  <si>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</si>
  <si>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</si>
  <si>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</si>
  <si>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</si>
  <si>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</si>
  <si>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</si>
  <si>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</si>
  <si>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SC-13 — Evidence Tracking</t>
  </si>
  <si>
    <t xml:space="preserve">Contrôle SC-13 — Suivi des preuves</t>
  </si>
  <si>
    <t xml:space="preserve">(A)
The information system implements CSE approved cryptography in accordance with applicable organizational policies, directives and standards.</t>
  </si>
  <si>
    <t xml:space="preserve">(A) Le système d’information met en œuvre la cryptographie approuvée par le CST conformément aux politiques, aux directives et aux normes organisationnelles applicables.</t>
  </si>
  <si>
    <t xml:space="preserve">Cryptography can be employed to support a variety of security solutions including, for example, the protection of sensitive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This control does not impose any requirements on organizations to use cryptography. However, if cryptography is required based on the selection of other security controls or policies, organizations document each type of cryptographic use and the type of cryptography required (e.g., protection of classified information: FIPS-validated cryptography). Related controls: AC-2, AC-3, AC-7, AC-17, AC-18, AU-9, AU-10, CM-11, CP-9, IA-3, IA-7, MA-4, MP-2, MP-4, MP-5, SA-4, SC-8, SC-12, SC-28, SI-7</t>
  </si>
  <si>
    <t xml:space="preserve">La cryptographie peut être utilisée pour la prise en charge d’une variété de solutions de sécurité, y compris, par exemple, la protection des renseignements de nature sensible, la fourniture de signatures numériques, et l’application de la séparation des renseignements lorsque les personnes autorisées ont les autorisations de sécurité nécessaires pour ces renseignements, mais qu’elles n’ont pas les autorisations d’accès officielles nécessaires. La cryptographie peut également être utilisée pour permettre la génération de nombres aléatoires et la génération de hachages. Les normes cryptographiques généralement applicables comprennent la cryptographie conforme aux normes FIPS. Ce contrôle n’oblige pas les organisations à utiliser la cryptographie. Toutefois, si la cryptographie est requise en fonction de la sélection d’autres contrôles ou politiques de sécurité, les organisations documentent chaque type d’utilisation cryptographique et le type de cryptographie requis (p. ex., protection de l’information classifiée : cryptographie conforme aux normes FIPS). Contrôles connexes : AC-2, AC-3, AC-7, AC-17, AC-18, AU-9, AU-10, CM-11, CP-9, IA-3, IA-7, MA-4, MP-2, MP-4, MP-5, SA-4, SC-8, SC-12, SC-28, SI-7</t>
  </si>
  <si>
    <t xml:space="preserve">TEST-SC-13</t>
  </si>
  <si>
    <t xml:space="preserve">Control SC-18 — Evidence Tracking</t>
  </si>
  <si>
    <t xml:space="preserve">Contrôle SC-18 — Suivi des preuves</t>
  </si>
  <si>
    <t xml:space="preserve">(A)
The organization defines acceptable and unacceptable mobile code and mobile code technologies.
(B)
The organization establishes usage restrictions and implementation guidance for acceptable mobile code and mobile code technologies.
(C)
The organization authorizes, monitors, and controls the use of mobile code within the information system.</t>
  </si>
  <si>
    <t xml:space="preserve">(A) L’organisation définit les codes mobiles et les technologies de codes mobiles acceptables et inacceptables.
(B) L’organisation établit des restrictions d’utilisation et des directives de mise en œuvre pour le code mobile et les technologies de code mobile acceptables.
(C) L’organisation autorise, surveille et contrôle l’utilisation du code mobile dans le système d’information.</t>
  </si>
  <si>
    <t xml:space="preserve">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</si>
  <si>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 xml:space="preserve">Les décisions concernant l’utilisation du code mobile dans les systèmes d’information de l’organisation sont basées sur le potentiel de dommages causés aux systèmes si le code est utilisé de façon malveillante. Les technologies de code mobile comprennent, par exemple, Java, JavaScript, ActiveX, Postcript, PDF, les films Shockwave, les animations Flash et VBScript. Les restrictions d’utilisation et les directives de mise en œuvre s’appliquent à la fois à la sélection et à l’utilisation du code mobile installé sur les serveurs et du code mobile téléchargé et exécuté sur des postes de travail et des appareils individuels (p. ex., téléphones intelligents). La politique et les procédures relatives au code mobile visent à prévenir l’élaboration, l’acquisition ou l’introduction de code mobile inacceptable dans les systèmes d’information de l’organisation. Contrôles connexes : AU-2, AU-12, CM-2, CM-6, SI-3</t>
  </si>
  <si>
    <t xml:space="preserve">TEST-SC-18</t>
  </si>
  <si>
    <t xml:space="preserve">Control SC-28(1) — Evidence Tracking</t>
  </si>
  <si>
    <t xml:space="preserve">Contrôle SC-28(1) — Suivi des preuves</t>
  </si>
  <si>
    <t xml:space="preserve">PROTECTION OF INFORMATION AT REST | CRYPTOGRAPHIC PROTECTION
The information system implements cryptographic mechanisms to prevent unauthorized disclosure and modification of all information not cleared for public release and all data with a higher than low integrity requirements.</t>
  </si>
  <si>
    <t xml:space="preserve">PROTECTION DE L’INFORMATION INACTIVE | PROTECTION CRYPTOGRAPHIQUE
Le système d’information met en œuvre des mécanismes cryptographiques pour prévenir la divulgation et la modification non autorisées de tous les renseignements dont la diffusion publique n’est pas autorisée et de toutes les données pour lesquelles les exigences d’intégrité ne sont pas faibles.</t>
  </si>
  <si>
    <t xml:space="preserve">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</si>
  <si>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 xml:space="preserve">Le choix des mécanismes cryptographiques est fonction du besoin de protection de la confidentialité et de l’intégrité de l’information de l’organisation. La force du mécanisme est proportionnelle à la catégorie de sécurité ou à la classification de l’information. Cette amélioration du contrôle s’applique aux concentrations importantes de supports numériques dans les zones de l’organisation qui sont désignées pour le stockage des supports, et également aux quantités limitées de supports généralement associés aux composants de systèmes d’information dans les environnements opérationnels (p. ex., dispositifs de stockage portatifs, appareils mobiles). Les organisations ont la possibilité de chiffrer toute l’information sur les dispositifs de stockage (c.-à-d. le chiffrement complet du disque) ou de chiffrer des structures de données particulières (p. ex., fichiers, enregistrements ou champs). Les organisations qui utilisent des mécanismes cryptographiques pour protéger l’information inactive envisagent également des solutions de gestion des clés cryptographiques. Contrôles connexes : AC-19, SC-12.</t>
  </si>
  <si>
    <t xml:space="preserve">TEST-SC-28(1)</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</si>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</sst>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'AC-6'!B20</f>
        <v>Not Started</v>
      </c>
    </row>
    <row r="4" customFormat="false" ht="18" hidden="false" customHeight="true" outlineLevel="0" collapsed="false">
      <c r="A4" s="3" t="s">
        <v>8</v>
      </c>
      <c r="B4" s="4" t="s">
        <v>7</v>
      </c>
      <c r="C4" s="4"/>
      <c r="D4" s="3" t="s">
        <v>9</v>
      </c>
      <c r="E4" s="3" t="str">
        <f aca="false">'AC-6-1'!B20</f>
        <v>Not Started</v>
      </c>
    </row>
    <row r="5" customFormat="false" ht="18" hidden="false" customHeight="true" outlineLevel="0" collapsed="false">
      <c r="A5" s="3" t="s">
        <v>10</v>
      </c>
      <c r="B5" s="4" t="s">
        <v>11</v>
      </c>
      <c r="C5" s="4"/>
      <c r="D5" s="3" t="s">
        <v>10</v>
      </c>
      <c r="E5" s="3" t="str">
        <f aca="false">'AU-2'!B20</f>
        <v>Not Started</v>
      </c>
    </row>
    <row r="6" customFormat="false" ht="18" hidden="false" customHeight="true" outlineLevel="0" collapsed="false">
      <c r="A6" s="3" t="s">
        <v>12</v>
      </c>
      <c r="B6" s="4" t="s">
        <v>13</v>
      </c>
      <c r="C6" s="4"/>
      <c r="D6" s="3" t="s">
        <v>12</v>
      </c>
      <c r="E6" s="3" t="str">
        <f aca="false">'AU-3'!B20</f>
        <v>Not Started</v>
      </c>
    </row>
    <row r="7" customFormat="false" ht="18" hidden="false" customHeight="true" outlineLevel="0" collapsed="false">
      <c r="A7" s="3" t="s">
        <v>14</v>
      </c>
      <c r="B7" s="4" t="s">
        <v>13</v>
      </c>
      <c r="C7" s="4"/>
      <c r="D7" s="3" t="s">
        <v>15</v>
      </c>
      <c r="E7" s="3" t="str">
        <f aca="false">'AU-3-1'!B20</f>
        <v>Not Started</v>
      </c>
    </row>
    <row r="8" customFormat="false" ht="18" hidden="false" customHeight="true" outlineLevel="0" collapsed="false">
      <c r="A8" s="3" t="s">
        <v>16</v>
      </c>
      <c r="B8" s="4" t="s">
        <v>17</v>
      </c>
      <c r="C8" s="4"/>
      <c r="D8" s="3" t="s">
        <v>18</v>
      </c>
      <c r="E8" s="3" t="str">
        <f aca="false">'AU-9-2'!B20</f>
        <v>Not Started</v>
      </c>
    </row>
    <row r="9" customFormat="false" ht="18" hidden="false" customHeight="true" outlineLevel="0" collapsed="false">
      <c r="A9" s="3" t="s">
        <v>19</v>
      </c>
      <c r="B9" s="4" t="s">
        <v>20</v>
      </c>
      <c r="C9" s="4"/>
      <c r="D9" s="3" t="s">
        <v>19</v>
      </c>
      <c r="E9" s="3" t="str">
        <f aca="false">'AU-12'!B20</f>
        <v>Not Started</v>
      </c>
    </row>
    <row r="10" customFormat="false" ht="18" hidden="false" customHeight="true" outlineLevel="0" collapsed="false">
      <c r="A10" s="3" t="s">
        <v>21</v>
      </c>
      <c r="B10" s="4" t="s">
        <v>22</v>
      </c>
      <c r="C10" s="4"/>
      <c r="D10" s="3" t="s">
        <v>21</v>
      </c>
      <c r="E10" s="3" t="str">
        <f aca="false">'CM-6'!B20</f>
        <v>Not Started</v>
      </c>
    </row>
    <row r="11" customFormat="false" ht="18" hidden="false" customHeight="true" outlineLevel="0" collapsed="false">
      <c r="A11" s="3" t="s">
        <v>23</v>
      </c>
      <c r="B11" s="4" t="s">
        <v>24</v>
      </c>
      <c r="C11" s="4"/>
      <c r="D11" s="3" t="s">
        <v>23</v>
      </c>
      <c r="E11" s="3" t="str">
        <f aca="false">'CM-7'!B20</f>
        <v>Not Started</v>
      </c>
    </row>
    <row r="12" customFormat="false" ht="18" hidden="false" customHeight="true" outlineLevel="0" collapsed="false">
      <c r="A12" s="3" t="s">
        <v>25</v>
      </c>
      <c r="B12" s="4" t="s">
        <v>24</v>
      </c>
      <c r="C12" s="4"/>
      <c r="D12" s="3" t="s">
        <v>26</v>
      </c>
      <c r="E12" s="3" t="str">
        <f aca="false">'CM-7-1'!B20</f>
        <v>Not Started</v>
      </c>
    </row>
    <row r="13" customFormat="false" ht="18" hidden="false" customHeight="true" outlineLevel="0" collapsed="false">
      <c r="A13" s="3" t="s">
        <v>27</v>
      </c>
      <c r="B13" s="4" t="s">
        <v>28</v>
      </c>
      <c r="C13" s="4"/>
      <c r="D13" s="3" t="s">
        <v>27</v>
      </c>
      <c r="E13" s="3" t="str">
        <f aca="false">'CP-7'!B20</f>
        <v>Not Started</v>
      </c>
    </row>
    <row r="14" customFormat="false" ht="18" hidden="false" customHeight="true" outlineLevel="0" collapsed="false">
      <c r="A14" s="3" t="s">
        <v>29</v>
      </c>
      <c r="B14" s="4" t="s">
        <v>28</v>
      </c>
      <c r="C14" s="4"/>
      <c r="D14" s="3" t="s">
        <v>30</v>
      </c>
      <c r="E14" s="3" t="str">
        <f aca="false">'CP-7-4'!B20</f>
        <v>Not Started</v>
      </c>
    </row>
    <row r="15" customFormat="false" ht="18" hidden="false" customHeight="true" outlineLevel="0" collapsed="false">
      <c r="A15" s="3" t="s">
        <v>31</v>
      </c>
      <c r="B15" s="4" t="s">
        <v>32</v>
      </c>
      <c r="C15" s="4"/>
      <c r="D15" s="3" t="s">
        <v>31</v>
      </c>
      <c r="E15" s="3" t="str">
        <f aca="false">'CP-10'!B20</f>
        <v>Not Started</v>
      </c>
    </row>
    <row r="16" customFormat="false" ht="18" hidden="false" customHeight="true" outlineLevel="0" collapsed="false">
      <c r="A16" s="3" t="s">
        <v>33</v>
      </c>
      <c r="B16" s="4" t="s">
        <v>32</v>
      </c>
      <c r="C16" s="4"/>
      <c r="D16" s="3" t="s">
        <v>34</v>
      </c>
      <c r="E16" s="3" t="str">
        <f aca="false">'CP-10-4'!B20</f>
        <v>Not Started</v>
      </c>
    </row>
    <row r="17" customFormat="false" ht="18" hidden="false" customHeight="true" outlineLevel="0" collapsed="false">
      <c r="A17" s="3" t="s">
        <v>35</v>
      </c>
      <c r="B17" s="4" t="s">
        <v>36</v>
      </c>
      <c r="C17" s="4"/>
      <c r="D17" s="3" t="s">
        <v>37</v>
      </c>
      <c r="E17" s="3" t="str">
        <f aca="false">'IA-5-7'!B20</f>
        <v>Not Started</v>
      </c>
    </row>
    <row r="18" customFormat="false" ht="18" hidden="false" customHeight="true" outlineLevel="0" collapsed="false">
      <c r="A18" s="3" t="s">
        <v>38</v>
      </c>
      <c r="B18" s="4" t="s">
        <v>39</v>
      </c>
      <c r="C18" s="4"/>
      <c r="D18" s="3" t="s">
        <v>40</v>
      </c>
      <c r="E18" s="3" t="str">
        <f aca="false">'SA-9-5'!B20</f>
        <v>Not Started</v>
      </c>
    </row>
    <row r="19" customFormat="false" ht="18" hidden="false" customHeight="true" outlineLevel="0" collapsed="false">
      <c r="A19" s="3" t="s">
        <v>41</v>
      </c>
      <c r="B19" s="4" t="s">
        <v>42</v>
      </c>
      <c r="C19" s="4"/>
      <c r="D19" s="3" t="s">
        <v>41</v>
      </c>
      <c r="E19" s="3" t="str">
        <f aca="false">'SC-13'!B20</f>
        <v>Not Started</v>
      </c>
    </row>
    <row r="20" customFormat="false" ht="18" hidden="false" customHeight="true" outlineLevel="0" collapsed="false">
      <c r="A20" s="3" t="s">
        <v>43</v>
      </c>
      <c r="B20" s="4" t="s">
        <v>44</v>
      </c>
      <c r="C20" s="4"/>
      <c r="D20" s="3" t="s">
        <v>43</v>
      </c>
      <c r="E20" s="3" t="str">
        <f aca="false">'SC-18'!B20</f>
        <v>Not Started</v>
      </c>
    </row>
    <row r="21" customFormat="false" ht="18" hidden="false" customHeight="true" outlineLevel="0" collapsed="false">
      <c r="A21" s="3" t="s">
        <v>45</v>
      </c>
      <c r="B21" s="4" t="s">
        <v>46</v>
      </c>
      <c r="C21" s="4"/>
      <c r="D21" s="3" t="s">
        <v>47</v>
      </c>
      <c r="E21" s="3" t="str">
        <f aca="false">'SC-28-1'!B20</f>
        <v>Not Started</v>
      </c>
    </row>
    <row r="22" customFormat="false" ht="18" hidden="false" customHeight="true" outlineLevel="0" collapsed="false">
      <c r="A22" s="3" t="s">
        <v>48</v>
      </c>
      <c r="B22" s="4" t="s">
        <v>49</v>
      </c>
      <c r="C22" s="4"/>
      <c r="D22" s="3" t="s">
        <v>50</v>
      </c>
      <c r="E22" s="3" t="str">
        <f aca="false">'SI-4-2'!B20</f>
        <v>Not Started</v>
      </c>
    </row>
    <row r="23" customFormat="false" ht="18" hidden="false" customHeight="true" outlineLevel="0" collapsed="false">
      <c r="A23" s="3" t="s">
        <v>51</v>
      </c>
      <c r="B23" s="4" t="s">
        <v>52</v>
      </c>
      <c r="C23" s="4"/>
      <c r="D23" s="3" t="s">
        <v>51</v>
      </c>
      <c r="E23" s="3" t="str">
        <f aca="false">'SI-6'!B20</f>
        <v>Not Started</v>
      </c>
    </row>
    <row r="25" customFormat="false" ht="21.75" hidden="false" customHeight="true" outlineLevel="0" collapsed="false">
      <c r="A25" s="5" t="s">
        <v>53</v>
      </c>
      <c r="B25" s="5"/>
      <c r="C25" s="5"/>
      <c r="D25" s="5"/>
      <c r="E25" s="5"/>
    </row>
    <row r="26" customFormat="false" ht="19.5" hidden="false" customHeight="true" outlineLevel="0" collapsed="false">
      <c r="A26" s="6" t="s">
        <v>54</v>
      </c>
      <c r="B26" s="6"/>
      <c r="C26" s="6"/>
      <c r="D26" s="6"/>
      <c r="E26" s="7" t="n">
        <f aca="false">21</f>
        <v>21</v>
      </c>
    </row>
    <row r="27" customFormat="false" ht="19.5" hidden="false" customHeight="true" outlineLevel="0" collapsed="false">
      <c r="A27" s="6" t="s">
        <v>55</v>
      </c>
      <c r="B27" s="6"/>
      <c r="C27" s="6"/>
      <c r="D27" s="6"/>
      <c r="E27" s="7" t="n">
        <f aca="false">COUNTIF(E3:E23,"Not Started")</f>
        <v>21</v>
      </c>
    </row>
    <row r="28" customFormat="false" ht="19.5" hidden="false" customHeight="true" outlineLevel="0" collapsed="false">
      <c r="A28" s="6" t="s">
        <v>56</v>
      </c>
      <c r="B28" s="6"/>
      <c r="C28" s="6"/>
      <c r="D28" s="6"/>
      <c r="E28" s="7" t="n">
        <f aca="false">COUNTIF(E3:E23,"In Progress")</f>
        <v>0</v>
      </c>
    </row>
    <row r="29" customFormat="false" ht="19.5" hidden="false" customHeight="true" outlineLevel="0" collapsed="false">
      <c r="A29" s="6" t="s">
        <v>57</v>
      </c>
      <c r="B29" s="6"/>
      <c r="C29" s="6"/>
      <c r="D29" s="6"/>
      <c r="E29" s="7" t="n">
        <f aca="false">COUNTIF(E3:E23,"Evidence Provided")</f>
        <v>0</v>
      </c>
    </row>
    <row r="30" customFormat="false" ht="19.5" hidden="false" customHeight="true" outlineLevel="0" collapsed="false">
      <c r="A30" s="6" t="s">
        <v>58</v>
      </c>
      <c r="B30" s="6"/>
      <c r="C30" s="6"/>
      <c r="D30" s="6"/>
      <c r="E30" s="7" t="n">
        <f aca="false">COUNTIF(E3:E23,"Under Review")</f>
        <v>0</v>
      </c>
    </row>
    <row r="31" customFormat="false" ht="19.5" hidden="false" customHeight="true" outlineLevel="0" collapsed="false">
      <c r="A31" s="6" t="s">
        <v>59</v>
      </c>
      <c r="B31" s="6"/>
      <c r="C31" s="6"/>
      <c r="D31" s="6"/>
      <c r="E31" s="7" t="n">
        <f aca="false">COUNTIF(E3:E23,"Passed")</f>
        <v>0</v>
      </c>
    </row>
    <row r="32" customFormat="false" ht="19.5" hidden="false" customHeight="true" outlineLevel="0" collapsed="false">
      <c r="A32" s="6" t="s">
        <v>60</v>
      </c>
      <c r="B32" s="6"/>
      <c r="C32" s="6"/>
      <c r="D32" s="6"/>
      <c r="E32" s="7" t="n">
        <f aca="false">COUNTIF(E3:E23,"Failed")</f>
        <v>0</v>
      </c>
    </row>
    <row r="33" customFormat="false" ht="19.5" hidden="false" customHeight="true" outlineLevel="0" collapsed="false">
      <c r="A33" s="6" t="s">
        <v>61</v>
      </c>
      <c r="B33" s="6"/>
      <c r="C33" s="6"/>
      <c r="D33" s="6"/>
      <c r="E33" s="7" t="n">
        <f aca="false">COUNTIF(E3:E23,"Accepted Exception")</f>
        <v>0</v>
      </c>
    </row>
    <row r="34" customFormat="false" ht="19.5" hidden="false" customHeight="true" outlineLevel="0" collapsed="false">
      <c r="A34" s="6" t="s">
        <v>62</v>
      </c>
      <c r="B34" s="6"/>
      <c r="C34" s="6"/>
      <c r="D34" s="6"/>
      <c r="E34" s="8" t="n">
        <f aca="false">IFERROR(COUNTIF(E3:E23,"Passed")/21,0)</f>
        <v>0</v>
      </c>
    </row>
    <row r="35" customFormat="false" ht="19.5" hidden="false" customHeight="true" outlineLevel="0" collapsed="false">
      <c r="A35" s="6" t="s">
        <v>63</v>
      </c>
      <c r="B35" s="6"/>
      <c r="C35" s="6"/>
      <c r="D35" s="6"/>
      <c r="E35" s="8" t="n">
        <f aca="false">IFERROR(COUNTIF(E3:E23,"Not Started")/21,0)</f>
        <v>1</v>
      </c>
    </row>
  </sheetData>
  <mergeCells count="12">
    <mergeCell ref="A1:E1"/>
    <mergeCell ref="A25:E25"/>
    <mergeCell ref="A26:D26"/>
    <mergeCell ref="A27:D27"/>
    <mergeCell ref="A28:D28"/>
    <mergeCell ref="A29:D29"/>
    <mergeCell ref="A30:D30"/>
    <mergeCell ref="A31:D31"/>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64</v>
      </c>
      <c r="B1" s="1"/>
      <c r="C1" s="1"/>
      <c r="D1" s="1"/>
      <c r="E1" s="1"/>
    </row>
    <row r="2" customFormat="false" ht="21.75" hidden="false" customHeight="true" outlineLevel="0" collapsed="false">
      <c r="A2" s="2" t="s">
        <v>65</v>
      </c>
      <c r="B2" s="2" t="s">
        <v>66</v>
      </c>
      <c r="C2" s="2" t="s">
        <v>67</v>
      </c>
      <c r="D2" s="2" t="s">
        <v>68</v>
      </c>
      <c r="E2" s="2" t="s">
        <v>69</v>
      </c>
    </row>
    <row r="3" customFormat="false" ht="18" hidden="false" customHeight="true" outlineLevel="0" collapsed="false">
      <c r="A3" s="3" t="s">
        <v>6</v>
      </c>
      <c r="B3" s="4" t="s">
        <v>70</v>
      </c>
      <c r="C3" s="4"/>
      <c r="D3" s="3" t="s">
        <v>6</v>
      </c>
      <c r="E3" s="3" t="str">
        <f aca="false">'AC-6'!E20</f>
        <v>Non commencé</v>
      </c>
    </row>
    <row r="4" customFormat="false" ht="18" hidden="false" customHeight="true" outlineLevel="0" collapsed="false">
      <c r="A4" s="3" t="s">
        <v>8</v>
      </c>
      <c r="B4" s="4" t="s">
        <v>70</v>
      </c>
      <c r="C4" s="4"/>
      <c r="D4" s="3" t="s">
        <v>9</v>
      </c>
      <c r="E4" s="3" t="str">
        <f aca="false">'AC-6-1'!E20</f>
        <v>Non commencé</v>
      </c>
    </row>
    <row r="5" customFormat="false" ht="18" hidden="false" customHeight="true" outlineLevel="0" collapsed="false">
      <c r="A5" s="3" t="s">
        <v>10</v>
      </c>
      <c r="B5" s="4" t="s">
        <v>71</v>
      </c>
      <c r="C5" s="4"/>
      <c r="D5" s="3" t="s">
        <v>10</v>
      </c>
      <c r="E5" s="3" t="str">
        <f aca="false">'AU-2'!E20</f>
        <v>Non commencé</v>
      </c>
    </row>
    <row r="6" customFormat="false" ht="18" hidden="false" customHeight="true" outlineLevel="0" collapsed="false">
      <c r="A6" s="3" t="s">
        <v>12</v>
      </c>
      <c r="B6" s="4" t="s">
        <v>72</v>
      </c>
      <c r="C6" s="4"/>
      <c r="D6" s="3" t="s">
        <v>12</v>
      </c>
      <c r="E6" s="3" t="str">
        <f aca="false">'AU-3'!E20</f>
        <v>Non commencé</v>
      </c>
    </row>
    <row r="7" customFormat="false" ht="18" hidden="false" customHeight="true" outlineLevel="0" collapsed="false">
      <c r="A7" s="3" t="s">
        <v>14</v>
      </c>
      <c r="B7" s="4" t="s">
        <v>72</v>
      </c>
      <c r="C7" s="4"/>
      <c r="D7" s="3" t="s">
        <v>15</v>
      </c>
      <c r="E7" s="3" t="str">
        <f aca="false">'AU-3-1'!E20</f>
        <v>Non commencé</v>
      </c>
    </row>
    <row r="8" customFormat="false" ht="18" hidden="false" customHeight="true" outlineLevel="0" collapsed="false">
      <c r="A8" s="3" t="s">
        <v>16</v>
      </c>
      <c r="B8" s="4" t="s">
        <v>73</v>
      </c>
      <c r="C8" s="4"/>
      <c r="D8" s="3" t="s">
        <v>18</v>
      </c>
      <c r="E8" s="3" t="str">
        <f aca="false">'AU-9-2'!E20</f>
        <v>Non commencé</v>
      </c>
    </row>
    <row r="9" customFormat="false" ht="18" hidden="false" customHeight="true" outlineLevel="0" collapsed="false">
      <c r="A9" s="3" t="s">
        <v>19</v>
      </c>
      <c r="B9" s="4" t="s">
        <v>74</v>
      </c>
      <c r="C9" s="4"/>
      <c r="D9" s="3" t="s">
        <v>19</v>
      </c>
      <c r="E9" s="3" t="str">
        <f aca="false">'AU-12'!E20</f>
        <v>Non commencé</v>
      </c>
    </row>
    <row r="10" customFormat="false" ht="18" hidden="false" customHeight="true" outlineLevel="0" collapsed="false">
      <c r="A10" s="3" t="s">
        <v>21</v>
      </c>
      <c r="B10" s="4" t="s">
        <v>75</v>
      </c>
      <c r="C10" s="4"/>
      <c r="D10" s="3" t="s">
        <v>21</v>
      </c>
      <c r="E10" s="3" t="str">
        <f aca="false">'CM-6'!E20</f>
        <v>Non commencé</v>
      </c>
    </row>
    <row r="11" customFormat="false" ht="18" hidden="false" customHeight="true" outlineLevel="0" collapsed="false">
      <c r="A11" s="3" t="s">
        <v>23</v>
      </c>
      <c r="B11" s="4" t="s">
        <v>76</v>
      </c>
      <c r="C11" s="4"/>
      <c r="D11" s="3" t="s">
        <v>23</v>
      </c>
      <c r="E11" s="3" t="str">
        <f aca="false">'CM-7'!E20</f>
        <v>Non commencé</v>
      </c>
    </row>
    <row r="12" customFormat="false" ht="18" hidden="false" customHeight="true" outlineLevel="0" collapsed="false">
      <c r="A12" s="3" t="s">
        <v>25</v>
      </c>
      <c r="B12" s="4" t="s">
        <v>76</v>
      </c>
      <c r="C12" s="4"/>
      <c r="D12" s="3" t="s">
        <v>26</v>
      </c>
      <c r="E12" s="3" t="str">
        <f aca="false">'CM-7-1'!E20</f>
        <v>Non commencé</v>
      </c>
    </row>
    <row r="13" customFormat="false" ht="18" hidden="false" customHeight="true" outlineLevel="0" collapsed="false">
      <c r="A13" s="3" t="s">
        <v>27</v>
      </c>
      <c r="B13" s="4" t="s">
        <v>77</v>
      </c>
      <c r="C13" s="4"/>
      <c r="D13" s="3" t="s">
        <v>27</v>
      </c>
      <c r="E13" s="3" t="str">
        <f aca="false">'CP-7'!E20</f>
        <v>Non commencé</v>
      </c>
    </row>
    <row r="14" customFormat="false" ht="18" hidden="false" customHeight="true" outlineLevel="0" collapsed="false">
      <c r="A14" s="3" t="s">
        <v>29</v>
      </c>
      <c r="B14" s="4" t="s">
        <v>77</v>
      </c>
      <c r="C14" s="4"/>
      <c r="D14" s="3" t="s">
        <v>30</v>
      </c>
      <c r="E14" s="3" t="str">
        <f aca="false">'CP-7-4'!E20</f>
        <v>Non commencé</v>
      </c>
    </row>
    <row r="15" customFormat="false" ht="18" hidden="false" customHeight="true" outlineLevel="0" collapsed="false">
      <c r="A15" s="3" t="s">
        <v>31</v>
      </c>
      <c r="B15" s="4" t="s">
        <v>78</v>
      </c>
      <c r="C15" s="4"/>
      <c r="D15" s="3" t="s">
        <v>31</v>
      </c>
      <c r="E15" s="3" t="str">
        <f aca="false">'CP-10'!E20</f>
        <v>Non commencé</v>
      </c>
    </row>
    <row r="16" customFormat="false" ht="18" hidden="false" customHeight="true" outlineLevel="0" collapsed="false">
      <c r="A16" s="3" t="s">
        <v>33</v>
      </c>
      <c r="B16" s="4" t="s">
        <v>78</v>
      </c>
      <c r="C16" s="4"/>
      <c r="D16" s="3" t="s">
        <v>34</v>
      </c>
      <c r="E16" s="3" t="str">
        <f aca="false">'CP-10-4'!E20</f>
        <v>Non commencé</v>
      </c>
    </row>
    <row r="17" customFormat="false" ht="18" hidden="false" customHeight="true" outlineLevel="0" collapsed="false">
      <c r="A17" s="3" t="s">
        <v>35</v>
      </c>
      <c r="B17" s="4" t="s">
        <v>79</v>
      </c>
      <c r="C17" s="4"/>
      <c r="D17" s="3" t="s">
        <v>37</v>
      </c>
      <c r="E17" s="3" t="str">
        <f aca="false">'IA-5-7'!E20</f>
        <v>Non commencé</v>
      </c>
    </row>
    <row r="18" customFormat="false" ht="18" hidden="false" customHeight="true" outlineLevel="0" collapsed="false">
      <c r="A18" s="3" t="s">
        <v>38</v>
      </c>
      <c r="B18" s="4" t="s">
        <v>80</v>
      </c>
      <c r="C18" s="4"/>
      <c r="D18" s="3" t="s">
        <v>40</v>
      </c>
      <c r="E18" s="3" t="str">
        <f aca="false">'SA-9-5'!E20</f>
        <v>Non commencé</v>
      </c>
    </row>
    <row r="19" customFormat="false" ht="18" hidden="false" customHeight="true" outlineLevel="0" collapsed="false">
      <c r="A19" s="3" t="s">
        <v>41</v>
      </c>
      <c r="B19" s="4" t="s">
        <v>81</v>
      </c>
      <c r="C19" s="4"/>
      <c r="D19" s="3" t="s">
        <v>41</v>
      </c>
      <c r="E19" s="3" t="str">
        <f aca="false">'SC-13'!E20</f>
        <v>Non commencé</v>
      </c>
    </row>
    <row r="20" customFormat="false" ht="18" hidden="false" customHeight="true" outlineLevel="0" collapsed="false">
      <c r="A20" s="3" t="s">
        <v>43</v>
      </c>
      <c r="B20" s="4" t="s">
        <v>82</v>
      </c>
      <c r="C20" s="4"/>
      <c r="D20" s="3" t="s">
        <v>43</v>
      </c>
      <c r="E20" s="3" t="str">
        <f aca="false">'SC-18'!E20</f>
        <v>Non commencé</v>
      </c>
    </row>
    <row r="21" customFormat="false" ht="18" hidden="false" customHeight="true" outlineLevel="0" collapsed="false">
      <c r="A21" s="3" t="s">
        <v>45</v>
      </c>
      <c r="B21" s="4" t="s">
        <v>83</v>
      </c>
      <c r="C21" s="4"/>
      <c r="D21" s="3" t="s">
        <v>47</v>
      </c>
      <c r="E21" s="3" t="str">
        <f aca="false">'SC-28-1'!E20</f>
        <v>Non commencé</v>
      </c>
    </row>
    <row r="22" customFormat="false" ht="18" hidden="false" customHeight="true" outlineLevel="0" collapsed="false">
      <c r="A22" s="3" t="s">
        <v>48</v>
      </c>
      <c r="B22" s="4" t="s">
        <v>84</v>
      </c>
      <c r="C22" s="4"/>
      <c r="D22" s="3" t="s">
        <v>50</v>
      </c>
      <c r="E22" s="3" t="str">
        <f aca="false">'SI-4-2'!E20</f>
        <v>Non commencé</v>
      </c>
    </row>
    <row r="23" customFormat="false" ht="18" hidden="false" customHeight="true" outlineLevel="0" collapsed="false">
      <c r="A23" s="3" t="s">
        <v>51</v>
      </c>
      <c r="B23" s="4" t="s">
        <v>85</v>
      </c>
      <c r="C23" s="4"/>
      <c r="D23" s="3" t="s">
        <v>51</v>
      </c>
      <c r="E23" s="3" t="str">
        <f aca="false">'SI-6'!E20</f>
        <v>Non commencé</v>
      </c>
    </row>
    <row r="25" customFormat="false" ht="21.75" hidden="false" customHeight="true" outlineLevel="0" collapsed="false">
      <c r="A25" s="5" t="s">
        <v>86</v>
      </c>
      <c r="B25" s="5"/>
      <c r="C25" s="5"/>
      <c r="D25" s="5"/>
      <c r="E25" s="5"/>
    </row>
    <row r="26" customFormat="false" ht="19.5" hidden="false" customHeight="true" outlineLevel="0" collapsed="false">
      <c r="A26" s="6" t="s">
        <v>87</v>
      </c>
      <c r="B26" s="6"/>
      <c r="C26" s="6"/>
      <c r="D26" s="6"/>
      <c r="E26" s="7" t="n">
        <f aca="false">21</f>
        <v>21</v>
      </c>
    </row>
    <row r="27" customFormat="false" ht="19.5" hidden="false" customHeight="true" outlineLevel="0" collapsed="false">
      <c r="A27" s="6" t="s">
        <v>88</v>
      </c>
      <c r="B27" s="6"/>
      <c r="C27" s="6"/>
      <c r="D27" s="6"/>
      <c r="E27" s="7" t="n">
        <f aca="false">COUNTIF(E3:E23,"Non commencé")</f>
        <v>21</v>
      </c>
    </row>
    <row r="28" customFormat="false" ht="19.5" hidden="false" customHeight="true" outlineLevel="0" collapsed="false">
      <c r="A28" s="6" t="s">
        <v>89</v>
      </c>
      <c r="B28" s="6"/>
      <c r="C28" s="6"/>
      <c r="D28" s="6"/>
      <c r="E28" s="7" t="n">
        <f aca="false">COUNTIF(E3:E23,"En cours")</f>
        <v>0</v>
      </c>
    </row>
    <row r="29" customFormat="false" ht="19.5" hidden="false" customHeight="true" outlineLevel="0" collapsed="false">
      <c r="A29" s="6" t="s">
        <v>90</v>
      </c>
      <c r="B29" s="6"/>
      <c r="C29" s="6"/>
      <c r="D29" s="6"/>
      <c r="E29" s="7" t="n">
        <f aca="false">COUNTIF(E3:E23,"Preuve fournie")</f>
        <v>0</v>
      </c>
    </row>
    <row r="30" customFormat="false" ht="19.5" hidden="false" customHeight="true" outlineLevel="0" collapsed="false">
      <c r="A30" s="6" t="s">
        <v>91</v>
      </c>
      <c r="B30" s="6"/>
      <c r="C30" s="6"/>
      <c r="D30" s="6"/>
      <c r="E30" s="7" t="n">
        <f aca="false">COUNTIF(E3:E23,"En révision")</f>
        <v>0</v>
      </c>
    </row>
    <row r="31" customFormat="false" ht="19.5" hidden="false" customHeight="true" outlineLevel="0" collapsed="false">
      <c r="A31" s="6" t="s">
        <v>92</v>
      </c>
      <c r="B31" s="6"/>
      <c r="C31" s="6"/>
      <c r="D31" s="6"/>
      <c r="E31" s="7" t="n">
        <f aca="false">COUNTIF(E3:E23,"Réussi")</f>
        <v>0</v>
      </c>
    </row>
    <row r="32" customFormat="false" ht="19.5" hidden="false" customHeight="true" outlineLevel="0" collapsed="false">
      <c r="A32" s="6" t="s">
        <v>93</v>
      </c>
      <c r="B32" s="6"/>
      <c r="C32" s="6"/>
      <c r="D32" s="6"/>
      <c r="E32" s="7" t="n">
        <f aca="false">COUNTIF(E3:E23,"Échec")</f>
        <v>0</v>
      </c>
    </row>
    <row r="33" customFormat="false" ht="19.5" hidden="false" customHeight="true" outlineLevel="0" collapsed="false">
      <c r="A33" s="6" t="s">
        <v>94</v>
      </c>
      <c r="B33" s="6"/>
      <c r="C33" s="6"/>
      <c r="D33" s="6"/>
      <c r="E33" s="7" t="n">
        <f aca="false">COUNTIF(E3:E23,"Exception acceptée")</f>
        <v>0</v>
      </c>
    </row>
    <row r="34" customFormat="false" ht="19.5" hidden="false" customHeight="true" outlineLevel="0" collapsed="false">
      <c r="A34" s="6" t="s">
        <v>95</v>
      </c>
      <c r="B34" s="6"/>
      <c r="C34" s="6"/>
      <c r="D34" s="6"/>
      <c r="E34" s="8" t="n">
        <f aca="false">IFERROR(COUNTIF(E3:E23,"Réussi")/21,0)</f>
        <v>0</v>
      </c>
    </row>
    <row r="35" customFormat="false" ht="19.5" hidden="false" customHeight="true" outlineLevel="0" collapsed="false">
      <c r="A35" s="6" t="s">
        <v>96</v>
      </c>
      <c r="B35" s="6"/>
      <c r="C35" s="6"/>
      <c r="D35" s="6"/>
      <c r="E35" s="8" t="n">
        <f aca="false">IFERROR(COUNTIF(E3:E23,"Non commencé")/21,0)</f>
        <v>1</v>
      </c>
    </row>
  </sheetData>
  <mergeCells count="12">
    <mergeCell ref="A1:E1"/>
    <mergeCell ref="A25:E25"/>
    <mergeCell ref="A26:D26"/>
    <mergeCell ref="A27:D27"/>
    <mergeCell ref="A28:D28"/>
    <mergeCell ref="A29:D29"/>
    <mergeCell ref="A30:D30"/>
    <mergeCell ref="A31:D31"/>
    <mergeCell ref="A32:D32"/>
    <mergeCell ref="A33:D33"/>
    <mergeCell ref="A34:D34"/>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97</v>
      </c>
      <c r="B1" s="9"/>
      <c r="D1" s="9" t="s">
        <v>98</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6</v>
      </c>
      <c r="D3" s="11" t="s">
        <v>102</v>
      </c>
      <c r="E3" s="12" t="s">
        <v>6</v>
      </c>
    </row>
    <row r="4" customFormat="false" ht="21.75" hidden="false" customHeight="true" outlineLevel="0" collapsed="false">
      <c r="A4" s="11" t="s">
        <v>103</v>
      </c>
      <c r="B4" s="12" t="s">
        <v>7</v>
      </c>
      <c r="D4" s="11" t="s">
        <v>104</v>
      </c>
      <c r="E4" s="12" t="s">
        <v>70</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64.5" hidden="false" customHeight="true" outlineLevel="0" collapsed="false">
      <c r="A8" s="11" t="s">
        <v>113</v>
      </c>
      <c r="B8" s="12" t="s">
        <v>114</v>
      </c>
      <c r="D8" s="11" t="s">
        <v>115</v>
      </c>
      <c r="E8" s="12" t="s">
        <v>116</v>
      </c>
    </row>
    <row r="9" customFormat="false" ht="156" hidden="false" customHeight="true" outlineLevel="0" collapsed="false">
      <c r="A9" s="11" t="s">
        <v>117</v>
      </c>
      <c r="B9" s="12" t="s">
        <v>118</v>
      </c>
      <c r="D9" s="11" t="s">
        <v>119</v>
      </c>
      <c r="E9" s="12" t="s">
        <v>120</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124</v>
      </c>
      <c r="D11" s="11" t="s">
        <v>123</v>
      </c>
      <c r="E11" s="12" t="s">
        <v>124</v>
      </c>
    </row>
    <row r="12" customFormat="false" ht="21.75" hidden="false" customHeight="true" outlineLevel="0" collapsed="false">
      <c r="A12" s="11" t="s">
        <v>125</v>
      </c>
      <c r="B12" s="12" t="s">
        <v>6</v>
      </c>
      <c r="D12" s="11" t="s">
        <v>126</v>
      </c>
      <c r="E12" s="12" t="s">
        <v>6</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142</v>
      </c>
      <c r="B1" s="9"/>
      <c r="D1" s="9" t="s">
        <v>143</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8</v>
      </c>
      <c r="D3" s="11" t="s">
        <v>102</v>
      </c>
      <c r="E3" s="12" t="s">
        <v>8</v>
      </c>
    </row>
    <row r="4" customFormat="false" ht="21.75" hidden="false" customHeight="true" outlineLevel="0" collapsed="false">
      <c r="A4" s="11" t="s">
        <v>103</v>
      </c>
      <c r="B4" s="12" t="s">
        <v>7</v>
      </c>
      <c r="D4" s="11" t="s">
        <v>104</v>
      </c>
      <c r="E4" s="12" t="s">
        <v>70</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51.75" hidden="false" customHeight="true" outlineLevel="0" collapsed="false">
      <c r="A8" s="11" t="s">
        <v>113</v>
      </c>
      <c r="B8" s="12" t="s">
        <v>144</v>
      </c>
      <c r="D8" s="11" t="s">
        <v>115</v>
      </c>
      <c r="E8" s="12" t="s">
        <v>145</v>
      </c>
    </row>
    <row r="9" customFormat="false" ht="168.75" hidden="false" customHeight="true" outlineLevel="0" collapsed="false">
      <c r="A9" s="11" t="s">
        <v>117</v>
      </c>
      <c r="B9" s="12" t="s">
        <v>146</v>
      </c>
      <c r="D9" s="11" t="s">
        <v>119</v>
      </c>
      <c r="E9" s="12" t="s">
        <v>147</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148</v>
      </c>
      <c r="D11" s="11" t="s">
        <v>123</v>
      </c>
      <c r="E11" s="12" t="s">
        <v>148</v>
      </c>
    </row>
    <row r="12" customFormat="false" ht="21.75" hidden="false" customHeight="true" outlineLevel="0" collapsed="false">
      <c r="A12" s="11" t="s">
        <v>125</v>
      </c>
      <c r="B12" s="12" t="s">
        <v>8</v>
      </c>
      <c r="D12" s="11" t="s">
        <v>126</v>
      </c>
      <c r="E12" s="12" t="s">
        <v>8</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149</v>
      </c>
      <c r="B1" s="9"/>
      <c r="D1" s="9" t="s">
        <v>150</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10</v>
      </c>
      <c r="D3" s="11" t="s">
        <v>102</v>
      </c>
      <c r="E3" s="12" t="s">
        <v>10</v>
      </c>
    </row>
    <row r="4" customFormat="false" ht="21.75" hidden="false" customHeight="true" outlineLevel="0" collapsed="false">
      <c r="A4" s="11" t="s">
        <v>103</v>
      </c>
      <c r="B4" s="12" t="s">
        <v>11</v>
      </c>
      <c r="D4" s="11" t="s">
        <v>104</v>
      </c>
      <c r="E4" s="12" t="s">
        <v>71</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234" hidden="false" customHeight="true" outlineLevel="0" collapsed="false">
      <c r="A8" s="11" t="s">
        <v>113</v>
      </c>
      <c r="B8" s="12" t="s">
        <v>151</v>
      </c>
      <c r="D8" s="11" t="s">
        <v>115</v>
      </c>
      <c r="E8" s="12" t="s">
        <v>152</v>
      </c>
    </row>
    <row r="9" customFormat="false" ht="300" hidden="false" customHeight="true" outlineLevel="0" collapsed="false">
      <c r="A9" s="11" t="s">
        <v>117</v>
      </c>
      <c r="B9" s="12" t="s">
        <v>153</v>
      </c>
      <c r="D9" s="11" t="s">
        <v>119</v>
      </c>
      <c r="E9" s="12" t="s">
        <v>154</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155</v>
      </c>
      <c r="D11" s="11" t="s">
        <v>123</v>
      </c>
      <c r="E11" s="12" t="s">
        <v>155</v>
      </c>
    </row>
    <row r="12" customFormat="false" ht="21.75" hidden="false" customHeight="true" outlineLevel="0" collapsed="false">
      <c r="A12" s="11" t="s">
        <v>125</v>
      </c>
      <c r="B12" s="12" t="s">
        <v>10</v>
      </c>
      <c r="D12" s="11" t="s">
        <v>126</v>
      </c>
      <c r="E12" s="12" t="s">
        <v>10</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156</v>
      </c>
      <c r="B1" s="9"/>
      <c r="D1" s="9" t="s">
        <v>157</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12</v>
      </c>
      <c r="D3" s="11" t="s">
        <v>102</v>
      </c>
      <c r="E3" s="12" t="s">
        <v>12</v>
      </c>
    </row>
    <row r="4" customFormat="false" ht="21.75" hidden="false" customHeight="true" outlineLevel="0" collapsed="false">
      <c r="A4" s="11" t="s">
        <v>103</v>
      </c>
      <c r="B4" s="12" t="s">
        <v>13</v>
      </c>
      <c r="D4" s="11" t="s">
        <v>104</v>
      </c>
      <c r="E4" s="12" t="s">
        <v>72</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64.5" hidden="false" customHeight="true" outlineLevel="0" collapsed="false">
      <c r="A8" s="11" t="s">
        <v>113</v>
      </c>
      <c r="B8" s="12" t="s">
        <v>158</v>
      </c>
      <c r="D8" s="11" t="s">
        <v>115</v>
      </c>
      <c r="E8" s="12" t="s">
        <v>159</v>
      </c>
    </row>
    <row r="9" customFormat="false" ht="129.75" hidden="false" customHeight="true" outlineLevel="0" collapsed="false">
      <c r="A9" s="11" t="s">
        <v>117</v>
      </c>
      <c r="B9" s="12" t="s">
        <v>160</v>
      </c>
      <c r="D9" s="11" t="s">
        <v>119</v>
      </c>
      <c r="E9" s="12" t="s">
        <v>161</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162</v>
      </c>
      <c r="D11" s="11" t="s">
        <v>123</v>
      </c>
      <c r="E11" s="12" t="s">
        <v>162</v>
      </c>
    </row>
    <row r="12" customFormat="false" ht="21.75" hidden="false" customHeight="true" outlineLevel="0" collapsed="false">
      <c r="A12" s="11" t="s">
        <v>125</v>
      </c>
      <c r="B12" s="12" t="s">
        <v>12</v>
      </c>
      <c r="D12" s="11" t="s">
        <v>126</v>
      </c>
      <c r="E12" s="12" t="s">
        <v>12</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163</v>
      </c>
      <c r="B1" s="9"/>
      <c r="D1" s="9" t="s">
        <v>164</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14</v>
      </c>
      <c r="D3" s="11" t="s">
        <v>102</v>
      </c>
      <c r="E3" s="12" t="s">
        <v>14</v>
      </c>
    </row>
    <row r="4" customFormat="false" ht="21.75" hidden="false" customHeight="true" outlineLevel="0" collapsed="false">
      <c r="A4" s="11" t="s">
        <v>103</v>
      </c>
      <c r="B4" s="12" t="s">
        <v>13</v>
      </c>
      <c r="D4" s="11" t="s">
        <v>104</v>
      </c>
      <c r="E4" s="12" t="s">
        <v>72</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103.5" hidden="false" customHeight="true" outlineLevel="0" collapsed="false">
      <c r="A8" s="11" t="s">
        <v>113</v>
      </c>
      <c r="B8" s="12" t="s">
        <v>165</v>
      </c>
      <c r="D8" s="11" t="s">
        <v>115</v>
      </c>
      <c r="E8" s="12" t="s">
        <v>166</v>
      </c>
    </row>
    <row r="9" customFormat="false" ht="181.5" hidden="false" customHeight="true" outlineLevel="0" collapsed="false">
      <c r="A9" s="11" t="s">
        <v>117</v>
      </c>
      <c r="B9" s="12" t="s">
        <v>167</v>
      </c>
      <c r="D9" s="11" t="s">
        <v>119</v>
      </c>
      <c r="E9" s="12" t="s">
        <v>168</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169</v>
      </c>
      <c r="D11" s="11" t="s">
        <v>123</v>
      </c>
      <c r="E11" s="12" t="s">
        <v>169</v>
      </c>
    </row>
    <row r="12" customFormat="false" ht="21.75" hidden="false" customHeight="true" outlineLevel="0" collapsed="false">
      <c r="A12" s="11" t="s">
        <v>125</v>
      </c>
      <c r="B12" s="12" t="s">
        <v>14</v>
      </c>
      <c r="D12" s="11" t="s">
        <v>126</v>
      </c>
      <c r="E12" s="12" t="s">
        <v>14</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170</v>
      </c>
      <c r="B1" s="9"/>
      <c r="D1" s="9" t="s">
        <v>171</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16</v>
      </c>
      <c r="D3" s="11" t="s">
        <v>102</v>
      </c>
      <c r="E3" s="12" t="s">
        <v>16</v>
      </c>
    </row>
    <row r="4" customFormat="false" ht="21.75" hidden="false" customHeight="true" outlineLevel="0" collapsed="false">
      <c r="A4" s="11" t="s">
        <v>103</v>
      </c>
      <c r="B4" s="12" t="s">
        <v>17</v>
      </c>
      <c r="D4" s="11" t="s">
        <v>104</v>
      </c>
      <c r="E4" s="12" t="s">
        <v>73</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64.5" hidden="false" customHeight="true" outlineLevel="0" collapsed="false">
      <c r="A8" s="11" t="s">
        <v>113</v>
      </c>
      <c r="B8" s="12" t="s">
        <v>172</v>
      </c>
      <c r="D8" s="11" t="s">
        <v>115</v>
      </c>
      <c r="E8" s="12" t="s">
        <v>173</v>
      </c>
    </row>
    <row r="9" customFormat="false" ht="51.75" hidden="false" customHeight="true" outlineLevel="0" collapsed="false">
      <c r="A9" s="11" t="s">
        <v>117</v>
      </c>
      <c r="B9" s="12" t="s">
        <v>174</v>
      </c>
      <c r="D9" s="11" t="s">
        <v>119</v>
      </c>
      <c r="E9" s="12" t="s">
        <v>175</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176</v>
      </c>
      <c r="D11" s="11" t="s">
        <v>123</v>
      </c>
      <c r="E11" s="12" t="s">
        <v>176</v>
      </c>
    </row>
    <row r="12" customFormat="false" ht="21.75" hidden="false" customHeight="true" outlineLevel="0" collapsed="false">
      <c r="A12" s="11" t="s">
        <v>125</v>
      </c>
      <c r="B12" s="12" t="s">
        <v>16</v>
      </c>
      <c r="D12" s="11" t="s">
        <v>126</v>
      </c>
      <c r="E12" s="12" t="s">
        <v>16</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177</v>
      </c>
      <c r="B1" s="9"/>
      <c r="D1" s="9" t="s">
        <v>178</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19</v>
      </c>
      <c r="D3" s="11" t="s">
        <v>102</v>
      </c>
      <c r="E3" s="12" t="s">
        <v>19</v>
      </c>
    </row>
    <row r="4" customFormat="false" ht="21.75" hidden="false" customHeight="true" outlineLevel="0" collapsed="false">
      <c r="A4" s="11" t="s">
        <v>103</v>
      </c>
      <c r="B4" s="12" t="s">
        <v>20</v>
      </c>
      <c r="D4" s="11" t="s">
        <v>104</v>
      </c>
      <c r="E4" s="12" t="s">
        <v>74</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117" hidden="false" customHeight="true" outlineLevel="0" collapsed="false">
      <c r="A8" s="11" t="s">
        <v>113</v>
      </c>
      <c r="B8" s="12" t="s">
        <v>179</v>
      </c>
      <c r="D8" s="11" t="s">
        <v>115</v>
      </c>
      <c r="E8" s="12" t="s">
        <v>180</v>
      </c>
    </row>
    <row r="9" customFormat="false" ht="90.75" hidden="false" customHeight="true" outlineLevel="0" collapsed="false">
      <c r="A9" s="11" t="s">
        <v>117</v>
      </c>
      <c r="B9" s="12" t="s">
        <v>181</v>
      </c>
      <c r="D9" s="11" t="s">
        <v>119</v>
      </c>
      <c r="E9" s="12" t="s">
        <v>182</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183</v>
      </c>
      <c r="D11" s="11" t="s">
        <v>123</v>
      </c>
      <c r="E11" s="12" t="s">
        <v>183</v>
      </c>
    </row>
    <row r="12" customFormat="false" ht="21.75" hidden="false" customHeight="true" outlineLevel="0" collapsed="false">
      <c r="A12" s="11" t="s">
        <v>125</v>
      </c>
      <c r="B12" s="12" t="s">
        <v>19</v>
      </c>
      <c r="D12" s="11" t="s">
        <v>126</v>
      </c>
      <c r="E12" s="12" t="s">
        <v>19</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184</v>
      </c>
      <c r="B1" s="9"/>
      <c r="D1" s="9" t="s">
        <v>185</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21</v>
      </c>
      <c r="D3" s="11" t="s">
        <v>102</v>
      </c>
      <c r="E3" s="12" t="s">
        <v>21</v>
      </c>
    </row>
    <row r="4" customFormat="false" ht="21.75" hidden="false" customHeight="true" outlineLevel="0" collapsed="false">
      <c r="A4" s="11" t="s">
        <v>103</v>
      </c>
      <c r="B4" s="12" t="s">
        <v>22</v>
      </c>
      <c r="D4" s="11" t="s">
        <v>104</v>
      </c>
      <c r="E4" s="12" t="s">
        <v>75</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168.75" hidden="false" customHeight="true" outlineLevel="0" collapsed="false">
      <c r="A8" s="11" t="s">
        <v>113</v>
      </c>
      <c r="B8" s="12" t="s">
        <v>186</v>
      </c>
      <c r="D8" s="11" t="s">
        <v>115</v>
      </c>
      <c r="E8" s="12" t="s">
        <v>187</v>
      </c>
    </row>
    <row r="9" customFormat="false" ht="300" hidden="false" customHeight="true" outlineLevel="0" collapsed="false">
      <c r="A9" s="11" t="s">
        <v>117</v>
      </c>
      <c r="B9" s="12" t="s">
        <v>188</v>
      </c>
      <c r="D9" s="11" t="s">
        <v>119</v>
      </c>
      <c r="E9" s="12" t="s">
        <v>189</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190</v>
      </c>
      <c r="D11" s="11" t="s">
        <v>123</v>
      </c>
      <c r="E11" s="12" t="s">
        <v>190</v>
      </c>
    </row>
    <row r="12" customFormat="false" ht="21.75" hidden="false" customHeight="true" outlineLevel="0" collapsed="false">
      <c r="A12" s="11" t="s">
        <v>125</v>
      </c>
      <c r="B12" s="12" t="s">
        <v>21</v>
      </c>
      <c r="D12" s="11" t="s">
        <v>126</v>
      </c>
      <c r="E12" s="12" t="s">
        <v>21</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191</v>
      </c>
      <c r="B1" s="9"/>
      <c r="D1" s="9" t="s">
        <v>192</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23</v>
      </c>
      <c r="D3" s="11" t="s">
        <v>102</v>
      </c>
      <c r="E3" s="12" t="s">
        <v>23</v>
      </c>
    </row>
    <row r="4" customFormat="false" ht="21.75" hidden="false" customHeight="true" outlineLevel="0" collapsed="false">
      <c r="A4" s="11" t="s">
        <v>103</v>
      </c>
      <c r="B4" s="12" t="s">
        <v>24</v>
      </c>
      <c r="D4" s="11" t="s">
        <v>104</v>
      </c>
      <c r="E4" s="12" t="s">
        <v>76</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78" hidden="false" customHeight="true" outlineLevel="0" collapsed="false">
      <c r="A8" s="11" t="s">
        <v>113</v>
      </c>
      <c r="B8" s="12" t="s">
        <v>193</v>
      </c>
      <c r="D8" s="11" t="s">
        <v>115</v>
      </c>
      <c r="E8" s="12" t="s">
        <v>194</v>
      </c>
    </row>
    <row r="9" customFormat="false" ht="300" hidden="false" customHeight="true" outlineLevel="0" collapsed="false">
      <c r="A9" s="11" t="s">
        <v>117</v>
      </c>
      <c r="B9" s="12" t="s">
        <v>195</v>
      </c>
      <c r="D9" s="11" t="s">
        <v>119</v>
      </c>
      <c r="E9" s="12" t="s">
        <v>196</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197</v>
      </c>
      <c r="D11" s="11" t="s">
        <v>123</v>
      </c>
      <c r="E11" s="12" t="s">
        <v>197</v>
      </c>
    </row>
    <row r="12" customFormat="false" ht="21.75" hidden="false" customHeight="true" outlineLevel="0" collapsed="false">
      <c r="A12" s="11" t="s">
        <v>125</v>
      </c>
      <c r="B12" s="12" t="s">
        <v>23</v>
      </c>
      <c r="D12" s="11" t="s">
        <v>126</v>
      </c>
      <c r="E12" s="12" t="s">
        <v>23</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198</v>
      </c>
      <c r="B1" s="9"/>
      <c r="D1" s="9" t="s">
        <v>199</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25</v>
      </c>
      <c r="D3" s="11" t="s">
        <v>102</v>
      </c>
      <c r="E3" s="12" t="s">
        <v>25</v>
      </c>
    </row>
    <row r="4" customFormat="false" ht="21.75" hidden="false" customHeight="true" outlineLevel="0" collapsed="false">
      <c r="A4" s="11" t="s">
        <v>103</v>
      </c>
      <c r="B4" s="12" t="s">
        <v>24</v>
      </c>
      <c r="D4" s="11" t="s">
        <v>104</v>
      </c>
      <c r="E4" s="12" t="s">
        <v>76</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78" hidden="false" customHeight="true" outlineLevel="0" collapsed="false">
      <c r="A8" s="11" t="s">
        <v>113</v>
      </c>
      <c r="B8" s="12" t="s">
        <v>200</v>
      </c>
      <c r="D8" s="11" t="s">
        <v>115</v>
      </c>
      <c r="E8" s="12" t="s">
        <v>201</v>
      </c>
    </row>
    <row r="9" customFormat="false" ht="64.5" hidden="false" customHeight="true" outlineLevel="0" collapsed="false">
      <c r="A9" s="11" t="s">
        <v>117</v>
      </c>
      <c r="B9" s="12" t="s">
        <v>202</v>
      </c>
      <c r="D9" s="11" t="s">
        <v>119</v>
      </c>
      <c r="E9" s="12" t="s">
        <v>203</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204</v>
      </c>
      <c r="D11" s="11" t="s">
        <v>123</v>
      </c>
      <c r="E11" s="12" t="s">
        <v>204</v>
      </c>
    </row>
    <row r="12" customFormat="false" ht="21.75" hidden="false" customHeight="true" outlineLevel="0" collapsed="false">
      <c r="A12" s="11" t="s">
        <v>125</v>
      </c>
      <c r="B12" s="12" t="s">
        <v>25</v>
      </c>
      <c r="D12" s="11" t="s">
        <v>126</v>
      </c>
      <c r="E12" s="12" t="s">
        <v>25</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205</v>
      </c>
      <c r="B1" s="9"/>
      <c r="D1" s="9" t="s">
        <v>206</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27</v>
      </c>
      <c r="D3" s="11" t="s">
        <v>102</v>
      </c>
      <c r="E3" s="12" t="s">
        <v>27</v>
      </c>
    </row>
    <row r="4" customFormat="false" ht="21.75" hidden="false" customHeight="true" outlineLevel="0" collapsed="false">
      <c r="A4" s="11" t="s">
        <v>103</v>
      </c>
      <c r="B4" s="12" t="s">
        <v>28</v>
      </c>
      <c r="D4" s="11" t="s">
        <v>104</v>
      </c>
      <c r="E4" s="12" t="s">
        <v>77</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181.5" hidden="false" customHeight="true" outlineLevel="0" collapsed="false">
      <c r="A8" s="11" t="s">
        <v>113</v>
      </c>
      <c r="B8" s="12" t="s">
        <v>207</v>
      </c>
      <c r="D8" s="11" t="s">
        <v>115</v>
      </c>
      <c r="E8" s="12" t="s">
        <v>208</v>
      </c>
    </row>
    <row r="9" customFormat="false" ht="168.75" hidden="false" customHeight="true" outlineLevel="0" collapsed="false">
      <c r="A9" s="11" t="s">
        <v>117</v>
      </c>
      <c r="B9" s="12" t="s">
        <v>209</v>
      </c>
      <c r="D9" s="11" t="s">
        <v>119</v>
      </c>
      <c r="E9" s="12" t="s">
        <v>210</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211</v>
      </c>
      <c r="D11" s="11" t="s">
        <v>123</v>
      </c>
      <c r="E11" s="12" t="s">
        <v>211</v>
      </c>
    </row>
    <row r="12" customFormat="false" ht="21.75" hidden="false" customHeight="true" outlineLevel="0" collapsed="false">
      <c r="A12" s="11" t="s">
        <v>125</v>
      </c>
      <c r="B12" s="12" t="s">
        <v>27</v>
      </c>
      <c r="D12" s="11" t="s">
        <v>126</v>
      </c>
      <c r="E12" s="12" t="s">
        <v>27</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212</v>
      </c>
      <c r="B1" s="9"/>
      <c r="D1" s="9" t="s">
        <v>213</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29</v>
      </c>
      <c r="D3" s="11" t="s">
        <v>102</v>
      </c>
      <c r="E3" s="12" t="s">
        <v>29</v>
      </c>
    </row>
    <row r="4" customFormat="false" ht="21.75" hidden="false" customHeight="true" outlineLevel="0" collapsed="false">
      <c r="A4" s="11" t="s">
        <v>103</v>
      </c>
      <c r="B4" s="12" t="s">
        <v>28</v>
      </c>
      <c r="D4" s="11" t="s">
        <v>104</v>
      </c>
      <c r="E4" s="12" t="s">
        <v>77</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51.75" hidden="false" customHeight="true" outlineLevel="0" collapsed="false">
      <c r="A8" s="11" t="s">
        <v>113</v>
      </c>
      <c r="B8" s="12" t="s">
        <v>214</v>
      </c>
      <c r="D8" s="11" t="s">
        <v>115</v>
      </c>
      <c r="E8" s="12" t="s">
        <v>215</v>
      </c>
    </row>
    <row r="9" customFormat="false" ht="78" hidden="false" customHeight="true" outlineLevel="0" collapsed="false">
      <c r="A9" s="11" t="s">
        <v>117</v>
      </c>
      <c r="B9" s="12" t="s">
        <v>216</v>
      </c>
      <c r="D9" s="11" t="s">
        <v>119</v>
      </c>
      <c r="E9" s="12" t="s">
        <v>217</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218</v>
      </c>
      <c r="D11" s="11" t="s">
        <v>123</v>
      </c>
      <c r="E11" s="12" t="s">
        <v>218</v>
      </c>
    </row>
    <row r="12" customFormat="false" ht="21.75" hidden="false" customHeight="true" outlineLevel="0" collapsed="false">
      <c r="A12" s="11" t="s">
        <v>125</v>
      </c>
      <c r="B12" s="12" t="s">
        <v>29</v>
      </c>
      <c r="D12" s="11" t="s">
        <v>126</v>
      </c>
      <c r="E12" s="12" t="s">
        <v>29</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219</v>
      </c>
      <c r="B1" s="9"/>
      <c r="D1" s="9" t="s">
        <v>220</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31</v>
      </c>
      <c r="D3" s="11" t="s">
        <v>102</v>
      </c>
      <c r="E3" s="12" t="s">
        <v>31</v>
      </c>
    </row>
    <row r="4" customFormat="false" ht="21.75" hidden="false" customHeight="true" outlineLevel="0" collapsed="false">
      <c r="A4" s="11" t="s">
        <v>103</v>
      </c>
      <c r="B4" s="12" t="s">
        <v>32</v>
      </c>
      <c r="D4" s="11" t="s">
        <v>104</v>
      </c>
      <c r="E4" s="12" t="s">
        <v>78</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45" hidden="false" customHeight="true" outlineLevel="0" collapsed="false">
      <c r="A8" s="11" t="s">
        <v>113</v>
      </c>
      <c r="B8" s="12" t="s">
        <v>221</v>
      </c>
      <c r="D8" s="11" t="s">
        <v>115</v>
      </c>
      <c r="E8" s="12" t="s">
        <v>222</v>
      </c>
    </row>
    <row r="9" customFormat="false" ht="246.75" hidden="false" customHeight="true" outlineLevel="0" collapsed="false">
      <c r="A9" s="11" t="s">
        <v>117</v>
      </c>
      <c r="B9" s="12" t="s">
        <v>223</v>
      </c>
      <c r="D9" s="11" t="s">
        <v>119</v>
      </c>
      <c r="E9" s="12" t="s">
        <v>224</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225</v>
      </c>
      <c r="D11" s="11" t="s">
        <v>123</v>
      </c>
      <c r="E11" s="12" t="s">
        <v>225</v>
      </c>
    </row>
    <row r="12" customFormat="false" ht="21.75" hidden="false" customHeight="true" outlineLevel="0" collapsed="false">
      <c r="A12" s="11" t="s">
        <v>125</v>
      </c>
      <c r="B12" s="12" t="s">
        <v>31</v>
      </c>
      <c r="D12" s="11" t="s">
        <v>126</v>
      </c>
      <c r="E12" s="12" t="s">
        <v>31</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226</v>
      </c>
      <c r="B1" s="9"/>
      <c r="D1" s="9" t="s">
        <v>227</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33</v>
      </c>
      <c r="D3" s="11" t="s">
        <v>102</v>
      </c>
      <c r="E3" s="12" t="s">
        <v>33</v>
      </c>
    </row>
    <row r="4" customFormat="false" ht="21.75" hidden="false" customHeight="true" outlineLevel="0" collapsed="false">
      <c r="A4" s="11" t="s">
        <v>103</v>
      </c>
      <c r="B4" s="12" t="s">
        <v>32</v>
      </c>
      <c r="D4" s="11" t="s">
        <v>104</v>
      </c>
      <c r="E4" s="12" t="s">
        <v>78</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78" hidden="false" customHeight="true" outlineLevel="0" collapsed="false">
      <c r="A8" s="11" t="s">
        <v>113</v>
      </c>
      <c r="B8" s="12" t="s">
        <v>228</v>
      </c>
      <c r="D8" s="11" t="s">
        <v>115</v>
      </c>
      <c r="E8" s="12" t="s">
        <v>229</v>
      </c>
    </row>
    <row r="9" customFormat="false" ht="45" hidden="false" customHeight="true" outlineLevel="0" collapsed="false">
      <c r="A9" s="11" t="s">
        <v>117</v>
      </c>
      <c r="B9" s="12" t="s">
        <v>230</v>
      </c>
      <c r="D9" s="11" t="s">
        <v>119</v>
      </c>
      <c r="E9" s="12" t="s">
        <v>231</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232</v>
      </c>
      <c r="D11" s="11" t="s">
        <v>123</v>
      </c>
      <c r="E11" s="12" t="s">
        <v>232</v>
      </c>
    </row>
    <row r="12" customFormat="false" ht="21.75" hidden="false" customHeight="true" outlineLevel="0" collapsed="false">
      <c r="A12" s="11" t="s">
        <v>125</v>
      </c>
      <c r="B12" s="12" t="s">
        <v>33</v>
      </c>
      <c r="D12" s="11" t="s">
        <v>126</v>
      </c>
      <c r="E12" s="12" t="s">
        <v>33</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233</v>
      </c>
      <c r="B1" s="9"/>
      <c r="D1" s="9" t="s">
        <v>234</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35</v>
      </c>
      <c r="D3" s="11" t="s">
        <v>102</v>
      </c>
      <c r="E3" s="12" t="s">
        <v>35</v>
      </c>
    </row>
    <row r="4" customFormat="false" ht="21.75" hidden="false" customHeight="true" outlineLevel="0" collapsed="false">
      <c r="A4" s="11" t="s">
        <v>103</v>
      </c>
      <c r="B4" s="12" t="s">
        <v>36</v>
      </c>
      <c r="D4" s="11" t="s">
        <v>104</v>
      </c>
      <c r="E4" s="12" t="s">
        <v>79</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51.75" hidden="false" customHeight="true" outlineLevel="0" collapsed="false">
      <c r="A8" s="11" t="s">
        <v>113</v>
      </c>
      <c r="B8" s="12" t="s">
        <v>235</v>
      </c>
      <c r="D8" s="11" t="s">
        <v>115</v>
      </c>
      <c r="E8" s="12" t="s">
        <v>236</v>
      </c>
    </row>
    <row r="9" customFormat="false" ht="90.75" hidden="false" customHeight="true" outlineLevel="0" collapsed="false">
      <c r="A9" s="11" t="s">
        <v>117</v>
      </c>
      <c r="B9" s="12" t="s">
        <v>237</v>
      </c>
      <c r="D9" s="11" t="s">
        <v>119</v>
      </c>
      <c r="E9" s="12" t="s">
        <v>238</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239</v>
      </c>
      <c r="D11" s="11" t="s">
        <v>123</v>
      </c>
      <c r="E11" s="12" t="s">
        <v>239</v>
      </c>
    </row>
    <row r="12" customFormat="false" ht="21.75" hidden="false" customHeight="true" outlineLevel="0" collapsed="false">
      <c r="A12" s="11" t="s">
        <v>125</v>
      </c>
      <c r="B12" s="12" t="s">
        <v>35</v>
      </c>
      <c r="D12" s="11" t="s">
        <v>126</v>
      </c>
      <c r="E12" s="12" t="s">
        <v>35</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240</v>
      </c>
      <c r="B1" s="9"/>
      <c r="D1" s="9" t="s">
        <v>241</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38</v>
      </c>
      <c r="D3" s="11" t="s">
        <v>102</v>
      </c>
      <c r="E3" s="12" t="s">
        <v>38</v>
      </c>
    </row>
    <row r="4" customFormat="false" ht="21.75" hidden="false" customHeight="true" outlineLevel="0" collapsed="false">
      <c r="A4" s="11" t="s">
        <v>103</v>
      </c>
      <c r="B4" s="12" t="s">
        <v>39</v>
      </c>
      <c r="D4" s="11" t="s">
        <v>104</v>
      </c>
      <c r="E4" s="12" t="s">
        <v>80</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103.5" hidden="false" customHeight="true" outlineLevel="0" collapsed="false">
      <c r="A8" s="11" t="s">
        <v>113</v>
      </c>
      <c r="B8" s="12" t="s">
        <v>242</v>
      </c>
      <c r="D8" s="11" t="s">
        <v>115</v>
      </c>
      <c r="E8" s="12" t="s">
        <v>243</v>
      </c>
    </row>
    <row r="9" customFormat="false" ht="234" hidden="false" customHeight="true" outlineLevel="0" collapsed="false">
      <c r="A9" s="11" t="s">
        <v>117</v>
      </c>
      <c r="B9" s="12" t="s">
        <v>244</v>
      </c>
      <c r="D9" s="11" t="s">
        <v>119</v>
      </c>
      <c r="E9" s="12" t="s">
        <v>245</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246</v>
      </c>
      <c r="D11" s="11" t="s">
        <v>123</v>
      </c>
      <c r="E11" s="12" t="s">
        <v>246</v>
      </c>
    </row>
    <row r="12" customFormat="false" ht="21.75" hidden="false" customHeight="true" outlineLevel="0" collapsed="false">
      <c r="A12" s="11" t="s">
        <v>125</v>
      </c>
      <c r="B12" s="12" t="s">
        <v>38</v>
      </c>
      <c r="D12" s="11" t="s">
        <v>126</v>
      </c>
      <c r="E12" s="12" t="s">
        <v>38</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247</v>
      </c>
      <c r="B1" s="9"/>
      <c r="D1" s="9" t="s">
        <v>248</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41</v>
      </c>
      <c r="D3" s="11" t="s">
        <v>102</v>
      </c>
      <c r="E3" s="12" t="s">
        <v>41</v>
      </c>
    </row>
    <row r="4" customFormat="false" ht="21.75" hidden="false" customHeight="true" outlineLevel="0" collapsed="false">
      <c r="A4" s="11" t="s">
        <v>103</v>
      </c>
      <c r="B4" s="12" t="s">
        <v>42</v>
      </c>
      <c r="D4" s="11" t="s">
        <v>104</v>
      </c>
      <c r="E4" s="12" t="s">
        <v>81</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45" hidden="false" customHeight="true" outlineLevel="0" collapsed="false">
      <c r="A8" s="11" t="s">
        <v>113</v>
      </c>
      <c r="B8" s="12" t="s">
        <v>249</v>
      </c>
      <c r="D8" s="11" t="s">
        <v>115</v>
      </c>
      <c r="E8" s="12" t="s">
        <v>250</v>
      </c>
    </row>
    <row r="9" customFormat="false" ht="234" hidden="false" customHeight="true" outlineLevel="0" collapsed="false">
      <c r="A9" s="11" t="s">
        <v>117</v>
      </c>
      <c r="B9" s="12" t="s">
        <v>251</v>
      </c>
      <c r="D9" s="11" t="s">
        <v>119</v>
      </c>
      <c r="E9" s="12" t="s">
        <v>252</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253</v>
      </c>
      <c r="D11" s="11" t="s">
        <v>123</v>
      </c>
      <c r="E11" s="12" t="s">
        <v>253</v>
      </c>
    </row>
    <row r="12" customFormat="false" ht="21.75" hidden="false" customHeight="true" outlineLevel="0" collapsed="false">
      <c r="A12" s="11" t="s">
        <v>125</v>
      </c>
      <c r="B12" s="12" t="s">
        <v>41</v>
      </c>
      <c r="D12" s="11" t="s">
        <v>126</v>
      </c>
      <c r="E12" s="12" t="s">
        <v>41</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254</v>
      </c>
      <c r="B1" s="9"/>
      <c r="D1" s="9" t="s">
        <v>255</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43</v>
      </c>
      <c r="D3" s="11" t="s">
        <v>102</v>
      </c>
      <c r="E3" s="12" t="s">
        <v>43</v>
      </c>
    </row>
    <row r="4" customFormat="false" ht="21.75" hidden="false" customHeight="true" outlineLevel="0" collapsed="false">
      <c r="A4" s="11" t="s">
        <v>103</v>
      </c>
      <c r="B4" s="12" t="s">
        <v>44</v>
      </c>
      <c r="D4" s="11" t="s">
        <v>104</v>
      </c>
      <c r="E4" s="12" t="s">
        <v>82</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78" hidden="false" customHeight="true" outlineLevel="0" collapsed="false">
      <c r="A8" s="11" t="s">
        <v>113</v>
      </c>
      <c r="B8" s="12" t="s">
        <v>256</v>
      </c>
      <c r="D8" s="11" t="s">
        <v>115</v>
      </c>
      <c r="E8" s="12" t="s">
        <v>257</v>
      </c>
    </row>
    <row r="9" customFormat="false" ht="168.75" hidden="false" customHeight="true" outlineLevel="0" collapsed="false">
      <c r="A9" s="11" t="s">
        <v>117</v>
      </c>
      <c r="B9" s="12" t="s">
        <v>258</v>
      </c>
      <c r="D9" s="11" t="s">
        <v>119</v>
      </c>
      <c r="E9" s="12" t="s">
        <v>259</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260</v>
      </c>
      <c r="D11" s="11" t="s">
        <v>123</v>
      </c>
      <c r="E11" s="12" t="s">
        <v>260</v>
      </c>
    </row>
    <row r="12" customFormat="false" ht="21.75" hidden="false" customHeight="true" outlineLevel="0" collapsed="false">
      <c r="A12" s="11" t="s">
        <v>125</v>
      </c>
      <c r="B12" s="12" t="s">
        <v>43</v>
      </c>
      <c r="D12" s="11" t="s">
        <v>126</v>
      </c>
      <c r="E12" s="12" t="s">
        <v>43</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261</v>
      </c>
      <c r="B1" s="9"/>
      <c r="D1" s="9" t="s">
        <v>262</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45</v>
      </c>
      <c r="D3" s="11" t="s">
        <v>102</v>
      </c>
      <c r="E3" s="12" t="s">
        <v>45</v>
      </c>
    </row>
    <row r="4" customFormat="false" ht="21.75" hidden="false" customHeight="true" outlineLevel="0" collapsed="false">
      <c r="A4" s="11" t="s">
        <v>103</v>
      </c>
      <c r="B4" s="12" t="s">
        <v>46</v>
      </c>
      <c r="D4" s="11" t="s">
        <v>104</v>
      </c>
      <c r="E4" s="12" t="s">
        <v>83</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78" hidden="false" customHeight="true" outlineLevel="0" collapsed="false">
      <c r="A8" s="11" t="s">
        <v>113</v>
      </c>
      <c r="B8" s="12" t="s">
        <v>263</v>
      </c>
      <c r="D8" s="11" t="s">
        <v>115</v>
      </c>
      <c r="E8" s="12" t="s">
        <v>264</v>
      </c>
    </row>
    <row r="9" customFormat="false" ht="207.75" hidden="false" customHeight="true" outlineLevel="0" collapsed="false">
      <c r="A9" s="11" t="s">
        <v>117</v>
      </c>
      <c r="B9" s="12" t="s">
        <v>265</v>
      </c>
      <c r="D9" s="11" t="s">
        <v>119</v>
      </c>
      <c r="E9" s="12" t="s">
        <v>266</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267</v>
      </c>
      <c r="D11" s="11" t="s">
        <v>123</v>
      </c>
      <c r="E11" s="12" t="s">
        <v>267</v>
      </c>
    </row>
    <row r="12" customFormat="false" ht="21.75" hidden="false" customHeight="true" outlineLevel="0" collapsed="false">
      <c r="A12" s="11" t="s">
        <v>125</v>
      </c>
      <c r="B12" s="12" t="s">
        <v>45</v>
      </c>
      <c r="D12" s="11" t="s">
        <v>126</v>
      </c>
      <c r="E12" s="12" t="s">
        <v>45</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268</v>
      </c>
      <c r="B1" s="9"/>
      <c r="D1" s="9" t="s">
        <v>269</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48</v>
      </c>
      <c r="D3" s="11" t="s">
        <v>102</v>
      </c>
      <c r="E3" s="12" t="s">
        <v>48</v>
      </c>
    </row>
    <row r="4" customFormat="false" ht="21.75" hidden="false" customHeight="true" outlineLevel="0" collapsed="false">
      <c r="A4" s="11" t="s">
        <v>103</v>
      </c>
      <c r="B4" s="12" t="s">
        <v>49</v>
      </c>
      <c r="D4" s="11" t="s">
        <v>104</v>
      </c>
      <c r="E4" s="12" t="s">
        <v>84</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45" hidden="false" customHeight="true" outlineLevel="0" collapsed="false">
      <c r="A8" s="11" t="s">
        <v>113</v>
      </c>
      <c r="B8" s="12" t="s">
        <v>270</v>
      </c>
      <c r="D8" s="11" t="s">
        <v>115</v>
      </c>
      <c r="E8" s="12" t="s">
        <v>271</v>
      </c>
    </row>
    <row r="9" customFormat="false" ht="78" hidden="false" customHeight="true" outlineLevel="0" collapsed="false">
      <c r="A9" s="11" t="s">
        <v>117</v>
      </c>
      <c r="B9" s="12" t="s">
        <v>272</v>
      </c>
      <c r="D9" s="11" t="s">
        <v>119</v>
      </c>
      <c r="E9" s="12" t="s">
        <v>273</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274</v>
      </c>
      <c r="D11" s="11" t="s">
        <v>123</v>
      </c>
      <c r="E11" s="12" t="s">
        <v>274</v>
      </c>
    </row>
    <row r="12" customFormat="false" ht="21.75" hidden="false" customHeight="true" outlineLevel="0" collapsed="false">
      <c r="A12" s="11" t="s">
        <v>125</v>
      </c>
      <c r="B12" s="12" t="s">
        <v>48</v>
      </c>
      <c r="D12" s="11" t="s">
        <v>126</v>
      </c>
      <c r="E12" s="12" t="s">
        <v>48</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275</v>
      </c>
      <c r="B1" s="9"/>
      <c r="D1" s="9" t="s">
        <v>276</v>
      </c>
      <c r="E1" s="9"/>
    </row>
    <row r="2" customFormat="false" ht="19.5" hidden="false" customHeight="true" outlineLevel="0" collapsed="false">
      <c r="A2" s="10" t="s">
        <v>99</v>
      </c>
      <c r="B2" s="10"/>
      <c r="D2" s="10" t="s">
        <v>100</v>
      </c>
      <c r="E2" s="10"/>
    </row>
    <row r="3" customFormat="false" ht="21.75" hidden="false" customHeight="true" outlineLevel="0" collapsed="false">
      <c r="A3" s="11" t="s">
        <v>101</v>
      </c>
      <c r="B3" s="12" t="s">
        <v>51</v>
      </c>
      <c r="D3" s="11" t="s">
        <v>102</v>
      </c>
      <c r="E3" s="12" t="s">
        <v>51</v>
      </c>
    </row>
    <row r="4" customFormat="false" ht="21.75" hidden="false" customHeight="true" outlineLevel="0" collapsed="false">
      <c r="A4" s="11" t="s">
        <v>103</v>
      </c>
      <c r="B4" s="12" t="s">
        <v>52</v>
      </c>
      <c r="D4" s="11" t="s">
        <v>104</v>
      </c>
      <c r="E4" s="12" t="s">
        <v>85</v>
      </c>
    </row>
    <row r="5" customFormat="false" ht="21.75" hidden="false" customHeight="true" outlineLevel="0" collapsed="false">
      <c r="A5" s="11" t="s">
        <v>105</v>
      </c>
      <c r="B5" s="12" t="s">
        <v>106</v>
      </c>
      <c r="D5" s="11" t="s">
        <v>107</v>
      </c>
      <c r="E5" s="12" t="s">
        <v>108</v>
      </c>
    </row>
    <row r="6" customFormat="false" ht="21.75" hidden="false" customHeight="true" outlineLevel="0" collapsed="false">
      <c r="A6" s="11" t="s">
        <v>109</v>
      </c>
      <c r="B6" s="12"/>
      <c r="D6" s="11" t="s">
        <v>110</v>
      </c>
      <c r="E6" s="12"/>
    </row>
    <row r="7" customFormat="false" ht="21.75" hidden="false" customHeight="true" outlineLevel="0" collapsed="false">
      <c r="A7" s="11" t="s">
        <v>111</v>
      </c>
      <c r="B7" s="12"/>
      <c r="D7" s="11" t="s">
        <v>112</v>
      </c>
      <c r="E7" s="12"/>
    </row>
    <row r="8" customFormat="false" ht="142.5" hidden="false" customHeight="true" outlineLevel="0" collapsed="false">
      <c r="A8" s="11" t="s">
        <v>113</v>
      </c>
      <c r="B8" s="12" t="s">
        <v>277</v>
      </c>
      <c r="D8" s="11" t="s">
        <v>115</v>
      </c>
      <c r="E8" s="12" t="s">
        <v>278</v>
      </c>
    </row>
    <row r="9" customFormat="false" ht="90.75" hidden="false" customHeight="true" outlineLevel="0" collapsed="false">
      <c r="A9" s="11" t="s">
        <v>117</v>
      </c>
      <c r="B9" s="12" t="s">
        <v>279</v>
      </c>
      <c r="D9" s="11" t="s">
        <v>119</v>
      </c>
      <c r="E9" s="12" t="s">
        <v>280</v>
      </c>
    </row>
    <row r="10" customFormat="false" ht="19.5" hidden="false" customHeight="true" outlineLevel="0" collapsed="false">
      <c r="A10" s="10" t="s">
        <v>121</v>
      </c>
      <c r="B10" s="10"/>
      <c r="D10" s="10" t="s">
        <v>122</v>
      </c>
      <c r="E10" s="10"/>
    </row>
    <row r="11" customFormat="false" ht="21.75" hidden="false" customHeight="true" outlineLevel="0" collapsed="false">
      <c r="A11" s="11" t="s">
        <v>123</v>
      </c>
      <c r="B11" s="12" t="s">
        <v>281</v>
      </c>
      <c r="D11" s="11" t="s">
        <v>123</v>
      </c>
      <c r="E11" s="12" t="s">
        <v>281</v>
      </c>
    </row>
    <row r="12" customFormat="false" ht="21.75" hidden="false" customHeight="true" outlineLevel="0" collapsed="false">
      <c r="A12" s="11" t="s">
        <v>125</v>
      </c>
      <c r="B12" s="12" t="s">
        <v>51</v>
      </c>
      <c r="D12" s="11" t="s">
        <v>126</v>
      </c>
      <c r="E12" s="12" t="s">
        <v>51</v>
      </c>
    </row>
    <row r="13" customFormat="false" ht="21.75" hidden="false" customHeight="true" outlineLevel="0" collapsed="false">
      <c r="A13" s="11" t="s">
        <v>127</v>
      </c>
      <c r="B13" s="12"/>
      <c r="D13" s="11" t="s">
        <v>128</v>
      </c>
      <c r="E13" s="12"/>
    </row>
    <row r="14" customFormat="false" ht="54.75" hidden="false" customHeight="true" outlineLevel="0" collapsed="false">
      <c r="A14" s="11" t="s">
        <v>129</v>
      </c>
      <c r="B14" s="12"/>
      <c r="D14" s="11" t="s">
        <v>130</v>
      </c>
      <c r="E14" s="12"/>
    </row>
    <row r="15" customFormat="false" ht="54.75" hidden="false" customHeight="true" outlineLevel="0" collapsed="false">
      <c r="A15" s="11" t="s">
        <v>131</v>
      </c>
      <c r="B15" s="12"/>
      <c r="D15" s="11" t="s">
        <v>132</v>
      </c>
      <c r="E15" s="12"/>
    </row>
    <row r="16" customFormat="false" ht="54.75" hidden="false" customHeight="true" outlineLevel="0" collapsed="false">
      <c r="A16" s="11" t="s">
        <v>57</v>
      </c>
      <c r="B16" s="12"/>
      <c r="D16" s="11" t="s">
        <v>90</v>
      </c>
      <c r="E16" s="12"/>
    </row>
    <row r="17" customFormat="false" ht="24.75" hidden="false" customHeight="true" outlineLevel="0" collapsed="false">
      <c r="A17" s="11" t="s">
        <v>133</v>
      </c>
      <c r="B17" s="12"/>
      <c r="D17" s="11" t="s">
        <v>134</v>
      </c>
      <c r="E17" s="12"/>
    </row>
    <row r="18" customFormat="false" ht="24.75" hidden="false" customHeight="true" outlineLevel="0" collapsed="false">
      <c r="A18" s="11" t="s">
        <v>135</v>
      </c>
      <c r="B18" s="12"/>
      <c r="D18" s="11" t="s">
        <v>136</v>
      </c>
      <c r="E18" s="12"/>
    </row>
    <row r="19" customFormat="false" ht="24.75" hidden="false" customHeight="true" outlineLevel="0" collapsed="false">
      <c r="A19" s="11" t="s">
        <v>137</v>
      </c>
      <c r="B19" s="12"/>
      <c r="D19" s="11" t="s">
        <v>138</v>
      </c>
      <c r="E19" s="12"/>
    </row>
    <row r="20" customFormat="false" ht="21.75" hidden="false" customHeight="true" outlineLevel="0" collapsed="false">
      <c r="A20" s="11" t="s">
        <v>5</v>
      </c>
      <c r="B20" s="12" t="s">
        <v>55</v>
      </c>
      <c r="D20" s="11" t="s">
        <v>69</v>
      </c>
      <c r="E20" s="12" t="s">
        <v>139</v>
      </c>
    </row>
    <row r="21" customFormat="false" ht="54.75" hidden="false" customHeight="true" outlineLevel="0" collapsed="false">
      <c r="A21" s="11" t="s">
        <v>140</v>
      </c>
      <c r="B21" s="12"/>
      <c r="D21" s="11" t="s">
        <v>141</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2026-05-29T18:33:57Z</dcterms:created>
  <dc:creator>openpyxl</dc:creator>
  <dc:description/>
  <dc:language>en-US</dc:language>
  <cp:lastModifiedBy/>
  <dcterms:modified xsi:type="dcterms:W3CDTF">2026-05-29T18:33:57Z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