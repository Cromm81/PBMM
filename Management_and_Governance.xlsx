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56.xml" ContentType="application/vnd.openxmlformats-officedocument.spreadsheetml.worksheet+xml"/>
  <Override PartName="/xl/worksheets/sheet55.xml" ContentType="application/vnd.openxmlformats-officedocument.spreadsheetml.worksheet+xml"/>
  <Override PartName="/xl/worksheets/sheet54.xml" ContentType="application/vnd.openxmlformats-officedocument.spreadsheetml.worksheet+xml"/>
  <Override PartName="/xl/worksheets/sheet53.xml" ContentType="application/vnd.openxmlformats-officedocument.spreadsheetml.worksheet+xml"/>
  <Override PartName="/xl/worksheets/sheet52.xml" ContentType="application/vnd.openxmlformats-officedocument.spreadsheetml.worksheet+xml"/>
  <Override PartName="/xl/worksheets/sheet51.xml" ContentType="application/vnd.openxmlformats-officedocument.spreadsheetml.worksheet+xml"/>
  <Override PartName="/xl/worksheets/sheet50.xml" ContentType="application/vnd.openxmlformats-officedocument.spreadsheetml.worksheet+xml"/>
  <Override PartName="/xl/worksheets/sheet46.xml" ContentType="application/vnd.openxmlformats-officedocument.spreadsheetml.worksheet+xml"/>
  <Override PartName="/xl/worksheets/sheet45.xml" ContentType="application/vnd.openxmlformats-officedocument.spreadsheetml.worksheet+xml"/>
  <Override PartName="/xl/worksheets/sheet44.xml" ContentType="application/vnd.openxmlformats-officedocument.spreadsheetml.worksheet+xml"/>
  <Override PartName="/xl/worksheets/sheet43.xml" ContentType="application/vnd.openxmlformats-officedocument.spreadsheetml.worksheet+xml"/>
  <Override PartName="/xl/worksheets/sheet42.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38.xml" ContentType="application/vnd.openxmlformats-officedocument.spreadsheetml.worksheet+xml"/>
  <Override PartName="/xl/worksheets/sheet37.xml" ContentType="application/vnd.openxmlformats-officedocument.spreadsheetml.worksheet+xml"/>
  <Override PartName="/xl/worksheets/sheet18.xml" ContentType="application/vnd.openxmlformats-officedocument.spreadsheetml.worksheet+xml"/>
  <Override PartName="/xl/worksheets/sheet60.xml" ContentType="application/vnd.openxmlformats-officedocument.spreadsheetml.worksheet+xml"/>
  <Override PartName="/xl/worksheets/sheet1.xml" ContentType="application/vnd.openxmlformats-officedocument.spreadsheetml.worksheet+xml"/>
  <Override PartName="/xl/worksheets/sheet57.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61.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25.xml" ContentType="application/vnd.openxmlformats-officedocument.spreadsheetml.worksheet+xml"/>
  <Override PartName="/xl/worksheets/sheet62.xml" ContentType="application/vnd.openxmlformats-officedocument.spreadsheetml.worksheet+xml"/>
  <Override PartName="/xl/worksheets/sheet3.xml" ContentType="application/vnd.openxmlformats-officedocument.spreadsheetml.worksheet+xml"/>
  <Override PartName="/xl/worksheets/sheet26.xml" ContentType="application/vnd.openxmlformats-officedocument.spreadsheetml.worksheet+xml"/>
  <Override PartName="/xl/worksheets/sheet63.xml" ContentType="application/vnd.openxmlformats-officedocument.spreadsheetml.worksheet+xml"/>
  <Override PartName="/xl/worksheets/sheet4.xml" ContentType="application/vnd.openxmlformats-officedocument.spreadsheetml.worksheet+xml"/>
  <Override PartName="/xl/worksheets/sheet76.xml" ContentType="application/vnd.openxmlformats-officedocument.spreadsheetml.worksheet+xml"/>
  <Override PartName="/xl/worksheets/sheet27.xml" ContentType="application/vnd.openxmlformats-officedocument.spreadsheetml.worksheet+xml"/>
  <Override PartName="/xl/worksheets/sheet64.xml" ContentType="application/vnd.openxmlformats-officedocument.spreadsheetml.worksheet+xml"/>
  <Override PartName="/xl/worksheets/sheet20.xml" ContentType="application/vnd.openxmlformats-officedocument.spreadsheetml.worksheet+xml"/>
  <Override PartName="/xl/worksheets/sheet5.xml" ContentType="application/vnd.openxmlformats-officedocument.spreadsheetml.worksheet+xml"/>
  <Override PartName="/xl/worksheets/sheet75.xml" ContentType="application/vnd.openxmlformats-officedocument.spreadsheetml.worksheet+xml"/>
  <Override PartName="/xl/worksheets/sheet74.xml" ContentType="application/vnd.openxmlformats-officedocument.spreadsheetml.worksheet+xml"/>
  <Override PartName="/xl/worksheets/sheet73.xml" ContentType="application/vnd.openxmlformats-officedocument.spreadsheetml.worksheet+xml"/>
  <Override PartName="/xl/worksheets/sheet72.xml" ContentType="application/vnd.openxmlformats-officedocument.spreadsheetml.worksheet+xml"/>
  <Override PartName="/xl/worksheets/sheet71.xml" ContentType="application/vnd.openxmlformats-officedocument.spreadsheetml.worksheet+xml"/>
  <Override PartName="/xl/worksheets/sheet29.xml" ContentType="application/vnd.openxmlformats-officedocument.spreadsheetml.worksheet+xml"/>
  <Override PartName="/xl/worksheets/sheet69.xml" ContentType="application/vnd.openxmlformats-officedocument.spreadsheetml.worksheet+xml"/>
  <Override PartName="/xl/worksheets/sheet32.xml" ContentType="application/vnd.openxmlformats-officedocument.spreadsheetml.worksheet+xml"/>
  <Override PartName="/xl/worksheets/sheet70.xml" ContentType="application/vnd.openxmlformats-officedocument.spreadsheetml.worksheet+xml"/>
  <Override PartName="/xl/worksheets/sheet28.xml" ContentType="application/vnd.openxmlformats-officedocument.spreadsheetml.worksheet+xml"/>
  <Override PartName="/xl/worksheets/sheet68.xml" ContentType="application/vnd.openxmlformats-officedocument.spreadsheetml.worksheet+xml"/>
  <Override PartName="/xl/worksheets/sheet31.xml" ContentType="application/vnd.openxmlformats-officedocument.spreadsheetml.worksheet+xml"/>
  <Override PartName="/xl/worksheets/sheet67.xml" ContentType="application/vnd.openxmlformats-officedocument.spreadsheetml.worksheet+xml"/>
  <Override PartName="/xl/worksheets/sheet30.xml" ContentType="application/vnd.openxmlformats-officedocument.spreadsheetml.worksheet+xml"/>
  <Override PartName="/xl/worksheets/sheet66.xml" ContentType="application/vnd.openxmlformats-officedocument.spreadsheetml.worksheet+xml"/>
  <Override PartName="/xl/worksheets/sheet22.xml" ContentType="application/vnd.openxmlformats-officedocument.spreadsheetml.worksheet+xml"/>
  <Override PartName="/xl/worksheets/sheet7.xml" ContentType="application/vnd.openxmlformats-officedocument.spreadsheetml.worksheet+xml"/>
  <Override PartName="/xl/worksheets/sheet65.xml" ContentType="application/vnd.openxmlformats-officedocument.spreadsheetml.worksheet+xml"/>
  <Override PartName="/xl/worksheets/sheet21.xml" ContentType="application/vnd.openxmlformats-officedocument.spreadsheetml.worksheet+xml"/>
  <Override PartName="/xl/worksheets/sheet6.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2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24.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ABLEAU_DE_BORD" sheetId="2" state="visible" r:id="rId4"/>
    <sheet name="AC-2-1" sheetId="3" state="visible" r:id="rId5"/>
    <sheet name="AC-2-2" sheetId="4" state="visible" r:id="rId6"/>
    <sheet name="AC-2-3" sheetId="5" state="visible" r:id="rId7"/>
    <sheet name="AC-2-4" sheetId="6" state="visible" r:id="rId8"/>
    <sheet name="AC-2-5" sheetId="7" state="visible" r:id="rId9"/>
    <sheet name="AC-2-7" sheetId="8" state="visible" r:id="rId10"/>
    <sheet name="AC-6" sheetId="9" state="visible" r:id="rId11"/>
    <sheet name="AC-6-1" sheetId="10" state="visible" r:id="rId12"/>
    <sheet name="AC-6-9" sheetId="11" state="visible" r:id="rId13"/>
    <sheet name="AC-6-10" sheetId="12" state="visible" r:id="rId14"/>
    <sheet name="AC-17-1" sheetId="13" state="visible" r:id="rId15"/>
    <sheet name="AC-17-2" sheetId="14" state="visible" r:id="rId16"/>
    <sheet name="AU-2" sheetId="15" state="visible" r:id="rId17"/>
    <sheet name="AU-3" sheetId="16" state="visible" r:id="rId18"/>
    <sheet name="AU-3-1" sheetId="17" state="visible" r:id="rId19"/>
    <sheet name="AU-5" sheetId="18" state="visible" r:id="rId20"/>
    <sheet name="AU-6-1" sheetId="19" state="visible" r:id="rId21"/>
    <sheet name="AU-6-3" sheetId="20" state="visible" r:id="rId22"/>
    <sheet name="AU-7" sheetId="21" state="visible" r:id="rId23"/>
    <sheet name="AU-7-1" sheetId="22" state="visible" r:id="rId24"/>
    <sheet name="AU-8" sheetId="23" state="visible" r:id="rId25"/>
    <sheet name="AU-8-1" sheetId="24" state="visible" r:id="rId26"/>
    <sheet name="AU-9" sheetId="25" state="visible" r:id="rId27"/>
    <sheet name="AU-9-2" sheetId="26" state="visible" r:id="rId28"/>
    <sheet name="AU-9-4" sheetId="27" state="visible" r:id="rId29"/>
    <sheet name="AU-11" sheetId="28" state="visible" r:id="rId30"/>
    <sheet name="AU-12" sheetId="29" state="visible" r:id="rId31"/>
    <sheet name="CA-9" sheetId="30" state="visible" r:id="rId32"/>
    <sheet name="CM-2-2" sheetId="31" state="visible" r:id="rId33"/>
    <sheet name="CM-2-3" sheetId="32" state="visible" r:id="rId34"/>
    <sheet name="CM-3" sheetId="33" state="visible" r:id="rId35"/>
    <sheet name="CM-3-6" sheetId="34" state="visible" r:id="rId36"/>
    <sheet name="CM-5-1" sheetId="35" state="visible" r:id="rId37"/>
    <sheet name="CM-6" sheetId="36" state="visible" r:id="rId38"/>
    <sheet name="CM-6-1" sheetId="37" state="visible" r:id="rId39"/>
    <sheet name="CM-7" sheetId="38" state="visible" r:id="rId40"/>
    <sheet name="CM-7-1" sheetId="39" state="visible" r:id="rId41"/>
    <sheet name="CM-8-2" sheetId="40" state="visible" r:id="rId42"/>
    <sheet name="CM-8-5" sheetId="41" state="visible" r:id="rId43"/>
    <sheet name="CP-6" sheetId="42" state="visible" r:id="rId44"/>
    <sheet name="CP-6-2" sheetId="43" state="visible" r:id="rId45"/>
    <sheet name="CP-7" sheetId="44" state="visible" r:id="rId46"/>
    <sheet name="CP-7-1" sheetId="45" state="visible" r:id="rId47"/>
    <sheet name="CP-7-4" sheetId="46" state="visible" r:id="rId48"/>
    <sheet name="CP-9" sheetId="47" state="visible" r:id="rId49"/>
    <sheet name="CP-9-1" sheetId="48" state="visible" r:id="rId50"/>
    <sheet name="CP-9-2" sheetId="49" state="visible" r:id="rId51"/>
    <sheet name="CP-9-3" sheetId="50" state="visible" r:id="rId52"/>
    <sheet name="CP-9-5" sheetId="51" state="visible" r:id="rId53"/>
    <sheet name="CP-10" sheetId="52" state="visible" r:id="rId54"/>
    <sheet name="CP-10-4" sheetId="53" state="visible" r:id="rId55"/>
    <sheet name="IA-5-7" sheetId="54" state="visible" r:id="rId56"/>
    <sheet name="MA-4" sheetId="55" state="visible" r:id="rId57"/>
    <sheet name="MA-4-1" sheetId="56" state="visible" r:id="rId58"/>
    <sheet name="RA-5" sheetId="57" state="visible" r:id="rId59"/>
    <sheet name="RA-5-8" sheetId="58" state="visible" r:id="rId60"/>
    <sheet name="SA-9-5" sheetId="59" state="visible" r:id="rId61"/>
    <sheet name="SC-7" sheetId="60" state="visible" r:id="rId62"/>
    <sheet name="SC-13" sheetId="61" state="visible" r:id="rId63"/>
    <sheet name="SC-18" sheetId="62" state="visible" r:id="rId64"/>
    <sheet name="SC-28" sheetId="63" state="visible" r:id="rId65"/>
    <sheet name="SC-28-1" sheetId="64" state="visible" r:id="rId66"/>
    <sheet name="SI-2-2" sheetId="65" state="visible" r:id="rId67"/>
    <sheet name="SI-3-1" sheetId="66" state="visible" r:id="rId68"/>
    <sheet name="SI-3-2" sheetId="67" state="visible" r:id="rId69"/>
    <sheet name="SI-4" sheetId="68" state="visible" r:id="rId70"/>
    <sheet name="SI-4-1" sheetId="69" state="visible" r:id="rId71"/>
    <sheet name="SI-4-2" sheetId="70" state="visible" r:id="rId72"/>
    <sheet name="SI-4-4" sheetId="71" state="visible" r:id="rId73"/>
    <sheet name="SI-4-5" sheetId="72" state="visible" r:id="rId74"/>
    <sheet name="SI-4-11" sheetId="73" state="visible" r:id="rId75"/>
    <sheet name="SI-6" sheetId="74" state="visible" r:id="rId76"/>
    <sheet name="SI-7-7" sheetId="75" state="visible" r:id="rId77"/>
    <sheet name="SI-11" sheetId="76" state="visible" r:id="rId7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<sst xmlns="http://schemas.openxmlformats.org/spreadsheetml/2006/main" count="4760" uniqueCount="774">
  <si>
    <t xml:space="preserve">DASHBOARD — PBMM Evidence: Management and Governance</t>
  </si>
  <si>
    <t xml:space="preserve">Control ID</t>
  </si>
  <si>
    <t xml:space="preserve">Control Name</t>
  </si>
  <si>
    <t xml:space="preserve">Primary Tool</t>
  </si>
  <si>
    <t xml:space="preserve">Tab</t>
  </si>
  <si>
    <t xml:space="preserve">Status</t>
  </si>
  <si>
    <t xml:space="preserve">AC-2(1)</t>
  </si>
  <si>
    <t xml:space="preserve">Account Management</t>
  </si>
  <si>
    <t xml:space="preserve">AC-2-1</t>
  </si>
  <si>
    <t xml:space="preserve">AC-2(2)</t>
  </si>
  <si>
    <t xml:space="preserve">AC-2-2</t>
  </si>
  <si>
    <t xml:space="preserve">AC-2(3)</t>
  </si>
  <si>
    <t xml:space="preserve">AC-2-3</t>
  </si>
  <si>
    <t xml:space="preserve">AC-2(4)</t>
  </si>
  <si>
    <t xml:space="preserve">AC-2-4</t>
  </si>
  <si>
    <t xml:space="preserve">AC-2(5)</t>
  </si>
  <si>
    <t xml:space="preserve">AC-2-5</t>
  </si>
  <si>
    <t xml:space="preserve">AC-2(7)</t>
  </si>
  <si>
    <t xml:space="preserve">AC-2-7</t>
  </si>
  <si>
    <t xml:space="preserve">AC-6</t>
  </si>
  <si>
    <t xml:space="preserve">Least Privilege</t>
  </si>
  <si>
    <t xml:space="preserve">AC-6(1)</t>
  </si>
  <si>
    <t xml:space="preserve">AC-6-1</t>
  </si>
  <si>
    <t xml:space="preserve">AC-6(9)</t>
  </si>
  <si>
    <t xml:space="preserve">AC-6-9</t>
  </si>
  <si>
    <t xml:space="preserve">AC-6(10)</t>
  </si>
  <si>
    <t xml:space="preserve">AC-6-10</t>
  </si>
  <si>
    <t xml:space="preserve">AC-17(1)</t>
  </si>
  <si>
    <t xml:space="preserve">Remote Access</t>
  </si>
  <si>
    <t xml:space="preserve">AC-17-1</t>
  </si>
  <si>
    <t xml:space="preserve">AC-17(2)</t>
  </si>
  <si>
    <t xml:space="preserve">AC-17-2</t>
  </si>
  <si>
    <t xml:space="preserve">AU-2</t>
  </si>
  <si>
    <t xml:space="preserve">Auditable Events</t>
  </si>
  <si>
    <t xml:space="preserve">AU-3</t>
  </si>
  <si>
    <t xml:space="preserve">Content of Audit Records</t>
  </si>
  <si>
    <t xml:space="preserve">AU-3(1)</t>
  </si>
  <si>
    <t xml:space="preserve">AU-3-1</t>
  </si>
  <si>
    <t xml:space="preserve">AU-5</t>
  </si>
  <si>
    <t xml:space="preserve">Response To Audit Processing Failures</t>
  </si>
  <si>
    <t xml:space="preserve">AU-6(1)</t>
  </si>
  <si>
    <t xml:space="preserve">Audit Review, Analysis, and Reporting</t>
  </si>
  <si>
    <t xml:space="preserve">AU-6-1</t>
  </si>
  <si>
    <t xml:space="preserve">AU-6(3)</t>
  </si>
  <si>
    <t xml:space="preserve">AU-6-3</t>
  </si>
  <si>
    <t xml:space="preserve">AU-7</t>
  </si>
  <si>
    <t xml:space="preserve">Audit Reduction and Report Generation</t>
  </si>
  <si>
    <t xml:space="preserve">AU-7(1)</t>
  </si>
  <si>
    <t xml:space="preserve">AU-7-1</t>
  </si>
  <si>
    <t xml:space="preserve">AU-8</t>
  </si>
  <si>
    <t xml:space="preserve">Time Stamps</t>
  </si>
  <si>
    <t xml:space="preserve">AU-8(1)</t>
  </si>
  <si>
    <t xml:space="preserve">AU-8-1</t>
  </si>
  <si>
    <t xml:space="preserve">AU-9</t>
  </si>
  <si>
    <t xml:space="preserve">Protection of Audit Information</t>
  </si>
  <si>
    <t xml:space="preserve">AU-9(2)</t>
  </si>
  <si>
    <t xml:space="preserve">AU-9-2</t>
  </si>
  <si>
    <t xml:space="preserve">AU-9(4)</t>
  </si>
  <si>
    <t xml:space="preserve">AU-9-4</t>
  </si>
  <si>
    <t xml:space="preserve">AU-11</t>
  </si>
  <si>
    <t xml:space="preserve">Audit Record Retention</t>
  </si>
  <si>
    <t xml:space="preserve">AU-12</t>
  </si>
  <si>
    <t xml:space="preserve">Audit Generation</t>
  </si>
  <si>
    <t xml:space="preserve">CA-9</t>
  </si>
  <si>
    <t xml:space="preserve">Internal System Connections</t>
  </si>
  <si>
    <t xml:space="preserve">CM-2(2)</t>
  </si>
  <si>
    <t xml:space="preserve">Baseline Configuration</t>
  </si>
  <si>
    <t xml:space="preserve">CM-2-2</t>
  </si>
  <si>
    <t xml:space="preserve">CM-2(3)</t>
  </si>
  <si>
    <t xml:space="preserve">CM-2-3</t>
  </si>
  <si>
    <t xml:space="preserve">CM-3</t>
  </si>
  <si>
    <t xml:space="preserve">Configuration Change Control</t>
  </si>
  <si>
    <t xml:space="preserve">CM-3(6)</t>
  </si>
  <si>
    <t xml:space="preserve">CM-3-6</t>
  </si>
  <si>
    <t xml:space="preserve">CM-5(1)</t>
  </si>
  <si>
    <t xml:space="preserve">Access Restrictions for Change</t>
  </si>
  <si>
    <t xml:space="preserve">CM-5-1</t>
  </si>
  <si>
    <t xml:space="preserve">CM-6</t>
  </si>
  <si>
    <t xml:space="preserve">Configuration Settings</t>
  </si>
  <si>
    <t xml:space="preserve">CM-6(1)</t>
  </si>
  <si>
    <t xml:space="preserve">CM-6-1</t>
  </si>
  <si>
    <t xml:space="preserve">CM-7</t>
  </si>
  <si>
    <t xml:space="preserve">Least Functionality</t>
  </si>
  <si>
    <t xml:space="preserve">CM-7(1)</t>
  </si>
  <si>
    <t xml:space="preserve">CM-7-1</t>
  </si>
  <si>
    <t xml:space="preserve">CM-8(2)</t>
  </si>
  <si>
    <t xml:space="preserve">Information System Component Inventory</t>
  </si>
  <si>
    <t xml:space="preserve">CM-8-2</t>
  </si>
  <si>
    <t xml:space="preserve">CM-8(5)</t>
  </si>
  <si>
    <t xml:space="preserve">CM-8-5</t>
  </si>
  <si>
    <t xml:space="preserve">CP-6</t>
  </si>
  <si>
    <t xml:space="preserve">Alternate Storage Site</t>
  </si>
  <si>
    <t xml:space="preserve">CP-6(2)</t>
  </si>
  <si>
    <t xml:space="preserve">CP-6-2</t>
  </si>
  <si>
    <t xml:space="preserve">CP-7</t>
  </si>
  <si>
    <t xml:space="preserve">Alternate Processing Site</t>
  </si>
  <si>
    <t xml:space="preserve">CP-7(1)</t>
  </si>
  <si>
    <t xml:space="preserve">CP-7-1</t>
  </si>
  <si>
    <t xml:space="preserve">CP-7(4)</t>
  </si>
  <si>
    <t xml:space="preserve">CP-7-4</t>
  </si>
  <si>
    <t xml:space="preserve">CP-9</t>
  </si>
  <si>
    <t xml:space="preserve">Information System Backup</t>
  </si>
  <si>
    <t xml:space="preserve">CP-9(1)</t>
  </si>
  <si>
    <t xml:space="preserve">CP-9-1</t>
  </si>
  <si>
    <t xml:space="preserve">CP-9(2)</t>
  </si>
  <si>
    <t xml:space="preserve">CP-9-2</t>
  </si>
  <si>
    <t xml:space="preserve">CP-9(3)</t>
  </si>
  <si>
    <t xml:space="preserve">CP-9-3</t>
  </si>
  <si>
    <t xml:space="preserve">CP-9(5)</t>
  </si>
  <si>
    <t xml:space="preserve">CP-9-5</t>
  </si>
  <si>
    <t xml:space="preserve">CP-10</t>
  </si>
  <si>
    <t xml:space="preserve">Information System Recovery and Reconstitution</t>
  </si>
  <si>
    <t xml:space="preserve">CP-10(4)</t>
  </si>
  <si>
    <t xml:space="preserve">CP-10-4</t>
  </si>
  <si>
    <t xml:space="preserve">IA-5(7)</t>
  </si>
  <si>
    <t xml:space="preserve">Authenticator Management</t>
  </si>
  <si>
    <t xml:space="preserve">IA-5-7</t>
  </si>
  <si>
    <t xml:space="preserve">MA-4</t>
  </si>
  <si>
    <t xml:space="preserve">Non-Local Maintenance</t>
  </si>
  <si>
    <t xml:space="preserve">MA-4(1)</t>
  </si>
  <si>
    <t xml:space="preserve">MA-4-1</t>
  </si>
  <si>
    <t xml:space="preserve">RA-5</t>
  </si>
  <si>
    <t xml:space="preserve">Vulnerability Scanning</t>
  </si>
  <si>
    <t xml:space="preserve">RA-5(8)</t>
  </si>
  <si>
    <t xml:space="preserve">RA-5-8</t>
  </si>
  <si>
    <t xml:space="preserve">SA-9(5)</t>
  </si>
  <si>
    <t xml:space="preserve">External Information System Services</t>
  </si>
  <si>
    <t xml:space="preserve">SA-9-5</t>
  </si>
  <si>
    <t xml:space="preserve">SC-7</t>
  </si>
  <si>
    <t xml:space="preserve">Boundary Protection</t>
  </si>
  <si>
    <t xml:space="preserve">SC-13</t>
  </si>
  <si>
    <t xml:space="preserve">Cryptographic Protection</t>
  </si>
  <si>
    <t xml:space="preserve">SC-18</t>
  </si>
  <si>
    <t xml:space="preserve">Mobile Code</t>
  </si>
  <si>
    <t xml:space="preserve">SC-28</t>
  </si>
  <si>
    <t xml:space="preserve">Protection of Information At Rest</t>
  </si>
  <si>
    <t xml:space="preserve">SC-28(1)</t>
  </si>
  <si>
    <t xml:space="preserve">SC-28-1</t>
  </si>
  <si>
    <t xml:space="preserve">SI-2(2)</t>
  </si>
  <si>
    <t xml:space="preserve">Flaw Remediation</t>
  </si>
  <si>
    <t xml:space="preserve">SI-2-2</t>
  </si>
  <si>
    <t xml:space="preserve">SI-3(1)</t>
  </si>
  <si>
    <t xml:space="preserve">Malicious Code Protection</t>
  </si>
  <si>
    <t xml:space="preserve">SI-3-1</t>
  </si>
  <si>
    <t xml:space="preserve">SI-3(2)</t>
  </si>
  <si>
    <t xml:space="preserve">SI-3-2</t>
  </si>
  <si>
    <t xml:space="preserve">SI-4</t>
  </si>
  <si>
    <t xml:space="preserve">Information System Monitoring</t>
  </si>
  <si>
    <t xml:space="preserve">SI-4(1)</t>
  </si>
  <si>
    <t xml:space="preserve">SI-4-1</t>
  </si>
  <si>
    <t xml:space="preserve">SI-4(2)</t>
  </si>
  <si>
    <t xml:space="preserve">SI-4-2</t>
  </si>
  <si>
    <t xml:space="preserve">SI-4(4)</t>
  </si>
  <si>
    <t xml:space="preserve">SI-4-4</t>
  </si>
  <si>
    <t xml:space="preserve">SI-4(5)</t>
  </si>
  <si>
    <t xml:space="preserve">SI-4-5</t>
  </si>
  <si>
    <t xml:space="preserve">SI-4(11)</t>
  </si>
  <si>
    <t xml:space="preserve">SI-4-11</t>
  </si>
  <si>
    <t xml:space="preserve">SI-6</t>
  </si>
  <si>
    <t xml:space="preserve">Security Functional Verification</t>
  </si>
  <si>
    <t xml:space="preserve">SI-7(7)</t>
  </si>
  <si>
    <t xml:space="preserve">Software, Firmware, and Information Integrity</t>
  </si>
  <si>
    <t xml:space="preserve">SI-7-7</t>
  </si>
  <si>
    <t xml:space="preserve">SI-11</t>
  </si>
  <si>
    <t xml:space="preserve">Error Handling</t>
  </si>
  <si>
    <t xml:space="preserve">Completion Metrics</t>
  </si>
  <si>
    <t xml:space="preserve">Total Controls</t>
  </si>
  <si>
    <t xml:space="preserve">Not Started</t>
  </si>
  <si>
    <t xml:space="preserve">In Progress</t>
  </si>
  <si>
    <t xml:space="preserve">Evidence Provided</t>
  </si>
  <si>
    <t xml:space="preserve">Under Review</t>
  </si>
  <si>
    <t xml:space="preserve">Passed</t>
  </si>
  <si>
    <t xml:space="preserve">Failed</t>
  </si>
  <si>
    <t xml:space="preserve">Accepted Exception</t>
  </si>
  <si>
    <t xml:space="preserve">% Complete</t>
  </si>
  <si>
    <t xml:space="preserve">% Not Started</t>
  </si>
  <si>
    <t xml:space="preserve">TABLEAU DE BORD — Suivi PBMM : Management and Governance</t>
  </si>
  <si>
    <t xml:space="preserve">ID Contrôle</t>
  </si>
  <si>
    <t xml:space="preserve">Nom du contrôle</t>
  </si>
  <si>
    <t xml:space="preserve">Outil principal</t>
  </si>
  <si>
    <t xml:space="preserve">Onglet</t>
  </si>
  <si>
    <t xml:space="preserve">Statut</t>
  </si>
  <si>
    <t xml:space="preserve">Gestion des comptes</t>
  </si>
  <si>
    <t xml:space="preserve">Moindre privilège</t>
  </si>
  <si>
    <t xml:space="preserve">Accès à distance</t>
  </si>
  <si>
    <t xml:space="preserve">Événements vérifiables</t>
  </si>
  <si>
    <t xml:space="preserve">Contenu des enregistrements de vérification</t>
  </si>
  <si>
    <t xml:space="preserve">Réponse aux échecs de traitement de vérification</t>
  </si>
  <si>
    <t xml:space="preserve">Examen, analyse et rapport de vérification</t>
  </si>
  <si>
    <t xml:space="preserve">Réduction des vérifications et production de rapports</t>
  </si>
  <si>
    <t xml:space="preserve">Estampilles temporelles</t>
  </si>
  <si>
    <t xml:space="preserve">Protection des renseignements de vérification</t>
  </si>
  <si>
    <t xml:space="preserve">Conservation des enregistrements de vérification</t>
  </si>
  <si>
    <t xml:space="preserve">Génération des vérifications</t>
  </si>
  <si>
    <t xml:space="preserve">Connexions internes au système</t>
  </si>
  <si>
    <t xml:space="preserve">Configuration de base</t>
  </si>
  <si>
    <t xml:space="preserve">Contrôle des changements de configuration</t>
  </si>
  <si>
    <t xml:space="preserve">Restrictions d’accès pour les changements</t>
  </si>
  <si>
    <t xml:space="preserve">Paramètres de configuration</t>
  </si>
  <si>
    <t xml:space="preserve">Moindre fonctionnalité</t>
  </si>
  <si>
    <t xml:space="preserve">Inventaire des composants du système d’information</t>
  </si>
  <si>
    <t xml:space="preserve">Site de stockage auxiliaire</t>
  </si>
  <si>
    <t xml:space="preserve">Site de traitement auxiliaire</t>
  </si>
  <si>
    <t xml:space="preserve">Sauvegarde du système d’information</t>
  </si>
  <si>
    <t xml:space="preserve">Reprise et reconstitution du système d’information</t>
  </si>
  <si>
    <t xml:space="preserve">Gestion des authentifiants</t>
  </si>
  <si>
    <t xml:space="preserve">Maintenance non locale</t>
  </si>
  <si>
    <t xml:space="preserve">Analyse des vulnérabilités</t>
  </si>
  <si>
    <t xml:space="preserve">Services de systèmes d’information externes</t>
  </si>
  <si>
    <t xml:space="preserve">Protection des frontières</t>
  </si>
  <si>
    <t xml:space="preserve">Protection cryptographique</t>
  </si>
  <si>
    <t xml:space="preserve">Code mobile</t>
  </si>
  <si>
    <t xml:space="preserve">Protection de l’information inactive</t>
  </si>
  <si>
    <t xml:space="preserve">Correction des défauts</t>
  </si>
  <si>
    <t xml:space="preserve">Protection contre le code malveillant</t>
  </si>
  <si>
    <t xml:space="preserve">Surveillance du système d’information</t>
  </si>
  <si>
    <t xml:space="preserve">Vérification fonctionnelle de la sécurité</t>
  </si>
  <si>
    <t xml:space="preserve">Logiciels, micrologiciels et intégrité de l’information</t>
  </si>
  <si>
    <t xml:space="preserve">Traitement des erreurs</t>
  </si>
  <si>
    <t xml:space="preserve">Métriques de complétude</t>
  </si>
  <si>
    <t xml:space="preserve">Nombre total de contrôles</t>
  </si>
  <si>
    <t xml:space="preserve">Non commencés</t>
  </si>
  <si>
    <t xml:space="preserve">En cours</t>
  </si>
  <si>
    <t xml:space="preserve">Preuve fournie</t>
  </si>
  <si>
    <t xml:space="preserve">En révision</t>
  </si>
  <si>
    <t xml:space="preserve">Réussi</t>
  </si>
  <si>
    <t xml:space="preserve">Échec</t>
  </si>
  <si>
    <t xml:space="preserve">Exception acceptée</t>
  </si>
  <si>
    <t xml:space="preserve">% Complété</t>
  </si>
  <si>
    <t xml:space="preserve">% Non commencés</t>
  </si>
  <si>
    <t xml:space="preserve">Control AC-2(1) — Evidence Tracking</t>
  </si>
  <si>
    <t xml:space="preserve">Contrôle AC-2(1) — Suivi des preuves</t>
  </si>
  <si>
    <t xml:space="preserve">Control Information</t>
  </si>
  <si>
    <t xml:space="preserve">Informations du contrôle</t>
  </si>
  <si>
    <t xml:space="preserve">Control Identifier</t>
  </si>
  <si>
    <t xml:space="preserve">Identifiant du contrôle</t>
  </si>
  <si>
    <t xml:space="preserve">Family</t>
  </si>
  <si>
    <t xml:space="preserve">Famille</t>
  </si>
  <si>
    <t xml:space="preserve">Profile</t>
  </si>
  <si>
    <t xml:space="preserve">CCCS Medium / PBMM Moderate</t>
  </si>
  <si>
    <t xml:space="preserve">Profil</t>
  </si>
  <si>
    <t xml:space="preserve">CCCS Moyen / PBMM Modéré</t>
  </si>
  <si>
    <t xml:space="preserve">Primary Evidence Tool</t>
  </si>
  <si>
    <t xml:space="preserve">Outil de preuve principal</t>
  </si>
  <si>
    <t xml:space="preserve">Contributing Tools</t>
  </si>
  <si>
    <t xml:space="preserve">Outils contributeurs</t>
  </si>
  <si>
    <t xml:space="preserve">Control Description</t>
  </si>
  <si>
    <t xml:space="preserve">ACCOUNT MANAGEMENT | AUTOMATED SYSTEM ACCOUNT MANAGEMENT
The organization employs automated mechanisms to support the management of information system accounts.</t>
  </si>
  <si>
    <t xml:space="preserve">Description du contrôle</t>
  </si>
  <si>
    <t xml:space="preserve">GESTION DES COMPTES | GESTION AUTOMATISÉE DES COMPTES DU SYSTÈME
L’organisation utilise des mécanismes automatisés pour prendre en charge la gestion des comptes du système d’information.</t>
  </si>
  <si>
    <t xml:space="preserve">Supplemental Guidance</t>
  </si>
  <si>
    <t xml:space="preserve">The use of automated mechanisms can include, for example: using email or text messaging to automatically notify account managers when users are terminated or transferred; using the information system to monitor account usage; and using telephonic notification to report atypical system account usage.</t>
  </si>
  <si>
    <t xml:space="preserve">Directives supplémentaires</t>
  </si>
  <si>
    <t xml:space="preserve">L’utilisation de mécanismes automatisés peut comprendre, par exemple, l’utilisation de courriels ou de messages texte pour aviser automatiquement les gestionnaires de comptes lorsque des utilisateurs sont licenciés ou transférés; l’utilisation du système d’information pour surveiller les statistiques d’utilisation des comptes; et l’utilisation d’une notification téléphonique pour signaler l’utilisation atypique des comptes du système.</t>
  </si>
  <si>
    <t xml:space="preserve">Test Case</t>
  </si>
  <si>
    <t xml:space="preserve">Cas de test</t>
  </si>
  <si>
    <t xml:space="preserve">Test</t>
  </si>
  <si>
    <t xml:space="preserve">TEST-AC-2(1)</t>
  </si>
  <si>
    <t xml:space="preserve">Requirement ID</t>
  </si>
  <si>
    <t xml:space="preserve">ID Exigence</t>
  </si>
  <si>
    <t xml:space="preserve">Component</t>
  </si>
  <si>
    <t xml:space="preserve">Composant</t>
  </si>
  <si>
    <t xml:space="preserve">Requirement</t>
  </si>
  <si>
    <t xml:space="preserve">Exigence</t>
  </si>
  <si>
    <t xml:space="preserve">Contextual Design Description</t>
  </si>
  <si>
    <t xml:space="preserve">Description contextuelle du design</t>
  </si>
  <si>
    <t xml:space="preserve">Preparer Sign Off (Initials, Date)</t>
  </si>
  <si>
    <t xml:space="preserve">Signataire préparateur (Initiales, Date)</t>
  </si>
  <si>
    <t xml:space="preserve">Owner Sign Off (Initials, Date)</t>
  </si>
  <si>
    <t xml:space="preserve">Signataire propriétaire (Initiales, Date)</t>
  </si>
  <si>
    <t xml:space="preserve">Assessor Sign Off (Initials, Date)</t>
  </si>
  <si>
    <t xml:space="preserve">Signataire évaluateur (Initiales, Date)</t>
  </si>
  <si>
    <t xml:space="preserve">Non commencé</t>
  </si>
  <si>
    <t xml:space="preserve">Comments</t>
  </si>
  <si>
    <t xml:space="preserve">Commentaires</t>
  </si>
  <si>
    <t xml:space="preserve">Control AC-2(2) — Evidence Tracking</t>
  </si>
  <si>
    <t xml:space="preserve">Contrôle AC-2(2) — Suivi des preuves</t>
  </si>
  <si>
    <t xml:space="preserve">ACCOUNT MANAGEMENT | REMOVAL OF TEMPORARY / EMERGENCY ACCOUNTS
The information system automatically disables temporary and emergency accounts after no more than 30 days for both temporary and emergency accounts.</t>
  </si>
  <si>
    <t xml:space="preserve">GESTION DES COMPTES | RETRAIT DES COMPTES TEMPORAIRES/D’URGENCE
Le système d’information désactive automatiquement les comptes temporaires et d’urgence après un maximum de 30 jours, pour les comptes temporaires comme pour les comptes d’urgence.</t>
  </si>
  <si>
    <t xml:space="preserve">This control enhancement requires the removal of both temporary and emergency accounts automatically after a predefined period of time has elapsed, rather than at the convenience of the systems administrator.</t>
  </si>
  <si>
    <t xml:space="preserve">Cette amélioration du contrôle exige le retrait automatique des comptes temporaires et d’urgence au terme d’une période prédéfinie, plutôt qu’à la convenance de l’administrateur des systèmes.</t>
  </si>
  <si>
    <t xml:space="preserve">TEST-AC-2(2)</t>
  </si>
  <si>
    <t xml:space="preserve">Control AC-2(3) — Evidence Tracking</t>
  </si>
  <si>
    <t xml:space="preserve">Contrôle AC-2(3) — Suivi des preuves</t>
  </si>
  <si>
    <t xml:space="preserve">ACCOUNT MANAGEMENT | DISABLE INACTIVE ACCOUNTS
The information system automatically disables inactive accounts after 90 days.</t>
  </si>
  <si>
    <t xml:space="preserve">GESTION DES COMPTES | DÉSACTIVATION DES COMPTES INACTIFS
Le système d’information désactive automatiquement les comptes après 90 jours d’inactivité.</t>
  </si>
  <si>
    <t xml:space="preserve">TEST-AC-2(3)</t>
  </si>
  <si>
    <t xml:space="preserve">Control AC-2(4) — Evidence Tracking</t>
  </si>
  <si>
    <t xml:space="preserve">Contrôle AC-2(4) — Suivi des preuves</t>
  </si>
  <si>
    <t xml:space="preserve">ACCOUNT MANAGEMENT | AUTOMATED AUDIT ACTIONS
The information system automatically audits account creation, modification, enabling, disabling, and removal actions, and notifies responsible managers. Related controls: AU-2, AU-12.</t>
  </si>
  <si>
    <t xml:space="preserve">GESTION DES COMPTES | MESURES DE VÉRIFICATION AUTOMATISÉES
Le système d’information vérifie automatiquement les opérations de création, de modification, d’activation, de désactivation et de retrait des comptes, et avise les gestionnaires responsables. Contrôles connexes : AU-2, AU-12.</t>
  </si>
  <si>
    <t xml:space="preserve">TEST-AC-2(4)</t>
  </si>
  <si>
    <t xml:space="preserve">Control AC-2(5) — Evidence Tracking</t>
  </si>
  <si>
    <t xml:space="preserve">Contrôle AC-2(5) — Suivi des preuves</t>
  </si>
  <si>
    <t xml:space="preserve">ACCOUNT MANAGEMENT | INACTIVITY LOGOUT
The organization requires that users log out at the end of the users’ standard work period unless otherwise defined in formal organizational policy. Related controls: SC-23</t>
  </si>
  <si>
    <t xml:space="preserve">GESTION DES COMPTES | FERMETURE DE SESSION INACTIVE
L’organisation exige que les utilisateurs ferment leur session à la fin de leur période de travail normale, à moins d’indication contraire dans la politique officielle de l’organisation. Contrôles connexes : SC-23</t>
  </si>
  <si>
    <t xml:space="preserve">TEST-AC-2(5)</t>
  </si>
  <si>
    <t xml:space="preserve">Control AC-2(7) — Evidence Tracking</t>
  </si>
  <si>
    <t xml:space="preserve">Contrôle AC-2(7) — Suivi des preuves</t>
  </si>
  <si>
    <t xml:space="preserve">ACCOUNT MANAGEMENT | ROLE-BASED SCHEMES
(a)
The organization establishes and administers privileged user accounts in accordance with a role-based access scheme that organizes allowed information system access and privileges into roles;
(b)
The organization monitors privileged role assignments; and
(c) The organization disables (or revokes) privileged user assignments within 24 hours or sooner when privileged role assignments are no longer appropriate.</t>
  </si>
  <si>
    <t xml:space="preserve">GESTION DES COMPTES | SCHÉMAS FONDÉS SUR LES RÔLES
(a) L’organisation établit et administre les comptes d’utilisateurs privilégiés conformément à un système d’accès basé sur les rôles qui organise les autorisations d’accès au système d’information et les privilèges en fonction des rôles;
(b) L’organisation surveille les affectations de rôles privilégiés;
(c) L’organisation désactive (ou révoque) les affectations d’utilisateurs privilégiés dans les 24 heures ou plus lorsque les affectations de rôles privilégiés ne sont plus appropriées.</t>
  </si>
  <si>
    <t xml:space="preserve">Privileged roles are organization-defined roles assigned to individuals that allow those individuals to perform certain security-relevant functions that ordinary users are not authorized to perform. These privileged roles include, for example, key management, account management, network and system administration, database administration, and web administration.</t>
  </si>
  <si>
    <t xml:space="preserve">Les rôles privilégiés sont des rôles définis par l’organisation et attribués à des personnes pour leur permettre d’exécuter certaines fonctions ayant une influence sur la sécurité que les utilisateurs ordinaires ne sont pas autorisés à exécuter. Ces rôles privilégiés comprennent, par exemple, la gestion des clés, la gestion des comptes, l’administration des réseaux et des systèmes, l’administration des bases de données et l’administration Web.</t>
  </si>
  <si>
    <t xml:space="preserve">TEST-AC-2(7)</t>
  </si>
  <si>
    <t xml:space="preserve">Control AC-6 — Evidence Tracking</t>
  </si>
  <si>
    <t xml:space="preserve">Contrôle AC-6 — Suivi des preuves</t>
  </si>
  <si>
    <t xml:space="preserve">(A)
The organization employs the principle of least privilege, allowing only authorized accesses for users (or processes acting on behalf of users) which are necessary to accomplish assigned tasks in accordance with organizational missions and business functions.</t>
  </si>
  <si>
    <t xml:space="preserve">(A) L’organisation utilise le principe du moindre privilège, qui permet seulement les accès autorisés aux utilisateurs (ou aux processus qui agissent pour le compte des utilisateurs) qui sont nécessaires pour accomplir les tâches assignées conformément aux missions et aux fonctions opérationnelles de l’organisation.</t>
  </si>
  <si>
    <t xml:space="preserve">Organizations employ least privilege for specific duties and information systems. The principle of least privilege is also applied to information system processes, ensuring that the processes operate at privilege levels no higher than necessary to accomplish required organizational missions/business functions. Organizations consider the creation of additional processes, roles, and information system accounts as necessary, to achieve least privilege. Organizations also apply least privilege to the development, implementation, and operation of organizational information systems. Related controls: AC-2, AC-3, AC-5, CM-6, CM-7, PL-2</t>
  </si>
  <si>
    <t xml:space="preserve">Les organisations utilisent le moindre privilège pour certaines tâches et certains systèmes d’information. Le principe du moindre privilège s’applique également aux processus du système d’information, ce qui fait en sorte que les processus ne fonctionnent pas à des niveaux de privilège plus élevés que nécessaire pour accomplir les missions et les fonctions opérationnelles requises de l’organisation. Les organisations envisagent la création de processus, de rôles et de comptes de système d’information supplémentaires lorsque nécessaire, pour obtenir le moindre privilège. Les organisations appliquent également le moindre privilège au développement, à la mise en œuvre et à l’exploitation de leurs systèmes d’information. Contrôles connexes : AC-2, AC-3, AC-5, CM-6, CM-7, PL-2</t>
  </si>
  <si>
    <t xml:space="preserve">TEST-AC-6</t>
  </si>
  <si>
    <t xml:space="preserve">Control AC-6(1) — Evidence Tracking</t>
  </si>
  <si>
    <t xml:space="preserve">Contrôle AC-6(1) — Suivi des preuves</t>
  </si>
  <si>
    <t xml:space="preserve">LEAST PRIVILEGE | AUTHORIZE ACCESS TO SECURITY FUNCTIONS
The organization explicitly authorizes access to all security functions not publicly accessible and all security-relevant information not publicly available.</t>
  </si>
  <si>
    <t xml:space="preserve">MOINDRE PRIVILÈGE | AUTORISATION D’ACCÈS AUX FONCTIONS DE SÉCURITÉ
L’organisation autorise explicitement l’accès à toutes les fonctions de sécurité qui ne sont pas accessibles au public et à toute l’information pertinente à la sécurité qui n’est pas accessible au public.</t>
  </si>
  <si>
    <t xml:space="preserve">Security functions include, for example, establishing system accounts, configuring access authorizations (i.e., permissions, privileges), setting events to be audited, and setting intrusion detection parameters. Security-relevant information includes, for example, filtering rules for routers/firewalls, cryptographic key management information, configuration parameters for security services, and access control lists. Explicitly authorized personnel include, for example, security administrators, system and network administrators, system security officers, system maintenance personnel, system programmers, and other privileged users. Related controls: AC-17, AC-18, AC-19.</t>
  </si>
  <si>
    <t xml:space="preserve">Les fonctions de sécurité comprennent, par exemple, l’établissement des comptes système, la configuration des autorisations d’accès (c.-à-d. les permissions, les privilèges), le réglage des événements à vérifier, et l’établissement des paramètres de détection des intrusions. Les renseignements pertinents pour la sécurité comprennent, par exemple, les règles de filtrage pour les routeurs/pare-feu, l’information de gestion des clés cryptographiques, les paramètres de configuration pour les services de sécurité et les listes de contrôle d’accès. Le personnel explicitement autorisé comprend, par exemple, les administrateurs de la sécurité, les administrateurs de systèmes et de réseaux, les agents de sécurité des systèmes, le personnel de maintenance des systèmes, les programmeurs de systèmes et d’autres utilisateurs privilégiés. Contrôles connexes : AC-17, AC-18, AC-19.</t>
  </si>
  <si>
    <t xml:space="preserve">TEST-AC-6(1)</t>
  </si>
  <si>
    <t xml:space="preserve">Control AC-6(9) — Evidence Tracking</t>
  </si>
  <si>
    <t xml:space="preserve">Contrôle AC-6(9) — Suivi des preuves</t>
  </si>
  <si>
    <t xml:space="preserve">LEAST PRIVILEGE | AUDITING USE OF PRIVILEGED FUNCTIONS
The information system audits the execution of privileged functions.</t>
  </si>
  <si>
    <t xml:space="preserve">MOINDRE PRIVILÈGE | VÉRIFICATION DE L’UTILISATION DES FONCTIONS PRIVILÉGIÉES
Le système d’information vérifie l’exécution des fonctions privilégiées.</t>
  </si>
  <si>
    <t xml:space="preserve">Misuse of privileged functions, either intentionally or unintentionally by authorized users, or by unauthorized external entities that have compromised information system accounts, is a serious and ongoing concern and can have significant adverse impacts on organizations. Auditing the use of privileged functions is one way to detect such misuse, and in doing so, help mitigate the risk from insider threats and the advanced persistent threat (APT). Related control: AU-2.</t>
  </si>
  <si>
    <t xml:space="preserve">L’utilisation abusive des fonctions privilégiées, intentionnellement ou non, par des utilisateurs autorisés ou par des entités externes non autorisées qui ont compromis des comptes de système d’information, est une préoccupation grave et constante qui peut avoir des répercussions négatives importantes sur les organisations. La vérification de l’utilisation des fonctions privilégiées est une façon de détecter un tel abus et, ce faisant, de contribuer à atténuer le risque de menaces internes et de menaces persistantes avancées (MPA). Contrôle connexe : AU-2.</t>
  </si>
  <si>
    <t xml:space="preserve">TEST-AC-6(9)</t>
  </si>
  <si>
    <t xml:space="preserve">Control AC-6(10) — Evidence Tracking</t>
  </si>
  <si>
    <t xml:space="preserve">Contrôle AC-6(10) — Suivi des preuves</t>
  </si>
  <si>
    <t xml:space="preserve">LEAST PRIVILEGE | PROHIBIT NON-PRIVILEGED USERS FROM EXECUTING PRIVILEGED FUNCTIONS
The information system prevents non-privileged users from executing privileged functions to include disabling, circumventing, or altering implemented security safeguards/countermeasures.</t>
  </si>
  <si>
    <t xml:space="preserve">MOINDRE PRIVILÈGE | INTERDICTION AUX UTILISATEURS NON PRIVILÉGIÉS D’EXÉCUTER DES FONCTIONS PRIVILÉGIÉES
Le système d’information empêche les utilisateurs non privilégiés d’exécuter des fonctions privilégiées, y compris la désactivation, le contournement ou la modification des mécanismes/contre-mesures de sécurité en place.</t>
  </si>
  <si>
    <t xml:space="preserve">Privileged functions include, for example, establishing information system accounts, performing system integrity checks, or administering cryptographic key management activities. Non-privileged users are individuals that do not possess appropriate authorizations. Circumventing intrusion detection and prevention mechanisms or malicious code protection mechanisms are examples of privileged functions that require protection from non-privileged users.</t>
  </si>
  <si>
    <t xml:space="preserve">Les fonctions privilégiées comprennent, par exemple, l’établissement des comptes du système d’information, l’exécution des vérifications de l’intégrité du système ou l’administration des activités de gestion de clés cryptographiques. Les utilisateurs non privilégiés sont des personnes qui ne possèdent pas les autorisations appropriées. Les contournements de mécanismes de détection et de prévention des intrusions ou de mécanismes de protection contre le code malveillant sont des exemples de fonctions privilégiées qui nécessitent une protection contre les utilisateurs non privilégiés.</t>
  </si>
  <si>
    <t xml:space="preserve">TEST-AC-6(10)</t>
  </si>
  <si>
    <t xml:space="preserve">Control AC-17(1) — Evidence Tracking</t>
  </si>
  <si>
    <t xml:space="preserve">Contrôle AC-17(1) — Suivi des preuves</t>
  </si>
  <si>
    <t xml:space="preserve">REMOTE ACCESS | AUTOMATED MONITORING / CONTROL
The information system monitors and controls remote access methods.</t>
  </si>
  <si>
    <t xml:space="preserve">ACCÈS À DISTANCE | SURVEILLANCE ET CONTRÔLE AUTOMATISÉS
Le système d’information surveille et contrôle les méthodes d’accès à distance.</t>
  </si>
  <si>
    <t xml:space="preserve">Automated monitoring and control of remote access sessions allows organizations to detect cyber-attacks and also ensure ongoing compliance with remote access policies by auditing connection activities of remote users on a variety of information system components (e.g., servers, workstations, notebook computers, smart phones, and tablets). Related controls: AU-2, AU-12.</t>
  </si>
  <si>
    <t xml:space="preserve">La surveillance et le contrôle automatisés des sessions avec accès à distance permettent aux organisations de détecter les cyberattaques et d’assurer la conformité continue aux politiques d’accès à distance en vérifiant les activités de connexion des utilisateurs distants sur une variété de composants du système d’information (p. ex., serveurs, postes de travail, ordinateurs portatifs, téléphones intelligents et tablettes). Contrôles connexes : AU-2, AU-12.</t>
  </si>
  <si>
    <t xml:space="preserve">TEST-AC-17(1)</t>
  </si>
  <si>
    <t xml:space="preserve">Control AC-17(2) — Evidence Tracking</t>
  </si>
  <si>
    <t xml:space="preserve">Contrôle AC-17(2) — Suivi des preuves</t>
  </si>
  <si>
    <t xml:space="preserve">REMOTE ACCESS | PROTECTION OF CONFIDENTIALITY / INTEGRITY USING ENCRYPTION
The information system implements cryptographic mechanisms to protect the confidentiality and integrity of remote access sessions. The cryptography must be compliant with the requirements of SC-13.</t>
  </si>
  <si>
    <t xml:space="preserve">ACCÈS À DISTANCE | PROTECTION DE LA CONFIDENTIALITÉ ET DE L’INTÉGRITÉ AU MOYEN DU CHIFFREMENT
Le système d’information met en œuvre des mécanismes cryptographiques pour protéger la confidentialité et l’intégrité des sessions d’accès à distance. La cryptographie doit être conforme aux exigences de SC-13.</t>
  </si>
  <si>
    <t xml:space="preserve">Guidance on the encryption strength of mechanism can be obtained from CSE upon request.</t>
  </si>
  <si>
    <t xml:space="preserve">Le CST peut, sur demande, conseiller l’organisation quant à la puissance de chiffrement du mécanisme.</t>
  </si>
  <si>
    <t xml:space="preserve">TEST-AC-17(2)</t>
  </si>
  <si>
    <t xml:space="preserve">Control AU-2 — Evidence Tracking</t>
  </si>
  <si>
    <t xml:space="preserve">Contrôle AU-2 — Suivi des preuves</t>
  </si>
  <si>
    <t xml:space="preserve">(A)
The organization determines that the information system is capable of auditing the following events: 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
(B)
The organization coordinates the security audit function with other organizational entities requiring audit-related information to enhance mutual support and to help guide the selection of auditable events.
(C)
The organization provides a rationale for why the auditable events are deemed to be adequate to support after-the-fact investigations of security incidents.
(D)
The organization determines what organizationally-defined audited events (a subset of the auditable events defined in AU-2 a.) and the frequency of (or situation requiring) auditing for each identified event.</t>
  </si>
  <si>
    <t xml:space="preserve">(A) L’organisation détermine que le système d’information est capable de vérifier les événements suivants : événements d’ouverture de compte, réussis ou non, événements de gestion de compte, accès aux objets, changement de politique, fonctions de privilèges, suivi des processus et événements du système.  Pour les applications Web : toutes les activités des administrateurs, les vérifications d’authentification, les vérifications d’autorisation, les suppressions de données, l’accès aux données, les changements de données et les changements d’autorisation.
(B) L’organisation coordonne la fonction de vérification de la sécurité avec d’autres entités organisationnelles qui ont besoin de renseignements liés à la vérification pour améliorer le soutien mutuel et aider à orienter le choix des événements vérifiables.
(C) L’organisation explique la raison pour laquelle les événements vérifiables sont jugés adéquats pour appuyer les enquêtes effectuées à la suite des incidents de sécurité.
(D) L’organisation détermine les événements définis par l’organisation qui sont vérifiés (un sous-ensemble des événements vérifiables définis dans AU-2 a.) et la fréquence (ou la situation exigeant) des vérifications pour chaque événement identifié.</t>
  </si>
  <si>
    <t xml:space="preserve">An event is any observable occurrence in an organizational information system. Organizations identify audit events as those events which are significant and relevant to the security of information systems and the environments in which those systems operate in order to meet specific and ongoing audit needs. Audit events can include, for example, password changes, failed logons, or failed accesses related to information systems, administrative privilege usage, or third-party credential usage. In determining the set of auditable events, organizations consider the auditing appropriate for each of the security controls to be implemented. To balance auditing requirements with other information system needs, this control also requires identifying that subset of auditable events that are audited at a given point in time. For example, organizations may determine that information systems must have the capability to log every file access both successful and unsuccessful, but not activate that capability except for specific circumstances due to the potential burden on system performance. Auditing requirements, including the need for auditable events, may be referenced in other security controls and control enhancements. Organizations also include auditable events that are required by applicable organizational policies, directives, and standards. Audit records can be generated at various levels of abstraction, including at the packet level as information traverses the network. Selecting the appropriate level of abstraction is a critical aspect of an audit capability and can facilitate the identification of root causes to problems. Organizations consider in the definition of auditable events, the auditing necessary to cover related events such as the steps in distributed, transaction-based processes (e.g., processes that are distributed across multiple organizations) and actions that occur in service-oriented architectures. 
The information system audits the following privileged user/process events at a minimum: 
(a) Successful and unsuccessful attempts to access, modify, or delete security objects (Security objects include audit data, system configuration files and file or users’ formal access permissions.) 
(b) Successful and unsuccessful logon attempts
(c) Privileged activities or other system level access (see notes for AU-2 (4))
(d) Starting and ending time for user access to the system
(e) Concurrent logons from different workstations
(f) All program initiations  (see notes for AU-2 (4))
In addition, the information system audits the following unprivileged user/process events at a minimum:
(a) Successful and unsuccessful attempts to access, modify, or delete security objects
(b) Successful and unsuccessful logon attempts
(c) Starting and ending time for user access to the system
(d) Concurrent logons from different workstations
Related controls: AC-6, AC-17, AU-3, AU-12, MA-4, MP-2, MP-4, SI-4</t>
  </si>
  <si>
    <t xml:space="preserve">Un événement est toute occurrence observable dans un système d’information organisationnel. Les organisations désignent les événements vérifiables comme étant des événements importants et pertinents pour la sécurité des systèmes d’information et des environnements dans lesquels ces systèmes sont utilisés afin de répondre à des exigences de vérification particulières et continues. Les événements vérifiés peuvent comprendre, par exemple, les changements de mot de passe, les échecs d’ouverture de session ou les échecs accès liés aux systèmes d’information, l’utilisation des privilèges administratifs ou l’utilisation de justificatifs d’identité par des tiers. Lorsqu’elles déterminent l’ensemble des événements vérifiables, les organisations considèrent que la vérification est appropriée pour chacun des contrôles de sécurité à mettre en œuvre. Pour assurer l’équilibre entre les exigences en matière de vérification et les autres besoins du système d’information, ce contrôle exige également de déterminer le sous-ensemble d’événements vérifiables qui sont vérifiés à un moment donné. Par exemple, les organisations peuvent déterminer que les systèmes d’information doivent avoir la capacité d’enregistrer chaque accès aux fichiers, qu’il soit réussi ou non, mais n’activeront cette capacité que dans des circonstances particulières en raison du fardeau potentiel sur le rendement du système. Les exigences en matière de vérification, y compris la nécessité de déterminer des événements vérifiables, peuvent être mentionnées dans d’autres contrôles et améliorations des contrôles de sécurité. Les organisations incluent également les événements vérifiables qui sont exigés par les politiques, les directives et les normes organisationnelles applicables. Les enregistrements de vérification peuvent être générés à divers niveaux d’abstraction, y compris au niveau des paquets, à mesure que l’information traverse le réseau. Le choix du niveau d’abstraction approprié est un aspect essentiel d’une capacité de vérification et peut faciliter l’identification des causes profondes des problèmes. Dans la définition des événements vérifiables, les organisations prennent en compte la vérification nécessaire pour couvrir les événements connexes, comme les étapes des processus distribués, fondés sur les transactions (p. ex., les processus qui sont répartis entre de multiples organisations) et les actions qui ont lieu dans les architectures orientées service. 
Le système d’information vérifie au minimum les événements suivants liés aux utilisateurs/processus privilégiés : 
(a) Tentatives réussies et infructueuses d’accéder aux objets de sécurité, de les modifier ou de les supprimer (les objets de sécurité comprennent les données de vérification, les fichiers de configuration de système et les autorisations d’accès officielles des utilisateurs). 
(b) Tentatives d’ouverture de session réussies et infructueuses
(c) Activités privilégiées ou autre accès au niveau du système (voir les notes pour AU-2 [4])
(d) Heures de début et de fin de l’accès des utilisateurs au système
(e) Ouvertures de session simultanées à partir de différents postes de travail
(f) Tous les lancements de programmes (voir les notes pour AU-2 [4])
De plus, le système d’information vérifie au minimum les événements suivants liés aux utilisateurs/processus non privilégiés :
(a) Tentatives réussies et infructueuses d’accès, de modification ou de suppression d’objets de sécurité
(b) Tentatives d’ouverture de session réussies et infructueuses
(c) Heures de début et de fin de l’accès de l’utilisateur au système
(d) Ouvertures de session simultanées à partir de différents postes de travail
Contrôles connexes : AC-6, AC-17, AU-3, AU-12, MA-4, MP-2, MP-4, SI-4</t>
  </si>
  <si>
    <t xml:space="preserve">TEST-AU-2</t>
  </si>
  <si>
    <t xml:space="preserve">Control AU-3 — Evidence Tracking</t>
  </si>
  <si>
    <t xml:space="preserve">Contrôle AU-3 — Suivi des preuves</t>
  </si>
  <si>
    <t xml:space="preserve">(A)
The information system generates audit records containing information that establishes what type of event occurred, when the event occurred, where the event occurred, the source of the event, the outcome of the event, and the identity of any individuals or subjects associated with the event.</t>
  </si>
  <si>
    <t xml:space="preserve">(A) Le système d’information génère des enregistrements de vérification qui contiennent les renseignements permettant d’établir le type d’événement qui a eu lieu, le moment et l’endroit où l’événement a eu lieu, la source de l’événement, le résultat de l’événement, ainsi que l’identité de toute personne ou de tout sujet associé à l’événement.</t>
  </si>
  <si>
    <t xml:space="preserve">Audit record content that may be necessary to satisfy the requirement of this control, includes, for example, time stamps, source and destination addresses, user/process identifiers, event descriptions, success/fail indications, filenames involved, and access control or flow control rules invoked. Event outcomes can include indicators of event success or failure and event-specific results (e.g., the security state of the information system after the event occurred). Related controls: AU-2, AU-8, AU-12, SI-11</t>
  </si>
  <si>
    <t xml:space="preserve">Le contenu des enregistrements de vérification qui peut être nécessaire pour satisfaire à l’exigence de ce contrôle comprend, par exemple, les estampilles temporelles, les adresses de source et de destination, les identifiants d’utilisateurs ou de processus, les descriptions d’événements, les indications de réussite ou d’échec, les noms des fichiers en cause et les règles de contrôle d’accès ou de flux invoquées. Les résultats de l’événement peuvent comprendre des indicateurs de réussite ou d’échec de l’événement et des résultats propres à l’événement (p. ex., l’état de sécurité du système d’information après l’événement). Contrôles connexes : AU-2, AU-8, AU-12, SI-11</t>
  </si>
  <si>
    <t xml:space="preserve">TEST-AU-3</t>
  </si>
  <si>
    <t xml:space="preserve">Control AU-3(1) — Evidence Tracking</t>
  </si>
  <si>
    <t xml:space="preserve">Contrôle AU-3(1) — Suivi des preuves</t>
  </si>
  <si>
    <t xml:space="preserve">CONTENT OF AUDIT RECORDS | ADDITIONAL AUDIT INFORMATION
The information system generates audit records containing the following additional information: session, connection, transaction, or activity duration; for client-server transactions, the number of bytes received and bytes sent; additional informational messages to diagnose or identify the event; characteristics that describe or identify the object or resource being acted upon.</t>
  </si>
  <si>
    <t xml:space="preserve">CONTENU DES ENREGISTREMENTS DE VÉRIFICATION | RENSEIGNEMENTS DE VÉRIFICATION SUPPLÉMENTAIRES
Le système d’information génère des enregistrements de vérification contenant les renseignements supplémentaires suivants : la durée de la session, de la connexion, de la transaction ou de l’activité; pour les transactions client-serveur, le nombre d’octets reçus et d’octets envoyés; des messages d’information supplémentaires pour diagnostiquer ou identifier l’événement; les caractéristiques qui décrivent ou identifient l’objet ou la ressource concernés.</t>
  </si>
  <si>
    <t xml:space="preserve">Detailed information that organizations may consider in audit records includes, for example, full text recording of privileged commands or the individual identities of group account users. Organizations consider limiting the additional audit information to only that information explicitly needed for specific audit requirements. This facilitates the use of audit trails and audit logs by not including information that could potentially be misleading or could make it more difficult to locate information of interest.
Additional guidance for enhancement (1): Audit events should always be capable of being associated with an individual identity. Associating audit events with a group or role is insufficient.</t>
  </si>
  <si>
    <t xml:space="preserve">Les renseignements détaillés dont les organisations peuvent tenir compte dans les enregistrements de vérification comprennent, par exemple, l’enregistrement en texte intégral des commandes privilégiées ou les identités individuelles des utilisateurs de comptes de groupe. Les organisations devraient envisager de limiter les renseignements de vérification supplémentaires aux seuls renseignements explicitement nécessaires pour répondre à des exigences de vérification particulières. Cela facilitera l’utilisation des pistes de vérification et des journaux de vérification en n’incluant pas les renseignements qui pourraient être trompeurs ou rendre plus difficile la recherche de renseignements utiles.
Conseils supplémentaires pour l’amélioration (1) : Les événements vérifiés devraient toujours pouvoir être associés à une identité individuelle. Associer des événements vérifiés à un groupe ou à un rôle est insuffisant.</t>
  </si>
  <si>
    <t xml:space="preserve">TEST-AU-3(1)</t>
  </si>
  <si>
    <t xml:space="preserve">Control AU-5 — Evidence Tracking</t>
  </si>
  <si>
    <t xml:space="preserve">Contrôle AU-5 — Suivi des preuves</t>
  </si>
  <si>
    <t xml:space="preserve">(A) The information system alerts organization-defined personnel or roles in the event of an audit processing failure; and
(B) The information system overwrites the oldest audit records.</t>
  </si>
  <si>
    <t xml:space="preserve">(A) Le système d’information alerte le personnel ou les rôles définis par l’organisation en cas d’échec de traitement de vérification;
(B) Le système d’information écrase les enregistrements de vérification les plus anciens.</t>
  </si>
  <si>
    <t xml:space="preserve">Audit processing failures include, for example, software/hardware errors, failures in the audit capturing mechanisms, and audit storage capacity being reached or exceeded. Organizations may choose to define additional actions for different audit processing failures (e.g., by type, by location, by severity, or a combination of such factors). This control applies to each audit data storage repository (i.e., distinct information system component where audit records are stored), the total audit storage capacity of organizations (i.e., all audit data storage repositories combined), or both. Related controls: AU-4, SI-12</t>
  </si>
  <si>
    <t xml:space="preserve">Les échecs de traitement de vérification comprennent, par exemple, les erreurs de logiciel ou de matériel, les défaillances des mécanismes de saisie des vérifications et la capacité de stockage atteinte ou dépassée pour les vérifications. Les organisations peuvent choisir de définir des mesures supplémentaires pour différents échecs de traitement de vérification (p. ex., par type, par emplacement, par gravité ou une combinaison de ces facteurs). Ce contrôle s’applique à chaque répertoire de stockage des données de vérification (c.-à -d. à chaque composant distinct du système d’information dans lequel les enregistrements de vérification sont conservés), à la capacité totale de stockage des vérifications des organisations (c.-à-d. tous les répertoires de stockage des données de vérification combinés), ou aux deux. Contrôles connexes : AU-4, SI-12</t>
  </si>
  <si>
    <t xml:space="preserve">TEST-AU-5</t>
  </si>
  <si>
    <t xml:space="preserve">Control AU-6(1) — Evidence Tracking</t>
  </si>
  <si>
    <t xml:space="preserve">Contrôle AU-6(1) — Suivi des preuves</t>
  </si>
  <si>
    <t xml:space="preserve">AUDIT REVIEW, ANALYSIS, AND REPORTING | PROCESS INTEGRATION
The organization employs automated mechanisms to integrate audit review, analysis, and reporting processes to support organizational processes for investigation and response to suspicious activities.</t>
  </si>
  <si>
    <t xml:space="preserve">EXAMEN, ANALYSE ET RAPPORT DE VÉRIFICATION | INTÉGRATION DES PROCESSUS
L’organisation utilise des mécanismes automatisés pour intégrer les processus d’examen, d’analyse et de production de rapports de vérification afin de soutenir les processus organisationnels d’enquête et d’intervention en cas d’activités suspectes.</t>
  </si>
  <si>
    <t xml:space="preserve">Organizational processes benefiting from integrated audit review, analysis, and reporting include, for example, incident response, continuous monitoring, and contingency planning. Related control: AU-12.</t>
  </si>
  <si>
    <t xml:space="preserve">Les processus organisationnels qui bénéficient de l’intégration de l’examen, de l’analyse et de la production de rapports de vérification sont notamment l’intervention en cas d’incident, la surveillance continue et la planification d’urgence. Contrôle connexe : AU-12.</t>
  </si>
  <si>
    <t xml:space="preserve">TEST-AU-6(1)</t>
  </si>
  <si>
    <t xml:space="preserve">Control AU-6(3) — Evidence Tracking</t>
  </si>
  <si>
    <t xml:space="preserve">Contrôle AU-6(3) — Suivi des preuves</t>
  </si>
  <si>
    <t xml:space="preserve">AUDIT REVIEW, ANALYSIS, AND REPORTING | CORRELATE AUDIT REPOSITORIES
The organization analyzes and correlates audit records across different repositories to gain organization-wide situational awareness.</t>
  </si>
  <si>
    <t xml:space="preserve">EXAMEN, ANALYSE ET RAPPORT DE VÉRIFICATION | MISE EN CORRÉLATION DES RÉPERTOIRES DE VÉRIFICATION
L’organisation analyse et met en corrélation les enregistrements de vérification entre les différents répertoires afin d’acquérir une connaissance globale de la situation dans l’ensemble de l’organisation.</t>
  </si>
  <si>
    <t xml:space="preserve">Organization-wide situational awareness includes awareness across all three tiers of risk management (i.e., organizational, mission/business process, and information system) and supports cross-organization awareness. Related controls: AU-12, IR-4.</t>
  </si>
  <si>
    <t xml:space="preserve">La connaissance de la situation dans l’ensemble de l’organisation comprend la connaissance aux trois niveaux de la gestion des risques (c.-à-d. au niveau de l’organisation, de la mission/des processus opérationnels, et du système d’information) et appuie une connaissance transorganisationnelle de la situation. Contrôles connexes : AU-12, IR-4.</t>
  </si>
  <si>
    <t xml:space="preserve">TEST-AU-6(3)</t>
  </si>
  <si>
    <t xml:space="preserve">Control AU-7 — Evidence Tracking</t>
  </si>
  <si>
    <t xml:space="preserve">Contrôle AU-7 — Suivi des preuves</t>
  </si>
  <si>
    <t xml:space="preserve">(A)
The information system provides an audit reduction and report generation capability that supports on-demand audit review, analysis, and reporting requirements and after-the-fact investigations of security incidents.
(B)
The information system provides an audit reduction and report generation capability that does not alter the original content or time ordering of audit records.</t>
  </si>
  <si>
    <t xml:space="preserve">(A) Le système d’information offre une capacité de réduction des vérifications et de production de rapports prenant en charge les examens, les analyses et les rapports de vérification sur demande ainsi que les enquêtes à la suite d’incidents de sécurité.
(B) Le système d’information offre une capacité de réduction de la vérification et de production de rapports qui ne modifie pas le contenu original ou l’ordre chronologique des enregistrements de vérification.</t>
  </si>
  <si>
    <t xml:space="preserve">Audit reduction is a process that manipulates collected audit information and organizes such information in a summary format that is more meaningful to analysts. Audit reduction and report generation capabilities do not always emanate from the same information system or from the same organizational entities conducting auditing activities. Audit reduction capability can include, for example, modern data mining techniques with advanced data filters to identify anomalous behaviour in audit records. The report generation capability provided by the information system can generate customizable reports. Time ordering of audit records can be a significant issue if the granularity of the timestamp in the record is insufficient. Related control: AU-6</t>
  </si>
  <si>
    <t xml:space="preserve">La réduction de la vérification est un processus qui permet de manipuler l’information recueillie et de l’organiser dans un format sommaire plus significatif pour les analystes. Les capacités de réduction des vérifications et de production de rapports ne proviennent pas toujours du système d’information ou des entités organisationnelles qui mènent les activités de vérification. La capacité de réduction des vérifications peut comprendre, par exemple, des techniques modernes d’exploration de données avec filtres de données avancés pour déceler les comportements anormaux dans les enregistrements de vérification. La capacité de production de rapports fournie par le système d’information permet de générer des rapports personnalisables. L’ordre chronologique des enregistrements de vérification peut poser un problème important si la granularité de l’estampille temporelle dans l’enregistrement est insuffisante. Contrôle connexe : AU-6</t>
  </si>
  <si>
    <t xml:space="preserve">TEST-AU-7</t>
  </si>
  <si>
    <t xml:space="preserve">Control AU-7(1) — Evidence Tracking</t>
  </si>
  <si>
    <t xml:space="preserve">Contrôle AU-7(1) — Suivi des preuves</t>
  </si>
  <si>
    <t xml:space="preserve">AUDIT REDUCTION AND REPORT GENERATION | AUTOMATIC PROCESSING
The information system provides the capability to process audit records for events of interest based on all audit fields specified in AU-2, AU-3 and AU-3(1).</t>
  </si>
  <si>
    <t xml:space="preserve">RÉDUCTION DES VÉRIFICATIONS ET PRODUCTION DE RAPPORTS | TRAITEMENT AUTOMATIQUE
Le système d’information permet de traiter les enregistrements de vérification relatifs aux événements d’intérêt en fonction de tous les champs de vérification précisés dans AU-2, AU-3 et AU-3(1).</t>
  </si>
  <si>
    <t xml:space="preserve">Events of interest can be identified by the content of specific audit record fields including, for example, identities of individuals, event types, event locations, event times, event dates, system resources involved, IP addresses involved, or information objects accessed. Organizations may define audit event criteria to any degree of granularity required, for example, locations selectable by general networking location (e.g., by network or sub-network) or selectable by specific information system component. Related controls: AU-2, AU-12.</t>
  </si>
  <si>
    <t xml:space="preserve">Les événements d’intérêt peuvent être définis par le contenu des champs particuliers de l’enregistrement de vérification, y compris, par exemple, les identités des personnes, les types d’événements, les emplacements des événements, les heures des événements, les dates des événements, les ressources du système en cause, les adresses IP en cause ou les objets d’information consultés. Les organisations peuvent définir les critères des événements de vérification à n’importe quel degré de granularité requis, par exemple, les emplacements que l’on peut sélectionner par emplacement de réseautique général (p. ex., par réseau ou sous-réseau) ou par composant de système d’information particulier. Contrôles connexes : AU-2, AU-12.</t>
  </si>
  <si>
    <t xml:space="preserve">TEST-AU-7(1)</t>
  </si>
  <si>
    <t xml:space="preserve">Control AU-8 — Evidence Tracking</t>
  </si>
  <si>
    <t xml:space="preserve">Contrôle AU-8 — Suivi des preuves</t>
  </si>
  <si>
    <t xml:space="preserve">(A)
The information system uses internal system clocks to generate time stamps for audit records.
(B)
The information system records time stamps for audit records that can be mapped to Coordinated Universal Time (UTC) or Greenwich Mean Time (GMT) within 1 second precision.</t>
  </si>
  <si>
    <t xml:space="preserve">(A) Le système d’information utilise les horloges système internes afin de générer les estampilles temporelles pour les enregistrements de vérification.
(B) Le système d’information enregistre des estampilles temporelles pour les enregistrements de vérification qui peuvent être mappées sur le temps universel coordonné (UTC) ou l’heure moyenne de Greenwich (GMT) à la seconde près.</t>
  </si>
  <si>
    <t xml:space="preserve">Time stamps generated by the information system include date and time. Time is commonly expressed in Coordinated Universal Time (UTC) or local time with an offset from UTC. Granularity of time measurements refers to the degree of synchronization between information system clocks and reference clocks, for example, clocks synchronizing within hundreds of milliseconds or within tens of milliseconds. Organizations may define different time granularities for different system components. Time service can also be critical to other security capabilities such as access control and identification and authentication, depending on the nature of the mechanisms used to support those capabilities. Related controls: AU-3, AU-12</t>
  </si>
  <si>
    <t xml:space="preserve">Les estampilles temporelles générées par le système d’information comprennent la date et l’heure. L’heure est généralement exprimée en temps universel coordonné (UTC) ou selon l’heure locale avec indication du décalage par rapport à l’UTC. La granularité des mesures du temps désigne le niveau de synchronisation entre les horloges du système d’information et les horloges de référence, par exemple, des horloges synchronisées à quelques centaines ou dizaines de millisecondes près. Les organisations peuvent définir différentes granularités temporelles pour différents composants du système. Le service de l’heure peut également être essentiel à d’autres capacités de sécurité comme le contrôle d’accès, l’identification et l’authentification, selon la nature des mécanismes utilisés pour soutenir ces capacités. Contrôles connexes : AU-3, AU-12</t>
  </si>
  <si>
    <t xml:space="preserve">TEST-AU-8</t>
  </si>
  <si>
    <t xml:space="preserve">Control AU-8(1) — Evidence Tracking</t>
  </si>
  <si>
    <t xml:space="preserve">Contrôle AU-8(1) — Suivi des preuves</t>
  </si>
  <si>
    <t xml:space="preserve">TIME STAMPS | SYNCHRONIZATION WITH AUTHORITATIVE TIME SOURCE
(a)
The information system compares the internal information system clocks at least every 24 hours with an organization-defined authoritative time source; and
(b)
The information system synchronizes the internal system clocks to the authoritative time source when the time difference is greater than 1 millisecond.</t>
  </si>
  <si>
    <t xml:space="preserve">ESTAMPILLES TEMPORELLES | SYNCHRONISATION AVEC UNE SOURCE D’HORODATAGE RECONNUE
(a) Le système d’information compare les horloges internes du système d’information au moins toutes les 24 heures avec une source d’horodatage reconnue définie par l’organisation.
(b) Le système d’information synchronise les horloges internes du système avec la source d’horodatage reconnue lorsque la différence de temps est supérieure à 1 milliseconde.</t>
  </si>
  <si>
    <t xml:space="preserve">This control enhancement provides uniformity of time stamps for information systems with multiple system clocks and systems connected over a network.</t>
  </si>
  <si>
    <t xml:space="preserve">Cette amélioration du contrôle assure l’uniformité des estampilles temporelles pour les systèmes d’information dotés de nombreuses horloges et les systèmes sur un réseau.</t>
  </si>
  <si>
    <t xml:space="preserve">TEST-AU-8(1)</t>
  </si>
  <si>
    <t xml:space="preserve">Control AU-9 — Evidence Tracking</t>
  </si>
  <si>
    <t xml:space="preserve">Contrôle AU-9 — Suivi des preuves</t>
  </si>
  <si>
    <t xml:space="preserve">(A)
The information system protects audit information and audit tools from unauthorized access, modification, and deletion.</t>
  </si>
  <si>
    <t xml:space="preserve">(A) Le système d’information protège les renseignements de vérification et les outils de vérification contre l’accès, la modification et la suppression non autorisés.</t>
  </si>
  <si>
    <t xml:space="preserve">Audit information includes all information (e.g., audit records, audit settings, and audit reports) needed to successfully audit information system activity. This control focuses on technical protection of audit information. Physical protection of audit information is addressed by media protection controls and physical and environmental protection controls. Related controls: AC-3, AC-6, MP-2, MP-4, PE-2, PE-3, PE-6</t>
  </si>
  <si>
    <t xml:space="preserve">Les renseignements de vérification comprennent tous les renseignements (p. ex., les enregistrements de vérification, les paramètres de vérification et les rapports de vérification) nécessaires pour vérifier avec succès l’activité du système d’information. Ce contrôle est axé sur la protection technique des renseignements de vérification. La protection physique des renseignements de vérification est assurée par des contrôles de protection des supports et des contrôles de protection physique et environnementale. Contrôles connexes : AC-3, AC-6, MP-2, MP-4, PE-2, PE-3, PE-6</t>
  </si>
  <si>
    <t xml:space="preserve">TEST-AU-9</t>
  </si>
  <si>
    <t xml:space="preserve">Control AU-9(2) — Evidence Tracking</t>
  </si>
  <si>
    <t xml:space="preserve">Contrôle AU-9(2) — Suivi des preuves</t>
  </si>
  <si>
    <t xml:space="preserve">PROTECTION OF AUDIT INFORMATION | AUDIT BACKUP ON SEPARATE PHYSICAL SYSTEMS / COMPONENTS
The information system backs up audit records at least weekly onto a physically different system or system component than the system or component being audited.</t>
  </si>
  <si>
    <t xml:space="preserve">PROTECTION DES RENSEIGNEMENTS DE VÉRIFICATION | SAUVEGARDE DES VÉRIFICATIONS SUR DES SYSTÈMES/COMPOSANTS PHYSIQUES SÉPARÉS
Le système d’information sauvegarde les enregistrements de vérification au moins une fois par semaine sur un système ou un composant système physiquement différent du système ou du composant faisant l’objet de la vérification.</t>
  </si>
  <si>
    <t xml:space="preserve">This control enhancement helps to ensure that a compromise of the information system being audited does not also result in a compromise of the audit records. Related controls: AU-4, AU-5, AU-11.</t>
  </si>
  <si>
    <t xml:space="preserve">Cette amélioration permet de s’assurer qu’une compromission du système d’information faisant l’objet d’une vérification n’entraîne pas également la compromission des enregistrements de vérification. Contrôles connexes : AU-4, AU-5, AU-11.</t>
  </si>
  <si>
    <t xml:space="preserve">TEST-AU-9(2)</t>
  </si>
  <si>
    <t xml:space="preserve">Control AU-9(4) — Evidence Tracking</t>
  </si>
  <si>
    <t xml:space="preserve">Contrôle AU-9(4) — Suivi des preuves</t>
  </si>
  <si>
    <t xml:space="preserve">PROTECTION OF AUDIT INFORMATION | ACCESS BY SUBSET OF PRIVILEGED USERS
The organization authorizes access to management of audit functionality to only an organization-defined subset of privileged users.</t>
  </si>
  <si>
    <t xml:space="preserve">PROTECTION DES RENSEIGNEMENTS DE VÉRIFICATION | ACCÈS PAR SOUS-ENSEMBLE D’UTILISATEURS PRIVILÉGIÉS
L’organisation n’autorise l’accès à la fonction de gestion de la vérification qu’à un sous-ensemble d’utilisateurs privilégiés défini par l’organisation seulement.</t>
  </si>
  <si>
    <t xml:space="preserve">Individuals with privileged access to an information system and who are also the subject of an audit by that system, may affect the reliability of audit information by inhibiting audit activities or modifying audit records. This control enhancement requires that privileged access be further defined between audit-related privileges and other privileges, thus limiting the users with audit-related privileges. Related control: AC-5.</t>
  </si>
  <si>
    <t xml:space="preserve">Les personnes qui ont un accès privilégié à un système d’information et qui font également l’objet d’une vérification par ce système peuvent nuire à la fiabilité de l’information de vérification en entravant les activités de vérification ou en modifiant les enregistrements de vérification. Cette amélioration du contrôle exige que l’accès privilégié soit mieux défini entre les privilèges liés à la vérification et les autres privilèges, de manière à limiter le nombre d’utilisateurs ayant des privilèges liés à la vérification. Contrôle connexe : AC-5.</t>
  </si>
  <si>
    <t xml:space="preserve">TEST-AU-9(4)</t>
  </si>
  <si>
    <t xml:space="preserve">Control AU-11 — Evidence Tracking</t>
  </si>
  <si>
    <t xml:space="preserve">Contrôle AU-11 — Suivi des preuves</t>
  </si>
  <si>
    <t xml:space="preserve">(A) The CSP retains audit records for at least 90 days to provide support for after-the-fact investigations of security incidents and to meet regulatory and organizational information retention requirements.
(B) The client retains audit records and logs for at least 3 months online and at least 6 months in storage.
(C) The client retains all audit records and logs associated with a security incident for at least 5 years.</t>
  </si>
  <si>
    <t xml:space="preserve">(A) Le FSI conserve les enregistrements de vérification pendant au moins 90 jours afin de soutenir les enquêtes faisant suite aux incidents de sécurité et de respecter les exigences réglementaires et organisationnelles en matière de conservation de l’information.
(B) Le client conserve les enregistrements et les journaux de vérification pendant au moins 3 mois en ligne et au moins 6 mois en mémoire.
(C) Le client conserve pendant au moins 5 ans tous les enregistrements et journaux de vérification associés à un incident de sécurité.</t>
  </si>
  <si>
    <t xml:space="preserve">Organizations retain audit records until it is determined that they are no longer needed for administrative, legal, audit, or other operational purposes. This includes, for example, retention and availability of audit records relative to legal requests, subpoenas, and law enforcement actions. Organizations develop standard categories of audit records relative to such types of actions and standard response processes for each type of action. Related controls: AU-4, AU-5, AU-9, MP-6</t>
  </si>
  <si>
    <t xml:space="preserve">Les organisations conservent les enregistrements de vérification jusqu’à ce qu’il soit déterminé qu’ils ne sont plus nécessaires à des fins administratives, juridiques, de vérification ou à d’autres fins opérationnelles. Cela comprend, par exemple, la conservation et la disponibilité des enregistrements de vérification relatifs aux demandes légales, aux citations à comparaître et aux mesures d’application de la loi. Les organisations établissent des catégories normalisées d’enregistrements de vérification par rapport à ces types de mesures ainsi que des processus de réponse normalisés pour chaque type de mesure. Contrôles connexes : AU-4, AU-5, AU-9, MP-6</t>
  </si>
  <si>
    <t xml:space="preserve">TEST-AU-11</t>
  </si>
  <si>
    <t xml:space="preserve">Control AU-12 — Evidence Tracking</t>
  </si>
  <si>
    <t xml:space="preserve">Contrôle AU-12 — Suivi des preuves</t>
  </si>
  <si>
    <t xml:space="preserve">(A)
The information system provides audit record generation capability for the auditable events defined in AU-2 a. of all information system and network components where audit capability is deployed/available.
(B)
The information system allows organization-defined personnel or roles to select which auditable events are to be audited by specific components of the information system.
(C)
The information system generates audit records for the events defined in AU-2 d. with the content defined in AU-3.</t>
  </si>
  <si>
    <t xml:space="preserve">(A) Le système d’information offre une capacité de génération d’enregistrements de vérification pour les événements vérifiables définis dans AU-2 a. de tous les composants du système d’information et du réseau où la capacité de vérification est déployée/disponible.
(B) Le système d’information permet au personnel ou aux rôles définis par l’organisation de choisir les événements vérifiables qui doivent être vérifiés par des composants précis du système d’information.
(C) Le système d’information génère des enregistrements de vérification pour les événements définis dans AU-2 d. avec le contenu défini dans AU-3.</t>
  </si>
  <si>
    <t xml:space="preserve">Audit records can be generated from many different information system components. The list of audited events is the set of events for which audits are to be generated. These events are typically a subset of all events for which the information system is capable of generating audit records. Related controls: AC-3, AU-2, AU-3, AU-6, AU-7</t>
  </si>
  <si>
    <t xml:space="preserve">Des enregistrements de vérification peuvent être générés à partir de nombreux composants du système d’information. La liste des événements vérifiés est l’ensemble des événements pour lesquels des vérifications doivent être produites. Ces événements sont habituellement un sous-ensemble de tous les événements pour lesquels le système d’information peut générer des enregistrements de vérification. Contrôles connexes : AC-3, AU-2, AU-3, AU-6, AU-7</t>
  </si>
  <si>
    <t xml:space="preserve">TEST-AU-12</t>
  </si>
  <si>
    <t xml:space="preserve">Control CA-9 — Evidence Tracking</t>
  </si>
  <si>
    <t xml:space="preserve">Contrôle CA-9 — Suivi des preuves</t>
  </si>
  <si>
    <t xml:space="preserve">(A)
The organization authorizes internal connections of information system components or classes of components to the information system.
(B)
The organization documents, for each internal connection, the interface characteristics, security requirements, and the nature of the information communicated.</t>
  </si>
  <si>
    <t xml:space="preserve">(A) L’organisation autorise les connexions internes de composants du système d’information ou de catégories de composants au système d’information.
(B) L’organisation documente, pour chaque connexion interne, les caractéristiques de l’interface, les exigences de sécurité et la nature de l’information communiquée.</t>
  </si>
  <si>
    <t xml:space="preserve">This control applies to connections between organizational information systems and (separate) constituent system components (i.e., intra-system connections) including, for example, system connections with mobile devices, notebook/desktop computers, printers, copiers, facsimile machines, scanners, sensors, and servers. Instead of authorizing each individual internal connection, organizations can authorize internal connections for a class of components with common characteristics and/or configurations, for example, all digital printers, scanners, and copiers with a specified processing, storage, and transmission capability or all smart phones with a specific baseline configuration. Related controls: AC-3, AC-4, AC-18, AC-19, AU-2, AU-12, CA-7, CM-2, IA-3, SC-7, SI-4</t>
  </si>
  <si>
    <t xml:space="preserve">Ce contrôle s’applique aux connexions entre les systèmes d’information organisationnels et les composants (distincts) des systèmes constituants (c.-à-d. les connexions intrasystème) y compris, par exemple, les connexions système avec les appareils mobiles, les ordinateurs portatifs/de bureau, les imprimantes, les photocopieurs, les télécopieurs, les numériseurs, les capteurs et les serveurs. Au lieu d’autoriser chaque connexion interne individuelle, les organisations peuvent autoriser les connexions internes pour une catégorie de composants ayant des caractéristiques ou des configurations communes, par exemple, toutes les imprimantes et tous les numériseurs et photocopieurs numériques ayant une capacité de traitement, de stockage et de transmission spécifiée ou tous les téléphones intelligents ayant une configuration de base spécifique. Contrôles connexes : AC-3, AC-4, AC-18, AC-19, AU-2, AU-12, CA-7, CM-2, IA-3, SC-7, SI-4</t>
  </si>
  <si>
    <t xml:space="preserve">TEST-CA-9</t>
  </si>
  <si>
    <t xml:space="preserve">Control CM-2(2) — Evidence Tracking</t>
  </si>
  <si>
    <t xml:space="preserve">Contrôle CM-2(2) — Suivi des preuves</t>
  </si>
  <si>
    <t xml:space="preserve">BASELINE CONFIGURATION | AUTOMATION SUPPORT FOR ACCURACY / CURRENCY
The organization employs automated mechanisms to maintain an up-to-date, complete, accurate, and readily available baseline configuration of the information system.</t>
  </si>
  <si>
    <t xml:space="preserve">CONFIGURATION DE BASE | SOUTIEN DE L’AUTOMATISATION POUR UNE CONFIGURATION EXACTE ET À JOUR
L’organisation utilise des mécanismes automatisés pour maintenir une configuration de base à jour, complète, exacte et facilement accessible du système d’information.</t>
  </si>
  <si>
    <t xml:space="preserve">Automated mechanisms that help organizations maintain consistent baseline configurations for information systems include, for example, hardware and software inventory tools, configuration management tools, and network management tools. Such tools can be deployed and/or allocated as common controls, at the information system level, or at the operating system or component level (e.g., on workstations, servers, notebook computers, network components, or mobile devices). Tools can be used, for example, to track version numbers on operating system applications, types of software installed, and current patch levels. This control enhancement can be satisfied by the implementation of CM-8 (2) for organizations that choose to combine information system component inventory and baseline configuration activities. Related controls: CM-7, RA-5.</t>
  </si>
  <si>
    <t xml:space="preserve">Les mécanismes automatisés qui aident les organisations à maintenir des configurations de base uniformes pour les systèmes d’information comprennent, par exemple, les outils d’inventaire matériel et logiciel, les outils de gestion de la configuration et les outils de gestion de réseau. Ces outils peuvent être déployés ou attribués en tant que contrôles communs, au niveau du système d’information, ou au niveau du système d’exploitation ou des composants (p. ex., sur les postes de travail, les serveurs, les ordinateurs portatifs, les composants de réseau ou les appareils mobiles). Les outils peuvent être utilisés, par exemple, pour faire le suivi des numéros de version sur les applications du système d’exploitation, des types de logiciels installés et des niveaux de correctifs actuels. Cette amélioration du contrôle peut être réalisée par la mise en œuvre du CM-8 (2) pour les organisations qui choisissent de combiner l’inventaire des composants du système d’information et les activités de configuration de base. Contrôles connexes : CM-7, RA-5.</t>
  </si>
  <si>
    <t xml:space="preserve">TEST-CM-2(2)</t>
  </si>
  <si>
    <t xml:space="preserve">Control CM-2(3) — Evidence Tracking</t>
  </si>
  <si>
    <t xml:space="preserve">Contrôle CM-2(3) — Suivi des preuves</t>
  </si>
  <si>
    <t xml:space="preserve">BASELINE CONFIGURATION | RETENTION OF PREVIOUS CONFIGURATIONS
The organization retains the two most recent precious versions of baseline configurations of the information system to support rollback.</t>
  </si>
  <si>
    <t xml:space="preserve">CONFIGURATION DE BASE | CONSERVATION DES CONFIGURATIONS PRÉCÉDENTES
L’organisation conserve les deux versions utiles les plus récentes des configurations de base du système d’information pour la prise en charge des reprises.</t>
  </si>
  <si>
    <t xml:space="preserve">Retaining previous versions of baseline configurations to support rollback may include, for example, hardware, software, firmware, configuration files, and configuration records.</t>
  </si>
  <si>
    <t xml:space="preserve">La conservation des versions antérieures des configurations de base pour la prise en charge des reprises peut comprendre, par exemple, le matériel, les logiciels, les micrologiciels, les fichiers de configuration et les enregistrements de configuration.</t>
  </si>
  <si>
    <t xml:space="preserve">TEST-CM-2(3)</t>
  </si>
  <si>
    <t xml:space="preserve">Control CM-3 — Evidence Tracking</t>
  </si>
  <si>
    <t xml:space="preserve">Contrôle CM-3 — Suivi des preuves</t>
  </si>
  <si>
    <t xml:space="preserve">(A)
The organization determines the types of changes to the information system that are configuration-controlled.
(B)
The organization reviews proposed configuration-controlled changes to the information system and approves or disapproves such changes with explicit consideration for security impact analyses.
(C)
The organization documents configuration change decisions associated with the information system.
(D)
The organization implements approved configuration-controlled changes to the information system.
(E)
The organization retains records of configuration-controlled changes to the information system for at least 90 days.
(F)
The organization audits and reviews activities associated with configuration-controlled changes to the information system.
(G)
The organization coordinates and provides oversight for configuration change control activities through a central communication process that includes organizational governance bodies that convenes at least annually.</t>
  </si>
  <si>
    <t xml:space="preserve">(A) L’organisation détermine les types de changements au système d’information qui sont contrôlés par la configuration.
(B) L’organisation examine les changements proposés au système d’information qui sont contrôlés par la configuration et approuve ou désapprouve ces changements en tenant compte explicitement des analyses des répercussions sur la sécurité.
(C) L’organisation documente les décisions sur les changements de configuration associés au système d’information.
(D) L’organisation met en œuvre les changements approuvés au système d’information qui sont contrôlés par la configuration.
(E) L’organisation conserve pendant au moins 90 jours les enregistrements des changements apportés au système d’information qui sont contrôlés par la configuration.
(F) L’organisation vérifie et examine les activités associées aux changements apportés au système d’information qui sont contrôlés par la configuration.
(G) L’organisation coordonne et surveille les activités de contrôle des changements de configuration au moyen d’un processus de communication central comprenant des organismes de gouvernance organisationnelle qui se réunissent au moins une fois par année.</t>
  </si>
  <si>
    <t xml:space="preserve">Configuration change controls for organizational information systems involve the systematic proposal, justification, implementation, testing, review, and disposition of changes to the systems, including system upgrades and modifications. Configuration change control includes changes to baseline configurations for components and configuration items of information systems, changes to configuration settings for information technology products (e.g., operating systems, applications, firewalls, routers, and mobile devices), unscheduled/unauthorized changes, and changes to remediate vulnerabilities. Typical processes for managing configuration changes to information systems include, for example, Configuration Control Boards that approve proposed changes to systems. For new development information systems or systems undergoing major upgrades, organizations consider including representatives from development organizations on the Configuration Control Boards. Auditing of changes includes activities before and after changes are made to organizational information systems and the auditing activities required to implement such changes. Related controls: CA-7, CM-2, CM-4, CM-5, CM-6, CM-9, SA-10, SI-2, SI-12</t>
  </si>
  <si>
    <t xml:space="preserve">Les contrôles des changements de configuration pour les systèmes d’information organisationnels comprennent la proposition systématique, la justification, la mise en œuvre, les essais, l’examen et la disposition des changements aux systèmes, y compris les mises à niveau et les modifications des systèmes. Le contrôle des changements de configuration comprend les changements apportés aux configurations de base des composants et des éléments de configuration des systèmes d’information, les changements apportés aux paramètres de configuration des produits de technologie de l’information (p. ex., systèmes d’exploitation, applications, pare-feu, routeurs et appareils mobiles), les changements imprévus ou non autorisés et les changements visant à corriger les vulnérabilités. Les processus types de gestion des changements de configuration des systèmes d’information comprennent, par exemple, les comités de contrôle de la configuration qui approuvent les changements proposés aux systèmes. En ce qui concerne les nouveaux systèmes d’information en développement ou les systèmes faisant l’objet de mises à niveau importantes, les organisations envisagent d’inclure des représentants des organisations de développement dans les comités de contrôle de la configuration. La vérification des changements comprend les activités menées avant et après les changements apportés aux systèmes d’information organisationnels et les activités de vérification nécessaires à la mise en œuvre de ces changements. Contrôles connexes : CA-7, CM-2, CM-4, CM-5, CM-6, CM-9, SA-10, SI-2, SI-12</t>
  </si>
  <si>
    <t xml:space="preserve">TEST-CM-3</t>
  </si>
  <si>
    <t xml:space="preserve">Control CM-3(6) — Evidence Tracking</t>
  </si>
  <si>
    <t xml:space="preserve">Contrôle CM-3(6) — Suivi des preuves</t>
  </si>
  <si>
    <t xml:space="preserve">CONFIGURATION CHANGE CONTROL | CRYPTOGRAPHY MANAGEMENT
The organization ensures that cryptographic mechanisms used to provide any cryptographic-based safeguards are under configuration management.</t>
  </si>
  <si>
    <t xml:space="preserve">CONTRÔLE DES CHANGEMENTS DE CONFIGURATION | GESTION DE LA CRYPTOGRAPHIE
L’organisation s’assure que les mécanismes cryptographiques utilisés pour fournir des mesures de protection cryptographiques font l’objet d’une gestion de la configuration.</t>
  </si>
  <si>
    <t xml:space="preserve">Regardless of the cryptographic means employed (e.g., public key, private key, shared secrets), organizations ensure that there are processes and procedures in place to effectively manage those means. For example, if devices use certificates as a basis for identification and authentication, there needs to be a process in place to address the expiration of those certificates. Related control: SC-13.</t>
  </si>
  <si>
    <t xml:space="preserve">Peu importe les moyens cryptographiques utilisés (p. ex., clés publiques, clés privées, secrets partagés), les organisations s’assurent qu’il y a des processus et des procédures en place pour gérer efficacement ces moyens. Par exemple, si des appareils utilisent des certificats comme base d’identification et d’authentification, il doit y avoir un processus en place pour gérer la question de l’expiration de ces certificats. Contrôle connexe : SC-13.</t>
  </si>
  <si>
    <t xml:space="preserve">TEST-CM-3(6)</t>
  </si>
  <si>
    <t xml:space="preserve">Control CM-5(1) — Evidence Tracking</t>
  </si>
  <si>
    <t xml:space="preserve">Contrôle CM-5(1) — Suivi des preuves</t>
  </si>
  <si>
    <t xml:space="preserve">ACCESS RESTRICTIONS FOR CHANGE | AUTOMATED ACCESS ENFORCEMENT / AUDITING
The information system enforces access restrictions and supports auditing of the enforcement actions.</t>
  </si>
  <si>
    <t xml:space="preserve">RESTRICTIONS D’ACCÈS POUR LES CHANGEMENTS | CONTRÔLE AUTOMATISÉ DE L’ACCÈS/VÉRIFICATION
Le système d’information applique les restrictions d’accès et prend en charge la vérification des contrôles appliqués.</t>
  </si>
  <si>
    <t xml:space="preserve">Related controls: AU-2, AU-12, AU-6, CM-3, and CM-6.</t>
  </si>
  <si>
    <t xml:space="preserve">Contrôles connexes : AU-2, AU-12, AU-6, CM-3 et CM-6.</t>
  </si>
  <si>
    <t xml:space="preserve">TEST-CM-5(1)</t>
  </si>
  <si>
    <t xml:space="preserve">Control CM-6 — Evidence Tracking</t>
  </si>
  <si>
    <t xml:space="preserve">Contrôle CM-6 — Suivi des preuves</t>
  </si>
  <si>
    <t xml:space="preserve">(A)
The organization establishes and documents configuration settings for information technology products employed within the information system using checklists from one or more of the following 
Center for Internet Security (CIS), National Institute of Standards and Technology  (NIST), Defense Information Systems Agency (DISA) that reflect the most restrictive mode consistent with operational requirements.
(B)
The organization implements the configuration settings.
(C)
The organization identifies, documents, and approves any deviations from established configuration settings for any configurable infomation system components.
(D)
The organization monitors and controls changes to the configuration settings in accordance with organizational policies and procedures.</t>
  </si>
  <si>
    <t xml:space="preserve">(A) L’organisation établit et documente les paramètres de configuration des produits de technologie de l’information utilisés dans le système d’information à l’aide de listes de vérification provenant d’un ou de plusieurs des éléments suivants :
Center for Internet Security (CIS), National Institute of Standards and Technology (NIST), Defense Information Systems Agency (DISA), qui reflètent le mode le plus restrictif conformément aux exigences opérationnelles.
(B) L’organisation met en œuvre les paramètres de configuration.
(C) L’organisation identifie, documente et approuve tout écart par rapport aux paramètres de configuration établis pour les composants configurables du système d’information.
(D) L’organisation surveille et contrôle les changements apportés aux paramètres de configuration conformément aux politiques et aux procédures de l’organisation.</t>
  </si>
  <si>
    <t xml:space="preserve">Configuration settings are the set of parameters that can be changed in hardware, software, or firmware components of the information system that affect the security posture and/or functionality of the system. Information technology products for which security-related configuration settings can be defined include, for example, mainframe computers, servers (e.g., database, electronic mail, authentication, web, proxy, file, domain name), workstations, input/output devices (e.g., scanners, copiers, and printers), network components (e.g., firewalls, routers, gateways, voice and data switches, wireless access points, network appliances, sensors), operating systems, middleware, and applications. Security-related parameters are those parameters impacting the security state of information systems including the parameters required to satisfy other security control requirements. Security-related parameters include, for example: (i) registry settings; (ii) account, file, directory permission settings; and (iii) settings for functions, ports, protocols, services, and remote connections. Organizations establish organization-wide configuration settings and subsequently derive specific settings for information systems. The established settings become part of the systems configuration baselineCommon secure configurations (also referred to as security configuration checklists, lockdown and hardening guides, security reference guides, security technical implementation guides (STIG)) provide recognized, standardized, and established benchmarks that stipulate secure configuration settings for specific information technology platforms/products and instructions for configuring those information system components to meet operational requirements. Common secure configurations can be developed by a variety of organizations including, for example, information technology product developers, manufacturers, vendors, consortia, academia, industry, federal government organizations, and others in the public and private sectors. The Security Content Automation Protocol (SCAP) and the defined standards within the protocol (e.g., Common Configuration Enumeration) provide an effective method to uniquely identify, track, and control configuration settings. Related controls: AC-19, CM-2, CM-3, CM-7, SI-4.</t>
  </si>
  <si>
    <t xml:space="preserve">Les paramètres de configuration sont l’ensemble de paramètres qui peuvent être modifiés dans les composants matériels, logiciels ou micrologiciels du système d’information et qui ont une incidence sur la posture de sécurité ou la fonctionnalité du système. Les produits de technologie de l’information pour lesquels les paramètres de configuration liés à la sécurité peuvent être définis comprennent, par exemple, les ordinateurs centraux, les serveurs (p. ex., base de données, courrier électronique, authentification, Web, mandataire, fichiers, noms de domaine), les postes de travail, les périphériques d’entrée et de sortie (p. ex., numériseurs, photocopieurs et imprimantes), les composants de réseau (p. ex., pare-feu, routeurs, passerelles, commutateurs de voix et de données, points d’accès sans fil, outils de réseau, capteurs), les systèmes d’exploitation, les intergiciels et les applications. Les paramètres liés à la sécurité sont les paramètres qui influent sur l’état de sécurité des systèmes d’information, y compris les paramètres requis pour satisfaire à d’autres exigences de contrôle de sécurité. Les paramètres liés à la sécurité comprennent, par exemple : (i) les paramètres des registres; (ii) les paramètres de comptes, de fichiers, d’autorisation de répertoires; (iii) les paramètres des fonctions, des ports, des protocoles, des services et des connexions à distance. Les organisations établissent les paramètres de configuration à l’échelle de l’organisation et en déduisent ensuite les paramètres particuliers pour les systèmes d’information. Les paramètres établis font partie des configurations de base des systèmes Les configurations sécurisées communes (aussi appelées listes de vérification de la configuration de sécurité, guides de verrouillage et de renforcement, guides de référence de sécurité, guides de mise en œuvre technique de la sécurité [STIG]) fournissent des repères reconnus, normalisés et établis qui stipulent les paramètres de configuration sécurisée pour des plateformes/produits de technologie de l’information particuliers et des instructions pour configurer ces composants de système d’information de manière à répondre aux exigences opérationnelles. Les configurations sécurisées communes peuvent être mises au point par diverses organisations, y compris, par exemple, les concepteurs de produits de technologie de l’information, les fabricants, les fournisseurs, les consortiums, le milieu universitaire, l’industrie, les organisations du gouvernement fédéral et d’autres intervenants des secteurs public et privé. Le protocole d’automatisation du contenu de sécurité SCAP (Security Content Automation Protocol) et les normes définies dans le protocole (p. ex., Common Configuration Enumeration) constituent une méthode efficace pour déterminer, suivre et contrôler de façon unique les paramètres de configuration. Contrôles connexes : AC-19, CM-2, CM-3, CM-7, SI-4.</t>
  </si>
  <si>
    <t xml:space="preserve">TEST-CM-6</t>
  </si>
  <si>
    <t xml:space="preserve">Control CM-6(1) — Evidence Tracking</t>
  </si>
  <si>
    <t xml:space="preserve">Contrôle CM-6(1) — Suivi des preuves</t>
  </si>
  <si>
    <t xml:space="preserve">CONFIGURATION SETTINGS | AUTOMATED CENTRAL MANAGEMENT / APPLICATION / VERIFICATION
The organization employs automated mechanisms to centrally manage, apply, and verify configuration settings for organization-defined information system components.</t>
  </si>
  <si>
    <t xml:space="preserve">PARAMÈTRES DE CONFIGURATION | GESTION, APPLICATION ET VÉRIFICATION CENTRALISÉES ET AUTOMATISÉES
L’organisation utilise des mécanismes automatisés pour gérer, appliquer et vérifier de manière centralisée les paramètres de configuration des composants de système d’information définis par l’organisation.</t>
  </si>
  <si>
    <t xml:space="preserve">Related controls: CA-7, CM-4.</t>
  </si>
  <si>
    <t xml:space="preserve">Contrôles connexes : CA-7, CM-4.</t>
  </si>
  <si>
    <t xml:space="preserve">TEST-CM-6(1)</t>
  </si>
  <si>
    <t xml:space="preserve">Control CM-7 — Evidence Tracking</t>
  </si>
  <si>
    <t xml:space="preserve">Contrôle CM-7 — Suivi des preuves</t>
  </si>
  <si>
    <t xml:space="preserve">(A)
The organization configures the information system to provide only essential capabilities.
(B)
The organization prohibits or restricts the use of identified functions, ports, protocols, and/or services following one or more standards from Center for Internet Security (CIS), National Institute of Standards and Technology  (NIST), or Defense Information Systems Agency (DISA).</t>
  </si>
  <si>
    <t xml:space="preserve">(A) L’organisation configure le système d’information pour n’offrir que les capacités essentielles.
(B) L’organisation interdit ou restreint l’utilisation de fonctions, de ports, de protocoles et/ou de services identifiés en respectant une ou plusieurs normes du Center for Internet Security (CIS), du National Institute of Standards and Technology (NIST) ou de la Defense Information Systems Agency (DISA).</t>
  </si>
  <si>
    <t xml:space="preserve">Information systems can provide a wide variety of functions and services. Some of the functions and services, provided by default, may not be necessary to support essential organizational operations (e.g., key missions, functions). Additionally, it is sometimes convenient to provide multiple services from single information system components, but doing so increases risk over limiting the services provided by any one component. Where feasible, organizations limit component functionality to a single function per device (e.g., email servers or web servers, but not both). Organizations review functions and services provided by information systems or individual components of information systems, to determine which functions and services are candidates for elimination (e.g., Voice over Internet Protocol (VoIP), Instant Messaging, auto-execute, and file sharing). Organizations consider disabling unused or unnecessary physical and logical ports/protocols (e.g., USB, FTP, IPv6, HTTP) on information systems to prevent unauthorized connection of devices, unauthorized transfer of information, or unauthorized tunnelling. Organizations can utilize network scanning tools, intrusion detection and prevention systems, and end-point protections such as firewalls and host-based intrusion detection systems to identify and prevent the use of prohibited functions, ports, protocols, and services. Related controls: AC-6, CM-2, RA-5, SA-5, SC-7</t>
  </si>
  <si>
    <t xml:space="preserve">Les systèmes d’information peuvent offrir une grande variété de fonctions et de services. Certaines fonctions et certains services, fournis par défaut, peuvent ne pas être nécessaires au soutien des opérations essentielles de l’organisation (p. ex., missions et fonctions clés). De plus, il est parfois pratique de fournir plusieurs services à partir de composants uniques du système d’information, mais cela augmente le risque de limiter les services fournis par un seul composant. Dans la mesure du possible, les organisations limitent la fonctionnalité des composants à une seule fonction par dispositif (p. ex., serveurs de courriel ou serveurs Web, mais pas les deux). Les organisations examinent les fonctions et les services fournis par les systèmes d’information ou les composants individuels des systèmes d’information afin de déterminer quelles fonctions et quels services peuvent être éliminés (p. ex., voix sur protocole Internet [VoIP], messagerie instantanée, auto-exécution et partage de fichiers). Les organisations envisagent de désactiver les ports/protocoles physiques et logiques inutilisés ou inutiles (p. ex., USB, FTP, IPv6, HTTP) sur les systèmes d’information afin de prévenir la connexion non autorisée d’appareils, le transfert non autorisé d’information ou la tunnellisation non autorisée. Les organisations peuvent utiliser des outils de balayage de réseau, des systèmes de détection et de prévention des intrusions et des mesures de protection d’extrémité comme des pare-feu et des systèmes de détection des intrusions basés sur l’hôte, pour identifier et prévenir l’utilisation de fonctions, de ports, de protocoles et de services interdits. Contrôles connexes : AC-6, CM-2, RA-5, SA-5, SC-7</t>
  </si>
  <si>
    <t xml:space="preserve">TEST-CM-7</t>
  </si>
  <si>
    <t xml:space="preserve">Control CM-7(1) — Evidence Tracking</t>
  </si>
  <si>
    <t xml:space="preserve">Contrôle CM-7(1) — Suivi des preuves</t>
  </si>
  <si>
    <t xml:space="preserve">LEAST FUNCTIONALITY | PERIODIC REVIEW
The organization reviews the information system at least annually to identify unnecessary and/or non-secure functions, ports, protocols, and services; and
The organization disables all functions, ports, protocols, and services within the information system deemed to be unnecessary and/or nonsecure.</t>
  </si>
  <si>
    <t xml:space="preserve">MOINDRE FONCTIONNALITÉ | EXAMEN PÉRIODIQUE
L’organisation revoit le système d’information au moins une fois par année afin de repérer les fonctions, les ports, les protocoles et les services inutiles ou non sécurisés;
L’organisation désactive toutes les fonctions, tous les ports, tous les protocoles et tous les services du système d’information jugés inutiles ou non sécurisés.</t>
  </si>
  <si>
    <t xml:space="preserve">The organization can either make a determination of the relative security of the function, port, protocol, and/or service or base the security decision on the assessment of other entities. Bluetooth, FTP, and peer-to-peer networking are examples of less than secure protocols. Related controls: AC-18, CM-7, IA-2.</t>
  </si>
  <si>
    <t xml:space="preserve">L’organisation peut soit déterminer la sécurité relative de la fonction, du port, du protocole ou du service, soit baser sa décision en matière de sécurité sur l’évaluation d’autres entités. Bluetooth, FTP et l’interconnexion de réseaux d’égal à égal sont des exemples de protocoles moins sécurisés. Contrôles connexes : AC-18, CM-7, IA-2.</t>
  </si>
  <si>
    <t xml:space="preserve">TEST-CM-7(1)</t>
  </si>
  <si>
    <t xml:space="preserve">Control CM-8(2) — Evidence Tracking</t>
  </si>
  <si>
    <t xml:space="preserve">Contrôle CM-8(2) — Suivi des preuves</t>
  </si>
  <si>
    <t xml:space="preserve">INFORMATION SYSTEM COMPONENT INVENTORY | AUTOMATED MAINTENANCE
The organization employs automated mechanisms to help maintain an up-to-date, complete, accurate, and readily available inventory of information system components.</t>
  </si>
  <si>
    <t xml:space="preserve">INVENTAIRE DES COMPOSANTS DU SYSTÈME D’INFORMATION | MAINTENANCE AUTOMATISÉE
L’organisation utilise des mécanismes automatisés pour maintenir un inventaire complet, précis, à jour et facilement accessible des composants du système d’information.</t>
  </si>
  <si>
    <t xml:space="preserve">Organizations maintain information system inventories to the extent feasible. Virtual machines, for example, can be difficult to monitor because such machines are not visible to the network when not in use. In such cases, organizations maintain as up-to-date, complete, and accurate an inventory as is deemed reasonable. This control enhancement can be satisfied by the implementation of CM-2 (2) for organizations that choose to combine information system component inventory and baseline configuration activities. Related control: SI-7.</t>
  </si>
  <si>
    <t xml:space="preserve">Les organisations tiennent des inventaires de systèmes d’information dans la mesure où il est possible de le faire. Les machines virtuelles, par exemple, peuvent être difficiles à surveiller parce qu’elles ne sont pas visibles sur le réseau lorsqu’elles ne sont pas utilisées. Dans de tels cas, les organisations tiennent un inventaire aussi à jour, complet et exact que jugé raisonnable. Cette amélioration du contrôle peut être réalisée par la mise en œuvre du CM-2 (2) pour les organisations qui choisissent de combiner l’inventaire des composants du système d’information et les activités de configuration de base. Contrôle connexe : SI-7.</t>
  </si>
  <si>
    <t xml:space="preserve">TEST-CM-8(2)</t>
  </si>
  <si>
    <t xml:space="preserve">Control CM-8(5) — Evidence Tracking</t>
  </si>
  <si>
    <t xml:space="preserve">Contrôle CM-8(5) — Suivi des preuves</t>
  </si>
  <si>
    <t xml:space="preserve">INFORMATION SYSTEM COMPONENT INVENTORY | NO DUPLICATE ACCOUNTING OF COMPONENTS
The organization verifies that all components within the authorization boundary of the information system are not duplicated in other information system component inventories.</t>
  </si>
  <si>
    <t xml:space="preserve">INVENTAIRE DES COMPOSANTS DU SYSTÈME D’INFORMATION | AUCUNE COMPTABILISATION EN DOUBLE DES COMPOSANTS
L’organisation vérifie que tous les composants à l’intérieur des limites d’autorisation du système d’information ne sont pas reproduits dans d’autres inventaires de composants du système d’information.</t>
  </si>
  <si>
    <t xml:space="preserve">This control enhancement addresses the potential problem of duplicate accounting of information system components in large or complex interconnected systems.</t>
  </si>
  <si>
    <t xml:space="preserve">Cette amélioration du contrôle vise à régler le problème potentiel d’une comptabilisation en double des composants du système d’information dans les grands systèmes ou les systèmes interconnectés ou complexes.</t>
  </si>
  <si>
    <t xml:space="preserve">TEST-CM-8(5)</t>
  </si>
  <si>
    <t xml:space="preserve">Control CP-6 — Evidence Tracking</t>
  </si>
  <si>
    <t xml:space="preserve">Contrôle CP-6 — Suivi des preuves</t>
  </si>
  <si>
    <t xml:space="preserve">(A)
The organization establishes an alternate storage site including necessary agreements to permit the storage and retrieval of information system backup information.
(B)
The organization ensures that the alternate storage site provides information security safeguards equivalent to that of the primary site.</t>
  </si>
  <si>
    <t xml:space="preserve">(A) L’organisation établit un site de stockage auxiliaire, incluant les ententes nécessaires pour permettre le stockage et l’extraction de l’information de sauvegarde du système d’information.
(B) L’organisation veille à ce que le site de stockage auxiliaire offre des mesures de sécurité de l’information équivalentes à celles du site principal.</t>
  </si>
  <si>
    <t xml:space="preserve">Alternate storage sites are sites that are geographically distinct from primary storage sites. An alternate storage site maintains duplicate copies of information and data in the event that the primary storage site is not available. Items covered by alternate storage site agreements include, for example, environmental conditions at alternate sites, access rules, physical and environmental protection requirements, and coordination of delivery/retrieval of backup media. Alternate storage sites reflect the requirements in contingency plans so that organizations can maintain essential missions/business functions despite disruption, compromise, or failure in organizational information systems. Related controls: CP-2, CP-7, CP-9, CP-10, MP-4</t>
  </si>
  <si>
    <t xml:space="preserve">Les sites de stockage auxiliaires sont des sites qui sont géographiquement séparés des sites de stockage principaux. Un site de stockage auxiliaire conserve des copies de l’information et des données advenant la non-disponibilité du site de stockage principal. Les éléments couverts par les accords sur les sites de stockage auxiliaires comprennent, par exemple, les conditions environnementales aux sites auxiliaires, les règles d’accès, les exigences en matière de protection physique et environnementale, et la coordination de la livraison/récupération des supports de sauvegarde. Les sites de stockage auxiliaires reflètent les exigences des plans d’urgence afin que les organisations puissent maintenir les fonctions opérationnelles et de mission essentielles malgré la perturbation, la compromission ou la défaillance des systèmes d’information organisationnels. Contrôles connexes : CP-2, CP-7, CP-9, CP-10, MP-4</t>
  </si>
  <si>
    <t xml:space="preserve">TEST-CP-6</t>
  </si>
  <si>
    <t xml:space="preserve">Control CP-6(2) — Evidence Tracking</t>
  </si>
  <si>
    <t xml:space="preserve">Contrôle CP-6(2) — Suivi des preuves</t>
  </si>
  <si>
    <t xml:space="preserve">ALTERNATE STORAGE SITE | RECOVERY TIME / POINT OBJECTIVES
The organization configures the alternate storage site to facilitate recovery operations in accordance with recovery time and recovery point objectives.</t>
  </si>
  <si>
    <t xml:space="preserve">SITE DE STOCKAGE AUXILIAIRE | OBJECTIFS EN MATIÈRE DE DÉLAIS/POINTS DE REPRISE
L’organisation configure le site de stockage auxiliaire de manière à faciliter les opérations de reprise conformément aux objectifs en matière de délais et de points de reprise.</t>
  </si>
  <si>
    <t xml:space="preserve">TEST-CP-6(2)</t>
  </si>
  <si>
    <t xml:space="preserve">Control CP-7 — Evidence Tracking</t>
  </si>
  <si>
    <t xml:space="preserve">Contrôle CP-7 — Suivi des preuves</t>
  </si>
  <si>
    <t xml:space="preserve">(A)
The organization establishes an alternate processing site including necessary agreements to permit the transfer and resumption of organization-defined information system operations for essential missions/business functions within organization-defined time period consistent with recovery time and recovery point objectives when the primary processing capabilities are unavailable.
(B)
The organization ensures that equipment and supplies required to transfer and resume operations are available at the alternate processing site or contracts are in place to support delivery to the site within the organization-defined time period for transfer/resumption.
(C)
The organization ensures that the alternate processing site provides information security safeguards equivalent to that of the primary site.</t>
  </si>
  <si>
    <t xml:space="preserve">(A) L’organisation établit un site de traitement auxiliaire, y compris les ententes nécessaires pour permettre le transfert et la reprise des opérations du système d’information définies par l’organisation pour les missions et les fonctions opérationnelles essentielles à l’intérieur d’une période définie par l’organisation, conformément aux objectifs en matière de délais de reprise et de points de reprise lorsque les capacités de traitement principales ne sont pas disponibles.
(B) L’organisation veille à ce que l’équipement et les fournitures nécessaires au transfert et à la reprise des activités soient disponibles au site de traitement auxiliaire, ou à ce que des contrats soient en place pour soutenir la livraison au site à l’intérieur de la période définie par l’organisation pour le transfert ou la reprise.
(C) L’organisation veille à ce que le site de traitement auxiliaire offre des mesures de sécurité de l’information équivalentes à celles du site principal.</t>
  </si>
  <si>
    <t xml:space="preserve">Alternate processing sites are sites that are geographically distinct from primary processing sites. An alternate processing site provides processing capability in the event that the primary processing site is not available. Items covered by alternate processing site agreements include, for example, environmental conditions at alternate sites, access rules, physical and environmental protection requirements, and coordination for the transfer/assignment of personnel. Requirements are specifically allocated to alternate processing sites that reflect the requirements in contingency plans to maintain essential missions/business functions despite disruption, compromise, or failure in organizational information systems. Related controls: CP-2, CP-6, CP-8, CP-9, CP-10, MA-6</t>
  </si>
  <si>
    <t xml:space="preserve">Les sites de traitement auxiliaires sont des sites qui sont géographiquement séparés des sites de traitement principaux. Un site de traitement auxiliaire offre une capacité de traitement lorsque le site de traitement principal n’est pas disponible. Les éléments couverts par les accords sur les sites de traitement auxiliaires comprennent, par exemple, les conditions environnementales aux sites auxiliaires, les règles d’accès, les exigences en matière de protection physique et environnementale, et la coordination pour le transfert ou l’attribution du personnel. Les exigences spécifiquement attribuées aux sites de traitement auxiliaires reflètent les exigences des plans d’urgence pour maintenir les fonctions opérationnelles et de mission essentielles malgré la perturbation, la compromission ou la défaillance des systèmes d’information organisationnels. Contrôles connexes : CP-2, CP-6, CP-8, CP-9, CP-10, MA-6</t>
  </si>
  <si>
    <t xml:space="preserve">TEST-CP-7</t>
  </si>
  <si>
    <t xml:space="preserve">Control CP-7(1) — Evidence Tracking</t>
  </si>
  <si>
    <t xml:space="preserve">Contrôle CP-7(1) — Suivi des preuves</t>
  </si>
  <si>
    <t xml:space="preserve">ALTERNATE PROCESSING SITE | SEPARATION FROM PRIMARY SITE
The organization identifies an alternate processing site that is separated from the primary processing site to reduce susceptibility to the same threats.</t>
  </si>
  <si>
    <t xml:space="preserve">SITE DE TRAITEMENT AUXILIAIRE | SÉPARATION DU SITE PRINCIPAL
L’organisation détermine un site de traitement auxiliaire qui est séparé du site de traitement principal afin de réduire sa vulnérabilité aux mêmes menaces.</t>
  </si>
  <si>
    <t xml:space="preserve">Threats that affect alternate processing sites are typically defined in organizational assessments of risk and include, for example, natural disasters, structural failures, hostile cyber-attacks, and errors of omission/commission. Organizations determine what is considered a sufficient degree of separation between primary and alternate processing sites based on the types of threats that are of concern. For one particular type of threat (i.e., hostile cyber-attack), the degree of separation between sites is less relevant. Related control: RA-3.</t>
  </si>
  <si>
    <t xml:space="preserve">Les menaces qui touchent les sites de traitement auxiliaires sont généralement définies dans les évaluations organisationnelles des risques et comprennent, par exemple, les catastrophes naturelles, les défaillances structurelles, les cyberattaques hostiles et les erreurs d’omission ou de commission. Les organisations déterminent un degré de séparation considéré comme suffisant entre les sites de traitement principaux et auxiliaires en fonction des types de menaces qui sont préoccupantes. Pour un type particulier de menace (p. ex. les cyberattaques hostiles), le degré de séparation entre les sites est moins pertinent. Contrôle connexe : RA-3.</t>
  </si>
  <si>
    <t xml:space="preserve">TEST-CP-7(1)</t>
  </si>
  <si>
    <t xml:space="preserve">Control CP-7(4) — Evidence Tracking</t>
  </si>
  <si>
    <t xml:space="preserve">Contrôle CP-7(4) — Suivi des preuves</t>
  </si>
  <si>
    <t xml:space="preserve">ALTERNATE PROCESSING SITE | PREPARATION FOR USE
The organization prepares the alternate processing site so that the site is ready to be used as the operational site supporting essential missions and business functions.</t>
  </si>
  <si>
    <t xml:space="preserve">SITE DE TRAITEMENT AUXILIAIRE | PRÉPARATION À L’UTILISATION
L’organisation prépare le site de traitement auxiliaire de manière à ce que le site soit prêt à être utilisé comme site opérationnel prenant en charge les fonctions opérationnelles et les missions essentielles.</t>
  </si>
  <si>
    <t xml:space="preserve">Site preparation includes, for example, establishing configuration settings for information system components at the alternate processing site consistent with the requirements for such settings at the primary site and ensuring that essential supplies and other logistical considerations are in place. Related controls: CM-2, CM-6.</t>
  </si>
  <si>
    <t xml:space="preserve">La préparation du site comprend, par exemple, l’établissement des paramètres de configuration pour les composants du système d’information au site de traitement auxiliaire, conformément aux exigences pour ces paramètres au site principal, et l’assurance que les fournitures essentielles et autres considérations logistiques sont en place. Contrôles connexes : CM-2, CM-6.</t>
  </si>
  <si>
    <t xml:space="preserve">TEST-CP-7(4)</t>
  </si>
  <si>
    <t xml:space="preserve">Control CP-9 — Evidence Tracking</t>
  </si>
  <si>
    <t xml:space="preserve">Contrôle CP-9 — Suivi des preuves</t>
  </si>
  <si>
    <t xml:space="preserve">(A)
The organization conducts backups of user-level information contained in the information system daily incremental; weekly full.
(B)
The organization conducts backups of system-level information contained in the information system daily incremental; weekly full.
(C)
The organization conducts backups of information system documentation including security-related documentation daily incremental; weekly full.
(D)
The organization protects the confidentiality, integrity, and availability of backup information at storage locations.
(AA)
The organization determines retention periods for essential business information and archived backups.</t>
  </si>
  <si>
    <t xml:space="preserve">(A) L’organisation effectue des sauvegardes incrémentielles quotidiennes et des sauvegardes hebdomadaires complètes de l’information au niveau de l’utilisateur qui est contenue dans le système d’information.
(B) L’organisation effectue des sauvegardes incrémentielles quotidiennes et des sauvegardes hebdomadaires complètes de l’information au niveau du système contenue dans le système d’information.
(C) L’organisation effectue des sauvegardes incrémentielles quotidiennes et des sauvegardes hebdomadaires complètes de la documentation relative au système d’information, y compris la documentation liée à la sécurité.
(D) L’organisation protège la confidentialité, l’intégrité et la disponibilité de l’information de sauvegarde aux emplacements de stockage.
(AA) L’organisation détermine les périodes de conservation des renseignements opérationnels essentiels et des sauvegardes archivées.</t>
  </si>
  <si>
    <t xml:space="preserve">System-level information includes, for example, system-state information, operating system and application software, and licenses. User-level information includes any information other than system-level information. Mechanisms employed by organizations to protect the integrity of information system backups include, for example, digital signatures and cryptographic hashes. Protection of system backup information while in transit is beyond the scope of this control. Information system backups reflect the requirements in contingency plans as well as other organizational requirements for backing up information. Related controls: CP-2, CP-6, MP-4, MP-5, SC-13</t>
  </si>
  <si>
    <t xml:space="preserve">L’information au niveau du système comprend, par exemple, l’information sur l’état du système, le système d’exploitation, les logiciels d’application et les licences. L’information au niveau de l’utilisateur comprend toute information autre que l’information au niveau du système. Les mécanismes employés par les organisations pour protéger l’intégrité des sauvegardes du système d’information comprennent, par exemple, les signatures numériques et le hachage cryptographique. La protection de l’information de sauvegarde du système pendant le transport dépasse la portée de ce contrôle. Les sauvegardes du système d’information reflètent les exigences des plans d’urgence ainsi que d’autres exigences organisationnelles relatives à la sauvegarde de l’information. Contrôles connexes : CP-2, CP-6, MP-4, MP-5, SC-13</t>
  </si>
  <si>
    <t xml:space="preserve">TEST-CP-9</t>
  </si>
  <si>
    <t xml:space="preserve">Control CP-9(1) — Evidence Tracking</t>
  </si>
  <si>
    <t xml:space="preserve">Contrôle CP-9(1) — Suivi des preuves</t>
  </si>
  <si>
    <t xml:space="preserve">INFORMATION SYSTEM BACKUP | TESTING FOR RELIABILITY / INTEGRITY
The organization tests backup information at least annually to verify media reliability and information integrity.</t>
  </si>
  <si>
    <t xml:space="preserve">SAUVEGARDE DU SYSTÈME D’INFORMATION | VÉRIFICATION DE LA FIABILITÉ ET DE L’INTÉGRITÉ
L’organisation teste l’information de sauvegarde au moins une fois par année pour vérifier la fiabilité des supports et l’intégrité de l’information.</t>
  </si>
  <si>
    <t xml:space="preserve">Related control: CP-4.</t>
  </si>
  <si>
    <t xml:space="preserve">Contrôle connexe : CP-4.</t>
  </si>
  <si>
    <t xml:space="preserve">TEST-CP-9(1)</t>
  </si>
  <si>
    <t xml:space="preserve">Control CP-9(2) — Evidence Tracking</t>
  </si>
  <si>
    <t xml:space="preserve">Contrôle CP-9(2) — Suivi des preuves</t>
  </si>
  <si>
    <t xml:space="preserve">INFORMATION SYSTEM BACKUP | TEST RESTORATION USING SAMPLING
The organization uses a sample of backup information in the restoration of selected information system functions as part of contingency plan testing.</t>
  </si>
  <si>
    <t xml:space="preserve">SAUVEGARDE DU SYSTÈME D’INFORMATION | ESSAIS DE RESTAURATION AU MOYEN DE L’ÉCHANTILLONNAGE
L’organisation utilise un échantillon de l’information de sauvegarde pour restaurer certaines fonctions du système d’information dans le cadre de la mise à l’essai du plan d’urgence.</t>
  </si>
  <si>
    <t xml:space="preserve">TEST-CP-9(2)</t>
  </si>
  <si>
    <t xml:space="preserve">Control CP-9(3) — Evidence Tracking</t>
  </si>
  <si>
    <t xml:space="preserve">Contrôle CP-9(3) — Suivi des preuves</t>
  </si>
  <si>
    <t xml:space="preserve">INFORMATION SYSTEM BACKUP | SEPARATE STORAGE FOR CRITICAL INFORMATION
The organization stores backup copies of all operating system and critical software code in a separate facility or in a fire-rated container that is not collocated with the operational system.</t>
  </si>
  <si>
    <t xml:space="preserve">SAUVEGARDE DU SYSTÈME D’INFORMATION | STOCKAGE SÉPARÉ POUR L’INFORMATION ESSENTIELLE
L’organisation stocke des copies de sauvegarde de tous les systèmes d’exploitation et du code logiciel essentiel dans une installation séparée ou dans un contenant résistant au feu qui n’est pas situé au même endroit que le système opérationnel.</t>
  </si>
  <si>
    <t xml:space="preserve">Critical information system software includes, for example, operating systems, cryptographic key management systems, and intrusion detection/prevention systems. Security-related information includes, for example, organizational inventories of hardware, software, and firmware components. Alternate storage sites typically serve as separate storage facilities for organizations. Related controls: CM-2, CM-8.</t>
  </si>
  <si>
    <t xml:space="preserve">Le logiciel essentiel du système d’information comprend, par exemple, les systèmes d’exploitation, les systèmes de gestion des clés cryptographiques et les systèmes de détection et de prévention des intrusions. L’information liée à la sécurité comprend, par exemple, les inventaires organisationnels des composants matériels, logiciels et micrologiciels. Les sites de stockage auxiliaires servent habituellement d’installations de stockage distinctes pour les organisations. Contrôles connexes : CM-2, CM-8.</t>
  </si>
  <si>
    <t xml:space="preserve">TEST-CP-9(3)</t>
  </si>
  <si>
    <t xml:space="preserve">Control CP-9(5) — Evidence Tracking</t>
  </si>
  <si>
    <t xml:space="preserve">Contrôle CP-9(5) — Suivi des preuves</t>
  </si>
  <si>
    <t xml:space="preserve">INFORMATION SYSTEM BACKUP | TRANSFER TO ALTERNATE STORAGE SITE
The organization transfers information system backup information to the alternate storage site at organization-defined time period and transfer rate consistent with the recovery time and recovery point objectives.</t>
  </si>
  <si>
    <t xml:space="preserve">SAUVEGARDE DU SYSTÈME D’INFORMATION | TRANSFERT À UN SITE DE STOCKAGE AUXILIAIRE
L’organisation transfère l’information de sauvegarde du système d’information au site de stockage auxiliaire au moment et à la vitesse de transfert définis par l’organisation conformément aux objectifs en matière de délais et de points de reprise.</t>
  </si>
  <si>
    <t xml:space="preserve">Information system backup information can be transferred to alternate storage sites either electronically or by physical shipment of storage media.</t>
  </si>
  <si>
    <t xml:space="preserve">Les données de sauvegarde du système d’information peuvent être transférées à des sites de stockage auxiliaires par voie électronique ou par envoi physique de supports de stockage.</t>
  </si>
  <si>
    <t xml:space="preserve">TEST-CP-9(5)</t>
  </si>
  <si>
    <t xml:space="preserve">Control CP-10 — Evidence Tracking</t>
  </si>
  <si>
    <t xml:space="preserve">Contrôle CP-10 — Suivi des preuves</t>
  </si>
  <si>
    <t xml:space="preserve">(A)
The organization provides for the recovery and reconstitution of the information system to a known state after a disruption, compromise, or failure.</t>
  </si>
  <si>
    <t xml:space="preserve">(A) L’organisation assure la reprise et la reconstitution du système d’information dans un état connu après une perturbation, une compromission ou une défaillance.</t>
  </si>
  <si>
    <t xml:space="preserve">Recovery is executing information system contingency plan activities to restore organizational missions/business functions. Reconstitution takes place following recovery and includes activities for returning organizational information systems to fully operational states. Recovery and reconstitution operations reflect mission and business priorities, recovery point/time and reconstitution objectives, and established organizational metrics consistent with contingency plan requirements. Reconstitution includes the deactivation of any interim information system capabilities that may have been needed during recovery operations. Reconstitution also includes assessments of fully restored information system capabilities, reestablishment of continuous monitoring activities, potential information system reauthorizations, and activities to prepare the systems against future disruptions, compromises, or failures. Recovery/reconstitution capabilities employed by organizations can include both automated mechanisms and manual procedures. Related controls: CA-2, CA-6, CA-7, CP-2, CP-4, CP-6, CP-7, CP-9, SC-24</t>
  </si>
  <si>
    <t xml:space="preserve">La reprise consiste à exécuter les activités du plan d’urgence du système d’information pour restaurer les fonctions opérationnelles et de mission de l’organisation. La reconstitution a lieu après la reprise et comprend les activités permettant de remettre les systèmes d’information organisationnels à l’état pleinement opérationnel. Les opérations de reprise et de reconstitution reflètent les priorités opérationnelles et de mission, les objectifs en matière de délais, de points de reprise et de reconstitution, de même que les paramètres organisationnels établis conformément aux exigences du plan d’urgence. La reconstitution comprend la désactivation de toute capacité provisoire du système d’information ayant pu être nécessaire pendant les opérations de reprise. La reconstitution comprend également l’évaluation des capacités entièrement restaurées du système d’information, le rétablissement des activités de surveillance continue, les réautorisations possibles du système d’information et les activités visant à préparer les systèmes à faire face aux perturbations, compromissions ou défaillances futures. Les capacités de reprise et de reconstitution utilisées par les organisations peuvent comprendre des mécanismes automatisés et des procédures manuelles. Contrôles connexes : CA-2, CA-6, CA-7, CP-2, CP-4, CP-6, CP-7, CP-9, SC-24</t>
  </si>
  <si>
    <t xml:space="preserve">TEST-CP-10</t>
  </si>
  <si>
    <t xml:space="preserve">Control CP-10(4) — Evidence Tracking</t>
  </si>
  <si>
    <t xml:space="preserve">Contrôle CP-10(4) — Suivi des preuves</t>
  </si>
  <si>
    <t xml:space="preserve">INFORMATION SYSTEM RECOVERY AND RECONSTITUTION | RESTORE WITHIN TIME PERIOD
The organization provides the capability to restore information system components within organization-defined restoration time-periods from configuration-controlled and integrity-protected information representing a known, operational state for the components.</t>
  </si>
  <si>
    <t xml:space="preserve">REPRISE ET RECONSTITUTION DU SYSTÈME D’INFORMATION | RESTAURATION DANS LE DÉLAI IMPARTI
L’organisation fournit la capacité de restaurer les composants du système d’information dans les délais de restauration définis par l’organisation à partir de l’information contrôlée par la configuration et protégée par l’intégrité qui représente un état de fonctionnement connu pour les composants.</t>
  </si>
  <si>
    <t xml:space="preserve">Restoration of information system components includes, for example, re-imaging which restores components to known, operational states. Related control: CM-2.</t>
  </si>
  <si>
    <t xml:space="preserve">La restauration des composants du système d’information comprend, par exemple, la reconfiguration permettant de restaurer les composants aux états de fonctionnement connus. Contrôle connexe : CM-2.</t>
  </si>
  <si>
    <t xml:space="preserve">TEST-CP-10(4)</t>
  </si>
  <si>
    <t xml:space="preserve">Control IA-5(7) — Evidence Tracking</t>
  </si>
  <si>
    <t xml:space="preserve">Contrôle IA-5(7) — Suivi des preuves</t>
  </si>
  <si>
    <t xml:space="preserve">AUTHENTICATOR MANAGEMENT | NO EMBEDDED UNENCRYPTED STATIC AUTHENTICATORS
The organization ensures that unencrypted static authenticators are not embedded in applications or access scripts or stored on function keys.</t>
  </si>
  <si>
    <t xml:space="preserve">GESTION DES AUTHENTIFIANTS | AUCUN AUTHENTIFIANT STATIQUE INTÉGRÉ NON CHIFFRÉ
L’organisation veille à ce que les authentifiants statiques non chiffrés ne soient pas intégrés dans les applications ou les scripts d’accès ou stockés sur les clés de fonction.</t>
  </si>
  <si>
    <t xml:space="preserve">Organizations exercise caution in determining whether embedded or stored authenticators are in encrypted or unencrypted form. If authenticators are used in the manner stored, then those representations are considered unencrypted authenticators. This is irrespective of whether that representation is perhaps an encrypted version of something else (e.g., a password).</t>
  </si>
  <si>
    <t xml:space="preserve">Les organisations usent de prudence lorsqu’il s’agit de déterminer si les authentifiants intégrés ou stockés sont chiffrés ou non chiffrés. Si les authentifiants sont utilisés sous leur forme stockée, ces représentations sont alors considérées comme étant des authentifiants non chiffrés. Cela n’a rien à voir avec le fait que cette représentation puisse être une version chiffrée de quelque chose d’autre (p. ex., un mot de passe).</t>
  </si>
  <si>
    <t xml:space="preserve">TEST-IA-5(7)</t>
  </si>
  <si>
    <t xml:space="preserve">Control MA-4 — Evidence Tracking</t>
  </si>
  <si>
    <t xml:space="preserve">Contrôle MA-4 — Suivi des preuves</t>
  </si>
  <si>
    <t xml:space="preserve">(A)
The organization approves and monitors nonlocal maintenance and diagnostic activities.
(B)
The organization allows the use of non-local maintenance and diagnostic tools only as consistent with organizational policy and as documented in the security plan for the information system.
(C)
The organization employs strong authenticators in the establishment of nonlocal maintenance and diagnostic sessions.
(D)
The organization maintains records for nonlocal maintenance and diagnostic activities.</t>
  </si>
  <si>
    <t xml:space="preserve">(A) L’organisation approuve et surveille les activités de maintenance et de diagnostic non locales.
(B) L’organisation ne permet l’utilisation d’outils de maintenance et de diagnostic non locaux que dans la mesure où ils sont conformes à la politique de l’organisation et documentés dans le plan de sécurité du système d’information.
(C) L’organisation utilise des authentifiants puissants pour les ouvertures de sessions de maintenance et de diagnostic non locales.
(D) L’organisation tient des registres pour les activités de maintenance et de diagnostic non locales.</t>
  </si>
  <si>
    <t xml:space="preserve">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Authentication techniques used in the establishment of nonlocal maintenance and diagnostic sessions reflect the network access requirements in IA-2. Typically, strong authentication requires authenticators that are resistant to replay attacks and employ multifactor authentication. Strong authenticators include, for example, PKI where certificates are stored on a token protected by a password, passphrase, or biometric. Enforcing requirements in MA-4 is accomplished in part by other controls. Related controls: AC-2, AC-3, AC-6, AC-17, AU-2, AU-3, IA-2, IA-4, IA-5, IA-8, MA-2, MA-5, MP-6, PL-2, SC-7, SC-10, SC-17</t>
  </si>
  <si>
    <t xml:space="preserve">Les activités de maintenance et de diagnostic non locales sont des activités menées par des personnes qui communiquent par l’entremise d’un réseau externe (p. ex., Internet) ou interne. Les activités de maintenance et de diagnostic locales sont les activités menées par des personnes physiquement présentes sur les lieux du système d’information ou du composant du système d’information et qui ne communiquent pas au moyen d’une connexion réseau. Les techniques d’authentification utilisées pour les ouvertures de sessions de maintenance et de diagnostic non locales reflètent les exigences d’accès au réseau dans IA-2. En règle générale, une authentification forte nécessite des authentifiants qui résistent aux attaques par réinsertion et utilisent l’authentification multifactorielle. Les authentifiants puissants comprennent, par exemple, l’ICP, où les certificats sont stockés sur un jeton protégé par un mot de passe, une phrase de passe ou des données biométriques. L’application des exigences du contrôle MA-4 est assurée en partie par d’autres contrôles. Contrôles connexes : AC-2, AC-3, AC-6, AC-17, AU-2, AU-3, IA-2, IA-4, IA-5, IA-8, MA-2, MA-5, MP-6, PL-2, SC-7, SC-10, SC-17</t>
  </si>
  <si>
    <t xml:space="preserve">TEST-MA-4</t>
  </si>
  <si>
    <t xml:space="preserve">Control MA-4(1) — Evidence Tracking</t>
  </si>
  <si>
    <t xml:space="preserve">Contrôle MA-4(1) — Suivi des preuves</t>
  </si>
  <si>
    <t xml:space="preserve">NONLOCAL MAINTENANCE | AUDITING AND REVIEW
(a)
The organization audits nonlocal maintenance and diagnostic sessions as defined in the organizations formal audit policy (AU-2, AU-6, AU-12); and
(b)
The organization reviews the records of the maintenance and diagnostic sessions.</t>
  </si>
  <si>
    <t xml:space="preserve">MAINTENANCE NON LOCALE | VÉRIFICATION ET EXAMEN
(a) L’organisation vérifie les sessions de maintenance et de diagnostic non locales telles que définies dans la politique de vérification officielle de l’organisation (AU-2, AU-6, AU-12);
(b) L’organisation examine les enregistrements des sessions de maintenance et de diagnostic.</t>
  </si>
  <si>
    <t xml:space="preserve">Related controls: AU-2, AU-6, AU-12.</t>
  </si>
  <si>
    <t xml:space="preserve">Contrôles connexes : AU-2, AU-6, AU-12.</t>
  </si>
  <si>
    <t xml:space="preserve">TEST-MA-4(1)</t>
  </si>
  <si>
    <t xml:space="preserve">Control RA-5 — Evidence Tracking</t>
  </si>
  <si>
    <t xml:space="preserve">Contrôle RA-5 — Suivi des preuves</t>
  </si>
  <si>
    <t xml:space="preserve">(A)
The organization scans for vulnerabilities in the information system and hosted applications monthly for operating systems/infrastructure, web applications, and database management systems and when new vulnerabilities potentially affecting the system/applications are identified and reported.
(B)
The organization employs vulnerability scanning tools and techniques that facilitate interoperability among tools and automate parts of the vulnerability management process by using standards for:
(a)
Enumerating platforms, software flaws, and improper configurations;
(b)
Formatting checklists and test procedures; and
(c)
Measuring vulnerability impact.
(C)
The organization analyzes vulnerability scan reports and results from security control assessments.
(D)
The organization remediates legitimate vulnerabilities within 30 days for high-risk vulnerabilities and 90 days for moderate-risk vulnerabilities from the date of discovery in accordance with an organizational assessment of risk.
(E)
The organization shares information obtained from the vulnerability scanning process and security control assessments with organization-defined personnel or roles to help eliminate similar vulnerabilities in other information systems (i.e., systemic weaknesses or deficiencies).</t>
  </si>
  <si>
    <t xml:space="preserve">(A) L’organisation analyse chaque mois les vulnérabilités du système d’information et des applications hébergées pour les systèmes et l’infrastructure d’exploitation, les applications Web et les systèmes de gestion de base de données, ainsi que les cas où de nouvelles vulnérabilités susceptibles d’affecter le système ou les applications sont repérées et signalées.
(B) L’organisation utilise des outils et des techniques d’analyse des vulnérabilités qui facilitent l’interopérabilité entre les outils et automatisent des parties du processus de gestion des vulnérabilités en utilisant des normes pour :
(a) recenser les plateformes, les failles logicielles et les configurations inadéquates;
(b) formater les listes de contrôle et les procédures d’essai;
(c) mesurer les répercussions des vulnérabilités.
(C) L’organisation analyse les rapports d’analyse des vulnérabilités et les résultats des évaluations des contrôles de sécurité.
(D) L’organisation remédie aux vulnérabilités légitimes dans les 30 jours pour les vulnérabilités présentant un risque élevé et dans les 90 jours pour les vulnérabilités présentant un risque modéré à partir de la date de découverte, conformément à une évaluation du risque par l’organisation.
(E) L’organisation partage l’information obtenue dans le cadre du processus d’analyse des vulnérabilités et des évaluations des contrôles de sécurité avec le personnel ou les rôles définis par l’organisation pour aider à éliminer des vulnérabilités semblables dans d’autres systèmes d’information (c.-à-d. des faiblesses ou des lacunes systémiques).</t>
  </si>
  <si>
    <t xml:space="preserve">Security categorization of information systems guides the frequency and comprehensiveness of vulnerability scans. Organizations determine the required vulnerability scanning for all information system components, ensuring that potential sources of vulnerabilities such as networked printers, scanners, and copiers are not overlooked. Vulnerability analyses for custom software applications may require additional approaches such as static analysis, dynamic analysis, binary analysis, or a hybrid of the three approaches. Organizations can employ these analysis approaches in a variety of tools (e.g., web-based application scanners, static analysis tools, binary analyzers) and in source code reviews. Vulnerability scanning includes, for example: (i) scanning for patch levels; (ii) scanning for functions, ports, protocols, and services that should not be accessible to users or devices; and (iii) scanning for improperly configured or incorrectly operating information flow control mechanisms</t>
  </si>
  <si>
    <t xml:space="preserve">La catégorisation de la sécurité des systèmes d’information détermine la fréquence et l’exhaustivité des analyses de vulnérabilité. Les organisations déterminent le balayage des vulnérabilités requis pour tous les composants du système d’information, en veillant à ce que les sources potentielles de vulnérabilités comme les imprimantes en réseau, les numériseurs et les photocopieurs ne soient pas négligées. Les analyses de vulnérabilité pour les applications logicielles personnalisées peuvent nécessiter des approches supplémentaires comme l’analyse statique, l’analyse dynamique, l’analyse binaire ou un hybride des trois approches. Les organisations peuvent utiliser ces approches d’analyse dans divers outils (p. ex., numériseurs d’applications Web, outils d’analyse statique, analyseurs binaires) et dans l’examen des codes sources. La détection des vulnérabilités comprend, par exemple : (i) la détection des niveaux de correctifs; (ii) le balayage à la recherche de fonctions, de ports, de protocoles et de services qui ne devraient pas être accessibles aux utilisateurs ou aux appareils; (iii) la détection de mécanismes de contrôle du flux d’information mal configurés ou défectueux</t>
  </si>
  <si>
    <t xml:space="preserve">TEST-RA-5</t>
  </si>
  <si>
    <t xml:space="preserve">Control RA-5(8) — Evidence Tracking</t>
  </si>
  <si>
    <t xml:space="preserve">Contrôle RA-5(8) — Suivi des preuves</t>
  </si>
  <si>
    <t xml:space="preserve">VULNERABILITY SCANNING | REVIEW HISTORIC AUDIT LOGS
The organization reviews historic audit logs to determine if a vulnerability identified in the information system has been previously exploited.</t>
  </si>
  <si>
    <t xml:space="preserve">ANALYSE DES VULNÉRABILITÉS | EXAMEN DES JOURNAUX DE VÉRIFICATION HISTORIQUES
L’organisation examine les journaux de vérification historiques pour déterminer si une vulnérabilité repérée dans le système d’information a déjà été exploitée.</t>
  </si>
  <si>
    <t xml:space="preserve">Related control: AU-6.</t>
  </si>
  <si>
    <t xml:space="preserve">Contrôle connexe : AU-6.</t>
  </si>
  <si>
    <t xml:space="preserve">TEST-RA-5(8)</t>
  </si>
  <si>
    <t xml:space="preserve">Control SA-9(5) — Evidence Tracking</t>
  </si>
  <si>
    <t xml:space="preserve">Contrôle SA-9(5) — Suivi des preuves</t>
  </si>
  <si>
    <t xml:space="preserve">EXTERNAL INFORMATION SYSTEMS | PROCESSING, STORAGE, AND SERVICE LOCATION
The organization restricts the location of information processing,  information/data, and information system services to locations witihin Canada based on ITPIN 2017-02 for Direction on Data Residency (https://www.canada.ca/en/treasury-board-secretariat/services/information-technology/policy-implementation-notices/direction-electronic-data-residency.html).</t>
  </si>
  <si>
    <t xml:space="preserve">SYSTÈMES D’INFORMATION EXTERNES | EMPLACEMENT DU TRAITEMENT, DU STOCKAGE ET DES SERVICES
L’organisation restreint la résidence du traitement de l’information, du stockage de l’information et des données, ainsi que des services de systèmes d’information aux endroits situés à l’intérieur du Canada, conformément à l’avis AMPTI 2017-02, Orientation relative à la résidence des données électroniques (https://www.canada.ca/fr/gouvernement/systeme/gouvernement-numerique/technologiques-modernes-nouveaux/orientation-relative-residence-donnees-electroniques.html).</t>
  </si>
  <si>
    <t xml:space="preserve">The location of information processing, information/data storage, or information system services that are critical to organizations can have a direct impact on the ability of those organizations to successfully execute their missions/business functions. This situation exists when external providers control the location of processing, storage or services. The criteria external providers use for the selection of processing, storage, or service locations may be different from organizational criteria. For example, organizations may want to ensure that data/information storage locations are restricted to certain locations to facilitate incident response activities (e.g., forensic analyses, after-the-fact investigations) in case of information security breaches/compromises. Such incident response activities may be adversely affected by the governing laws or protocols in the locations where processing and storage occur and/or the locations from which information system services emanate.</t>
  </si>
  <si>
    <t xml:space="preserve">L’emplacement des services de traitement de l’information et de stockage de l’information et des données ou des services de systèmes d’information qui sont essentiels pour les organisations peut avoir une incidence directe sur la capacité de ces organisations d’exécuter avec succès leurs fonctions opérationnelles et de mission. Cette situation existe lorsque des fournisseurs externes contrôlent l’emplacement du traitement, de l’entreposage ou des services. Les critères utilisés par les fournisseurs externes pour choisir les lieux de traitement, d’entreposage ou de service peuvent être différents des critères de l’organisation. Par exemple, les organisations pourraient vouloir s’assurer que les emplacements de stockage des données ou de l’information se limitent à certains endroits afin de faciliter les activités d’intervention (p. ex., analyses judiciaires, enquêtes après coup) en cas d’incident représentant une atteinte à, ou une compromission de la sécurité de l’information. Ces activités d’intervention en cas d’incident peuvent être affectées négativement par les lois ou les protocoles en vigueur aux endroits où le traitement et l’entreposage ont lieu ou aux endroits d’où proviennent les services de systèmes d’information.</t>
  </si>
  <si>
    <t xml:space="preserve">TEST-SA-9(5)</t>
  </si>
  <si>
    <t xml:space="preserve">Control SC-7 — Evidence Tracking</t>
  </si>
  <si>
    <t xml:space="preserve">Contrôle SC-7 — Suivi des preuves</t>
  </si>
  <si>
    <t xml:space="preserve">(A)
The information system monitors and controls communications at the external boundary of the system and at key internal boundaries within the system.
(B)
The information system implements sub-networks for publicly accessible system components that are physically or logically separated from internal organizational networks.
(C)
The information system connects to external networks or information systems only through managed interfaces consisting of boundary protection devices arranged in accordance with an organizational security architecture.</t>
  </si>
  <si>
    <t xml:space="preserve">(A) Le système d’information surveille et contrôle les communications à la frontière externe du système et aux frontières internes clés du système.
(B) Le système d’information met en œuvre des sous-réseaux pour des composants du système accessibles au public qui sont physiquement ou logiquement séparés des réseaux organisationnels internes.
(C) Le système d’information ne se connecte à des réseaux ou à des systèmes d’information externes que par des interfaces gérées comprenant des dispositifs de protection des frontières organisés conformément à une architecture de sécurité organisationnelle.</t>
  </si>
  <si>
    <t xml:space="preserve">Managed interfaces include, for example, gateways, routers, firewalls, guards, network-based malicious code analysis and virtualization systems, or encrypted tunnels implemented within a security architecture (e.g., routers protecting firewalls or application gateways residing on protected sub-networks). Sub-networks that are physically or logically separated from internal networks are referred to as demilitarized zones or DMZs. Restricting or prohibiting interfaces within organizational information systems includes, for example, restricting external web traffic to designated web servers within managed interfaces and prohibiting external traffic that appears to be spoofing internal addresses. Organizations consider the shared nature of commercial telecommunications services in the implementation of security controls associated with the use of such services. Commercial telecommunications services are commonly based on network components and consolidated management systems shared by all attached commercial customers, and may also include third party-provided access lines and other service elements. Such transmission services may represent sources of increased risk despite contract security provisions. Related controls: AC-4, AC-17, CA-3, CM-7, CP-8, IR-4, RA-3, SC-5, SC-13</t>
  </si>
  <si>
    <t xml:space="preserve">Les interfaces gérées comprennent, par exemple, les passerelles, les routeurs, les pare-feu, les gardiens, les systèmes d’analyse et de virtualisation de codes malveillants basés sur le réseau, ou les tunnels chiffrés mis en œuvre dans une architecture de sécurité (p. ex., les routeurs protégeant les pare-feu ou les passerelles d’application résidant sur des sous-réseaux protégés). Les sous-réseaux qui sont physiquement ou logiquement séparés des réseaux internes sont appelés « zones démilitarisées » ou « ZD ». La restriction ou l’interdiction des interfaces dans les systèmes d’information de l’organisation comprend, par exemple, la restriction du trafic Web externe aux serveurs Web désignés dans les interfaces gérées et l’interdiction du trafic externe qui semble usurper les adresses internes. Les organisations tiennent compte de la nature commune des services de télécommunications commerciaux dans la mise en œuvre des contrôles de sécurité associés à l’utilisation de tels services. Les services de télécommunications commerciaux sont généralement fondés sur des composants de réseau et des systèmes de gestion consolidés partagés par tous les clients commerciaux attenants, et peuvent également comprendre des lignes d’accès fournies par des tiers et d’autres éléments de service. Ces services de transmission peuvent représenter des sources de risque accru malgré les dispositions relatives à la sécurité dans les contrats. Contrôles connexes : AC-4, AC-17, CA-3, CM-7, CP-8, IR-4, RA-3, SC-5, SC-13</t>
  </si>
  <si>
    <t xml:space="preserve">TEST-SC-7</t>
  </si>
  <si>
    <t xml:space="preserve">Control SC-13 — Evidence Tracking</t>
  </si>
  <si>
    <t xml:space="preserve">Contrôle SC-13 — Suivi des preuves</t>
  </si>
  <si>
    <t xml:space="preserve">(A)
The information system implements CSE approved cryptography in accordance with applicable organizational policies, directives and standards.</t>
  </si>
  <si>
    <t xml:space="preserve">(A) Le système d’information met en œuvre la cryptographie approuvée par le CST conformément aux politiques, aux directives et aux normes organisationnelles applicables.</t>
  </si>
  <si>
    <t xml:space="preserve">Cryptography can be employed to support a variety of security solutions including, for example, the protection of sensitive information, the provision of digital signatures, and the enforcement of information separation when authorized individuals have the necessary clearances for such information but lack the necessary formal access approvals. Cryptography can also be used to support random number generation and hash generation. Generally applicable cryptographic standards include FIPS-validated cryptography. This control does not impose any requirements on organizations to use cryptography. However, if cryptography is required based on the selection of other security controls or policies, organizations document each type of cryptographic use and the type of cryptography required (e.g., protection of classified information: FIPS-validated cryptography). Related controls: AC-2, AC-3, AC-7, AC-17, AC-18, AU-9, AU-10, CM-11, CP-9, IA-3, IA-7, MA-4, MP-2, MP-4, MP-5, SA-4, SC-8, SC-12, SC-28, SI-7</t>
  </si>
  <si>
    <t xml:space="preserve">La cryptographie peut être utilisée pour la prise en charge d’une variété de solutions de sécurité, y compris, par exemple, la protection des renseignements de nature sensible, la fourniture de signatures numériques, et l’application de la séparation des renseignements lorsque les personnes autorisées ont les autorisations de sécurité nécessaires pour ces renseignements, mais qu’elles n’ont pas les autorisations d’accès officielles nécessaires. La cryptographie peut également être utilisée pour permettre la génération de nombres aléatoires et la génération de hachages. Les normes cryptographiques généralement applicables comprennent la cryptographie conforme aux normes FIPS. Ce contrôle n’oblige pas les organisations à utiliser la cryptographie. Toutefois, si la cryptographie est requise en fonction de la sélection d’autres contrôles ou politiques de sécurité, les organisations documentent chaque type d’utilisation cryptographique et le type de cryptographie requis (p. ex., protection de l’information classifiée : cryptographie conforme aux normes FIPS). Contrôles connexes : AC-2, AC-3, AC-7, AC-17, AC-18, AU-9, AU-10, CM-11, CP-9, IA-3, IA-7, MA-4, MP-2, MP-4, MP-5, SA-4, SC-8, SC-12, SC-28, SI-7</t>
  </si>
  <si>
    <t xml:space="preserve">TEST-SC-13</t>
  </si>
  <si>
    <t xml:space="preserve">Control SC-18 — Evidence Tracking</t>
  </si>
  <si>
    <t xml:space="preserve">Contrôle SC-18 — Suivi des preuves</t>
  </si>
  <si>
    <t xml:space="preserve">(A)
The organization defines acceptable and unacceptable mobile code and mobile code technologies.
(B)
The organization establishes usage restrictions and implementation guidance for acceptable mobile code and mobile code technologies.
(C)
The organization authorizes, monitors, and controls the use of mobile code within the information system.</t>
  </si>
  <si>
    <t xml:space="preserve">(A) L’organisation définit les codes mobiles et les technologies de codes mobiles acceptables et inacceptables.
(B) L’organisation établit des restrictions d’utilisation et des directives de mise en œuvre pour le code mobile et les technologies de code mobile acceptables.
(C) L’organisation autorise, surveille et contrôle l’utilisation du code mobile dans le système d’information.</t>
  </si>
  <si>
    <t xml:space="preserve">Decisions regarding the employment of mobile code within organizational information systems are based on the potential for the code to cause damage to the systems if used maliciously. Mobile code technologies include, for example, Java, JavaScript, ActiveX, Postscript, PDF, Shockwave movies, Flash animations, and VBScript. Usage restrictions and implementation guidance apply to both the selection and use of mobile code installed on servers and mobile code downloaded and executed on individual workstations and devices (e.g., smart phones). Mobile code policy and procedures address preventing the development, acquisition, or introduction of unacceptable mobile code within organizational information systems. Related controls: AU-2, AU-12, CM-2, CM-6, SI-3</t>
  </si>
  <si>
    <t xml:space="preserve">Les décisions concernant l’utilisation du code mobile dans les systèmes d’information de l’organisation sont basées sur le potentiel de dommages causés aux systèmes si le code est utilisé de façon malveillante. Les technologies de code mobile comprennent, par exemple, Java, JavaScript, ActiveX, Postcript, PDF, les films Shockwave, les animations Flash et VBScript. Les restrictions d’utilisation et les directives de mise en œuvre s’appliquent à la fois à la sélection et à l’utilisation du code mobile installé sur les serveurs et du code mobile téléchargé et exécuté sur des postes de travail et des appareils individuels (p. ex., téléphones intelligents). La politique et les procédures relatives au code mobile visent à prévenir l’élaboration, l’acquisition ou l’introduction de code mobile inacceptable dans les systèmes d’information de l’organisation. Contrôles connexes : AU-2, AU-12, CM-2, CM-6, SI-3</t>
  </si>
  <si>
    <t xml:space="preserve">TEST-SC-18</t>
  </si>
  <si>
    <t xml:space="preserve">Control SC-28 — Evidence Tracking</t>
  </si>
  <si>
    <t xml:space="preserve">Contrôle SC-28 — Suivi des preuves</t>
  </si>
  <si>
    <t xml:space="preserve">(A)
The information system protects the confidentiality and integrity of all information not cleared for public release and all data with a higher than low integrity requirement.</t>
  </si>
  <si>
    <t xml:space="preserve">(A) Le système d’information protège la confidentialité et l’intégrité de tous les renseignements dont la diffusion publique n’est pas autorisée et de toutes les données pour lesquelles les exigences d’intégrité ne sont pas faibles.</t>
  </si>
  <si>
    <t xml:space="preserve">This control addresses the confidentiality and integrity of information at rest and covers user information and system information. Information at rest refers to the state of information when it is located on storage devices as specific components of information systems. System-related information requiring protection includes, for example, configurations or rule sets for firewalls, gateways, intrusion detection/prevention systems, filtering routers, and authenticator content. Organizations may employ different mechanisms to achieve confidentiality and integrity protections, including the use of cryptographic mechanisms and file share scanning. Integrity protection can be achieved, for example, by implementing Write-Once-Read-Many (WORM) technologies. Organizations may also employ other security controls including, for example, secure off-line storage in lieu of online storage when adequate protection of information at rest cannot otherwise be achieved and/or continuous monitoring to identify malicious code at rest. Related controls: AC-3, AC-6, CA-7, CM-3, CM-5, CM-6, PE-3, SC-8, SC-13, SI-3, SI-7</t>
  </si>
  <si>
    <t xml:space="preserve">Ce contrôle porte sur la confidentialité et l’intégrité de l’information inactive et couvre l’information sur les utilisateurs et le système. L’information inactive fait référence à l’état de l’information lorsqu’elle se trouve sur des dispositifs de stockage en tant que composants particuliers des systèmes d’information. Les renseignements relatifs au système qui nécessitent une protection comprennent, par exemple, les configurations ou les ensembles de règles pour les pare-feu, les passerelles, les systèmes de détection et de prévention des intrusions, les routeurs de filtrage et le contenu des authentifiants. Les organisations peuvent utiliser différents mécanismes pour assurer la protection de la confidentialité et de l’intégrité, y compris les mécanismes cryptographiques et le balayage des fichiers partagés. La protection de l’intégrité peut être assurée, par exemple, en mettant en œuvre des technologies qui rendent les supports non réinscriptibles. Les organisations peuvent également utiliser d’autres contrôles de sécurité, y compris, par exemple, le stockage hors ligne sécurisé au lieu du stockage en ligne lorsque la protection de l’information inactive ne peut être assurée autrement, ou la surveillance continue pour repérer du code malveillant inactif. Contrôles connexes : AC-3, AC-6, CA-7, CM-3, CM-5, CM-6, PE-3, SC-8, SC-13, SI-3, SI-7</t>
  </si>
  <si>
    <t xml:space="preserve">TEST-SC-28</t>
  </si>
  <si>
    <t xml:space="preserve">Control SC-28(1) — Evidence Tracking</t>
  </si>
  <si>
    <t xml:space="preserve">Contrôle SC-28(1) — Suivi des preuves</t>
  </si>
  <si>
    <t xml:space="preserve">PROTECTION OF INFORMATION AT REST | CRYPTOGRAPHIC PROTECTION
The information system implements cryptographic mechanisms to prevent unauthorized disclosure and modification of all information not cleared for public release and all data with a higher than low integrity requirements.</t>
  </si>
  <si>
    <t xml:space="preserve">PROTECTION DE L’INFORMATION INACTIVE | PROTECTION CRYPTOGRAPHIQUE
Le système d’information met en œuvre des mécanismes cryptographiques pour prévenir la divulgation et la modification non autorisées de tous les renseignements dont la diffusion publique n’est pas autorisée et de toutes les données pour lesquelles les exigences d’intégrité ne sont pas faibles.</t>
  </si>
  <si>
    <t xml:space="preserve">Selection of cryptographic mechanisms is based on the need to protect the confidentiality and integrity of organizational information. The strength of mechanism is commensurate with the security category and/or classification of the information. This control enhancement applies to significant concentrations of digital media in organizational areas designated for media storage and also to limited quantities of media generally associated with information system components in operational environments (e.g., portable storage devices, mobile devices). Organizations have the flexibility to either encrypt all information on storage devices (i.e., full disk encryption) or encrypt specific data structures (e.g., files, records, or fields). Organizations employing cryptographic mechanisms to protect information at rest also consider cryptographic key management solutions. Related controls: AC-19, SC-12.</t>
  </si>
  <si>
    <t xml:space="preserve">Le choix des mécanismes cryptographiques est fonction du besoin de protection de la confidentialité et de l’intégrité de l’information de l’organisation. La force du mécanisme est proportionnelle à la catégorie de sécurité ou à la classification de l’information. Cette amélioration du contrôle s’applique aux concentrations importantes de supports numériques dans les zones de l’organisation qui sont désignées pour le stockage des supports, et également aux quantités limitées de supports généralement associés aux composants de systèmes d’information dans les environnements opérationnels (p. ex., dispositifs de stockage portatifs, appareils mobiles). Les organisations ont la possibilité de chiffrer toute l’information sur les dispositifs de stockage (c.-à-d. le chiffrement complet du disque) ou de chiffrer des structures de données particulières (p. ex., fichiers, enregistrements ou champs). Les organisations qui utilisent des mécanismes cryptographiques pour protéger l’information inactive envisagent également des solutions de gestion des clés cryptographiques. Contrôles connexes : AC-19, SC-12.</t>
  </si>
  <si>
    <t xml:space="preserve">TEST-SC-28(1)</t>
  </si>
  <si>
    <t xml:space="preserve">Control SI-2(2) — Evidence Tracking</t>
  </si>
  <si>
    <t xml:space="preserve">Contrôle SI-2(2) — Suivi des preuves</t>
  </si>
  <si>
    <t xml:space="preserve">FLAW REMEDIATION | AUTOMATED FLAW REMEDIATION STATUS
The organization employs automated mechanisms at least monthly to determine the state of information system components with regard to flaw remediation.</t>
  </si>
  <si>
    <t xml:space="preserve">CORRECTION DES DÉFAUTS | ÉTAT DE LA CORRECTION AUTOMATIQUE DES DÉFAUTS
L’organisation utilise des mécanismes automatisés au moins une fois par mois pour déterminer l’état des composants du système d’information en ce qui concerne la correction des défauts.</t>
  </si>
  <si>
    <t xml:space="preserve">Related controls: CM-6, SI-4.</t>
  </si>
  <si>
    <t xml:space="preserve">Contrôles connexes : CM-6, SI-4.</t>
  </si>
  <si>
    <t xml:space="preserve">TEST-SI-2(2)</t>
  </si>
  <si>
    <t xml:space="preserve">Control SI-3(1) — Evidence Tracking</t>
  </si>
  <si>
    <t xml:space="preserve">Contrôle SI-3(1) — Suivi des preuves</t>
  </si>
  <si>
    <t xml:space="preserve">MALICIOUS CODE PROTECTION | CENTRAL MANAGEMENT
The organization centrally manages malicious code protection mechanisms.</t>
  </si>
  <si>
    <t xml:space="preserve">PROTECTION CONTRE LE CODE MALVEILLANT | GESTION CENTRALISÉE
L’organisation applique une gestion centralisée des mécanismes de protection contre le code malveillant.</t>
  </si>
  <si>
    <t xml:space="preserve">Central management is the organization-wide management and implementation of malicious code protection mechanisms. Central management includes planning, implementing, assessing, authorizing, and monitoring the organization-defined, centrally managed flaw malicious code protection security controls. Related controls: AU-2, SI-8.</t>
  </si>
  <si>
    <t xml:space="preserve">La gestion centralisée est la gestion et la mise en œuvre de mécanismes de protection contre le code malveillant à l’échelle de l’organisation. La gestion centralisée comprend la planification, la mise en œuvre, l’évaluation, l’autorisation et la surveillance de contrôles de sécurité définis par l’organisation et gérés de façon centralisée pour la protection contre le code malveillant. Contrôles connexes : AU-2, SI-8.</t>
  </si>
  <si>
    <t xml:space="preserve">TEST-SI-3(1)</t>
  </si>
  <si>
    <t xml:space="preserve">Control SI-3(2) — Evidence Tracking</t>
  </si>
  <si>
    <t xml:space="preserve">Contrôle SI-3(2) — Suivi des preuves</t>
  </si>
  <si>
    <t xml:space="preserve">MALICIOUS CODE PROTECTION | AUTOMATIC UPDATES
The information system automatically updates malicious code protection mechanisms.</t>
  </si>
  <si>
    <t xml:space="preserve">PROTECTION CONTRE LE CODE MALVEILLANT | MISES À JOUR AUTOMATIQUES
Le système d’information met automatiquement à jour les mécanismes de protection contre le code malveillant.</t>
  </si>
  <si>
    <t xml:space="preserve">Malicious code protection mechanisms include, for example, signature definitions. Due to information system integrity and availability concerns, organizations give careful consideration to the methodology used to carry out automatic updates. Related control: SI-8.</t>
  </si>
  <si>
    <t xml:space="preserve">Les mécanismes de protection contre le code malveillant comprennent, par exemple, des définitions de signature. En raison des préoccupations relatives à l’intégrité et à la disponibilité du système d’information, les organisations examinent attentivement la méthodologie utilisée pour effectuer les mises à jour automatiques. Contrôle connexe : SI-8.</t>
  </si>
  <si>
    <t xml:space="preserve">TEST-SI-3(2)</t>
  </si>
  <si>
    <t xml:space="preserve">Control SI-4 — Evidence Tracking</t>
  </si>
  <si>
    <t xml:space="preserve">Contrôle SI-4 — Suivi des preuves</t>
  </si>
  <si>
    <t xml:space="preserve">(A)
The organization monitors the information system to detect:
(a)
Attacks and indicators of potential attacks in accordance with organization-defined monitoring objectives; and
(b)
Unauthorized local, network, and remote connections;
(B)
The organization identifies unauthorized use of the information system through organization-defined techniques and methods.
(C)
The organization deploys monitoring devices: (i) strategically within the information system to collect organization-determined essential information; and (ii) at ad hoc locations within the system to track specific types of transactions of interest to the organization.
(D)
The organization protects information obtained from intrusion-monitoring tools from unauthorized access, modification, and deletion.
(E)
The organization heightens the level of information system monitoring activity whenever there is an indication of increased risk to organizational operations and assets, individuals, other organizations, or Canada based on law enforcement information, intelligence information, or other credible sources of information.
(F)
The organization obtains legal opinion with regard to information system monitoring activities in accordance with orgnanizational policies, directives and standards.
(G)
The organization provides organization-defined information system monitoring information to organization-defined personnel or roles at an organization-defined frequency.</t>
  </si>
  <si>
    <t xml:space="preserve">(A) L’organisation surveille le système d’information pour détecter :
(a) les attaques et indicateurs d’attaques potentielles conformément aux objectifs de surveillance définis par l’organisation;
(b) les connexions locales, de réseau et à distance non autorisées;
(B) L’organisation détecte l’utilisation non autorisée du système d’information au moyen de techniques et de méthodes définies par l’organisation.
(C) L’organisation déploie des dispositifs de surveillance : (i) de façon stratégique au sein du système d’information pour recueillir les renseignements essentiels déterminés par l’organisation; (ii) à des endroits spéciaux dans le système pour faire le suivi de certains types de transactions d’intérêt pour l’organisation.
(D) L’organisation protège l’information obtenue des outils de surveillance des intrusions contre l’accès, la modification et la suppression non autorisés.
(E) L’organisation augmente le niveau de l’activité de surveillance du système d’information chaque fois qu’il y a indication d’un risque accru pour les opérations et les biens de l’organisation, les personnes, les autres organisations ou le Canada sur la base de renseignements concernant l’application de la loi, de renseignements de sécurité ou d’autres sources d’information crédibles.
(F) L’organisation obtient un avis juridique concernant les activités de surveillance du système d’information conformément aux politiques, aux directives et aux normes de l’organisation.
(G) L’organisation fournit les renseignements relatifs à la surveillance du système d’information définis par l’organisation au personnel ou aux rôles définis par l’organisation à une fréquence définie par l’organisation.</t>
  </si>
  <si>
    <t xml:space="preserve">Information system monitoring includes external and internal monitoring. External monitoring includes the observation of events occurring at the information system boundary (i.e., part of perimeter defence and boundary protection). Internal monitoring includes the observation of events occurring within the information system. Organizations can monitor information systems, for example, by observing audit activities in real time or by observing other system aspects such as access patterns, characteristics of access, and other actions. The monitoring objectives may guide determination of the events. Information system monitoring capability is achieved through a variety of tools and techniques (e.g., intrusion detection systems, intrusion prevention systems, malicious code protection software, scanning tools, audit record monitoring software, network monitoring software). Strategic locations for monitoring devices include, for example, selected perimeter locations and near server farms supporting critical applications, with such devices typically being employed at the managed interfaces associated with controls SC-7 and AC-17. The granularity of monitoring information collected is based on organizational monitoring objectives and the capability of information systems to support such objectives. Specific types of transactions of interest include, for example, HTTP traffic that bypasses HTTP proxies. Information system monitoring is an integral part of organizational continuous monitoring and incident response programs. Output from system monitoring serves as input to continuous monitoring and incident response programs. A network connection is any connection with a device that communicates through a network (e.g., local area network, Internet). A remote connection is any connection with a device communicating through an external network (e.g., the Internet). Local, network, and remote connections can be either wired or wireless. Related controls: AC-3, AC-4, AC-8, AC-17, AU-2, AU-6, AU-7, AU-9, AU-12, CA-7, IR-4, PE-3, RA-5, SC-7, SC-26, SC-35, SI-3, SI-7</t>
  </si>
  <si>
    <t xml:space="preserve">La surveillance du système d’information comprend la surveillance externe et interne. La surveillance externe comprend l’observation d’événements qui se produisent à la frontière du système d’information (c.-à-d. qu’elle fait partie de la défense du périmètre et de la protection des frontières). La surveillance interne comprend l’observation des événements qui se produisent au sein du système d’information. Les organisations peuvent surveiller les systèmes d’information, par exemple en observant les activités de vérification en temps réel ou en observant d’autres aspects du système, comme les profils d’accès, les caractéristiques de l’accès et d’autres mesures. Les objectifs de surveillance peuvent guider la détermination des événements. La capacité de surveillance des systèmes d’information est assurée par divers outils et techniques (p. ex., systèmes de détection des intrusions, systèmes de prévention des intrusions, logiciels de protection contre le code malveillant, outils de balayage, logiciel de surveillance des enregistrements de vérification, logiciel de surveillance de réseau). Les emplacements stratégiques pour les dispositifs de surveillance comprennent, par exemple, des emplacements périmétriques choisis et près des grappes de serveurs prenant en charge les applications critiques, ces dispositifs étant habituellement utilisés aux interfaces gérées associées aux contrôles SC-7 et AC-17. La granularité des données de surveillance recueillies est fonction des objectifs de surveillance de l’organisation et de la capacité des systèmes d’information à appuyer de tels objectifs. Les types particuliers de transactions d’intérêt comprennent, par exemple, le trafic HTTP qui contourne les mandataires HTTP. La surveillance du système d’information fait partie intégrante des programmes de surveillance continue et d’intervention en cas d’incident de l’organisation. Les résultats de la surveillance des systèmes servent d’intrants aux programmes de surveillance continue et d’intervention en cas d’incident. Une connexion réseau est toute connexion avec un appareil qui communique par l’entremise d’un réseau (p. ex., réseau local, Internet). Une connexion distante est toute connexion avec un appareil qui communique par l’entremise d’un réseau externe (p. ex., Internet). Les connexions locales, réseau et distantes peuvent être câblées ou sans fil. Contrôles connexes : AC-3, AC-4, AC-8, AC-17, AU-2, AU-6, AU-7, AU-9, AU-12, CA-7, IR-4, PE-3, RA-5, SC-7, SC-26, SC-35, SI-3, SI-7</t>
  </si>
  <si>
    <t xml:space="preserve">TEST-SI-4</t>
  </si>
  <si>
    <t xml:space="preserve">Control SI-4(1) — Evidence Tracking</t>
  </si>
  <si>
    <t xml:space="preserve">Contrôle SI-4(1) — Suivi des preuves</t>
  </si>
  <si>
    <t xml:space="preserve">INFORMATION SYSTEM MONITORING | SYSTEM-WIDE INTRUSION DETECTION SYSTEM
The organization connects and configures individual intrusion detection tools into an information system-wide intrusion detection system.</t>
  </si>
  <si>
    <t xml:space="preserve">SURVEILLANCE DU SYSTÈME D’INFORMATION | SYSTÈME DE DÉTECTION DES INTRUSIONS À L’ÉCHELLE DU SYSTÈME
L’organisation connecte et configure les outils de détection d’intrusion individuels en un système de détection d’intrusion global pour l’ensemble du système d’information.</t>
  </si>
  <si>
    <t xml:space="preserve">TEST-SI-4(1)</t>
  </si>
  <si>
    <t xml:space="preserve">Control SI-4(2) — Evidence Tracking</t>
  </si>
  <si>
    <t xml:space="preserve">Contrôle SI-4(2) — Suivi des preuves</t>
  </si>
  <si>
    <t xml:space="preserve">INFORMATION SYSTEM MONITORING | AUTOMATED TOOLS FOR REAL-TIME ANALYSIS
The organization employs automated tools to support near real-time analysis of events.</t>
  </si>
  <si>
    <t xml:space="preserve">SURVEILLANCE DU SYSTÈME D’INFORMATION | OUTILS AUTOMATISÉS POUR L’ANALYSE EN TEMPS RÉEL
L’organisation utilise des outils automatisés pour appuyer l’analyse des événements en temps quasi réel.</t>
  </si>
  <si>
    <t xml:space="preserve">Automated tools include, for example, host-based, network-based, transport-based, or storage-based event monitoring tools or Security Information and Event Management (SIEM) technologies that provide real time analysis of alerts and/or notifications generated by organizational information systems.</t>
  </si>
  <si>
    <t xml:space="preserve">Les outils automatisés comprennent, par exemple, des outils de surveillance des événements basés sur l’hôte, le réseau, le transport ou le stockage, ou des technologies de gestion de l’information et des événements de sécurité (SIEM) qui fournissent une analyse en temps réel des alertes et/ou des notifications générées par les systèmes d’information de l’organisation.</t>
  </si>
  <si>
    <t xml:space="preserve">TEST-SI-4(2)</t>
  </si>
  <si>
    <t xml:space="preserve">Control SI-4(4) — Evidence Tracking</t>
  </si>
  <si>
    <t xml:space="preserve">Contrôle SI-4(4) — Suivi des preuves</t>
  </si>
  <si>
    <t xml:space="preserve">INFORMATION SYSTEM MONITORING | INBOUND AND OUTBOUND COMMUNICATIONS TRAFFIC
The information system monitors inbound and outbound communications traffic continously for unusual or unauthorized activities or conditions.</t>
  </si>
  <si>
    <t xml:space="preserve">SURVEILLANCE DU SYSTÈME D’INFORMATION | COMMUNICATIONS ENTRANTES ET SORTANTES
Le système d’information surveille les communications entrantes et sortantes de façon continue pour détecter les activités ou les conditions inhabituelles ou non autorisées.</t>
  </si>
  <si>
    <t xml:space="preserve">Unusual/unauthorized activities or conditions related to information system inbound and outbound communications traffic include, for example, internal traffic that indicates the presence of malicious code within organizational information systems or propagating among system components, the unauthorized exporting of information, or signalling to external information systems. Evidence of malicious code is used to identify potentially compromised information systems or information system components.</t>
  </si>
  <si>
    <t xml:space="preserve">Les activités ou les conditions inhabituelles ou non autorisées liées aux communications entrantes et sortantes du système d’information comprennent, par exemple, le trafic interne indiquant la présence de code malveillant dans les systèmes d’information de l’organisation ou se propageant dans les composants du système, l’exportation non autorisée d’information ou la signalisation vers des systèmes d’information externes. Les preuves de la présence du code malveillant sont utilisées pour identifier les systèmes d’information ou les composants de systèmes d’information potentiellement compromis.</t>
  </si>
  <si>
    <t xml:space="preserve">TEST-SI-4(4)</t>
  </si>
  <si>
    <t xml:space="preserve">Control SI-4(5) — Evidence Tracking</t>
  </si>
  <si>
    <t xml:space="preserve">Contrôle SI-4(5) — Suivi des preuves</t>
  </si>
  <si>
    <t xml:space="preserve">INFORMATION SYSTEM MONITORING | SYSTEM-GENERATED ALERTS
The information system alerts  organization-defined personnel or roles and client governance bodies when organization-defined compromise or potential compromise indicators occur.</t>
  </si>
  <si>
    <t xml:space="preserve">SURVEILLANCE DU SYSTÈME D’INFORMATION | ALERTES GÉNÉRÉES PAR LE SYSTÈME
Le système d’information alerte le personnel ou les rôles définis par l’organisation et les organes de gouvernance du client lorsque des indicateurs de compromission ou de compromission potentielle définis par l’organisation sont détectés.</t>
  </si>
  <si>
    <t xml:space="preserve">Alerts may be generated from a variety of sources, including, for example, audit records or inputs from malicious code protection mechanisms, intrusion detection or prevention mechanisms, or boundary protection devices such as firewalls, gateways, and routers. Alerts can be transmitted, for example, telephonically, by electronic mail messages, or by text messaging. Organizational personnel on the notification list can include, for example, system administrators, mission/business owners, system owners, or information system security officers. Related controls: AU-5, PE-6.</t>
  </si>
  <si>
    <t xml:space="preserve">Les alertes peuvent provenir de diverses sources, y compris, par exemple, des enregistrements de vérification ou des données provenant de mécanismes de protection contre le code malveillant, de mécanismes de détection ou de prévention des intrusions, ou de dispositifs de protection des frontières comme les pare-feu, les passerelles et les routeurs. Les alertes peuvent être transmises, par exemple, par téléphone, par courrier électronique ou par messagerie texte. Le personnel de l’organisation figurant sur la liste de notification peut comprendre, par exemple, des administrateurs de système, des responsables opérationnels ou de mission, des propriétaires de système ou des agents de sécurité de système d’information. Contrôles connexes : AU-5, PE-6.</t>
  </si>
  <si>
    <t xml:space="preserve">TEST-SI-4(5)</t>
  </si>
  <si>
    <t xml:space="preserve">Control SI-4(11) — Evidence Tracking</t>
  </si>
  <si>
    <t xml:space="preserve">Contrôle SI-4(11) — Suivi des preuves</t>
  </si>
  <si>
    <t xml:space="preserve">INFORMATION SYSTEM MONITORING | ANALYZE COMMUNICATIONS TRAFFIC ANOMALIES
The organization analyzes outbound communications traffic at the external boundary of the information system and selected organization-defined interior points within the system (e.g., sub-networks, subsystems) to discover anomalies.</t>
  </si>
  <si>
    <t xml:space="preserve">SURVEILLANCE DU SYSTÈME D’INFORMATION | ANALYSE DES ANOMALIES DANS LES COMMUNICATIONS
L’organisation analyse les communications sortantes à la frontière externe du système d’information et à certains points définis par l’organisation à l’intérieur du système (p. ex. sous-réseaux, sous-systèmes) pour découvrir des anomalies.</t>
  </si>
  <si>
    <t xml:space="preserve">Anomalies within organizational information systems include, for example, large file transfers, long-time persistent connections, unusual protocols and ports in use, and attempted communications with suspected malicious external addresses.</t>
  </si>
  <si>
    <t xml:space="preserve">Les anomalies dans les systèmes d’information de l’organisation comprennent, par exemple, les transferts de fichiers volumineux, les connexions persistantes de longue durée, les protocoles et les ports inhabituels utilisés et les tentatives de communication avec des adresses externes soupçonnées de malveillance.</t>
  </si>
  <si>
    <t xml:space="preserve">TEST-SI-4(11)</t>
  </si>
  <si>
    <t xml:space="preserve">Control SI-6 — Evidence Tracking</t>
  </si>
  <si>
    <t xml:space="preserve">Contrôle SI-6 — Suivi des preuves</t>
  </si>
  <si>
    <t xml:space="preserve">(A)
The information system verifies the correct operation of organization-defined security functions.
(B)
The information system performs this verification organization-defined system transitional states including at least system startup and restart and at least monthly.
(C)
The information system notifies organization-defined personnel or roles including system administrators and security personnel of failed security verification tests.
(D)
The information system takes  organization-defined action(s) when anomalies are discovered and notifies system administrators and security personnel.</t>
  </si>
  <si>
    <t xml:space="preserve">(A) Le système d’information vérifie le bon fonctionnement des fonctions de sécurité définies par l’organisation.
(B) Le système d’information effectue cette vérification des phases de transition définies par l’organisation, y compris au moins le démarrage et le redémarrage du système et au moins une fois par mois.
(C) Le système d’information informe le personnel ou les rôles définis par l’organisation, y compris les administrateurs de système et le personnel de sécurité, des tests de vérification de sécurité qui ont échoué.
(D) Le système d’information prend des mesures définies par l’organisation lorsque des anomalies sont découvertes et en informe les administrateurs du système et le personnel de sécurité.</t>
  </si>
  <si>
    <t xml:space="preserve">Transitional states for information systems include, for example, system start-up, restart, shutdown, and abort. Notifications provided by information systems include, for example, electronic alerts to system administrators, messages to local computer consoles, and/or hardware indications such as lights. Related controls: CA-7, CM-6</t>
  </si>
  <si>
    <t xml:space="preserve">Les phases de transition pour les systèmes d’information comprennent, par exemple, le démarrage, le redémarrage, l’arrêt et l’interruption du système. Les notifications fournies par les systèmes d’information comprennent, par exemple, des alertes électroniques aux administrateurs du système, des messages aux consoles d’ordinateurs locales ou des indications matérielles telles que des voyants. Contrôles connexes : CA-7, CM-6</t>
  </si>
  <si>
    <t xml:space="preserve">TEST-SI-6</t>
  </si>
  <si>
    <t xml:space="preserve">Control SI-7(7) — Evidence Tracking</t>
  </si>
  <si>
    <t xml:space="preserve">Contrôle SI-7(7) — Suivi des preuves</t>
  </si>
  <si>
    <t xml:space="preserve">SOFTWARE, FIRMWARE, AND INFORMATION INTEGRITY | INTEGRATION OF DETECTION AND RESPONSE
The organization incorporates the detection of unauthorized organization-defined security-relevant changes to the information system into the organizational incident response capability.</t>
  </si>
  <si>
    <t xml:space="preserve">INTÉGRITÉ DES LOGICIELS, DES MICROLOGICIELS ET DE L’INFORMATION | INTÉGRATION DE LA DÉTECTION ET DE L’INTERVENTION
L’organisation intègre la détection des changements non autorisés qu’elle définit comme pertinents pour la sécurité du système d’information dans sa capacité d’intervention en cas d’incident.</t>
  </si>
  <si>
    <t xml:space="preserve">This control enhancement helps to ensure that detected events are tracked, monitored, corrected, and available for historical purposes. Maintaining historical records is important both for being able to identify and discern adversary actions over an extended period of time and for possible legal actions. Security-relevant changes include, for example, unauthorized changes to established configuration settings or unauthorized elevation of information system privileges. Related controls: IR-4, IR-5, SI-4.</t>
  </si>
  <si>
    <t xml:space="preserve">Cette amélioration du contrôle permet de s’assurer que les événements détectés sont suivis, surveillés, corrigés et disponibles à des fins historiques. Il est important de tenir des registres de l’historique pour être en mesure d’identifier et de discerner les actions adverses sur une période prolongée et pour d’éventuelles actions en justice. Les changements pertinents pour la sécurité comprennent, par exemple, les changements non autorisés aux paramètres de configuration établis ou l’élévation non autorisée des privilèges du système d’information. Contrôles connexes : IR-4, IR-5, SI-4.</t>
  </si>
  <si>
    <t xml:space="preserve">TEST-SI-7(7)</t>
  </si>
  <si>
    <t xml:space="preserve">Control SI-11 — Evidence Tracking</t>
  </si>
  <si>
    <t xml:space="preserve">Contrôle SI-11 — Suivi des preuves</t>
  </si>
  <si>
    <t xml:space="preserve">(A)
The information system generates error messages that provide information necessary for corrective actions without revealing information that could be exploited by adversaries.
(B)
The information system reveals error messages only to organization-defined personnel or roles.</t>
  </si>
  <si>
    <t xml:space="preserve">(A) Le système d’information génère des messages d’erreur qui fournissent l’information nécessaire aux mesures correctives sans révéler l’information qui pourrait être exploitée par des adversaires.
(B) Le système d’information ne révèle les messages d’erreur qu’au personnel ou aux rôles définis par l’organisation.</t>
  </si>
  <si>
    <t xml:space="preserve">Organizations carefully consider the structure/content of error messages. The extent to which information systems are able to identify and handle error conditions is guided by organizational policy and operational requirements. Information that could be exploited by adversaries includes, for example, erroneous logon attempts with passwords entered by mistake as the username, mission/business information that can be derived from (if not stated explicitly by) information recorded, and personal information such as account numbers, social security numbers, and credit card numbers. In addition, error messages may provide a covert channel for transmitting information. Related controls: AU-2, AU-3, SC-31</t>
  </si>
  <si>
    <t xml:space="preserve">Les organisations examinent attentivement la structure et le contenu des messages d’erreur. La mesure dans laquelle les systèmes d’information peuvent déterminer et gérer les conditions d’erreur est fonction des politiques et des exigences opérationnelles de l’organisation. Les renseignements qui pourraient être exploités par des adversaires comprennent, par exemple, les tentatives d’ouverture de session erronées avec des mots de passe entrés par erreur en tant que nom d’utilisateur, des renseignements sur la mission ou les opérations qui peuvent être déduits de (voire être explicitement indiqués par) l’information saisie, et des renseignements personnels comme des numéros de compte, des numéros de sécurité sociale et des numéros de carte de crédit. De plus, les messages d’erreur peuvent servir de voie secrète pour transmettre de l’information. Contrôles connexes : AU-2, AU-3, SC-31</t>
  </si>
  <si>
    <t xml:space="preserve">TEST-SI-11</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</si>
</sst>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9"/>
      <name val="Arial"/>
      <family val="0"/>
      <charset val="1"/>
    </font>
    <font>
      <b val="true"/>
      <sz val="11"/>
      <color rgb="FFFFFFFF"/>
      <name val="Arial"/>
      <family val="0"/>
      <charset val="1"/>
    </font>
    <font>
      <b val="true"/>
      <sz val="10"/>
      <color rgb="FF1F3864"/>
      <name val="Arial"/>
      <family val="0"/>
      <charset val="1"/>
    </font>
    <font>
      <b val="true"/>
      <sz val="10"/>
      <name val="Arial"/>
      <family val="0"/>
      <charset val="1"/>
    </font>
    <font>
      <b val="true"/>
      <sz val="12"/>
      <color rgb="FFFFFFFF"/>
      <name val="Arial"/>
      <family val="0"/>
      <charset val="1"/>
    </font>
    <font>
      <sz val="10"/>
      <color rgb="FF0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6DA4"/>
        <bgColor rgb="FF3366FF"/>
      </patternFill>
    </fill>
    <fill>
      <patternFill patternType="solid">
        <fgColor rgb="FFEBF3FB"/>
        <bgColor rgb="FFFFFFFF"/>
      </patternFill>
    </fill>
    <fill>
      <patternFill patternType="solid">
        <fgColor rgb="FFD6E4F7"/>
        <bgColor rgb="FFEBF3FB"/>
      </patternFill>
    </fill>
    <fill>
      <patternFill patternType="solid">
        <fgColor rgb="FFFFFFFF"/>
        <bgColor rgb="FFEBF3FB"/>
      </patternFill>
    </fill>
  </fills>
  <borders count="2">
    <border diagonalUp="false" diagonalDown="false">
      <left/>
      <right/>
      <top/>
      <bottom/>
      <diagonal/>
    </border>
    <border diagonalUp="false" diagonalDown="false">
      <left style="thin">
        <color rgb="FFB0C4DE"/>
      </left>
      <right style="thin">
        <color rgb="FFB0C4DE"/>
      </right>
      <top style="thin">
        <color rgb="FFB0C4DE"/>
      </top>
      <bottom style="thin">
        <color rgb="FFB0C4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6" fontId="9" fillId="4" borderId="1"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4DE"/>
      <rgbColor rgb="FF808080"/>
      <rgbColor rgb="FF9999FF"/>
      <rgbColor rgb="FF993366"/>
      <rgbColor rgb="FFFFFFCC"/>
      <rgbColor rgb="FFEBF3FB"/>
      <rgbColor rgb="FF660066"/>
      <rgbColor rgb="FFD99694"/>
      <rgbColor rgb="FF2E6DA4"/>
      <rgbColor rgb="FFD6E4F7"/>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C3D69B"/>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0</v>
      </c>
      <c r="B1" s="1"/>
      <c r="C1" s="1"/>
      <c r="D1" s="1"/>
      <c r="E1" s="1"/>
    </row>
    <row r="2" customFormat="false" ht="21.75" hidden="false" customHeight="true" outlineLevel="0" collapsed="false">
      <c r="A2" s="2" t="s">
        <v>1</v>
      </c>
      <c r="B2" s="2" t="s">
        <v>2</v>
      </c>
      <c r="C2" s="2" t="s">
        <v>3</v>
      </c>
      <c r="D2" s="2" t="s">
        <v>4</v>
      </c>
      <c r="E2" s="2" t="s">
        <v>5</v>
      </c>
    </row>
    <row r="3" customFormat="false" ht="18" hidden="false" customHeight="true" outlineLevel="0" collapsed="false">
      <c r="A3" s="3" t="s">
        <v>6</v>
      </c>
      <c r="B3" s="4" t="s">
        <v>7</v>
      </c>
      <c r="C3" s="4"/>
      <c r="D3" s="3" t="s">
        <v>8</v>
      </c>
      <c r="E3" s="3" t="str">
        <f aca="false">'AC-2-1'!B20</f>
        <v>Not Started</v>
      </c>
    </row>
    <row r="4" customFormat="false" ht="18" hidden="false" customHeight="true" outlineLevel="0" collapsed="false">
      <c r="A4" s="3" t="s">
        <v>9</v>
      </c>
      <c r="B4" s="4" t="s">
        <v>7</v>
      </c>
      <c r="C4" s="4"/>
      <c r="D4" s="3" t="s">
        <v>10</v>
      </c>
      <c r="E4" s="3" t="str">
        <f aca="false">'AC-2-2'!B20</f>
        <v>Not Started</v>
      </c>
    </row>
    <row r="5" customFormat="false" ht="18" hidden="false" customHeight="true" outlineLevel="0" collapsed="false">
      <c r="A5" s="3" t="s">
        <v>11</v>
      </c>
      <c r="B5" s="4" t="s">
        <v>7</v>
      </c>
      <c r="C5" s="4"/>
      <c r="D5" s="3" t="s">
        <v>12</v>
      </c>
      <c r="E5" s="3" t="str">
        <f aca="false">'AC-2-3'!B20</f>
        <v>Not Started</v>
      </c>
    </row>
    <row r="6" customFormat="false" ht="18" hidden="false" customHeight="true" outlineLevel="0" collapsed="false">
      <c r="A6" s="3" t="s">
        <v>13</v>
      </c>
      <c r="B6" s="4" t="s">
        <v>7</v>
      </c>
      <c r="C6" s="4"/>
      <c r="D6" s="3" t="s">
        <v>14</v>
      </c>
      <c r="E6" s="3" t="str">
        <f aca="false">'AC-2-4'!B20</f>
        <v>Not Started</v>
      </c>
    </row>
    <row r="7" customFormat="false" ht="18" hidden="false" customHeight="true" outlineLevel="0" collapsed="false">
      <c r="A7" s="3" t="s">
        <v>15</v>
      </c>
      <c r="B7" s="4" t="s">
        <v>7</v>
      </c>
      <c r="C7" s="4"/>
      <c r="D7" s="3" t="s">
        <v>16</v>
      </c>
      <c r="E7" s="3" t="str">
        <f aca="false">'AC-2-5'!B20</f>
        <v>Not Started</v>
      </c>
    </row>
    <row r="8" customFormat="false" ht="18" hidden="false" customHeight="true" outlineLevel="0" collapsed="false">
      <c r="A8" s="3" t="s">
        <v>17</v>
      </c>
      <c r="B8" s="4" t="s">
        <v>7</v>
      </c>
      <c r="C8" s="4"/>
      <c r="D8" s="3" t="s">
        <v>18</v>
      </c>
      <c r="E8" s="3" t="str">
        <f aca="false">'AC-2-7'!B20</f>
        <v>Not Started</v>
      </c>
    </row>
    <row r="9" customFormat="false" ht="18" hidden="false" customHeight="true" outlineLevel="0" collapsed="false">
      <c r="A9" s="3" t="s">
        <v>19</v>
      </c>
      <c r="B9" s="4" t="s">
        <v>20</v>
      </c>
      <c r="C9" s="4"/>
      <c r="D9" s="3" t="s">
        <v>19</v>
      </c>
      <c r="E9" s="3" t="str">
        <f aca="false">'AC-6'!B20</f>
        <v>Not Started</v>
      </c>
    </row>
    <row r="10" customFormat="false" ht="18" hidden="false" customHeight="true" outlineLevel="0" collapsed="false">
      <c r="A10" s="3" t="s">
        <v>21</v>
      </c>
      <c r="B10" s="4" t="s">
        <v>20</v>
      </c>
      <c r="C10" s="4"/>
      <c r="D10" s="3" t="s">
        <v>22</v>
      </c>
      <c r="E10" s="3" t="str">
        <f aca="false">'AC-6-1'!B20</f>
        <v>Not Started</v>
      </c>
    </row>
    <row r="11" customFormat="false" ht="18" hidden="false" customHeight="true" outlineLevel="0" collapsed="false">
      <c r="A11" s="3" t="s">
        <v>23</v>
      </c>
      <c r="B11" s="4" t="s">
        <v>20</v>
      </c>
      <c r="C11" s="4"/>
      <c r="D11" s="3" t="s">
        <v>24</v>
      </c>
      <c r="E11" s="3" t="str">
        <f aca="false">'AC-6-9'!B20</f>
        <v>Not Started</v>
      </c>
    </row>
    <row r="12" customFormat="false" ht="18" hidden="false" customHeight="true" outlineLevel="0" collapsed="false">
      <c r="A12" s="3" t="s">
        <v>25</v>
      </c>
      <c r="B12" s="4" t="s">
        <v>20</v>
      </c>
      <c r="C12" s="4"/>
      <c r="D12" s="3" t="s">
        <v>26</v>
      </c>
      <c r="E12" s="3" t="str">
        <f aca="false">'AC-6-10'!B20</f>
        <v>Not Started</v>
      </c>
    </row>
    <row r="13" customFormat="false" ht="18" hidden="false" customHeight="true" outlineLevel="0" collapsed="false">
      <c r="A13" s="3" t="s">
        <v>27</v>
      </c>
      <c r="B13" s="4" t="s">
        <v>28</v>
      </c>
      <c r="C13" s="4"/>
      <c r="D13" s="3" t="s">
        <v>29</v>
      </c>
      <c r="E13" s="3" t="str">
        <f aca="false">'AC-17-1'!B20</f>
        <v>Not Started</v>
      </c>
    </row>
    <row r="14" customFormat="false" ht="18" hidden="false" customHeight="true" outlineLevel="0" collapsed="false">
      <c r="A14" s="3" t="s">
        <v>30</v>
      </c>
      <c r="B14" s="4" t="s">
        <v>28</v>
      </c>
      <c r="C14" s="4"/>
      <c r="D14" s="3" t="s">
        <v>31</v>
      </c>
      <c r="E14" s="3" t="str">
        <f aca="false">'AC-17-2'!B20</f>
        <v>Not Started</v>
      </c>
    </row>
    <row r="15" customFormat="false" ht="18" hidden="false" customHeight="true" outlineLevel="0" collapsed="false">
      <c r="A15" s="3" t="s">
        <v>32</v>
      </c>
      <c r="B15" s="4" t="s">
        <v>33</v>
      </c>
      <c r="C15" s="4"/>
      <c r="D15" s="3" t="s">
        <v>32</v>
      </c>
      <c r="E15" s="3" t="str">
        <f aca="false">'AU-2'!B20</f>
        <v>Not Started</v>
      </c>
    </row>
    <row r="16" customFormat="false" ht="18" hidden="false" customHeight="true" outlineLevel="0" collapsed="false">
      <c r="A16" s="3" t="s">
        <v>34</v>
      </c>
      <c r="B16" s="4" t="s">
        <v>35</v>
      </c>
      <c r="C16" s="4"/>
      <c r="D16" s="3" t="s">
        <v>34</v>
      </c>
      <c r="E16" s="3" t="str">
        <f aca="false">'AU-3'!B20</f>
        <v>Not Started</v>
      </c>
    </row>
    <row r="17" customFormat="false" ht="18" hidden="false" customHeight="true" outlineLevel="0" collapsed="false">
      <c r="A17" s="3" t="s">
        <v>36</v>
      </c>
      <c r="B17" s="4" t="s">
        <v>35</v>
      </c>
      <c r="C17" s="4"/>
      <c r="D17" s="3" t="s">
        <v>37</v>
      </c>
      <c r="E17" s="3" t="str">
        <f aca="false">'AU-3-1'!B20</f>
        <v>Not Started</v>
      </c>
    </row>
    <row r="18" customFormat="false" ht="18" hidden="false" customHeight="true" outlineLevel="0" collapsed="false">
      <c r="A18" s="3" t="s">
        <v>38</v>
      </c>
      <c r="B18" s="4" t="s">
        <v>39</v>
      </c>
      <c r="C18" s="4"/>
      <c r="D18" s="3" t="s">
        <v>38</v>
      </c>
      <c r="E18" s="3" t="str">
        <f aca="false">'AU-5'!B20</f>
        <v>Not Started</v>
      </c>
    </row>
    <row r="19" customFormat="false" ht="18" hidden="false" customHeight="true" outlineLevel="0" collapsed="false">
      <c r="A19" s="3" t="s">
        <v>40</v>
      </c>
      <c r="B19" s="4" t="s">
        <v>41</v>
      </c>
      <c r="C19" s="4"/>
      <c r="D19" s="3" t="s">
        <v>42</v>
      </c>
      <c r="E19" s="3" t="str">
        <f aca="false">'AU-6-1'!B20</f>
        <v>Not Started</v>
      </c>
    </row>
    <row r="20" customFormat="false" ht="18" hidden="false" customHeight="true" outlineLevel="0" collapsed="false">
      <c r="A20" s="3" t="s">
        <v>43</v>
      </c>
      <c r="B20" s="4" t="s">
        <v>41</v>
      </c>
      <c r="C20" s="4"/>
      <c r="D20" s="3" t="s">
        <v>44</v>
      </c>
      <c r="E20" s="3" t="str">
        <f aca="false">'AU-6-3'!B20</f>
        <v>Not Started</v>
      </c>
    </row>
    <row r="21" customFormat="false" ht="18" hidden="false" customHeight="true" outlineLevel="0" collapsed="false">
      <c r="A21" s="3" t="s">
        <v>45</v>
      </c>
      <c r="B21" s="4" t="s">
        <v>46</v>
      </c>
      <c r="C21" s="4"/>
      <c r="D21" s="3" t="s">
        <v>45</v>
      </c>
      <c r="E21" s="3" t="str">
        <f aca="false">'AU-7'!B20</f>
        <v>Not Started</v>
      </c>
    </row>
    <row r="22" customFormat="false" ht="18" hidden="false" customHeight="true" outlineLevel="0" collapsed="false">
      <c r="A22" s="3" t="s">
        <v>47</v>
      </c>
      <c r="B22" s="4" t="s">
        <v>46</v>
      </c>
      <c r="C22" s="4"/>
      <c r="D22" s="3" t="s">
        <v>48</v>
      </c>
      <c r="E22" s="3" t="str">
        <f aca="false">'AU-7-1'!B20</f>
        <v>Not Started</v>
      </c>
    </row>
    <row r="23" customFormat="false" ht="18" hidden="false" customHeight="true" outlineLevel="0" collapsed="false">
      <c r="A23" s="3" t="s">
        <v>49</v>
      </c>
      <c r="B23" s="4" t="s">
        <v>50</v>
      </c>
      <c r="C23" s="4"/>
      <c r="D23" s="3" t="s">
        <v>49</v>
      </c>
      <c r="E23" s="3" t="str">
        <f aca="false">'AU-8'!B20</f>
        <v>Not Started</v>
      </c>
    </row>
    <row r="24" customFormat="false" ht="18" hidden="false" customHeight="true" outlineLevel="0" collapsed="false">
      <c r="A24" s="3" t="s">
        <v>51</v>
      </c>
      <c r="B24" s="4" t="s">
        <v>50</v>
      </c>
      <c r="C24" s="4"/>
      <c r="D24" s="3" t="s">
        <v>52</v>
      </c>
      <c r="E24" s="3" t="str">
        <f aca="false">'AU-8-1'!B20</f>
        <v>Not Started</v>
      </c>
    </row>
    <row r="25" customFormat="false" ht="18" hidden="false" customHeight="true" outlineLevel="0" collapsed="false">
      <c r="A25" s="3" t="s">
        <v>53</v>
      </c>
      <c r="B25" s="4" t="s">
        <v>54</v>
      </c>
      <c r="C25" s="4"/>
      <c r="D25" s="3" t="s">
        <v>53</v>
      </c>
      <c r="E25" s="3" t="str">
        <f aca="false">'AU-9'!B20</f>
        <v>Not Started</v>
      </c>
    </row>
    <row r="26" customFormat="false" ht="18" hidden="false" customHeight="true" outlineLevel="0" collapsed="false">
      <c r="A26" s="3" t="s">
        <v>55</v>
      </c>
      <c r="B26" s="4" t="s">
        <v>54</v>
      </c>
      <c r="C26" s="4"/>
      <c r="D26" s="3" t="s">
        <v>56</v>
      </c>
      <c r="E26" s="3" t="str">
        <f aca="false">'AU-9-2'!B20</f>
        <v>Not Started</v>
      </c>
    </row>
    <row r="27" customFormat="false" ht="18" hidden="false" customHeight="true" outlineLevel="0" collapsed="false">
      <c r="A27" s="3" t="s">
        <v>57</v>
      </c>
      <c r="B27" s="4" t="s">
        <v>54</v>
      </c>
      <c r="C27" s="4"/>
      <c r="D27" s="3" t="s">
        <v>58</v>
      </c>
      <c r="E27" s="3" t="str">
        <f aca="false">'AU-9-4'!B20</f>
        <v>Not Started</v>
      </c>
    </row>
    <row r="28" customFormat="false" ht="18" hidden="false" customHeight="true" outlineLevel="0" collapsed="false">
      <c r="A28" s="3" t="s">
        <v>59</v>
      </c>
      <c r="B28" s="4" t="s">
        <v>60</v>
      </c>
      <c r="C28" s="4"/>
      <c r="D28" s="3" t="s">
        <v>59</v>
      </c>
      <c r="E28" s="3" t="str">
        <f aca="false">'AU-11'!B20</f>
        <v>Not Started</v>
      </c>
    </row>
    <row r="29" customFormat="false" ht="18" hidden="false" customHeight="true" outlineLevel="0" collapsed="false">
      <c r="A29" s="3" t="s">
        <v>61</v>
      </c>
      <c r="B29" s="4" t="s">
        <v>62</v>
      </c>
      <c r="C29" s="4"/>
      <c r="D29" s="3" t="s">
        <v>61</v>
      </c>
      <c r="E29" s="3" t="str">
        <f aca="false">'AU-12'!B20</f>
        <v>Not Started</v>
      </c>
    </row>
    <row r="30" customFormat="false" ht="18" hidden="false" customHeight="true" outlineLevel="0" collapsed="false">
      <c r="A30" s="3" t="s">
        <v>63</v>
      </c>
      <c r="B30" s="4" t="s">
        <v>64</v>
      </c>
      <c r="C30" s="4"/>
      <c r="D30" s="3" t="s">
        <v>63</v>
      </c>
      <c r="E30" s="3" t="str">
        <f aca="false">'CA-9'!B20</f>
        <v>Not Started</v>
      </c>
    </row>
    <row r="31" customFormat="false" ht="18" hidden="false" customHeight="true" outlineLevel="0" collapsed="false">
      <c r="A31" s="3" t="s">
        <v>65</v>
      </c>
      <c r="B31" s="4" t="s">
        <v>66</v>
      </c>
      <c r="C31" s="4"/>
      <c r="D31" s="3" t="s">
        <v>67</v>
      </c>
      <c r="E31" s="3" t="str">
        <f aca="false">'CM-2-2'!B20</f>
        <v>Not Started</v>
      </c>
    </row>
    <row r="32" customFormat="false" ht="18" hidden="false" customHeight="true" outlineLevel="0" collapsed="false">
      <c r="A32" s="3" t="s">
        <v>68</v>
      </c>
      <c r="B32" s="4" t="s">
        <v>66</v>
      </c>
      <c r="C32" s="4"/>
      <c r="D32" s="3" t="s">
        <v>69</v>
      </c>
      <c r="E32" s="3" t="str">
        <f aca="false">'CM-2-3'!B20</f>
        <v>Not Started</v>
      </c>
    </row>
    <row r="33" customFormat="false" ht="18" hidden="false" customHeight="true" outlineLevel="0" collapsed="false">
      <c r="A33" s="3" t="s">
        <v>70</v>
      </c>
      <c r="B33" s="4" t="s">
        <v>71</v>
      </c>
      <c r="C33" s="4"/>
      <c r="D33" s="3" t="s">
        <v>70</v>
      </c>
      <c r="E33" s="3" t="str">
        <f aca="false">'CM-3'!B20</f>
        <v>Not Started</v>
      </c>
    </row>
    <row r="34" customFormat="false" ht="18" hidden="false" customHeight="true" outlineLevel="0" collapsed="false">
      <c r="A34" s="3" t="s">
        <v>72</v>
      </c>
      <c r="B34" s="4" t="s">
        <v>71</v>
      </c>
      <c r="C34" s="4"/>
      <c r="D34" s="3" t="s">
        <v>73</v>
      </c>
      <c r="E34" s="3" t="str">
        <f aca="false">'CM-3-6'!B20</f>
        <v>Not Started</v>
      </c>
    </row>
    <row r="35" customFormat="false" ht="18" hidden="false" customHeight="true" outlineLevel="0" collapsed="false">
      <c r="A35" s="3" t="s">
        <v>74</v>
      </c>
      <c r="B35" s="4" t="s">
        <v>75</v>
      </c>
      <c r="C35" s="4"/>
      <c r="D35" s="3" t="s">
        <v>76</v>
      </c>
      <c r="E35" s="3" t="str">
        <f aca="false">'CM-5-1'!B20</f>
        <v>Not Started</v>
      </c>
    </row>
    <row r="36" customFormat="false" ht="18" hidden="false" customHeight="true" outlineLevel="0" collapsed="false">
      <c r="A36" s="3" t="s">
        <v>77</v>
      </c>
      <c r="B36" s="4" t="s">
        <v>78</v>
      </c>
      <c r="C36" s="4"/>
      <c r="D36" s="3" t="s">
        <v>77</v>
      </c>
      <c r="E36" s="3" t="str">
        <f aca="false">'CM-6'!B20</f>
        <v>Not Started</v>
      </c>
    </row>
    <row r="37" customFormat="false" ht="18" hidden="false" customHeight="true" outlineLevel="0" collapsed="false">
      <c r="A37" s="3" t="s">
        <v>79</v>
      </c>
      <c r="B37" s="4" t="s">
        <v>78</v>
      </c>
      <c r="C37" s="4"/>
      <c r="D37" s="3" t="s">
        <v>80</v>
      </c>
      <c r="E37" s="3" t="str">
        <f aca="false">'CM-6-1'!B20</f>
        <v>Not Started</v>
      </c>
    </row>
    <row r="38" customFormat="false" ht="18" hidden="false" customHeight="true" outlineLevel="0" collapsed="false">
      <c r="A38" s="3" t="s">
        <v>81</v>
      </c>
      <c r="B38" s="4" t="s">
        <v>82</v>
      </c>
      <c r="C38" s="4"/>
      <c r="D38" s="3" t="s">
        <v>81</v>
      </c>
      <c r="E38" s="3" t="str">
        <f aca="false">'CM-7'!B20</f>
        <v>Not Started</v>
      </c>
    </row>
    <row r="39" customFormat="false" ht="18" hidden="false" customHeight="true" outlineLevel="0" collapsed="false">
      <c r="A39" s="3" t="s">
        <v>83</v>
      </c>
      <c r="B39" s="4" t="s">
        <v>82</v>
      </c>
      <c r="C39" s="4"/>
      <c r="D39" s="3" t="s">
        <v>84</v>
      </c>
      <c r="E39" s="3" t="str">
        <f aca="false">'CM-7-1'!B20</f>
        <v>Not Started</v>
      </c>
    </row>
    <row r="40" customFormat="false" ht="18" hidden="false" customHeight="true" outlineLevel="0" collapsed="false">
      <c r="A40" s="3" t="s">
        <v>85</v>
      </c>
      <c r="B40" s="4" t="s">
        <v>86</v>
      </c>
      <c r="C40" s="4"/>
      <c r="D40" s="3" t="s">
        <v>87</v>
      </c>
      <c r="E40" s="3" t="str">
        <f aca="false">'CM-8-2'!B20</f>
        <v>Not Started</v>
      </c>
    </row>
    <row r="41" customFormat="false" ht="18" hidden="false" customHeight="true" outlineLevel="0" collapsed="false">
      <c r="A41" s="3" t="s">
        <v>88</v>
      </c>
      <c r="B41" s="4" t="s">
        <v>86</v>
      </c>
      <c r="C41" s="4"/>
      <c r="D41" s="3" t="s">
        <v>89</v>
      </c>
      <c r="E41" s="3" t="str">
        <f aca="false">'CM-8-5'!B20</f>
        <v>Not Started</v>
      </c>
    </row>
    <row r="42" customFormat="false" ht="18" hidden="false" customHeight="true" outlineLevel="0" collapsed="false">
      <c r="A42" s="3" t="s">
        <v>90</v>
      </c>
      <c r="B42" s="4" t="s">
        <v>91</v>
      </c>
      <c r="C42" s="4"/>
      <c r="D42" s="3" t="s">
        <v>90</v>
      </c>
      <c r="E42" s="3" t="str">
        <f aca="false">'CP-6'!B20</f>
        <v>Not Started</v>
      </c>
    </row>
    <row r="43" customFormat="false" ht="18" hidden="false" customHeight="true" outlineLevel="0" collapsed="false">
      <c r="A43" s="3" t="s">
        <v>92</v>
      </c>
      <c r="B43" s="4" t="s">
        <v>91</v>
      </c>
      <c r="C43" s="4"/>
      <c r="D43" s="3" t="s">
        <v>93</v>
      </c>
      <c r="E43" s="3" t="str">
        <f aca="false">'CP-6-2'!B20</f>
        <v>Not Started</v>
      </c>
    </row>
    <row r="44" customFormat="false" ht="18" hidden="false" customHeight="true" outlineLevel="0" collapsed="false">
      <c r="A44" s="3" t="s">
        <v>94</v>
      </c>
      <c r="B44" s="4" t="s">
        <v>95</v>
      </c>
      <c r="C44" s="4"/>
      <c r="D44" s="3" t="s">
        <v>94</v>
      </c>
      <c r="E44" s="3" t="str">
        <f aca="false">'CP-7'!B20</f>
        <v>Not Started</v>
      </c>
    </row>
    <row r="45" customFormat="false" ht="18" hidden="false" customHeight="true" outlineLevel="0" collapsed="false">
      <c r="A45" s="3" t="s">
        <v>96</v>
      </c>
      <c r="B45" s="4" t="s">
        <v>95</v>
      </c>
      <c r="C45" s="4"/>
      <c r="D45" s="3" t="s">
        <v>97</v>
      </c>
      <c r="E45" s="3" t="str">
        <f aca="false">'CP-7-1'!B20</f>
        <v>Not Started</v>
      </c>
    </row>
    <row r="46" customFormat="false" ht="18" hidden="false" customHeight="true" outlineLevel="0" collapsed="false">
      <c r="A46" s="3" t="s">
        <v>98</v>
      </c>
      <c r="B46" s="4" t="s">
        <v>95</v>
      </c>
      <c r="C46" s="4"/>
      <c r="D46" s="3" t="s">
        <v>99</v>
      </c>
      <c r="E46" s="3" t="str">
        <f aca="false">'CP-7-4'!B20</f>
        <v>Not Started</v>
      </c>
    </row>
    <row r="47" customFormat="false" ht="18" hidden="false" customHeight="true" outlineLevel="0" collapsed="false">
      <c r="A47" s="3" t="s">
        <v>100</v>
      </c>
      <c r="B47" s="4" t="s">
        <v>101</v>
      </c>
      <c r="C47" s="4"/>
      <c r="D47" s="3" t="s">
        <v>100</v>
      </c>
      <c r="E47" s="3" t="str">
        <f aca="false">'CP-9'!B20</f>
        <v>Not Started</v>
      </c>
    </row>
    <row r="48" customFormat="false" ht="18" hidden="false" customHeight="true" outlineLevel="0" collapsed="false">
      <c r="A48" s="3" t="s">
        <v>102</v>
      </c>
      <c r="B48" s="4" t="s">
        <v>101</v>
      </c>
      <c r="C48" s="4"/>
      <c r="D48" s="3" t="s">
        <v>103</v>
      </c>
      <c r="E48" s="3" t="str">
        <f aca="false">'CP-9-1'!B20</f>
        <v>Not Started</v>
      </c>
    </row>
    <row r="49" customFormat="false" ht="18" hidden="false" customHeight="true" outlineLevel="0" collapsed="false">
      <c r="A49" s="3" t="s">
        <v>104</v>
      </c>
      <c r="B49" s="4" t="s">
        <v>101</v>
      </c>
      <c r="C49" s="4"/>
      <c r="D49" s="3" t="s">
        <v>105</v>
      </c>
      <c r="E49" s="3" t="str">
        <f aca="false">'CP-9-2'!B20</f>
        <v>Not Started</v>
      </c>
    </row>
    <row r="50" customFormat="false" ht="18" hidden="false" customHeight="true" outlineLevel="0" collapsed="false">
      <c r="A50" s="3" t="s">
        <v>106</v>
      </c>
      <c r="B50" s="4" t="s">
        <v>101</v>
      </c>
      <c r="C50" s="4"/>
      <c r="D50" s="3" t="s">
        <v>107</v>
      </c>
      <c r="E50" s="3" t="str">
        <f aca="false">'CP-9-3'!B20</f>
        <v>Not Started</v>
      </c>
    </row>
    <row r="51" customFormat="false" ht="18" hidden="false" customHeight="true" outlineLevel="0" collapsed="false">
      <c r="A51" s="3" t="s">
        <v>108</v>
      </c>
      <c r="B51" s="4" t="s">
        <v>101</v>
      </c>
      <c r="C51" s="4"/>
      <c r="D51" s="3" t="s">
        <v>109</v>
      </c>
      <c r="E51" s="3" t="str">
        <f aca="false">'CP-9-5'!B20</f>
        <v>Not Started</v>
      </c>
    </row>
    <row r="52" customFormat="false" ht="18" hidden="false" customHeight="true" outlineLevel="0" collapsed="false">
      <c r="A52" s="3" t="s">
        <v>110</v>
      </c>
      <c r="B52" s="4" t="s">
        <v>111</v>
      </c>
      <c r="C52" s="4"/>
      <c r="D52" s="3" t="s">
        <v>110</v>
      </c>
      <c r="E52" s="3" t="str">
        <f aca="false">'CP-10'!B20</f>
        <v>Not Started</v>
      </c>
    </row>
    <row r="53" customFormat="false" ht="18" hidden="false" customHeight="true" outlineLevel="0" collapsed="false">
      <c r="A53" s="3" t="s">
        <v>112</v>
      </c>
      <c r="B53" s="4" t="s">
        <v>111</v>
      </c>
      <c r="C53" s="4"/>
      <c r="D53" s="3" t="s">
        <v>113</v>
      </c>
      <c r="E53" s="3" t="str">
        <f aca="false">'CP-10-4'!B20</f>
        <v>Not Started</v>
      </c>
    </row>
    <row r="54" customFormat="false" ht="18" hidden="false" customHeight="true" outlineLevel="0" collapsed="false">
      <c r="A54" s="3" t="s">
        <v>114</v>
      </c>
      <c r="B54" s="4" t="s">
        <v>115</v>
      </c>
      <c r="C54" s="4"/>
      <c r="D54" s="3" t="s">
        <v>116</v>
      </c>
      <c r="E54" s="3" t="str">
        <f aca="false">'IA-5-7'!B20</f>
        <v>Not Started</v>
      </c>
    </row>
    <row r="55" customFormat="false" ht="18" hidden="false" customHeight="true" outlineLevel="0" collapsed="false">
      <c r="A55" s="3" t="s">
        <v>117</v>
      </c>
      <c r="B55" s="4" t="s">
        <v>118</v>
      </c>
      <c r="C55" s="4"/>
      <c r="D55" s="3" t="s">
        <v>117</v>
      </c>
      <c r="E55" s="3" t="str">
        <f aca="false">'MA-4'!B20</f>
        <v>Not Started</v>
      </c>
    </row>
    <row r="56" customFormat="false" ht="18" hidden="false" customHeight="true" outlineLevel="0" collapsed="false">
      <c r="A56" s="3" t="s">
        <v>119</v>
      </c>
      <c r="B56" s="4" t="s">
        <v>118</v>
      </c>
      <c r="C56" s="4"/>
      <c r="D56" s="3" t="s">
        <v>120</v>
      </c>
      <c r="E56" s="3" t="str">
        <f aca="false">'MA-4-1'!B20</f>
        <v>Not Started</v>
      </c>
    </row>
    <row r="57" customFormat="false" ht="18" hidden="false" customHeight="true" outlineLevel="0" collapsed="false">
      <c r="A57" s="3" t="s">
        <v>121</v>
      </c>
      <c r="B57" s="4" t="s">
        <v>122</v>
      </c>
      <c r="C57" s="4"/>
      <c r="D57" s="3" t="s">
        <v>121</v>
      </c>
      <c r="E57" s="3" t="str">
        <f aca="false">'RA-5'!B20</f>
        <v>Not Started</v>
      </c>
    </row>
    <row r="58" customFormat="false" ht="18" hidden="false" customHeight="true" outlineLevel="0" collapsed="false">
      <c r="A58" s="3" t="s">
        <v>123</v>
      </c>
      <c r="B58" s="4" t="s">
        <v>122</v>
      </c>
      <c r="C58" s="4"/>
      <c r="D58" s="3" t="s">
        <v>124</v>
      </c>
      <c r="E58" s="3" t="str">
        <f aca="false">'RA-5-8'!B20</f>
        <v>Not Started</v>
      </c>
    </row>
    <row r="59" customFormat="false" ht="18" hidden="false" customHeight="true" outlineLevel="0" collapsed="false">
      <c r="A59" s="3" t="s">
        <v>125</v>
      </c>
      <c r="B59" s="4" t="s">
        <v>126</v>
      </c>
      <c r="C59" s="4"/>
      <c r="D59" s="3" t="s">
        <v>127</v>
      </c>
      <c r="E59" s="3" t="str">
        <f aca="false">'SA-9-5'!B20</f>
        <v>Not Started</v>
      </c>
    </row>
    <row r="60" customFormat="false" ht="18" hidden="false" customHeight="true" outlineLevel="0" collapsed="false">
      <c r="A60" s="3" t="s">
        <v>128</v>
      </c>
      <c r="B60" s="4" t="s">
        <v>129</v>
      </c>
      <c r="C60" s="4"/>
      <c r="D60" s="3" t="s">
        <v>128</v>
      </c>
      <c r="E60" s="3" t="str">
        <f aca="false">'SC-7'!B20</f>
        <v>Not Started</v>
      </c>
    </row>
    <row r="61" customFormat="false" ht="18" hidden="false" customHeight="true" outlineLevel="0" collapsed="false">
      <c r="A61" s="3" t="s">
        <v>130</v>
      </c>
      <c r="B61" s="4" t="s">
        <v>131</v>
      </c>
      <c r="C61" s="4"/>
      <c r="D61" s="3" t="s">
        <v>130</v>
      </c>
      <c r="E61" s="3" t="str">
        <f aca="false">'SC-13'!B20</f>
        <v>Not Started</v>
      </c>
    </row>
    <row r="62" customFormat="false" ht="18" hidden="false" customHeight="true" outlineLevel="0" collapsed="false">
      <c r="A62" s="3" t="s">
        <v>132</v>
      </c>
      <c r="B62" s="4" t="s">
        <v>133</v>
      </c>
      <c r="C62" s="4"/>
      <c r="D62" s="3" t="s">
        <v>132</v>
      </c>
      <c r="E62" s="3" t="str">
        <f aca="false">'SC-18'!B20</f>
        <v>Not Started</v>
      </c>
    </row>
    <row r="63" customFormat="false" ht="18" hidden="false" customHeight="true" outlineLevel="0" collapsed="false">
      <c r="A63" s="3" t="s">
        <v>134</v>
      </c>
      <c r="B63" s="4" t="s">
        <v>135</v>
      </c>
      <c r="C63" s="4"/>
      <c r="D63" s="3" t="s">
        <v>134</v>
      </c>
      <c r="E63" s="3" t="str">
        <f aca="false">'SC-28'!B20</f>
        <v>Not Started</v>
      </c>
    </row>
    <row r="64" customFormat="false" ht="18" hidden="false" customHeight="true" outlineLevel="0" collapsed="false">
      <c r="A64" s="3" t="s">
        <v>136</v>
      </c>
      <c r="B64" s="4" t="s">
        <v>135</v>
      </c>
      <c r="C64" s="4"/>
      <c r="D64" s="3" t="s">
        <v>137</v>
      </c>
      <c r="E64" s="3" t="str">
        <f aca="false">'SC-28-1'!B20</f>
        <v>Not Started</v>
      </c>
    </row>
    <row r="65" customFormat="false" ht="18" hidden="false" customHeight="true" outlineLevel="0" collapsed="false">
      <c r="A65" s="3" t="s">
        <v>138</v>
      </c>
      <c r="B65" s="4" t="s">
        <v>139</v>
      </c>
      <c r="C65" s="4"/>
      <c r="D65" s="3" t="s">
        <v>140</v>
      </c>
      <c r="E65" s="3" t="str">
        <f aca="false">'SI-2-2'!B20</f>
        <v>Not Started</v>
      </c>
    </row>
    <row r="66" customFormat="false" ht="18" hidden="false" customHeight="true" outlineLevel="0" collapsed="false">
      <c r="A66" s="3" t="s">
        <v>141</v>
      </c>
      <c r="B66" s="4" t="s">
        <v>142</v>
      </c>
      <c r="C66" s="4"/>
      <c r="D66" s="3" t="s">
        <v>143</v>
      </c>
      <c r="E66" s="3" t="str">
        <f aca="false">'SI-3-1'!B20</f>
        <v>Not Started</v>
      </c>
    </row>
    <row r="67" customFormat="false" ht="18" hidden="false" customHeight="true" outlineLevel="0" collapsed="false">
      <c r="A67" s="3" t="s">
        <v>144</v>
      </c>
      <c r="B67" s="4" t="s">
        <v>142</v>
      </c>
      <c r="C67" s="4"/>
      <c r="D67" s="3" t="s">
        <v>145</v>
      </c>
      <c r="E67" s="3" t="str">
        <f aca="false">'SI-3-2'!B20</f>
        <v>Not Started</v>
      </c>
    </row>
    <row r="68" customFormat="false" ht="18" hidden="false" customHeight="true" outlineLevel="0" collapsed="false">
      <c r="A68" s="3" t="s">
        <v>146</v>
      </c>
      <c r="B68" s="4" t="s">
        <v>147</v>
      </c>
      <c r="C68" s="4"/>
      <c r="D68" s="3" t="s">
        <v>146</v>
      </c>
      <c r="E68" s="3" t="str">
        <f aca="false">'SI-4'!B20</f>
        <v>Not Started</v>
      </c>
    </row>
    <row r="69" customFormat="false" ht="18" hidden="false" customHeight="true" outlineLevel="0" collapsed="false">
      <c r="A69" s="3" t="s">
        <v>148</v>
      </c>
      <c r="B69" s="4" t="s">
        <v>147</v>
      </c>
      <c r="C69" s="4"/>
      <c r="D69" s="3" t="s">
        <v>149</v>
      </c>
      <c r="E69" s="3" t="str">
        <f aca="false">'SI-4-1'!B20</f>
        <v>Not Started</v>
      </c>
    </row>
    <row r="70" customFormat="false" ht="18" hidden="false" customHeight="true" outlineLevel="0" collapsed="false">
      <c r="A70" s="3" t="s">
        <v>150</v>
      </c>
      <c r="B70" s="4" t="s">
        <v>147</v>
      </c>
      <c r="C70" s="4"/>
      <c r="D70" s="3" t="s">
        <v>151</v>
      </c>
      <c r="E70" s="3" t="str">
        <f aca="false">'SI-4-2'!B20</f>
        <v>Not Started</v>
      </c>
    </row>
    <row r="71" customFormat="false" ht="18" hidden="false" customHeight="true" outlineLevel="0" collapsed="false">
      <c r="A71" s="3" t="s">
        <v>152</v>
      </c>
      <c r="B71" s="4" t="s">
        <v>147</v>
      </c>
      <c r="C71" s="4"/>
      <c r="D71" s="3" t="s">
        <v>153</v>
      </c>
      <c r="E71" s="3" t="str">
        <f aca="false">'SI-4-4'!B20</f>
        <v>Not Started</v>
      </c>
    </row>
    <row r="72" customFormat="false" ht="18" hidden="false" customHeight="true" outlineLevel="0" collapsed="false">
      <c r="A72" s="3" t="s">
        <v>154</v>
      </c>
      <c r="B72" s="4" t="s">
        <v>147</v>
      </c>
      <c r="C72" s="4"/>
      <c r="D72" s="3" t="s">
        <v>155</v>
      </c>
      <c r="E72" s="3" t="str">
        <f aca="false">'SI-4-5'!B20</f>
        <v>Not Started</v>
      </c>
    </row>
    <row r="73" customFormat="false" ht="18" hidden="false" customHeight="true" outlineLevel="0" collapsed="false">
      <c r="A73" s="3" t="s">
        <v>156</v>
      </c>
      <c r="B73" s="4" t="s">
        <v>147</v>
      </c>
      <c r="C73" s="4"/>
      <c r="D73" s="3" t="s">
        <v>157</v>
      </c>
      <c r="E73" s="3" t="str">
        <f aca="false">'SI-4-11'!B20</f>
        <v>Not Started</v>
      </c>
    </row>
    <row r="74" customFormat="false" ht="18" hidden="false" customHeight="true" outlineLevel="0" collapsed="false">
      <c r="A74" s="3" t="s">
        <v>158</v>
      </c>
      <c r="B74" s="4" t="s">
        <v>159</v>
      </c>
      <c r="C74" s="4"/>
      <c r="D74" s="3" t="s">
        <v>158</v>
      </c>
      <c r="E74" s="3" t="str">
        <f aca="false">'SI-6'!B20</f>
        <v>Not Started</v>
      </c>
    </row>
    <row r="75" customFormat="false" ht="18" hidden="false" customHeight="true" outlineLevel="0" collapsed="false">
      <c r="A75" s="3" t="s">
        <v>160</v>
      </c>
      <c r="B75" s="4" t="s">
        <v>161</v>
      </c>
      <c r="C75" s="4"/>
      <c r="D75" s="3" t="s">
        <v>162</v>
      </c>
      <c r="E75" s="3" t="str">
        <f aca="false">'SI-7-7'!B20</f>
        <v>Not Started</v>
      </c>
    </row>
    <row r="76" customFormat="false" ht="18" hidden="false" customHeight="true" outlineLevel="0" collapsed="false">
      <c r="A76" s="3" t="s">
        <v>163</v>
      </c>
      <c r="B76" s="4" t="s">
        <v>164</v>
      </c>
      <c r="C76" s="4"/>
      <c r="D76" s="3" t="s">
        <v>163</v>
      </c>
      <c r="E76" s="3" t="str">
        <f aca="false">'SI-11'!B20</f>
        <v>Not Started</v>
      </c>
    </row>
    <row r="78" customFormat="false" ht="21.75" hidden="false" customHeight="true" outlineLevel="0" collapsed="false">
      <c r="A78" s="5" t="s">
        <v>165</v>
      </c>
      <c r="B78" s="5"/>
      <c r="C78" s="5"/>
      <c r="D78" s="5"/>
      <c r="E78" s="5"/>
    </row>
    <row r="79" customFormat="false" ht="19.5" hidden="false" customHeight="true" outlineLevel="0" collapsed="false">
      <c r="A79" s="6" t="s">
        <v>166</v>
      </c>
      <c r="B79" s="6"/>
      <c r="C79" s="6"/>
      <c r="D79" s="6"/>
      <c r="E79" s="7" t="n">
        <f aca="false">74</f>
        <v>74</v>
      </c>
    </row>
    <row r="80" customFormat="false" ht="19.5" hidden="false" customHeight="true" outlineLevel="0" collapsed="false">
      <c r="A80" s="6" t="s">
        <v>167</v>
      </c>
      <c r="B80" s="6"/>
      <c r="C80" s="6"/>
      <c r="D80" s="6"/>
      <c r="E80" s="7" t="n">
        <f aca="false">COUNTIF(E3:E76,"Not Started")</f>
        <v>74</v>
      </c>
    </row>
    <row r="81" customFormat="false" ht="19.5" hidden="false" customHeight="true" outlineLevel="0" collapsed="false">
      <c r="A81" s="6" t="s">
        <v>168</v>
      </c>
      <c r="B81" s="6"/>
      <c r="C81" s="6"/>
      <c r="D81" s="6"/>
      <c r="E81" s="7" t="n">
        <f aca="false">COUNTIF(E3:E76,"In Progress")</f>
        <v>0</v>
      </c>
    </row>
    <row r="82" customFormat="false" ht="19.5" hidden="false" customHeight="true" outlineLevel="0" collapsed="false">
      <c r="A82" s="6" t="s">
        <v>169</v>
      </c>
      <c r="B82" s="6"/>
      <c r="C82" s="6"/>
      <c r="D82" s="6"/>
      <c r="E82" s="7" t="n">
        <f aca="false">COUNTIF(E3:E76,"Evidence Provided")</f>
        <v>0</v>
      </c>
    </row>
    <row r="83" customFormat="false" ht="19.5" hidden="false" customHeight="true" outlineLevel="0" collapsed="false">
      <c r="A83" s="6" t="s">
        <v>170</v>
      </c>
      <c r="B83" s="6"/>
      <c r="C83" s="6"/>
      <c r="D83" s="6"/>
      <c r="E83" s="7" t="n">
        <f aca="false">COUNTIF(E3:E76,"Under Review")</f>
        <v>0</v>
      </c>
    </row>
    <row r="84" customFormat="false" ht="19.5" hidden="false" customHeight="true" outlineLevel="0" collapsed="false">
      <c r="A84" s="6" t="s">
        <v>171</v>
      </c>
      <c r="B84" s="6"/>
      <c r="C84" s="6"/>
      <c r="D84" s="6"/>
      <c r="E84" s="7" t="n">
        <f aca="false">COUNTIF(E3:E76,"Passed")</f>
        <v>0</v>
      </c>
    </row>
    <row r="85" customFormat="false" ht="19.5" hidden="false" customHeight="true" outlineLevel="0" collapsed="false">
      <c r="A85" s="6" t="s">
        <v>172</v>
      </c>
      <c r="B85" s="6"/>
      <c r="C85" s="6"/>
      <c r="D85" s="6"/>
      <c r="E85" s="7" t="n">
        <f aca="false">COUNTIF(E3:E76,"Failed")</f>
        <v>0</v>
      </c>
    </row>
    <row r="86" customFormat="false" ht="19.5" hidden="false" customHeight="true" outlineLevel="0" collapsed="false">
      <c r="A86" s="6" t="s">
        <v>173</v>
      </c>
      <c r="B86" s="6"/>
      <c r="C86" s="6"/>
      <c r="D86" s="6"/>
      <c r="E86" s="7" t="n">
        <f aca="false">COUNTIF(E3:E76,"Accepted Exception")</f>
        <v>0</v>
      </c>
    </row>
    <row r="87" customFormat="false" ht="19.5" hidden="false" customHeight="true" outlineLevel="0" collapsed="false">
      <c r="A87" s="6" t="s">
        <v>174</v>
      </c>
      <c r="B87" s="6"/>
      <c r="C87" s="6"/>
      <c r="D87" s="6"/>
      <c r="E87" s="8" t="n">
        <f aca="false">IFERROR(COUNTIF(E3:E76,"Passed")/74,0)</f>
        <v>0</v>
      </c>
    </row>
    <row r="88" customFormat="false" ht="19.5" hidden="false" customHeight="true" outlineLevel="0" collapsed="false">
      <c r="A88" s="6" t="s">
        <v>175</v>
      </c>
      <c r="B88" s="6"/>
      <c r="C88" s="6"/>
      <c r="D88" s="6"/>
      <c r="E88" s="8" t="n">
        <f aca="false">IFERROR(COUNTIF(E3:E76,"Not Started")/74,0)</f>
        <v>1</v>
      </c>
    </row>
  </sheetData>
  <mergeCells count="12">
    <mergeCell ref="A1:E1"/>
    <mergeCell ref="A78:E78"/>
    <mergeCell ref="A79:D79"/>
    <mergeCell ref="A80:D80"/>
    <mergeCell ref="A81:D81"/>
    <mergeCell ref="A82:D82"/>
    <mergeCell ref="A83:D83"/>
    <mergeCell ref="A84:D84"/>
    <mergeCell ref="A85:D85"/>
    <mergeCell ref="A86:D86"/>
    <mergeCell ref="A87:D87"/>
    <mergeCell ref="A88:D8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176</v>
      </c>
      <c r="B1" s="1"/>
      <c r="C1" s="1"/>
      <c r="D1" s="1"/>
      <c r="E1" s="1"/>
    </row>
    <row r="2" customFormat="false" ht="21.75" hidden="false" customHeight="true" outlineLevel="0" collapsed="false">
      <c r="A2" s="2" t="s">
        <v>177</v>
      </c>
      <c r="B2" s="2" t="s">
        <v>178</v>
      </c>
      <c r="C2" s="2" t="s">
        <v>179</v>
      </c>
      <c r="D2" s="2" t="s">
        <v>180</v>
      </c>
      <c r="E2" s="2" t="s">
        <v>181</v>
      </c>
    </row>
    <row r="3" customFormat="false" ht="18" hidden="false" customHeight="true" outlineLevel="0" collapsed="false">
      <c r="A3" s="3" t="s">
        <v>6</v>
      </c>
      <c r="B3" s="4" t="s">
        <v>182</v>
      </c>
      <c r="C3" s="4"/>
      <c r="D3" s="3" t="s">
        <v>8</v>
      </c>
      <c r="E3" s="3" t="str">
        <f aca="false">'AC-2-1'!E20</f>
        <v>Non commencé</v>
      </c>
    </row>
    <row r="4" customFormat="false" ht="18" hidden="false" customHeight="true" outlineLevel="0" collapsed="false">
      <c r="A4" s="3" t="s">
        <v>9</v>
      </c>
      <c r="B4" s="4" t="s">
        <v>182</v>
      </c>
      <c r="C4" s="4"/>
      <c r="D4" s="3" t="s">
        <v>10</v>
      </c>
      <c r="E4" s="3" t="str">
        <f aca="false">'AC-2-2'!E20</f>
        <v>Non commencé</v>
      </c>
    </row>
    <row r="5" customFormat="false" ht="18" hidden="false" customHeight="true" outlineLevel="0" collapsed="false">
      <c r="A5" s="3" t="s">
        <v>11</v>
      </c>
      <c r="B5" s="4" t="s">
        <v>182</v>
      </c>
      <c r="C5" s="4"/>
      <c r="D5" s="3" t="s">
        <v>12</v>
      </c>
      <c r="E5" s="3" t="str">
        <f aca="false">'AC-2-3'!E20</f>
        <v>Non commencé</v>
      </c>
    </row>
    <row r="6" customFormat="false" ht="18" hidden="false" customHeight="true" outlineLevel="0" collapsed="false">
      <c r="A6" s="3" t="s">
        <v>13</v>
      </c>
      <c r="B6" s="4" t="s">
        <v>182</v>
      </c>
      <c r="C6" s="4"/>
      <c r="D6" s="3" t="s">
        <v>14</v>
      </c>
      <c r="E6" s="3" t="str">
        <f aca="false">'AC-2-4'!E20</f>
        <v>Non commencé</v>
      </c>
    </row>
    <row r="7" customFormat="false" ht="18" hidden="false" customHeight="true" outlineLevel="0" collapsed="false">
      <c r="A7" s="3" t="s">
        <v>15</v>
      </c>
      <c r="B7" s="4" t="s">
        <v>182</v>
      </c>
      <c r="C7" s="4"/>
      <c r="D7" s="3" t="s">
        <v>16</v>
      </c>
      <c r="E7" s="3" t="str">
        <f aca="false">'AC-2-5'!E20</f>
        <v>Non commencé</v>
      </c>
    </row>
    <row r="8" customFormat="false" ht="18" hidden="false" customHeight="true" outlineLevel="0" collapsed="false">
      <c r="A8" s="3" t="s">
        <v>17</v>
      </c>
      <c r="B8" s="4" t="s">
        <v>182</v>
      </c>
      <c r="C8" s="4"/>
      <c r="D8" s="3" t="s">
        <v>18</v>
      </c>
      <c r="E8" s="3" t="str">
        <f aca="false">'AC-2-7'!E20</f>
        <v>Non commencé</v>
      </c>
    </row>
    <row r="9" customFormat="false" ht="18" hidden="false" customHeight="true" outlineLevel="0" collapsed="false">
      <c r="A9" s="3" t="s">
        <v>19</v>
      </c>
      <c r="B9" s="4" t="s">
        <v>183</v>
      </c>
      <c r="C9" s="4"/>
      <c r="D9" s="3" t="s">
        <v>19</v>
      </c>
      <c r="E9" s="3" t="str">
        <f aca="false">'AC-6'!E20</f>
        <v>Non commencé</v>
      </c>
    </row>
    <row r="10" customFormat="false" ht="18" hidden="false" customHeight="true" outlineLevel="0" collapsed="false">
      <c r="A10" s="3" t="s">
        <v>21</v>
      </c>
      <c r="B10" s="4" t="s">
        <v>183</v>
      </c>
      <c r="C10" s="4"/>
      <c r="D10" s="3" t="s">
        <v>22</v>
      </c>
      <c r="E10" s="3" t="str">
        <f aca="false">'AC-6-1'!E20</f>
        <v>Non commencé</v>
      </c>
    </row>
    <row r="11" customFormat="false" ht="18" hidden="false" customHeight="true" outlineLevel="0" collapsed="false">
      <c r="A11" s="3" t="s">
        <v>23</v>
      </c>
      <c r="B11" s="4" t="s">
        <v>183</v>
      </c>
      <c r="C11" s="4"/>
      <c r="D11" s="3" t="s">
        <v>24</v>
      </c>
      <c r="E11" s="3" t="str">
        <f aca="false">'AC-6-9'!E20</f>
        <v>Non commencé</v>
      </c>
    </row>
    <row r="12" customFormat="false" ht="18" hidden="false" customHeight="true" outlineLevel="0" collapsed="false">
      <c r="A12" s="3" t="s">
        <v>25</v>
      </c>
      <c r="B12" s="4" t="s">
        <v>183</v>
      </c>
      <c r="C12" s="4"/>
      <c r="D12" s="3" t="s">
        <v>26</v>
      </c>
      <c r="E12" s="3" t="str">
        <f aca="false">'AC-6-10'!E20</f>
        <v>Non commencé</v>
      </c>
    </row>
    <row r="13" customFormat="false" ht="18" hidden="false" customHeight="true" outlineLevel="0" collapsed="false">
      <c r="A13" s="3" t="s">
        <v>27</v>
      </c>
      <c r="B13" s="4" t="s">
        <v>184</v>
      </c>
      <c r="C13" s="4"/>
      <c r="D13" s="3" t="s">
        <v>29</v>
      </c>
      <c r="E13" s="3" t="str">
        <f aca="false">'AC-17-1'!E20</f>
        <v>Non commencé</v>
      </c>
    </row>
    <row r="14" customFormat="false" ht="18" hidden="false" customHeight="true" outlineLevel="0" collapsed="false">
      <c r="A14" s="3" t="s">
        <v>30</v>
      </c>
      <c r="B14" s="4" t="s">
        <v>184</v>
      </c>
      <c r="C14" s="4"/>
      <c r="D14" s="3" t="s">
        <v>31</v>
      </c>
      <c r="E14" s="3" t="str">
        <f aca="false">'AC-17-2'!E20</f>
        <v>Non commencé</v>
      </c>
    </row>
    <row r="15" customFormat="false" ht="18" hidden="false" customHeight="true" outlineLevel="0" collapsed="false">
      <c r="A15" s="3" t="s">
        <v>32</v>
      </c>
      <c r="B15" s="4" t="s">
        <v>185</v>
      </c>
      <c r="C15" s="4"/>
      <c r="D15" s="3" t="s">
        <v>32</v>
      </c>
      <c r="E15" s="3" t="str">
        <f aca="false">'AU-2'!E20</f>
        <v>Non commencé</v>
      </c>
    </row>
    <row r="16" customFormat="false" ht="18" hidden="false" customHeight="true" outlineLevel="0" collapsed="false">
      <c r="A16" s="3" t="s">
        <v>34</v>
      </c>
      <c r="B16" s="4" t="s">
        <v>186</v>
      </c>
      <c r="C16" s="4"/>
      <c r="D16" s="3" t="s">
        <v>34</v>
      </c>
      <c r="E16" s="3" t="str">
        <f aca="false">'AU-3'!E20</f>
        <v>Non commencé</v>
      </c>
    </row>
    <row r="17" customFormat="false" ht="18" hidden="false" customHeight="true" outlineLevel="0" collapsed="false">
      <c r="A17" s="3" t="s">
        <v>36</v>
      </c>
      <c r="B17" s="4" t="s">
        <v>186</v>
      </c>
      <c r="C17" s="4"/>
      <c r="D17" s="3" t="s">
        <v>37</v>
      </c>
      <c r="E17" s="3" t="str">
        <f aca="false">'AU-3-1'!E20</f>
        <v>Non commencé</v>
      </c>
    </row>
    <row r="18" customFormat="false" ht="18" hidden="false" customHeight="true" outlineLevel="0" collapsed="false">
      <c r="A18" s="3" t="s">
        <v>38</v>
      </c>
      <c r="B18" s="4" t="s">
        <v>187</v>
      </c>
      <c r="C18" s="4"/>
      <c r="D18" s="3" t="s">
        <v>38</v>
      </c>
      <c r="E18" s="3" t="str">
        <f aca="false">'AU-5'!E20</f>
        <v>Non commencé</v>
      </c>
    </row>
    <row r="19" customFormat="false" ht="18" hidden="false" customHeight="true" outlineLevel="0" collapsed="false">
      <c r="A19" s="3" t="s">
        <v>40</v>
      </c>
      <c r="B19" s="4" t="s">
        <v>188</v>
      </c>
      <c r="C19" s="4"/>
      <c r="D19" s="3" t="s">
        <v>42</v>
      </c>
      <c r="E19" s="3" t="str">
        <f aca="false">'AU-6-1'!E20</f>
        <v>Non commencé</v>
      </c>
    </row>
    <row r="20" customFormat="false" ht="18" hidden="false" customHeight="true" outlineLevel="0" collapsed="false">
      <c r="A20" s="3" t="s">
        <v>43</v>
      </c>
      <c r="B20" s="4" t="s">
        <v>188</v>
      </c>
      <c r="C20" s="4"/>
      <c r="D20" s="3" t="s">
        <v>44</v>
      </c>
      <c r="E20" s="3" t="str">
        <f aca="false">'AU-6-3'!E20</f>
        <v>Non commencé</v>
      </c>
    </row>
    <row r="21" customFormat="false" ht="18" hidden="false" customHeight="true" outlineLevel="0" collapsed="false">
      <c r="A21" s="3" t="s">
        <v>45</v>
      </c>
      <c r="B21" s="4" t="s">
        <v>189</v>
      </c>
      <c r="C21" s="4"/>
      <c r="D21" s="3" t="s">
        <v>45</v>
      </c>
      <c r="E21" s="3" t="str">
        <f aca="false">'AU-7'!E20</f>
        <v>Non commencé</v>
      </c>
    </row>
    <row r="22" customFormat="false" ht="18" hidden="false" customHeight="true" outlineLevel="0" collapsed="false">
      <c r="A22" s="3" t="s">
        <v>47</v>
      </c>
      <c r="B22" s="4" t="s">
        <v>189</v>
      </c>
      <c r="C22" s="4"/>
      <c r="D22" s="3" t="s">
        <v>48</v>
      </c>
      <c r="E22" s="3" t="str">
        <f aca="false">'AU-7-1'!E20</f>
        <v>Non commencé</v>
      </c>
    </row>
    <row r="23" customFormat="false" ht="18" hidden="false" customHeight="true" outlineLevel="0" collapsed="false">
      <c r="A23" s="3" t="s">
        <v>49</v>
      </c>
      <c r="B23" s="4" t="s">
        <v>190</v>
      </c>
      <c r="C23" s="4"/>
      <c r="D23" s="3" t="s">
        <v>49</v>
      </c>
      <c r="E23" s="3" t="str">
        <f aca="false">'AU-8'!E20</f>
        <v>Non commencé</v>
      </c>
    </row>
    <row r="24" customFormat="false" ht="18" hidden="false" customHeight="true" outlineLevel="0" collapsed="false">
      <c r="A24" s="3" t="s">
        <v>51</v>
      </c>
      <c r="B24" s="4" t="s">
        <v>190</v>
      </c>
      <c r="C24" s="4"/>
      <c r="D24" s="3" t="s">
        <v>52</v>
      </c>
      <c r="E24" s="3" t="str">
        <f aca="false">'AU-8-1'!E20</f>
        <v>Non commencé</v>
      </c>
    </row>
    <row r="25" customFormat="false" ht="18" hidden="false" customHeight="true" outlineLevel="0" collapsed="false">
      <c r="A25" s="3" t="s">
        <v>53</v>
      </c>
      <c r="B25" s="4" t="s">
        <v>191</v>
      </c>
      <c r="C25" s="4"/>
      <c r="D25" s="3" t="s">
        <v>53</v>
      </c>
      <c r="E25" s="3" t="str">
        <f aca="false">'AU-9'!E20</f>
        <v>Non commencé</v>
      </c>
    </row>
    <row r="26" customFormat="false" ht="18" hidden="false" customHeight="true" outlineLevel="0" collapsed="false">
      <c r="A26" s="3" t="s">
        <v>55</v>
      </c>
      <c r="B26" s="4" t="s">
        <v>191</v>
      </c>
      <c r="C26" s="4"/>
      <c r="D26" s="3" t="s">
        <v>56</v>
      </c>
      <c r="E26" s="3" t="str">
        <f aca="false">'AU-9-2'!E20</f>
        <v>Non commencé</v>
      </c>
    </row>
    <row r="27" customFormat="false" ht="18" hidden="false" customHeight="true" outlineLevel="0" collapsed="false">
      <c r="A27" s="3" t="s">
        <v>57</v>
      </c>
      <c r="B27" s="4" t="s">
        <v>191</v>
      </c>
      <c r="C27" s="4"/>
      <c r="D27" s="3" t="s">
        <v>58</v>
      </c>
      <c r="E27" s="3" t="str">
        <f aca="false">'AU-9-4'!E20</f>
        <v>Non commencé</v>
      </c>
    </row>
    <row r="28" customFormat="false" ht="18" hidden="false" customHeight="true" outlineLevel="0" collapsed="false">
      <c r="A28" s="3" t="s">
        <v>59</v>
      </c>
      <c r="B28" s="4" t="s">
        <v>192</v>
      </c>
      <c r="C28" s="4"/>
      <c r="D28" s="3" t="s">
        <v>59</v>
      </c>
      <c r="E28" s="3" t="str">
        <f aca="false">'AU-11'!E20</f>
        <v>Non commencé</v>
      </c>
    </row>
    <row r="29" customFormat="false" ht="18" hidden="false" customHeight="true" outlineLevel="0" collapsed="false">
      <c r="A29" s="3" t="s">
        <v>61</v>
      </c>
      <c r="B29" s="4" t="s">
        <v>193</v>
      </c>
      <c r="C29" s="4"/>
      <c r="D29" s="3" t="s">
        <v>61</v>
      </c>
      <c r="E29" s="3" t="str">
        <f aca="false">'AU-12'!E20</f>
        <v>Non commencé</v>
      </c>
    </row>
    <row r="30" customFormat="false" ht="18" hidden="false" customHeight="true" outlineLevel="0" collapsed="false">
      <c r="A30" s="3" t="s">
        <v>63</v>
      </c>
      <c r="B30" s="4" t="s">
        <v>194</v>
      </c>
      <c r="C30" s="4"/>
      <c r="D30" s="3" t="s">
        <v>63</v>
      </c>
      <c r="E30" s="3" t="str">
        <f aca="false">'CA-9'!E20</f>
        <v>Non commencé</v>
      </c>
    </row>
    <row r="31" customFormat="false" ht="18" hidden="false" customHeight="true" outlineLevel="0" collapsed="false">
      <c r="A31" s="3" t="s">
        <v>65</v>
      </c>
      <c r="B31" s="4" t="s">
        <v>195</v>
      </c>
      <c r="C31" s="4"/>
      <c r="D31" s="3" t="s">
        <v>67</v>
      </c>
      <c r="E31" s="3" t="str">
        <f aca="false">'CM-2-2'!E20</f>
        <v>Non commencé</v>
      </c>
    </row>
    <row r="32" customFormat="false" ht="18" hidden="false" customHeight="true" outlineLevel="0" collapsed="false">
      <c r="A32" s="3" t="s">
        <v>68</v>
      </c>
      <c r="B32" s="4" t="s">
        <v>195</v>
      </c>
      <c r="C32" s="4"/>
      <c r="D32" s="3" t="s">
        <v>69</v>
      </c>
      <c r="E32" s="3" t="str">
        <f aca="false">'CM-2-3'!E20</f>
        <v>Non commencé</v>
      </c>
    </row>
    <row r="33" customFormat="false" ht="18" hidden="false" customHeight="true" outlineLevel="0" collapsed="false">
      <c r="A33" s="3" t="s">
        <v>70</v>
      </c>
      <c r="B33" s="4" t="s">
        <v>196</v>
      </c>
      <c r="C33" s="4"/>
      <c r="D33" s="3" t="s">
        <v>70</v>
      </c>
      <c r="E33" s="3" t="str">
        <f aca="false">'CM-3'!E20</f>
        <v>Non commencé</v>
      </c>
    </row>
    <row r="34" customFormat="false" ht="18" hidden="false" customHeight="true" outlineLevel="0" collapsed="false">
      <c r="A34" s="3" t="s">
        <v>72</v>
      </c>
      <c r="B34" s="4" t="s">
        <v>196</v>
      </c>
      <c r="C34" s="4"/>
      <c r="D34" s="3" t="s">
        <v>73</v>
      </c>
      <c r="E34" s="3" t="str">
        <f aca="false">'CM-3-6'!E20</f>
        <v>Non commencé</v>
      </c>
    </row>
    <row r="35" customFormat="false" ht="18" hidden="false" customHeight="true" outlineLevel="0" collapsed="false">
      <c r="A35" s="3" t="s">
        <v>74</v>
      </c>
      <c r="B35" s="4" t="s">
        <v>197</v>
      </c>
      <c r="C35" s="4"/>
      <c r="D35" s="3" t="s">
        <v>76</v>
      </c>
      <c r="E35" s="3" t="str">
        <f aca="false">'CM-5-1'!E20</f>
        <v>Non commencé</v>
      </c>
    </row>
    <row r="36" customFormat="false" ht="18" hidden="false" customHeight="true" outlineLevel="0" collapsed="false">
      <c r="A36" s="3" t="s">
        <v>77</v>
      </c>
      <c r="B36" s="4" t="s">
        <v>198</v>
      </c>
      <c r="C36" s="4"/>
      <c r="D36" s="3" t="s">
        <v>77</v>
      </c>
      <c r="E36" s="3" t="str">
        <f aca="false">'CM-6'!E20</f>
        <v>Non commencé</v>
      </c>
    </row>
    <row r="37" customFormat="false" ht="18" hidden="false" customHeight="true" outlineLevel="0" collapsed="false">
      <c r="A37" s="3" t="s">
        <v>79</v>
      </c>
      <c r="B37" s="4" t="s">
        <v>198</v>
      </c>
      <c r="C37" s="4"/>
      <c r="D37" s="3" t="s">
        <v>80</v>
      </c>
      <c r="E37" s="3" t="str">
        <f aca="false">'CM-6-1'!E20</f>
        <v>Non commencé</v>
      </c>
    </row>
    <row r="38" customFormat="false" ht="18" hidden="false" customHeight="true" outlineLevel="0" collapsed="false">
      <c r="A38" s="3" t="s">
        <v>81</v>
      </c>
      <c r="B38" s="4" t="s">
        <v>199</v>
      </c>
      <c r="C38" s="4"/>
      <c r="D38" s="3" t="s">
        <v>81</v>
      </c>
      <c r="E38" s="3" t="str">
        <f aca="false">'CM-7'!E20</f>
        <v>Non commencé</v>
      </c>
    </row>
    <row r="39" customFormat="false" ht="18" hidden="false" customHeight="true" outlineLevel="0" collapsed="false">
      <c r="A39" s="3" t="s">
        <v>83</v>
      </c>
      <c r="B39" s="4" t="s">
        <v>199</v>
      </c>
      <c r="C39" s="4"/>
      <c r="D39" s="3" t="s">
        <v>84</v>
      </c>
      <c r="E39" s="3" t="str">
        <f aca="false">'CM-7-1'!E20</f>
        <v>Non commencé</v>
      </c>
    </row>
    <row r="40" customFormat="false" ht="18" hidden="false" customHeight="true" outlineLevel="0" collapsed="false">
      <c r="A40" s="3" t="s">
        <v>85</v>
      </c>
      <c r="B40" s="4" t="s">
        <v>200</v>
      </c>
      <c r="C40" s="4"/>
      <c r="D40" s="3" t="s">
        <v>87</v>
      </c>
      <c r="E40" s="3" t="str">
        <f aca="false">'CM-8-2'!E20</f>
        <v>Non commencé</v>
      </c>
    </row>
    <row r="41" customFormat="false" ht="18" hidden="false" customHeight="true" outlineLevel="0" collapsed="false">
      <c r="A41" s="3" t="s">
        <v>88</v>
      </c>
      <c r="B41" s="4" t="s">
        <v>200</v>
      </c>
      <c r="C41" s="4"/>
      <c r="D41" s="3" t="s">
        <v>89</v>
      </c>
      <c r="E41" s="3" t="str">
        <f aca="false">'CM-8-5'!E20</f>
        <v>Non commencé</v>
      </c>
    </row>
    <row r="42" customFormat="false" ht="18" hidden="false" customHeight="true" outlineLevel="0" collapsed="false">
      <c r="A42" s="3" t="s">
        <v>90</v>
      </c>
      <c r="B42" s="4" t="s">
        <v>201</v>
      </c>
      <c r="C42" s="4"/>
      <c r="D42" s="3" t="s">
        <v>90</v>
      </c>
      <c r="E42" s="3" t="str">
        <f aca="false">'CP-6'!E20</f>
        <v>Non commencé</v>
      </c>
    </row>
    <row r="43" customFormat="false" ht="18" hidden="false" customHeight="true" outlineLevel="0" collapsed="false">
      <c r="A43" s="3" t="s">
        <v>92</v>
      </c>
      <c r="B43" s="4" t="s">
        <v>201</v>
      </c>
      <c r="C43" s="4"/>
      <c r="D43" s="3" t="s">
        <v>93</v>
      </c>
      <c r="E43" s="3" t="str">
        <f aca="false">'CP-6-2'!E20</f>
        <v>Non commencé</v>
      </c>
    </row>
    <row r="44" customFormat="false" ht="18" hidden="false" customHeight="true" outlineLevel="0" collapsed="false">
      <c r="A44" s="3" t="s">
        <v>94</v>
      </c>
      <c r="B44" s="4" t="s">
        <v>202</v>
      </c>
      <c r="C44" s="4"/>
      <c r="D44" s="3" t="s">
        <v>94</v>
      </c>
      <c r="E44" s="3" t="str">
        <f aca="false">'CP-7'!E20</f>
        <v>Non commencé</v>
      </c>
    </row>
    <row r="45" customFormat="false" ht="18" hidden="false" customHeight="true" outlineLevel="0" collapsed="false">
      <c r="A45" s="3" t="s">
        <v>96</v>
      </c>
      <c r="B45" s="4" t="s">
        <v>202</v>
      </c>
      <c r="C45" s="4"/>
      <c r="D45" s="3" t="s">
        <v>97</v>
      </c>
      <c r="E45" s="3" t="str">
        <f aca="false">'CP-7-1'!E20</f>
        <v>Non commencé</v>
      </c>
    </row>
    <row r="46" customFormat="false" ht="18" hidden="false" customHeight="true" outlineLevel="0" collapsed="false">
      <c r="A46" s="3" t="s">
        <v>98</v>
      </c>
      <c r="B46" s="4" t="s">
        <v>202</v>
      </c>
      <c r="C46" s="4"/>
      <c r="D46" s="3" t="s">
        <v>99</v>
      </c>
      <c r="E46" s="3" t="str">
        <f aca="false">'CP-7-4'!E20</f>
        <v>Non commencé</v>
      </c>
    </row>
    <row r="47" customFormat="false" ht="18" hidden="false" customHeight="true" outlineLevel="0" collapsed="false">
      <c r="A47" s="3" t="s">
        <v>100</v>
      </c>
      <c r="B47" s="4" t="s">
        <v>203</v>
      </c>
      <c r="C47" s="4"/>
      <c r="D47" s="3" t="s">
        <v>100</v>
      </c>
      <c r="E47" s="3" t="str">
        <f aca="false">'CP-9'!E20</f>
        <v>Non commencé</v>
      </c>
    </row>
    <row r="48" customFormat="false" ht="18" hidden="false" customHeight="true" outlineLevel="0" collapsed="false">
      <c r="A48" s="3" t="s">
        <v>102</v>
      </c>
      <c r="B48" s="4" t="s">
        <v>203</v>
      </c>
      <c r="C48" s="4"/>
      <c r="D48" s="3" t="s">
        <v>103</v>
      </c>
      <c r="E48" s="3" t="str">
        <f aca="false">'CP-9-1'!E20</f>
        <v>Non commencé</v>
      </c>
    </row>
    <row r="49" customFormat="false" ht="18" hidden="false" customHeight="true" outlineLevel="0" collapsed="false">
      <c r="A49" s="3" t="s">
        <v>104</v>
      </c>
      <c r="B49" s="4" t="s">
        <v>203</v>
      </c>
      <c r="C49" s="4"/>
      <c r="D49" s="3" t="s">
        <v>105</v>
      </c>
      <c r="E49" s="3" t="str">
        <f aca="false">'CP-9-2'!E20</f>
        <v>Non commencé</v>
      </c>
    </row>
    <row r="50" customFormat="false" ht="18" hidden="false" customHeight="true" outlineLevel="0" collapsed="false">
      <c r="A50" s="3" t="s">
        <v>106</v>
      </c>
      <c r="B50" s="4" t="s">
        <v>203</v>
      </c>
      <c r="C50" s="4"/>
      <c r="D50" s="3" t="s">
        <v>107</v>
      </c>
      <c r="E50" s="3" t="str">
        <f aca="false">'CP-9-3'!E20</f>
        <v>Non commencé</v>
      </c>
    </row>
    <row r="51" customFormat="false" ht="18" hidden="false" customHeight="true" outlineLevel="0" collapsed="false">
      <c r="A51" s="3" t="s">
        <v>108</v>
      </c>
      <c r="B51" s="4" t="s">
        <v>203</v>
      </c>
      <c r="C51" s="4"/>
      <c r="D51" s="3" t="s">
        <v>109</v>
      </c>
      <c r="E51" s="3" t="str">
        <f aca="false">'CP-9-5'!E20</f>
        <v>Non commencé</v>
      </c>
    </row>
    <row r="52" customFormat="false" ht="18" hidden="false" customHeight="true" outlineLevel="0" collapsed="false">
      <c r="A52" s="3" t="s">
        <v>110</v>
      </c>
      <c r="B52" s="4" t="s">
        <v>204</v>
      </c>
      <c r="C52" s="4"/>
      <c r="D52" s="3" t="s">
        <v>110</v>
      </c>
      <c r="E52" s="3" t="str">
        <f aca="false">'CP-10'!E20</f>
        <v>Non commencé</v>
      </c>
    </row>
    <row r="53" customFormat="false" ht="18" hidden="false" customHeight="true" outlineLevel="0" collapsed="false">
      <c r="A53" s="3" t="s">
        <v>112</v>
      </c>
      <c r="B53" s="4" t="s">
        <v>204</v>
      </c>
      <c r="C53" s="4"/>
      <c r="D53" s="3" t="s">
        <v>113</v>
      </c>
      <c r="E53" s="3" t="str">
        <f aca="false">'CP-10-4'!E20</f>
        <v>Non commencé</v>
      </c>
    </row>
    <row r="54" customFormat="false" ht="18" hidden="false" customHeight="true" outlineLevel="0" collapsed="false">
      <c r="A54" s="3" t="s">
        <v>114</v>
      </c>
      <c r="B54" s="4" t="s">
        <v>205</v>
      </c>
      <c r="C54" s="4"/>
      <c r="D54" s="3" t="s">
        <v>116</v>
      </c>
      <c r="E54" s="3" t="str">
        <f aca="false">'IA-5-7'!E20</f>
        <v>Non commencé</v>
      </c>
    </row>
    <row r="55" customFormat="false" ht="18" hidden="false" customHeight="true" outlineLevel="0" collapsed="false">
      <c r="A55" s="3" t="s">
        <v>117</v>
      </c>
      <c r="B55" s="4" t="s">
        <v>206</v>
      </c>
      <c r="C55" s="4"/>
      <c r="D55" s="3" t="s">
        <v>117</v>
      </c>
      <c r="E55" s="3" t="str">
        <f aca="false">'MA-4'!E20</f>
        <v>Non commencé</v>
      </c>
    </row>
    <row r="56" customFormat="false" ht="18" hidden="false" customHeight="true" outlineLevel="0" collapsed="false">
      <c r="A56" s="3" t="s">
        <v>119</v>
      </c>
      <c r="B56" s="4" t="s">
        <v>206</v>
      </c>
      <c r="C56" s="4"/>
      <c r="D56" s="3" t="s">
        <v>120</v>
      </c>
      <c r="E56" s="3" t="str">
        <f aca="false">'MA-4-1'!E20</f>
        <v>Non commencé</v>
      </c>
    </row>
    <row r="57" customFormat="false" ht="18" hidden="false" customHeight="true" outlineLevel="0" collapsed="false">
      <c r="A57" s="3" t="s">
        <v>121</v>
      </c>
      <c r="B57" s="4" t="s">
        <v>207</v>
      </c>
      <c r="C57" s="4"/>
      <c r="D57" s="3" t="s">
        <v>121</v>
      </c>
      <c r="E57" s="3" t="str">
        <f aca="false">'RA-5'!E20</f>
        <v>Non commencé</v>
      </c>
    </row>
    <row r="58" customFormat="false" ht="18" hidden="false" customHeight="true" outlineLevel="0" collapsed="false">
      <c r="A58" s="3" t="s">
        <v>123</v>
      </c>
      <c r="B58" s="4" t="s">
        <v>207</v>
      </c>
      <c r="C58" s="4"/>
      <c r="D58" s="3" t="s">
        <v>124</v>
      </c>
      <c r="E58" s="3" t="str">
        <f aca="false">'RA-5-8'!E20</f>
        <v>Non commencé</v>
      </c>
    </row>
    <row r="59" customFormat="false" ht="18" hidden="false" customHeight="true" outlineLevel="0" collapsed="false">
      <c r="A59" s="3" t="s">
        <v>125</v>
      </c>
      <c r="B59" s="4" t="s">
        <v>208</v>
      </c>
      <c r="C59" s="4"/>
      <c r="D59" s="3" t="s">
        <v>127</v>
      </c>
      <c r="E59" s="3" t="str">
        <f aca="false">'SA-9-5'!E20</f>
        <v>Non commencé</v>
      </c>
    </row>
    <row r="60" customFormat="false" ht="18" hidden="false" customHeight="true" outlineLevel="0" collapsed="false">
      <c r="A60" s="3" t="s">
        <v>128</v>
      </c>
      <c r="B60" s="4" t="s">
        <v>209</v>
      </c>
      <c r="C60" s="4"/>
      <c r="D60" s="3" t="s">
        <v>128</v>
      </c>
      <c r="E60" s="3" t="str">
        <f aca="false">'SC-7'!E20</f>
        <v>Non commencé</v>
      </c>
    </row>
    <row r="61" customFormat="false" ht="18" hidden="false" customHeight="true" outlineLevel="0" collapsed="false">
      <c r="A61" s="3" t="s">
        <v>130</v>
      </c>
      <c r="B61" s="4" t="s">
        <v>210</v>
      </c>
      <c r="C61" s="4"/>
      <c r="D61" s="3" t="s">
        <v>130</v>
      </c>
      <c r="E61" s="3" t="str">
        <f aca="false">'SC-13'!E20</f>
        <v>Non commencé</v>
      </c>
    </row>
    <row r="62" customFormat="false" ht="18" hidden="false" customHeight="true" outlineLevel="0" collapsed="false">
      <c r="A62" s="3" t="s">
        <v>132</v>
      </c>
      <c r="B62" s="4" t="s">
        <v>211</v>
      </c>
      <c r="C62" s="4"/>
      <c r="D62" s="3" t="s">
        <v>132</v>
      </c>
      <c r="E62" s="3" t="str">
        <f aca="false">'SC-18'!E20</f>
        <v>Non commencé</v>
      </c>
    </row>
    <row r="63" customFormat="false" ht="18" hidden="false" customHeight="true" outlineLevel="0" collapsed="false">
      <c r="A63" s="3" t="s">
        <v>134</v>
      </c>
      <c r="B63" s="4" t="s">
        <v>212</v>
      </c>
      <c r="C63" s="4"/>
      <c r="D63" s="3" t="s">
        <v>134</v>
      </c>
      <c r="E63" s="3" t="str">
        <f aca="false">'SC-28'!E20</f>
        <v>Non commencé</v>
      </c>
    </row>
    <row r="64" customFormat="false" ht="18" hidden="false" customHeight="true" outlineLevel="0" collapsed="false">
      <c r="A64" s="3" t="s">
        <v>136</v>
      </c>
      <c r="B64" s="4" t="s">
        <v>212</v>
      </c>
      <c r="C64" s="4"/>
      <c r="D64" s="3" t="s">
        <v>137</v>
      </c>
      <c r="E64" s="3" t="str">
        <f aca="false">'SC-28-1'!E20</f>
        <v>Non commencé</v>
      </c>
    </row>
    <row r="65" customFormat="false" ht="18" hidden="false" customHeight="true" outlineLevel="0" collapsed="false">
      <c r="A65" s="3" t="s">
        <v>138</v>
      </c>
      <c r="B65" s="4" t="s">
        <v>213</v>
      </c>
      <c r="C65" s="4"/>
      <c r="D65" s="3" t="s">
        <v>140</v>
      </c>
      <c r="E65" s="3" t="str">
        <f aca="false">'SI-2-2'!E20</f>
        <v>Non commencé</v>
      </c>
    </row>
    <row r="66" customFormat="false" ht="18" hidden="false" customHeight="true" outlineLevel="0" collapsed="false">
      <c r="A66" s="3" t="s">
        <v>141</v>
      </c>
      <c r="B66" s="4" t="s">
        <v>214</v>
      </c>
      <c r="C66" s="4"/>
      <c r="D66" s="3" t="s">
        <v>143</v>
      </c>
      <c r="E66" s="3" t="str">
        <f aca="false">'SI-3-1'!E20</f>
        <v>Non commencé</v>
      </c>
    </row>
    <row r="67" customFormat="false" ht="18" hidden="false" customHeight="true" outlineLevel="0" collapsed="false">
      <c r="A67" s="3" t="s">
        <v>144</v>
      </c>
      <c r="B67" s="4" t="s">
        <v>214</v>
      </c>
      <c r="C67" s="4"/>
      <c r="D67" s="3" t="s">
        <v>145</v>
      </c>
      <c r="E67" s="3" t="str">
        <f aca="false">'SI-3-2'!E20</f>
        <v>Non commencé</v>
      </c>
    </row>
    <row r="68" customFormat="false" ht="18" hidden="false" customHeight="true" outlineLevel="0" collapsed="false">
      <c r="A68" s="3" t="s">
        <v>146</v>
      </c>
      <c r="B68" s="4" t="s">
        <v>215</v>
      </c>
      <c r="C68" s="4"/>
      <c r="D68" s="3" t="s">
        <v>146</v>
      </c>
      <c r="E68" s="3" t="str">
        <f aca="false">'SI-4'!E20</f>
        <v>Non commencé</v>
      </c>
    </row>
    <row r="69" customFormat="false" ht="18" hidden="false" customHeight="true" outlineLevel="0" collapsed="false">
      <c r="A69" s="3" t="s">
        <v>148</v>
      </c>
      <c r="B69" s="4" t="s">
        <v>215</v>
      </c>
      <c r="C69" s="4"/>
      <c r="D69" s="3" t="s">
        <v>149</v>
      </c>
      <c r="E69" s="3" t="str">
        <f aca="false">'SI-4-1'!E20</f>
        <v>Non commencé</v>
      </c>
    </row>
    <row r="70" customFormat="false" ht="18" hidden="false" customHeight="true" outlineLevel="0" collapsed="false">
      <c r="A70" s="3" t="s">
        <v>150</v>
      </c>
      <c r="B70" s="4" t="s">
        <v>215</v>
      </c>
      <c r="C70" s="4"/>
      <c r="D70" s="3" t="s">
        <v>151</v>
      </c>
      <c r="E70" s="3" t="str">
        <f aca="false">'SI-4-2'!E20</f>
        <v>Non commencé</v>
      </c>
    </row>
    <row r="71" customFormat="false" ht="18" hidden="false" customHeight="true" outlineLevel="0" collapsed="false">
      <c r="A71" s="3" t="s">
        <v>152</v>
      </c>
      <c r="B71" s="4" t="s">
        <v>215</v>
      </c>
      <c r="C71" s="4"/>
      <c r="D71" s="3" t="s">
        <v>153</v>
      </c>
      <c r="E71" s="3" t="str">
        <f aca="false">'SI-4-4'!E20</f>
        <v>Non commencé</v>
      </c>
    </row>
    <row r="72" customFormat="false" ht="18" hidden="false" customHeight="true" outlineLevel="0" collapsed="false">
      <c r="A72" s="3" t="s">
        <v>154</v>
      </c>
      <c r="B72" s="4" t="s">
        <v>215</v>
      </c>
      <c r="C72" s="4"/>
      <c r="D72" s="3" t="s">
        <v>155</v>
      </c>
      <c r="E72" s="3" t="str">
        <f aca="false">'SI-4-5'!E20</f>
        <v>Non commencé</v>
      </c>
    </row>
    <row r="73" customFormat="false" ht="18" hidden="false" customHeight="true" outlineLevel="0" collapsed="false">
      <c r="A73" s="3" t="s">
        <v>156</v>
      </c>
      <c r="B73" s="4" t="s">
        <v>215</v>
      </c>
      <c r="C73" s="4"/>
      <c r="D73" s="3" t="s">
        <v>157</v>
      </c>
      <c r="E73" s="3" t="str">
        <f aca="false">'SI-4-11'!E20</f>
        <v>Non commencé</v>
      </c>
    </row>
    <row r="74" customFormat="false" ht="18" hidden="false" customHeight="true" outlineLevel="0" collapsed="false">
      <c r="A74" s="3" t="s">
        <v>158</v>
      </c>
      <c r="B74" s="4" t="s">
        <v>216</v>
      </c>
      <c r="C74" s="4"/>
      <c r="D74" s="3" t="s">
        <v>158</v>
      </c>
      <c r="E74" s="3" t="str">
        <f aca="false">'SI-6'!E20</f>
        <v>Non commencé</v>
      </c>
    </row>
    <row r="75" customFormat="false" ht="18" hidden="false" customHeight="true" outlineLevel="0" collapsed="false">
      <c r="A75" s="3" t="s">
        <v>160</v>
      </c>
      <c r="B75" s="4" t="s">
        <v>217</v>
      </c>
      <c r="C75" s="4"/>
      <c r="D75" s="3" t="s">
        <v>162</v>
      </c>
      <c r="E75" s="3" t="str">
        <f aca="false">'SI-7-7'!E20</f>
        <v>Non commencé</v>
      </c>
    </row>
    <row r="76" customFormat="false" ht="18" hidden="false" customHeight="true" outlineLevel="0" collapsed="false">
      <c r="A76" s="3" t="s">
        <v>163</v>
      </c>
      <c r="B76" s="4" t="s">
        <v>218</v>
      </c>
      <c r="C76" s="4"/>
      <c r="D76" s="3" t="s">
        <v>163</v>
      </c>
      <c r="E76" s="3" t="str">
        <f aca="false">'SI-11'!E20</f>
        <v>Non commencé</v>
      </c>
    </row>
    <row r="78" customFormat="false" ht="21.75" hidden="false" customHeight="true" outlineLevel="0" collapsed="false">
      <c r="A78" s="5" t="s">
        <v>219</v>
      </c>
      <c r="B78" s="5"/>
      <c r="C78" s="5"/>
      <c r="D78" s="5"/>
      <c r="E78" s="5"/>
    </row>
    <row r="79" customFormat="false" ht="19.5" hidden="false" customHeight="true" outlineLevel="0" collapsed="false">
      <c r="A79" s="6" t="s">
        <v>220</v>
      </c>
      <c r="B79" s="6"/>
      <c r="C79" s="6"/>
      <c r="D79" s="6"/>
      <c r="E79" s="7" t="n">
        <f aca="false">74</f>
        <v>74</v>
      </c>
    </row>
    <row r="80" customFormat="false" ht="19.5" hidden="false" customHeight="true" outlineLevel="0" collapsed="false">
      <c r="A80" s="6" t="s">
        <v>221</v>
      </c>
      <c r="B80" s="6"/>
      <c r="C80" s="6"/>
      <c r="D80" s="6"/>
      <c r="E80" s="7" t="n">
        <f aca="false">COUNTIF(E3:E76,"Non commencé")</f>
        <v>74</v>
      </c>
    </row>
    <row r="81" customFormat="false" ht="19.5" hidden="false" customHeight="true" outlineLevel="0" collapsed="false">
      <c r="A81" s="6" t="s">
        <v>222</v>
      </c>
      <c r="B81" s="6"/>
      <c r="C81" s="6"/>
      <c r="D81" s="6"/>
      <c r="E81" s="7" t="n">
        <f aca="false">COUNTIF(E3:E76,"En cours")</f>
        <v>0</v>
      </c>
    </row>
    <row r="82" customFormat="false" ht="19.5" hidden="false" customHeight="true" outlineLevel="0" collapsed="false">
      <c r="A82" s="6" t="s">
        <v>223</v>
      </c>
      <c r="B82" s="6"/>
      <c r="C82" s="6"/>
      <c r="D82" s="6"/>
      <c r="E82" s="7" t="n">
        <f aca="false">COUNTIF(E3:E76,"Preuve fournie")</f>
        <v>0</v>
      </c>
    </row>
    <row r="83" customFormat="false" ht="19.5" hidden="false" customHeight="true" outlineLevel="0" collapsed="false">
      <c r="A83" s="6" t="s">
        <v>224</v>
      </c>
      <c r="B83" s="6"/>
      <c r="C83" s="6"/>
      <c r="D83" s="6"/>
      <c r="E83" s="7" t="n">
        <f aca="false">COUNTIF(E3:E76,"En révision")</f>
        <v>0</v>
      </c>
    </row>
    <row r="84" customFormat="false" ht="19.5" hidden="false" customHeight="true" outlineLevel="0" collapsed="false">
      <c r="A84" s="6" t="s">
        <v>225</v>
      </c>
      <c r="B84" s="6"/>
      <c r="C84" s="6"/>
      <c r="D84" s="6"/>
      <c r="E84" s="7" t="n">
        <f aca="false">COUNTIF(E3:E76,"Réussi")</f>
        <v>0</v>
      </c>
    </row>
    <row r="85" customFormat="false" ht="19.5" hidden="false" customHeight="true" outlineLevel="0" collapsed="false">
      <c r="A85" s="6" t="s">
        <v>226</v>
      </c>
      <c r="B85" s="6"/>
      <c r="C85" s="6"/>
      <c r="D85" s="6"/>
      <c r="E85" s="7" t="n">
        <f aca="false">COUNTIF(E3:E76,"Échec")</f>
        <v>0</v>
      </c>
    </row>
    <row r="86" customFormat="false" ht="19.5" hidden="false" customHeight="true" outlineLevel="0" collapsed="false">
      <c r="A86" s="6" t="s">
        <v>227</v>
      </c>
      <c r="B86" s="6"/>
      <c r="C86" s="6"/>
      <c r="D86" s="6"/>
      <c r="E86" s="7" t="n">
        <f aca="false">COUNTIF(E3:E76,"Exception acceptée")</f>
        <v>0</v>
      </c>
    </row>
    <row r="87" customFormat="false" ht="19.5" hidden="false" customHeight="true" outlineLevel="0" collapsed="false">
      <c r="A87" s="6" t="s">
        <v>228</v>
      </c>
      <c r="B87" s="6"/>
      <c r="C87" s="6"/>
      <c r="D87" s="6"/>
      <c r="E87" s="8" t="n">
        <f aca="false">IFERROR(COUNTIF(E3:E76,"Réussi")/74,0)</f>
        <v>0</v>
      </c>
    </row>
    <row r="88" customFormat="false" ht="19.5" hidden="false" customHeight="true" outlineLevel="0" collapsed="false">
      <c r="A88" s="6" t="s">
        <v>229</v>
      </c>
      <c r="B88" s="6"/>
      <c r="C88" s="6"/>
      <c r="D88" s="6"/>
      <c r="E88" s="8" t="n">
        <f aca="false">IFERROR(COUNTIF(E3:E76,"Non commencé")/74,0)</f>
        <v>1</v>
      </c>
    </row>
  </sheetData>
  <mergeCells count="12">
    <mergeCell ref="A1:E1"/>
    <mergeCell ref="A78:E78"/>
    <mergeCell ref="A79:D79"/>
    <mergeCell ref="A80:D80"/>
    <mergeCell ref="A81:D81"/>
    <mergeCell ref="A82:D82"/>
    <mergeCell ref="A83:D83"/>
    <mergeCell ref="A84:D84"/>
    <mergeCell ref="A85:D85"/>
    <mergeCell ref="A86:D86"/>
    <mergeCell ref="A87:D87"/>
    <mergeCell ref="A88:D8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230</v>
      </c>
      <c r="B1" s="9"/>
      <c r="D1" s="9" t="s">
        <v>231</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6</v>
      </c>
      <c r="D3" s="11" t="s">
        <v>235</v>
      </c>
      <c r="E3" s="12" t="s">
        <v>6</v>
      </c>
    </row>
    <row r="4" customFormat="false" ht="21.75" hidden="false" customHeight="true" outlineLevel="0" collapsed="false">
      <c r="A4" s="11" t="s">
        <v>236</v>
      </c>
      <c r="B4" s="12" t="s">
        <v>7</v>
      </c>
      <c r="D4" s="11" t="s">
        <v>237</v>
      </c>
      <c r="E4" s="12" t="s">
        <v>182</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45" hidden="false" customHeight="true" outlineLevel="0" collapsed="false">
      <c r="A8" s="11" t="s">
        <v>246</v>
      </c>
      <c r="B8" s="12" t="s">
        <v>247</v>
      </c>
      <c r="D8" s="11" t="s">
        <v>248</v>
      </c>
      <c r="E8" s="12" t="s">
        <v>249</v>
      </c>
    </row>
    <row r="9" customFormat="false" ht="90.75" hidden="false" customHeight="true" outlineLevel="0" collapsed="false">
      <c r="A9" s="11" t="s">
        <v>250</v>
      </c>
      <c r="B9" s="12" t="s">
        <v>251</v>
      </c>
      <c r="D9" s="11" t="s">
        <v>252</v>
      </c>
      <c r="E9" s="12" t="s">
        <v>253</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257</v>
      </c>
      <c r="D11" s="11" t="s">
        <v>256</v>
      </c>
      <c r="E11" s="12" t="s">
        <v>257</v>
      </c>
    </row>
    <row r="12" customFormat="false" ht="21.75" hidden="false" customHeight="true" outlineLevel="0" collapsed="false">
      <c r="A12" s="11" t="s">
        <v>258</v>
      </c>
      <c r="B12" s="12" t="s">
        <v>6</v>
      </c>
      <c r="D12" s="11" t="s">
        <v>259</v>
      </c>
      <c r="E12" s="12" t="s">
        <v>6</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275</v>
      </c>
      <c r="B1" s="9"/>
      <c r="D1" s="9" t="s">
        <v>276</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9</v>
      </c>
      <c r="D3" s="11" t="s">
        <v>235</v>
      </c>
      <c r="E3" s="12" t="s">
        <v>9</v>
      </c>
    </row>
    <row r="4" customFormat="false" ht="21.75" hidden="false" customHeight="true" outlineLevel="0" collapsed="false">
      <c r="A4" s="11" t="s">
        <v>236</v>
      </c>
      <c r="B4" s="12" t="s">
        <v>7</v>
      </c>
      <c r="D4" s="11" t="s">
        <v>237</v>
      </c>
      <c r="E4" s="12" t="s">
        <v>182</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51.75" hidden="false" customHeight="true" outlineLevel="0" collapsed="false">
      <c r="A8" s="11" t="s">
        <v>246</v>
      </c>
      <c r="B8" s="12" t="s">
        <v>277</v>
      </c>
      <c r="D8" s="11" t="s">
        <v>248</v>
      </c>
      <c r="E8" s="12" t="s">
        <v>278</v>
      </c>
    </row>
    <row r="9" customFormat="false" ht="45" hidden="false" customHeight="true" outlineLevel="0" collapsed="false">
      <c r="A9" s="11" t="s">
        <v>250</v>
      </c>
      <c r="B9" s="12" t="s">
        <v>279</v>
      </c>
      <c r="D9" s="11" t="s">
        <v>252</v>
      </c>
      <c r="E9" s="12" t="s">
        <v>280</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281</v>
      </c>
      <c r="D11" s="11" t="s">
        <v>256</v>
      </c>
      <c r="E11" s="12" t="s">
        <v>281</v>
      </c>
    </row>
    <row r="12" customFormat="false" ht="21.75" hidden="false" customHeight="true" outlineLevel="0" collapsed="false">
      <c r="A12" s="11" t="s">
        <v>258</v>
      </c>
      <c r="B12" s="12" t="s">
        <v>9</v>
      </c>
      <c r="D12" s="11" t="s">
        <v>259</v>
      </c>
      <c r="E12" s="12" t="s">
        <v>9</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282</v>
      </c>
      <c r="B1" s="9"/>
      <c r="D1" s="9" t="s">
        <v>283</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11</v>
      </c>
      <c r="D3" s="11" t="s">
        <v>235</v>
      </c>
      <c r="E3" s="12" t="s">
        <v>11</v>
      </c>
    </row>
    <row r="4" customFormat="false" ht="21.75" hidden="false" customHeight="true" outlineLevel="0" collapsed="false">
      <c r="A4" s="11" t="s">
        <v>236</v>
      </c>
      <c r="B4" s="12" t="s">
        <v>7</v>
      </c>
      <c r="D4" s="11" t="s">
        <v>237</v>
      </c>
      <c r="E4" s="12" t="s">
        <v>182</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45" hidden="false" customHeight="true" outlineLevel="0" collapsed="false">
      <c r="A8" s="11" t="s">
        <v>246</v>
      </c>
      <c r="B8" s="12" t="s">
        <v>284</v>
      </c>
      <c r="D8" s="11" t="s">
        <v>248</v>
      </c>
      <c r="E8" s="12" t="s">
        <v>285</v>
      </c>
    </row>
    <row r="9" customFormat="false" ht="45" hidden="false" customHeight="true" outlineLevel="0" collapsed="false">
      <c r="A9" s="11" t="s">
        <v>250</v>
      </c>
      <c r="B9" s="12"/>
      <c r="D9" s="11" t="s">
        <v>252</v>
      </c>
      <c r="E9" s="12"/>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286</v>
      </c>
      <c r="D11" s="11" t="s">
        <v>256</v>
      </c>
      <c r="E11" s="12" t="s">
        <v>286</v>
      </c>
    </row>
    <row r="12" customFormat="false" ht="21.75" hidden="false" customHeight="true" outlineLevel="0" collapsed="false">
      <c r="A12" s="11" t="s">
        <v>258</v>
      </c>
      <c r="B12" s="12" t="s">
        <v>11</v>
      </c>
      <c r="D12" s="11" t="s">
        <v>259</v>
      </c>
      <c r="E12" s="12" t="s">
        <v>11</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287</v>
      </c>
      <c r="B1" s="9"/>
      <c r="D1" s="9" t="s">
        <v>288</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13</v>
      </c>
      <c r="D3" s="11" t="s">
        <v>235</v>
      </c>
      <c r="E3" s="12" t="s">
        <v>13</v>
      </c>
    </row>
    <row r="4" customFormat="false" ht="21.75" hidden="false" customHeight="true" outlineLevel="0" collapsed="false">
      <c r="A4" s="11" t="s">
        <v>236</v>
      </c>
      <c r="B4" s="12" t="s">
        <v>7</v>
      </c>
      <c r="D4" s="11" t="s">
        <v>237</v>
      </c>
      <c r="E4" s="12" t="s">
        <v>182</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64.5" hidden="false" customHeight="true" outlineLevel="0" collapsed="false">
      <c r="A8" s="11" t="s">
        <v>246</v>
      </c>
      <c r="B8" s="12" t="s">
        <v>289</v>
      </c>
      <c r="D8" s="11" t="s">
        <v>248</v>
      </c>
      <c r="E8" s="12" t="s">
        <v>290</v>
      </c>
    </row>
    <row r="9" customFormat="false" ht="45" hidden="false" customHeight="true" outlineLevel="0" collapsed="false">
      <c r="A9" s="11" t="s">
        <v>250</v>
      </c>
      <c r="B9" s="12"/>
      <c r="D9" s="11" t="s">
        <v>252</v>
      </c>
      <c r="E9" s="12"/>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291</v>
      </c>
      <c r="D11" s="11" t="s">
        <v>256</v>
      </c>
      <c r="E11" s="12" t="s">
        <v>291</v>
      </c>
    </row>
    <row r="12" customFormat="false" ht="21.75" hidden="false" customHeight="true" outlineLevel="0" collapsed="false">
      <c r="A12" s="11" t="s">
        <v>258</v>
      </c>
      <c r="B12" s="12" t="s">
        <v>13</v>
      </c>
      <c r="D12" s="11" t="s">
        <v>259</v>
      </c>
      <c r="E12" s="12" t="s">
        <v>13</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3D69B"/>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292</v>
      </c>
      <c r="B1" s="9"/>
      <c r="D1" s="9" t="s">
        <v>293</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15</v>
      </c>
      <c r="D3" s="11" t="s">
        <v>235</v>
      </c>
      <c r="E3" s="12" t="s">
        <v>15</v>
      </c>
    </row>
    <row r="4" customFormat="false" ht="21.75" hidden="false" customHeight="true" outlineLevel="0" collapsed="false">
      <c r="A4" s="11" t="s">
        <v>236</v>
      </c>
      <c r="B4" s="12" t="s">
        <v>7</v>
      </c>
      <c r="D4" s="11" t="s">
        <v>237</v>
      </c>
      <c r="E4" s="12" t="s">
        <v>182</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51.75" hidden="false" customHeight="true" outlineLevel="0" collapsed="false">
      <c r="A8" s="11" t="s">
        <v>246</v>
      </c>
      <c r="B8" s="12" t="s">
        <v>294</v>
      </c>
      <c r="D8" s="11" t="s">
        <v>248</v>
      </c>
      <c r="E8" s="12" t="s">
        <v>295</v>
      </c>
    </row>
    <row r="9" customFormat="false" ht="45" hidden="false" customHeight="true" outlineLevel="0" collapsed="false">
      <c r="A9" s="11" t="s">
        <v>250</v>
      </c>
      <c r="B9" s="12"/>
      <c r="D9" s="11" t="s">
        <v>252</v>
      </c>
      <c r="E9" s="12"/>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296</v>
      </c>
      <c r="D11" s="11" t="s">
        <v>256</v>
      </c>
      <c r="E11" s="12" t="s">
        <v>296</v>
      </c>
    </row>
    <row r="12" customFormat="false" ht="21.75" hidden="false" customHeight="true" outlineLevel="0" collapsed="false">
      <c r="A12" s="11" t="s">
        <v>258</v>
      </c>
      <c r="B12" s="12" t="s">
        <v>15</v>
      </c>
      <c r="D12" s="11" t="s">
        <v>259</v>
      </c>
      <c r="E12" s="12" t="s">
        <v>15</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297</v>
      </c>
      <c r="B1" s="9"/>
      <c r="D1" s="9" t="s">
        <v>298</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17</v>
      </c>
      <c r="D3" s="11" t="s">
        <v>235</v>
      </c>
      <c r="E3" s="12" t="s">
        <v>17</v>
      </c>
    </row>
    <row r="4" customFormat="false" ht="21.75" hidden="false" customHeight="true" outlineLevel="0" collapsed="false">
      <c r="A4" s="11" t="s">
        <v>236</v>
      </c>
      <c r="B4" s="12" t="s">
        <v>7</v>
      </c>
      <c r="D4" s="11" t="s">
        <v>237</v>
      </c>
      <c r="E4" s="12" t="s">
        <v>182</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103.5" hidden="false" customHeight="true" outlineLevel="0" collapsed="false">
      <c r="A8" s="11" t="s">
        <v>246</v>
      </c>
      <c r="B8" s="12" t="s">
        <v>299</v>
      </c>
      <c r="D8" s="11" t="s">
        <v>248</v>
      </c>
      <c r="E8" s="12" t="s">
        <v>300</v>
      </c>
    </row>
    <row r="9" customFormat="false" ht="90.75" hidden="false" customHeight="true" outlineLevel="0" collapsed="false">
      <c r="A9" s="11" t="s">
        <v>250</v>
      </c>
      <c r="B9" s="12" t="s">
        <v>301</v>
      </c>
      <c r="D9" s="11" t="s">
        <v>252</v>
      </c>
      <c r="E9" s="12" t="s">
        <v>302</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303</v>
      </c>
      <c r="D11" s="11" t="s">
        <v>256</v>
      </c>
      <c r="E11" s="12" t="s">
        <v>303</v>
      </c>
    </row>
    <row r="12" customFormat="false" ht="21.75" hidden="false" customHeight="true" outlineLevel="0" collapsed="false">
      <c r="A12" s="11" t="s">
        <v>258</v>
      </c>
      <c r="B12" s="12" t="s">
        <v>17</v>
      </c>
      <c r="D12" s="11" t="s">
        <v>259</v>
      </c>
      <c r="E12" s="12" t="s">
        <v>17</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304</v>
      </c>
      <c r="B1" s="9"/>
      <c r="D1" s="9" t="s">
        <v>305</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19</v>
      </c>
      <c r="D3" s="11" t="s">
        <v>235</v>
      </c>
      <c r="E3" s="12" t="s">
        <v>19</v>
      </c>
    </row>
    <row r="4" customFormat="false" ht="21.75" hidden="false" customHeight="true" outlineLevel="0" collapsed="false">
      <c r="A4" s="11" t="s">
        <v>236</v>
      </c>
      <c r="B4" s="12" t="s">
        <v>20</v>
      </c>
      <c r="D4" s="11" t="s">
        <v>237</v>
      </c>
      <c r="E4" s="12" t="s">
        <v>183</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64.5" hidden="false" customHeight="true" outlineLevel="0" collapsed="false">
      <c r="A8" s="11" t="s">
        <v>246</v>
      </c>
      <c r="B8" s="12" t="s">
        <v>306</v>
      </c>
      <c r="D8" s="11" t="s">
        <v>248</v>
      </c>
      <c r="E8" s="12" t="s">
        <v>307</v>
      </c>
    </row>
    <row r="9" customFormat="false" ht="156" hidden="false" customHeight="true" outlineLevel="0" collapsed="false">
      <c r="A9" s="11" t="s">
        <v>250</v>
      </c>
      <c r="B9" s="12" t="s">
        <v>308</v>
      </c>
      <c r="D9" s="11" t="s">
        <v>252</v>
      </c>
      <c r="E9" s="12" t="s">
        <v>309</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310</v>
      </c>
      <c r="D11" s="11" t="s">
        <v>256</v>
      </c>
      <c r="E11" s="12" t="s">
        <v>310</v>
      </c>
    </row>
    <row r="12" customFormat="false" ht="21.75" hidden="false" customHeight="true" outlineLevel="0" collapsed="false">
      <c r="A12" s="11" t="s">
        <v>258</v>
      </c>
      <c r="B12" s="12" t="s">
        <v>19</v>
      </c>
      <c r="D12" s="11" t="s">
        <v>259</v>
      </c>
      <c r="E12" s="12" t="s">
        <v>19</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311</v>
      </c>
      <c r="B1" s="9"/>
      <c r="D1" s="9" t="s">
        <v>312</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21</v>
      </c>
      <c r="D3" s="11" t="s">
        <v>235</v>
      </c>
      <c r="E3" s="12" t="s">
        <v>21</v>
      </c>
    </row>
    <row r="4" customFormat="false" ht="21.75" hidden="false" customHeight="true" outlineLevel="0" collapsed="false">
      <c r="A4" s="11" t="s">
        <v>236</v>
      </c>
      <c r="B4" s="12" t="s">
        <v>20</v>
      </c>
      <c r="D4" s="11" t="s">
        <v>237</v>
      </c>
      <c r="E4" s="12" t="s">
        <v>183</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51.75" hidden="false" customHeight="true" outlineLevel="0" collapsed="false">
      <c r="A8" s="11" t="s">
        <v>246</v>
      </c>
      <c r="B8" s="12" t="s">
        <v>313</v>
      </c>
      <c r="D8" s="11" t="s">
        <v>248</v>
      </c>
      <c r="E8" s="12" t="s">
        <v>314</v>
      </c>
    </row>
    <row r="9" customFormat="false" ht="168.75" hidden="false" customHeight="true" outlineLevel="0" collapsed="false">
      <c r="A9" s="11" t="s">
        <v>250</v>
      </c>
      <c r="B9" s="12" t="s">
        <v>315</v>
      </c>
      <c r="D9" s="11" t="s">
        <v>252</v>
      </c>
      <c r="E9" s="12" t="s">
        <v>316</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317</v>
      </c>
      <c r="D11" s="11" t="s">
        <v>256</v>
      </c>
      <c r="E11" s="12" t="s">
        <v>317</v>
      </c>
    </row>
    <row r="12" customFormat="false" ht="21.75" hidden="false" customHeight="true" outlineLevel="0" collapsed="false">
      <c r="A12" s="11" t="s">
        <v>258</v>
      </c>
      <c r="B12" s="12" t="s">
        <v>21</v>
      </c>
      <c r="D12" s="11" t="s">
        <v>259</v>
      </c>
      <c r="E12" s="12" t="s">
        <v>21</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318</v>
      </c>
      <c r="B1" s="9"/>
      <c r="D1" s="9" t="s">
        <v>319</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23</v>
      </c>
      <c r="D3" s="11" t="s">
        <v>235</v>
      </c>
      <c r="E3" s="12" t="s">
        <v>23</v>
      </c>
    </row>
    <row r="4" customFormat="false" ht="21.75" hidden="false" customHeight="true" outlineLevel="0" collapsed="false">
      <c r="A4" s="11" t="s">
        <v>236</v>
      </c>
      <c r="B4" s="12" t="s">
        <v>20</v>
      </c>
      <c r="D4" s="11" t="s">
        <v>237</v>
      </c>
      <c r="E4" s="12" t="s">
        <v>183</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45" hidden="false" customHeight="true" outlineLevel="0" collapsed="false">
      <c r="A8" s="11" t="s">
        <v>246</v>
      </c>
      <c r="B8" s="12" t="s">
        <v>320</v>
      </c>
      <c r="D8" s="11" t="s">
        <v>248</v>
      </c>
      <c r="E8" s="12" t="s">
        <v>321</v>
      </c>
    </row>
    <row r="9" customFormat="false" ht="103.5" hidden="false" customHeight="true" outlineLevel="0" collapsed="false">
      <c r="A9" s="11" t="s">
        <v>250</v>
      </c>
      <c r="B9" s="12" t="s">
        <v>322</v>
      </c>
      <c r="D9" s="11" t="s">
        <v>252</v>
      </c>
      <c r="E9" s="12" t="s">
        <v>323</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324</v>
      </c>
      <c r="D11" s="11" t="s">
        <v>256</v>
      </c>
      <c r="E11" s="12" t="s">
        <v>324</v>
      </c>
    </row>
    <row r="12" customFormat="false" ht="21.75" hidden="false" customHeight="true" outlineLevel="0" collapsed="false">
      <c r="A12" s="11" t="s">
        <v>258</v>
      </c>
      <c r="B12" s="12" t="s">
        <v>23</v>
      </c>
      <c r="D12" s="11" t="s">
        <v>259</v>
      </c>
      <c r="E12" s="12" t="s">
        <v>23</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325</v>
      </c>
      <c r="B1" s="9"/>
      <c r="D1" s="9" t="s">
        <v>326</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25</v>
      </c>
      <c r="D3" s="11" t="s">
        <v>235</v>
      </c>
      <c r="E3" s="12" t="s">
        <v>25</v>
      </c>
    </row>
    <row r="4" customFormat="false" ht="21.75" hidden="false" customHeight="true" outlineLevel="0" collapsed="false">
      <c r="A4" s="11" t="s">
        <v>236</v>
      </c>
      <c r="B4" s="12" t="s">
        <v>20</v>
      </c>
      <c r="D4" s="11" t="s">
        <v>237</v>
      </c>
      <c r="E4" s="12" t="s">
        <v>183</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64.5" hidden="false" customHeight="true" outlineLevel="0" collapsed="false">
      <c r="A8" s="11" t="s">
        <v>246</v>
      </c>
      <c r="B8" s="12" t="s">
        <v>327</v>
      </c>
      <c r="D8" s="11" t="s">
        <v>248</v>
      </c>
      <c r="E8" s="12" t="s">
        <v>328</v>
      </c>
    </row>
    <row r="9" customFormat="false" ht="117" hidden="false" customHeight="true" outlineLevel="0" collapsed="false">
      <c r="A9" s="11" t="s">
        <v>250</v>
      </c>
      <c r="B9" s="12" t="s">
        <v>329</v>
      </c>
      <c r="D9" s="11" t="s">
        <v>252</v>
      </c>
      <c r="E9" s="12" t="s">
        <v>330</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331</v>
      </c>
      <c r="D11" s="11" t="s">
        <v>256</v>
      </c>
      <c r="E11" s="12" t="s">
        <v>331</v>
      </c>
    </row>
    <row r="12" customFormat="false" ht="21.75" hidden="false" customHeight="true" outlineLevel="0" collapsed="false">
      <c r="A12" s="11" t="s">
        <v>258</v>
      </c>
      <c r="B12" s="12" t="s">
        <v>25</v>
      </c>
      <c r="D12" s="11" t="s">
        <v>259</v>
      </c>
      <c r="E12" s="12" t="s">
        <v>25</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332</v>
      </c>
      <c r="B1" s="9"/>
      <c r="D1" s="9" t="s">
        <v>333</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27</v>
      </c>
      <c r="D3" s="11" t="s">
        <v>235</v>
      </c>
      <c r="E3" s="12" t="s">
        <v>27</v>
      </c>
    </row>
    <row r="4" customFormat="false" ht="21.75" hidden="false" customHeight="true" outlineLevel="0" collapsed="false">
      <c r="A4" s="11" t="s">
        <v>236</v>
      </c>
      <c r="B4" s="12" t="s">
        <v>28</v>
      </c>
      <c r="D4" s="11" t="s">
        <v>237</v>
      </c>
      <c r="E4" s="12" t="s">
        <v>184</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45" hidden="false" customHeight="true" outlineLevel="0" collapsed="false">
      <c r="A8" s="11" t="s">
        <v>246</v>
      </c>
      <c r="B8" s="12" t="s">
        <v>334</v>
      </c>
      <c r="D8" s="11" t="s">
        <v>248</v>
      </c>
      <c r="E8" s="12" t="s">
        <v>335</v>
      </c>
    </row>
    <row r="9" customFormat="false" ht="90.75" hidden="false" customHeight="true" outlineLevel="0" collapsed="false">
      <c r="A9" s="11" t="s">
        <v>250</v>
      </c>
      <c r="B9" s="12" t="s">
        <v>336</v>
      </c>
      <c r="D9" s="11" t="s">
        <v>252</v>
      </c>
      <c r="E9" s="12" t="s">
        <v>337</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338</v>
      </c>
      <c r="D11" s="11" t="s">
        <v>256</v>
      </c>
      <c r="E11" s="12" t="s">
        <v>338</v>
      </c>
    </row>
    <row r="12" customFormat="false" ht="21.75" hidden="false" customHeight="true" outlineLevel="0" collapsed="false">
      <c r="A12" s="11" t="s">
        <v>258</v>
      </c>
      <c r="B12" s="12" t="s">
        <v>27</v>
      </c>
      <c r="D12" s="11" t="s">
        <v>259</v>
      </c>
      <c r="E12" s="12" t="s">
        <v>27</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339</v>
      </c>
      <c r="B1" s="9"/>
      <c r="D1" s="9" t="s">
        <v>340</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30</v>
      </c>
      <c r="D3" s="11" t="s">
        <v>235</v>
      </c>
      <c r="E3" s="12" t="s">
        <v>30</v>
      </c>
    </row>
    <row r="4" customFormat="false" ht="21.75" hidden="false" customHeight="true" outlineLevel="0" collapsed="false">
      <c r="A4" s="11" t="s">
        <v>236</v>
      </c>
      <c r="B4" s="12" t="s">
        <v>28</v>
      </c>
      <c r="D4" s="11" t="s">
        <v>237</v>
      </c>
      <c r="E4" s="12" t="s">
        <v>184</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64.5" hidden="false" customHeight="true" outlineLevel="0" collapsed="false">
      <c r="A8" s="11" t="s">
        <v>246</v>
      </c>
      <c r="B8" s="12" t="s">
        <v>341</v>
      </c>
      <c r="D8" s="11" t="s">
        <v>248</v>
      </c>
      <c r="E8" s="12" t="s">
        <v>342</v>
      </c>
    </row>
    <row r="9" customFormat="false" ht="45" hidden="false" customHeight="true" outlineLevel="0" collapsed="false">
      <c r="A9" s="11" t="s">
        <v>250</v>
      </c>
      <c r="B9" s="12" t="s">
        <v>343</v>
      </c>
      <c r="D9" s="11" t="s">
        <v>252</v>
      </c>
      <c r="E9" s="12" t="s">
        <v>344</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345</v>
      </c>
      <c r="D11" s="11" t="s">
        <v>256</v>
      </c>
      <c r="E11" s="12" t="s">
        <v>345</v>
      </c>
    </row>
    <row r="12" customFormat="false" ht="21.75" hidden="false" customHeight="true" outlineLevel="0" collapsed="false">
      <c r="A12" s="11" t="s">
        <v>258</v>
      </c>
      <c r="B12" s="12" t="s">
        <v>30</v>
      </c>
      <c r="D12" s="11" t="s">
        <v>259</v>
      </c>
      <c r="E12" s="12" t="s">
        <v>30</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346</v>
      </c>
      <c r="B1" s="9"/>
      <c r="D1" s="9" t="s">
        <v>347</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32</v>
      </c>
      <c r="D3" s="11" t="s">
        <v>235</v>
      </c>
      <c r="E3" s="12" t="s">
        <v>32</v>
      </c>
    </row>
    <row r="4" customFormat="false" ht="21.75" hidden="false" customHeight="true" outlineLevel="0" collapsed="false">
      <c r="A4" s="11" t="s">
        <v>236</v>
      </c>
      <c r="B4" s="12" t="s">
        <v>33</v>
      </c>
      <c r="D4" s="11" t="s">
        <v>237</v>
      </c>
      <c r="E4" s="12" t="s">
        <v>185</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234" hidden="false" customHeight="true" outlineLevel="0" collapsed="false">
      <c r="A8" s="11" t="s">
        <v>246</v>
      </c>
      <c r="B8" s="12" t="s">
        <v>348</v>
      </c>
      <c r="D8" s="11" t="s">
        <v>248</v>
      </c>
      <c r="E8" s="12" t="s">
        <v>349</v>
      </c>
    </row>
    <row r="9" customFormat="false" ht="300" hidden="false" customHeight="true" outlineLevel="0" collapsed="false">
      <c r="A9" s="11" t="s">
        <v>250</v>
      </c>
      <c r="B9" s="12" t="s">
        <v>350</v>
      </c>
      <c r="D9" s="11" t="s">
        <v>252</v>
      </c>
      <c r="E9" s="12" t="s">
        <v>351</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352</v>
      </c>
      <c r="D11" s="11" t="s">
        <v>256</v>
      </c>
      <c r="E11" s="12" t="s">
        <v>352</v>
      </c>
    </row>
    <row r="12" customFormat="false" ht="21.75" hidden="false" customHeight="true" outlineLevel="0" collapsed="false">
      <c r="A12" s="11" t="s">
        <v>258</v>
      </c>
      <c r="B12" s="12" t="s">
        <v>32</v>
      </c>
      <c r="D12" s="11" t="s">
        <v>259</v>
      </c>
      <c r="E12" s="12" t="s">
        <v>32</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353</v>
      </c>
      <c r="B1" s="9"/>
      <c r="D1" s="9" t="s">
        <v>354</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34</v>
      </c>
      <c r="D3" s="11" t="s">
        <v>235</v>
      </c>
      <c r="E3" s="12" t="s">
        <v>34</v>
      </c>
    </row>
    <row r="4" customFormat="false" ht="21.75" hidden="false" customHeight="true" outlineLevel="0" collapsed="false">
      <c r="A4" s="11" t="s">
        <v>236</v>
      </c>
      <c r="B4" s="12" t="s">
        <v>35</v>
      </c>
      <c r="D4" s="11" t="s">
        <v>237</v>
      </c>
      <c r="E4" s="12" t="s">
        <v>186</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64.5" hidden="false" customHeight="true" outlineLevel="0" collapsed="false">
      <c r="A8" s="11" t="s">
        <v>246</v>
      </c>
      <c r="B8" s="12" t="s">
        <v>355</v>
      </c>
      <c r="D8" s="11" t="s">
        <v>248</v>
      </c>
      <c r="E8" s="12" t="s">
        <v>356</v>
      </c>
    </row>
    <row r="9" customFormat="false" ht="129.75" hidden="false" customHeight="true" outlineLevel="0" collapsed="false">
      <c r="A9" s="11" t="s">
        <v>250</v>
      </c>
      <c r="B9" s="12" t="s">
        <v>357</v>
      </c>
      <c r="D9" s="11" t="s">
        <v>252</v>
      </c>
      <c r="E9" s="12" t="s">
        <v>358</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359</v>
      </c>
      <c r="D11" s="11" t="s">
        <v>256</v>
      </c>
      <c r="E11" s="12" t="s">
        <v>359</v>
      </c>
    </row>
    <row r="12" customFormat="false" ht="21.75" hidden="false" customHeight="true" outlineLevel="0" collapsed="false">
      <c r="A12" s="11" t="s">
        <v>258</v>
      </c>
      <c r="B12" s="12" t="s">
        <v>34</v>
      </c>
      <c r="D12" s="11" t="s">
        <v>259</v>
      </c>
      <c r="E12" s="12" t="s">
        <v>34</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360</v>
      </c>
      <c r="B1" s="9"/>
      <c r="D1" s="9" t="s">
        <v>361</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36</v>
      </c>
      <c r="D3" s="11" t="s">
        <v>235</v>
      </c>
      <c r="E3" s="12" t="s">
        <v>36</v>
      </c>
    </row>
    <row r="4" customFormat="false" ht="21.75" hidden="false" customHeight="true" outlineLevel="0" collapsed="false">
      <c r="A4" s="11" t="s">
        <v>236</v>
      </c>
      <c r="B4" s="12" t="s">
        <v>35</v>
      </c>
      <c r="D4" s="11" t="s">
        <v>237</v>
      </c>
      <c r="E4" s="12" t="s">
        <v>186</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103.5" hidden="false" customHeight="true" outlineLevel="0" collapsed="false">
      <c r="A8" s="11" t="s">
        <v>246</v>
      </c>
      <c r="B8" s="12" t="s">
        <v>362</v>
      </c>
      <c r="D8" s="11" t="s">
        <v>248</v>
      </c>
      <c r="E8" s="12" t="s">
        <v>363</v>
      </c>
    </row>
    <row r="9" customFormat="false" ht="181.5" hidden="false" customHeight="true" outlineLevel="0" collapsed="false">
      <c r="A9" s="11" t="s">
        <v>250</v>
      </c>
      <c r="B9" s="12" t="s">
        <v>364</v>
      </c>
      <c r="D9" s="11" t="s">
        <v>252</v>
      </c>
      <c r="E9" s="12" t="s">
        <v>365</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366</v>
      </c>
      <c r="D11" s="11" t="s">
        <v>256</v>
      </c>
      <c r="E11" s="12" t="s">
        <v>366</v>
      </c>
    </row>
    <row r="12" customFormat="false" ht="21.75" hidden="false" customHeight="true" outlineLevel="0" collapsed="false">
      <c r="A12" s="11" t="s">
        <v>258</v>
      </c>
      <c r="B12" s="12" t="s">
        <v>36</v>
      </c>
      <c r="D12" s="11" t="s">
        <v>259</v>
      </c>
      <c r="E12" s="12" t="s">
        <v>36</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367</v>
      </c>
      <c r="B1" s="9"/>
      <c r="D1" s="9" t="s">
        <v>368</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38</v>
      </c>
      <c r="D3" s="11" t="s">
        <v>235</v>
      </c>
      <c r="E3" s="12" t="s">
        <v>38</v>
      </c>
    </row>
    <row r="4" customFormat="false" ht="21.75" hidden="false" customHeight="true" outlineLevel="0" collapsed="false">
      <c r="A4" s="11" t="s">
        <v>236</v>
      </c>
      <c r="B4" s="12" t="s">
        <v>39</v>
      </c>
      <c r="D4" s="11" t="s">
        <v>237</v>
      </c>
      <c r="E4" s="12" t="s">
        <v>187</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51.75" hidden="false" customHeight="true" outlineLevel="0" collapsed="false">
      <c r="A8" s="11" t="s">
        <v>246</v>
      </c>
      <c r="B8" s="12" t="s">
        <v>369</v>
      </c>
      <c r="D8" s="11" t="s">
        <v>248</v>
      </c>
      <c r="E8" s="12" t="s">
        <v>370</v>
      </c>
    </row>
    <row r="9" customFormat="false" ht="168.75" hidden="false" customHeight="true" outlineLevel="0" collapsed="false">
      <c r="A9" s="11" t="s">
        <v>250</v>
      </c>
      <c r="B9" s="12" t="s">
        <v>371</v>
      </c>
      <c r="D9" s="11" t="s">
        <v>252</v>
      </c>
      <c r="E9" s="12" t="s">
        <v>372</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373</v>
      </c>
      <c r="D11" s="11" t="s">
        <v>256</v>
      </c>
      <c r="E11" s="12" t="s">
        <v>373</v>
      </c>
    </row>
    <row r="12" customFormat="false" ht="21.75" hidden="false" customHeight="true" outlineLevel="0" collapsed="false">
      <c r="A12" s="11" t="s">
        <v>258</v>
      </c>
      <c r="B12" s="12" t="s">
        <v>38</v>
      </c>
      <c r="D12" s="11" t="s">
        <v>259</v>
      </c>
      <c r="E12" s="12" t="s">
        <v>38</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374</v>
      </c>
      <c r="B1" s="9"/>
      <c r="D1" s="9" t="s">
        <v>375</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40</v>
      </c>
      <c r="D3" s="11" t="s">
        <v>235</v>
      </c>
      <c r="E3" s="12" t="s">
        <v>40</v>
      </c>
    </row>
    <row r="4" customFormat="false" ht="21.75" hidden="false" customHeight="true" outlineLevel="0" collapsed="false">
      <c r="A4" s="11" t="s">
        <v>236</v>
      </c>
      <c r="B4" s="12" t="s">
        <v>41</v>
      </c>
      <c r="D4" s="11" t="s">
        <v>237</v>
      </c>
      <c r="E4" s="12" t="s">
        <v>188</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64.5" hidden="false" customHeight="true" outlineLevel="0" collapsed="false">
      <c r="A8" s="11" t="s">
        <v>246</v>
      </c>
      <c r="B8" s="12" t="s">
        <v>376</v>
      </c>
      <c r="D8" s="11" t="s">
        <v>248</v>
      </c>
      <c r="E8" s="12" t="s">
        <v>377</v>
      </c>
    </row>
    <row r="9" customFormat="false" ht="51.75" hidden="false" customHeight="true" outlineLevel="0" collapsed="false">
      <c r="A9" s="11" t="s">
        <v>250</v>
      </c>
      <c r="B9" s="12" t="s">
        <v>378</v>
      </c>
      <c r="D9" s="11" t="s">
        <v>252</v>
      </c>
      <c r="E9" s="12" t="s">
        <v>379</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380</v>
      </c>
      <c r="D11" s="11" t="s">
        <v>256</v>
      </c>
      <c r="E11" s="12" t="s">
        <v>380</v>
      </c>
    </row>
    <row r="12" customFormat="false" ht="21.75" hidden="false" customHeight="true" outlineLevel="0" collapsed="false">
      <c r="A12" s="11" t="s">
        <v>258</v>
      </c>
      <c r="B12" s="12" t="s">
        <v>40</v>
      </c>
      <c r="D12" s="11" t="s">
        <v>259</v>
      </c>
      <c r="E12" s="12" t="s">
        <v>40</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381</v>
      </c>
      <c r="B1" s="9"/>
      <c r="D1" s="9" t="s">
        <v>382</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43</v>
      </c>
      <c r="D3" s="11" t="s">
        <v>235</v>
      </c>
      <c r="E3" s="12" t="s">
        <v>43</v>
      </c>
    </row>
    <row r="4" customFormat="false" ht="21.75" hidden="false" customHeight="true" outlineLevel="0" collapsed="false">
      <c r="A4" s="11" t="s">
        <v>236</v>
      </c>
      <c r="B4" s="12" t="s">
        <v>41</v>
      </c>
      <c r="D4" s="11" t="s">
        <v>237</v>
      </c>
      <c r="E4" s="12" t="s">
        <v>188</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64.5" hidden="false" customHeight="true" outlineLevel="0" collapsed="false">
      <c r="A8" s="11" t="s">
        <v>246</v>
      </c>
      <c r="B8" s="12" t="s">
        <v>383</v>
      </c>
      <c r="D8" s="11" t="s">
        <v>248</v>
      </c>
      <c r="E8" s="12" t="s">
        <v>384</v>
      </c>
    </row>
    <row r="9" customFormat="false" ht="64.5" hidden="false" customHeight="true" outlineLevel="0" collapsed="false">
      <c r="A9" s="11" t="s">
        <v>250</v>
      </c>
      <c r="B9" s="12" t="s">
        <v>385</v>
      </c>
      <c r="D9" s="11" t="s">
        <v>252</v>
      </c>
      <c r="E9" s="12" t="s">
        <v>386</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387</v>
      </c>
      <c r="D11" s="11" t="s">
        <v>256</v>
      </c>
      <c r="E11" s="12" t="s">
        <v>387</v>
      </c>
    </row>
    <row r="12" customFormat="false" ht="21.75" hidden="false" customHeight="true" outlineLevel="0" collapsed="false">
      <c r="A12" s="11" t="s">
        <v>258</v>
      </c>
      <c r="B12" s="12" t="s">
        <v>43</v>
      </c>
      <c r="D12" s="11" t="s">
        <v>259</v>
      </c>
      <c r="E12" s="12" t="s">
        <v>43</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388</v>
      </c>
      <c r="B1" s="9"/>
      <c r="D1" s="9" t="s">
        <v>389</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45</v>
      </c>
      <c r="D3" s="11" t="s">
        <v>235</v>
      </c>
      <c r="E3" s="12" t="s">
        <v>45</v>
      </c>
    </row>
    <row r="4" customFormat="false" ht="21.75" hidden="false" customHeight="true" outlineLevel="0" collapsed="false">
      <c r="A4" s="11" t="s">
        <v>236</v>
      </c>
      <c r="B4" s="12" t="s">
        <v>46</v>
      </c>
      <c r="D4" s="11" t="s">
        <v>237</v>
      </c>
      <c r="E4" s="12" t="s">
        <v>189</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90.75" hidden="false" customHeight="true" outlineLevel="0" collapsed="false">
      <c r="A8" s="11" t="s">
        <v>246</v>
      </c>
      <c r="B8" s="12" t="s">
        <v>390</v>
      </c>
      <c r="D8" s="11" t="s">
        <v>248</v>
      </c>
      <c r="E8" s="12" t="s">
        <v>391</v>
      </c>
    </row>
    <row r="9" customFormat="false" ht="181.5" hidden="false" customHeight="true" outlineLevel="0" collapsed="false">
      <c r="A9" s="11" t="s">
        <v>250</v>
      </c>
      <c r="B9" s="12" t="s">
        <v>392</v>
      </c>
      <c r="D9" s="11" t="s">
        <v>252</v>
      </c>
      <c r="E9" s="12" t="s">
        <v>393</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394</v>
      </c>
      <c r="D11" s="11" t="s">
        <v>256</v>
      </c>
      <c r="E11" s="12" t="s">
        <v>394</v>
      </c>
    </row>
    <row r="12" customFormat="false" ht="21.75" hidden="false" customHeight="true" outlineLevel="0" collapsed="false">
      <c r="A12" s="11" t="s">
        <v>258</v>
      </c>
      <c r="B12" s="12" t="s">
        <v>45</v>
      </c>
      <c r="D12" s="11" t="s">
        <v>259</v>
      </c>
      <c r="E12" s="12" t="s">
        <v>45</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395</v>
      </c>
      <c r="B1" s="9"/>
      <c r="D1" s="9" t="s">
        <v>396</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47</v>
      </c>
      <c r="D3" s="11" t="s">
        <v>235</v>
      </c>
      <c r="E3" s="12" t="s">
        <v>47</v>
      </c>
    </row>
    <row r="4" customFormat="false" ht="21.75" hidden="false" customHeight="true" outlineLevel="0" collapsed="false">
      <c r="A4" s="11" t="s">
        <v>236</v>
      </c>
      <c r="B4" s="12" t="s">
        <v>46</v>
      </c>
      <c r="D4" s="11" t="s">
        <v>237</v>
      </c>
      <c r="E4" s="12" t="s">
        <v>189</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51.75" hidden="false" customHeight="true" outlineLevel="0" collapsed="false">
      <c r="A8" s="11" t="s">
        <v>246</v>
      </c>
      <c r="B8" s="12" t="s">
        <v>397</v>
      </c>
      <c r="D8" s="11" t="s">
        <v>248</v>
      </c>
      <c r="E8" s="12" t="s">
        <v>398</v>
      </c>
    </row>
    <row r="9" customFormat="false" ht="142.5" hidden="false" customHeight="true" outlineLevel="0" collapsed="false">
      <c r="A9" s="11" t="s">
        <v>250</v>
      </c>
      <c r="B9" s="12" t="s">
        <v>399</v>
      </c>
      <c r="D9" s="11" t="s">
        <v>252</v>
      </c>
      <c r="E9" s="12" t="s">
        <v>400</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401</v>
      </c>
      <c r="D11" s="11" t="s">
        <v>256</v>
      </c>
      <c r="E11" s="12" t="s">
        <v>401</v>
      </c>
    </row>
    <row r="12" customFormat="false" ht="21.75" hidden="false" customHeight="true" outlineLevel="0" collapsed="false">
      <c r="A12" s="11" t="s">
        <v>258</v>
      </c>
      <c r="B12" s="12" t="s">
        <v>47</v>
      </c>
      <c r="D12" s="11" t="s">
        <v>259</v>
      </c>
      <c r="E12" s="12" t="s">
        <v>47</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402</v>
      </c>
      <c r="B1" s="9"/>
      <c r="D1" s="9" t="s">
        <v>403</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49</v>
      </c>
      <c r="D3" s="11" t="s">
        <v>235</v>
      </c>
      <c r="E3" s="12" t="s">
        <v>49</v>
      </c>
    </row>
    <row r="4" customFormat="false" ht="21.75" hidden="false" customHeight="true" outlineLevel="0" collapsed="false">
      <c r="A4" s="11" t="s">
        <v>236</v>
      </c>
      <c r="B4" s="12" t="s">
        <v>50</v>
      </c>
      <c r="D4" s="11" t="s">
        <v>237</v>
      </c>
      <c r="E4" s="12" t="s">
        <v>190</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78" hidden="false" customHeight="true" outlineLevel="0" collapsed="false">
      <c r="A8" s="11" t="s">
        <v>246</v>
      </c>
      <c r="B8" s="12" t="s">
        <v>404</v>
      </c>
      <c r="D8" s="11" t="s">
        <v>248</v>
      </c>
      <c r="E8" s="12" t="s">
        <v>405</v>
      </c>
    </row>
    <row r="9" customFormat="false" ht="156" hidden="false" customHeight="true" outlineLevel="0" collapsed="false">
      <c r="A9" s="11" t="s">
        <v>250</v>
      </c>
      <c r="B9" s="12" t="s">
        <v>406</v>
      </c>
      <c r="D9" s="11" t="s">
        <v>252</v>
      </c>
      <c r="E9" s="12" t="s">
        <v>407</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408</v>
      </c>
      <c r="D11" s="11" t="s">
        <v>256</v>
      </c>
      <c r="E11" s="12" t="s">
        <v>408</v>
      </c>
    </row>
    <row r="12" customFormat="false" ht="21.75" hidden="false" customHeight="true" outlineLevel="0" collapsed="false">
      <c r="A12" s="11" t="s">
        <v>258</v>
      </c>
      <c r="B12" s="12" t="s">
        <v>49</v>
      </c>
      <c r="D12" s="11" t="s">
        <v>259</v>
      </c>
      <c r="E12" s="12" t="s">
        <v>49</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409</v>
      </c>
      <c r="B1" s="9"/>
      <c r="D1" s="9" t="s">
        <v>410</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51</v>
      </c>
      <c r="D3" s="11" t="s">
        <v>235</v>
      </c>
      <c r="E3" s="12" t="s">
        <v>51</v>
      </c>
    </row>
    <row r="4" customFormat="false" ht="21.75" hidden="false" customHeight="true" outlineLevel="0" collapsed="false">
      <c r="A4" s="11" t="s">
        <v>236</v>
      </c>
      <c r="B4" s="12" t="s">
        <v>50</v>
      </c>
      <c r="D4" s="11" t="s">
        <v>237</v>
      </c>
      <c r="E4" s="12" t="s">
        <v>190</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90.75" hidden="false" customHeight="true" outlineLevel="0" collapsed="false">
      <c r="A8" s="11" t="s">
        <v>246</v>
      </c>
      <c r="B8" s="12" t="s">
        <v>411</v>
      </c>
      <c r="D8" s="11" t="s">
        <v>248</v>
      </c>
      <c r="E8" s="12" t="s">
        <v>412</v>
      </c>
    </row>
    <row r="9" customFormat="false" ht="45" hidden="false" customHeight="true" outlineLevel="0" collapsed="false">
      <c r="A9" s="11" t="s">
        <v>250</v>
      </c>
      <c r="B9" s="12" t="s">
        <v>413</v>
      </c>
      <c r="D9" s="11" t="s">
        <v>252</v>
      </c>
      <c r="E9" s="12" t="s">
        <v>414</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415</v>
      </c>
      <c r="D11" s="11" t="s">
        <v>256</v>
      </c>
      <c r="E11" s="12" t="s">
        <v>415</v>
      </c>
    </row>
    <row r="12" customFormat="false" ht="21.75" hidden="false" customHeight="true" outlineLevel="0" collapsed="false">
      <c r="A12" s="11" t="s">
        <v>258</v>
      </c>
      <c r="B12" s="12" t="s">
        <v>51</v>
      </c>
      <c r="D12" s="11" t="s">
        <v>259</v>
      </c>
      <c r="E12" s="12" t="s">
        <v>51</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416</v>
      </c>
      <c r="B1" s="9"/>
      <c r="D1" s="9" t="s">
        <v>417</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53</v>
      </c>
      <c r="D3" s="11" t="s">
        <v>235</v>
      </c>
      <c r="E3" s="12" t="s">
        <v>53</v>
      </c>
    </row>
    <row r="4" customFormat="false" ht="21.75" hidden="false" customHeight="true" outlineLevel="0" collapsed="false">
      <c r="A4" s="11" t="s">
        <v>236</v>
      </c>
      <c r="B4" s="12" t="s">
        <v>54</v>
      </c>
      <c r="D4" s="11" t="s">
        <v>237</v>
      </c>
      <c r="E4" s="12" t="s">
        <v>191</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45" hidden="false" customHeight="true" outlineLevel="0" collapsed="false">
      <c r="A8" s="11" t="s">
        <v>246</v>
      </c>
      <c r="B8" s="12" t="s">
        <v>418</v>
      </c>
      <c r="D8" s="11" t="s">
        <v>248</v>
      </c>
      <c r="E8" s="12" t="s">
        <v>419</v>
      </c>
    </row>
    <row r="9" customFormat="false" ht="117" hidden="false" customHeight="true" outlineLevel="0" collapsed="false">
      <c r="A9" s="11" t="s">
        <v>250</v>
      </c>
      <c r="B9" s="12" t="s">
        <v>420</v>
      </c>
      <c r="D9" s="11" t="s">
        <v>252</v>
      </c>
      <c r="E9" s="12" t="s">
        <v>421</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422</v>
      </c>
      <c r="D11" s="11" t="s">
        <v>256</v>
      </c>
      <c r="E11" s="12" t="s">
        <v>422</v>
      </c>
    </row>
    <row r="12" customFormat="false" ht="21.75" hidden="false" customHeight="true" outlineLevel="0" collapsed="false">
      <c r="A12" s="11" t="s">
        <v>258</v>
      </c>
      <c r="B12" s="12" t="s">
        <v>53</v>
      </c>
      <c r="D12" s="11" t="s">
        <v>259</v>
      </c>
      <c r="E12" s="12" t="s">
        <v>53</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423</v>
      </c>
      <c r="B1" s="9"/>
      <c r="D1" s="9" t="s">
        <v>424</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55</v>
      </c>
      <c r="D3" s="11" t="s">
        <v>235</v>
      </c>
      <c r="E3" s="12" t="s">
        <v>55</v>
      </c>
    </row>
    <row r="4" customFormat="false" ht="21.75" hidden="false" customHeight="true" outlineLevel="0" collapsed="false">
      <c r="A4" s="11" t="s">
        <v>236</v>
      </c>
      <c r="B4" s="12" t="s">
        <v>54</v>
      </c>
      <c r="D4" s="11" t="s">
        <v>237</v>
      </c>
      <c r="E4" s="12" t="s">
        <v>191</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64.5" hidden="false" customHeight="true" outlineLevel="0" collapsed="false">
      <c r="A8" s="11" t="s">
        <v>246</v>
      </c>
      <c r="B8" s="12" t="s">
        <v>425</v>
      </c>
      <c r="D8" s="11" t="s">
        <v>248</v>
      </c>
      <c r="E8" s="12" t="s">
        <v>426</v>
      </c>
    </row>
    <row r="9" customFormat="false" ht="51.75" hidden="false" customHeight="true" outlineLevel="0" collapsed="false">
      <c r="A9" s="11" t="s">
        <v>250</v>
      </c>
      <c r="B9" s="12" t="s">
        <v>427</v>
      </c>
      <c r="D9" s="11" t="s">
        <v>252</v>
      </c>
      <c r="E9" s="12" t="s">
        <v>428</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429</v>
      </c>
      <c r="D11" s="11" t="s">
        <v>256</v>
      </c>
      <c r="E11" s="12" t="s">
        <v>429</v>
      </c>
    </row>
    <row r="12" customFormat="false" ht="21.75" hidden="false" customHeight="true" outlineLevel="0" collapsed="false">
      <c r="A12" s="11" t="s">
        <v>258</v>
      </c>
      <c r="B12" s="12" t="s">
        <v>55</v>
      </c>
      <c r="D12" s="11" t="s">
        <v>259</v>
      </c>
      <c r="E12" s="12" t="s">
        <v>55</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430</v>
      </c>
      <c r="B1" s="9"/>
      <c r="D1" s="9" t="s">
        <v>431</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57</v>
      </c>
      <c r="D3" s="11" t="s">
        <v>235</v>
      </c>
      <c r="E3" s="12" t="s">
        <v>57</v>
      </c>
    </row>
    <row r="4" customFormat="false" ht="21.75" hidden="false" customHeight="true" outlineLevel="0" collapsed="false">
      <c r="A4" s="11" t="s">
        <v>236</v>
      </c>
      <c r="B4" s="12" t="s">
        <v>54</v>
      </c>
      <c r="D4" s="11" t="s">
        <v>237</v>
      </c>
      <c r="E4" s="12" t="s">
        <v>191</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51.75" hidden="false" customHeight="true" outlineLevel="0" collapsed="false">
      <c r="A8" s="11" t="s">
        <v>246</v>
      </c>
      <c r="B8" s="12" t="s">
        <v>432</v>
      </c>
      <c r="D8" s="11" t="s">
        <v>248</v>
      </c>
      <c r="E8" s="12" t="s">
        <v>433</v>
      </c>
    </row>
    <row r="9" customFormat="false" ht="103.5" hidden="false" customHeight="true" outlineLevel="0" collapsed="false">
      <c r="A9" s="11" t="s">
        <v>250</v>
      </c>
      <c r="B9" s="12" t="s">
        <v>434</v>
      </c>
      <c r="D9" s="11" t="s">
        <v>252</v>
      </c>
      <c r="E9" s="12" t="s">
        <v>435</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436</v>
      </c>
      <c r="D11" s="11" t="s">
        <v>256</v>
      </c>
      <c r="E11" s="12" t="s">
        <v>436</v>
      </c>
    </row>
    <row r="12" customFormat="false" ht="21.75" hidden="false" customHeight="true" outlineLevel="0" collapsed="false">
      <c r="A12" s="11" t="s">
        <v>258</v>
      </c>
      <c r="B12" s="12" t="s">
        <v>57</v>
      </c>
      <c r="D12" s="11" t="s">
        <v>259</v>
      </c>
      <c r="E12" s="12" t="s">
        <v>57</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437</v>
      </c>
      <c r="B1" s="9"/>
      <c r="D1" s="9" t="s">
        <v>438</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59</v>
      </c>
      <c r="D3" s="11" t="s">
        <v>235</v>
      </c>
      <c r="E3" s="12" t="s">
        <v>59</v>
      </c>
    </row>
    <row r="4" customFormat="false" ht="21.75" hidden="false" customHeight="true" outlineLevel="0" collapsed="false">
      <c r="A4" s="11" t="s">
        <v>236</v>
      </c>
      <c r="B4" s="12" t="s">
        <v>60</v>
      </c>
      <c r="D4" s="11" t="s">
        <v>237</v>
      </c>
      <c r="E4" s="12" t="s">
        <v>192</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103.5" hidden="false" customHeight="true" outlineLevel="0" collapsed="false">
      <c r="A8" s="11" t="s">
        <v>246</v>
      </c>
      <c r="B8" s="12" t="s">
        <v>439</v>
      </c>
      <c r="D8" s="11" t="s">
        <v>248</v>
      </c>
      <c r="E8" s="12" t="s">
        <v>440</v>
      </c>
    </row>
    <row r="9" customFormat="false" ht="129.75" hidden="false" customHeight="true" outlineLevel="0" collapsed="false">
      <c r="A9" s="11" t="s">
        <v>250</v>
      </c>
      <c r="B9" s="12" t="s">
        <v>441</v>
      </c>
      <c r="D9" s="11" t="s">
        <v>252</v>
      </c>
      <c r="E9" s="12" t="s">
        <v>442</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443</v>
      </c>
      <c r="D11" s="11" t="s">
        <v>256</v>
      </c>
      <c r="E11" s="12" t="s">
        <v>443</v>
      </c>
    </row>
    <row r="12" customFormat="false" ht="21.75" hidden="false" customHeight="true" outlineLevel="0" collapsed="false">
      <c r="A12" s="11" t="s">
        <v>258</v>
      </c>
      <c r="B12" s="12" t="s">
        <v>59</v>
      </c>
      <c r="D12" s="11" t="s">
        <v>259</v>
      </c>
      <c r="E12" s="12" t="s">
        <v>59</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444</v>
      </c>
      <c r="B1" s="9"/>
      <c r="D1" s="9" t="s">
        <v>445</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61</v>
      </c>
      <c r="D3" s="11" t="s">
        <v>235</v>
      </c>
      <c r="E3" s="12" t="s">
        <v>61</v>
      </c>
    </row>
    <row r="4" customFormat="false" ht="21.75" hidden="false" customHeight="true" outlineLevel="0" collapsed="false">
      <c r="A4" s="11" t="s">
        <v>236</v>
      </c>
      <c r="B4" s="12" t="s">
        <v>62</v>
      </c>
      <c r="D4" s="11" t="s">
        <v>237</v>
      </c>
      <c r="E4" s="12" t="s">
        <v>193</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117" hidden="false" customHeight="true" outlineLevel="0" collapsed="false">
      <c r="A8" s="11" t="s">
        <v>246</v>
      </c>
      <c r="B8" s="12" t="s">
        <v>446</v>
      </c>
      <c r="D8" s="11" t="s">
        <v>248</v>
      </c>
      <c r="E8" s="12" t="s">
        <v>447</v>
      </c>
    </row>
    <row r="9" customFormat="false" ht="90.75" hidden="false" customHeight="true" outlineLevel="0" collapsed="false">
      <c r="A9" s="11" t="s">
        <v>250</v>
      </c>
      <c r="B9" s="12" t="s">
        <v>448</v>
      </c>
      <c r="D9" s="11" t="s">
        <v>252</v>
      </c>
      <c r="E9" s="12" t="s">
        <v>449</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450</v>
      </c>
      <c r="D11" s="11" t="s">
        <v>256</v>
      </c>
      <c r="E11" s="12" t="s">
        <v>450</v>
      </c>
    </row>
    <row r="12" customFormat="false" ht="21.75" hidden="false" customHeight="true" outlineLevel="0" collapsed="false">
      <c r="A12" s="11" t="s">
        <v>258</v>
      </c>
      <c r="B12" s="12" t="s">
        <v>61</v>
      </c>
      <c r="D12" s="11" t="s">
        <v>259</v>
      </c>
      <c r="E12" s="12" t="s">
        <v>61</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451</v>
      </c>
      <c r="B1" s="9"/>
      <c r="D1" s="9" t="s">
        <v>452</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63</v>
      </c>
      <c r="D3" s="11" t="s">
        <v>235</v>
      </c>
      <c r="E3" s="12" t="s">
        <v>63</v>
      </c>
    </row>
    <row r="4" customFormat="false" ht="21.75" hidden="false" customHeight="true" outlineLevel="0" collapsed="false">
      <c r="A4" s="11" t="s">
        <v>236</v>
      </c>
      <c r="B4" s="12" t="s">
        <v>64</v>
      </c>
      <c r="D4" s="11" t="s">
        <v>237</v>
      </c>
      <c r="E4" s="12" t="s">
        <v>194</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64.5" hidden="false" customHeight="true" outlineLevel="0" collapsed="false">
      <c r="A8" s="11" t="s">
        <v>246</v>
      </c>
      <c r="B8" s="12" t="s">
        <v>453</v>
      </c>
      <c r="D8" s="11" t="s">
        <v>248</v>
      </c>
      <c r="E8" s="12" t="s">
        <v>454</v>
      </c>
    </row>
    <row r="9" customFormat="false" ht="181.5" hidden="false" customHeight="true" outlineLevel="0" collapsed="false">
      <c r="A9" s="11" t="s">
        <v>250</v>
      </c>
      <c r="B9" s="12" t="s">
        <v>455</v>
      </c>
      <c r="D9" s="11" t="s">
        <v>252</v>
      </c>
      <c r="E9" s="12" t="s">
        <v>456</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457</v>
      </c>
      <c r="D11" s="11" t="s">
        <v>256</v>
      </c>
      <c r="E11" s="12" t="s">
        <v>457</v>
      </c>
    </row>
    <row r="12" customFormat="false" ht="21.75" hidden="false" customHeight="true" outlineLevel="0" collapsed="false">
      <c r="A12" s="11" t="s">
        <v>258</v>
      </c>
      <c r="B12" s="12" t="s">
        <v>63</v>
      </c>
      <c r="D12" s="11" t="s">
        <v>259</v>
      </c>
      <c r="E12" s="12" t="s">
        <v>63</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458</v>
      </c>
      <c r="B1" s="9"/>
      <c r="D1" s="9" t="s">
        <v>459</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65</v>
      </c>
      <c r="D3" s="11" t="s">
        <v>235</v>
      </c>
      <c r="E3" s="12" t="s">
        <v>65</v>
      </c>
    </row>
    <row r="4" customFormat="false" ht="21.75" hidden="false" customHeight="true" outlineLevel="0" collapsed="false">
      <c r="A4" s="11" t="s">
        <v>236</v>
      </c>
      <c r="B4" s="12" t="s">
        <v>66</v>
      </c>
      <c r="D4" s="11" t="s">
        <v>237</v>
      </c>
      <c r="E4" s="12" t="s">
        <v>195</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51.75" hidden="false" customHeight="true" outlineLevel="0" collapsed="false">
      <c r="A8" s="11" t="s">
        <v>246</v>
      </c>
      <c r="B8" s="12" t="s">
        <v>460</v>
      </c>
      <c r="D8" s="11" t="s">
        <v>248</v>
      </c>
      <c r="E8" s="12" t="s">
        <v>461</v>
      </c>
    </row>
    <row r="9" customFormat="false" ht="195" hidden="false" customHeight="true" outlineLevel="0" collapsed="false">
      <c r="A9" s="11" t="s">
        <v>250</v>
      </c>
      <c r="B9" s="12" t="s">
        <v>462</v>
      </c>
      <c r="D9" s="11" t="s">
        <v>252</v>
      </c>
      <c r="E9" s="12" t="s">
        <v>463</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464</v>
      </c>
      <c r="D11" s="11" t="s">
        <v>256</v>
      </c>
      <c r="E11" s="12" t="s">
        <v>464</v>
      </c>
    </row>
    <row r="12" customFormat="false" ht="21.75" hidden="false" customHeight="true" outlineLevel="0" collapsed="false">
      <c r="A12" s="11" t="s">
        <v>258</v>
      </c>
      <c r="B12" s="12" t="s">
        <v>65</v>
      </c>
      <c r="D12" s="11" t="s">
        <v>259</v>
      </c>
      <c r="E12" s="12" t="s">
        <v>65</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465</v>
      </c>
      <c r="B1" s="9"/>
      <c r="D1" s="9" t="s">
        <v>466</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68</v>
      </c>
      <c r="D3" s="11" t="s">
        <v>235</v>
      </c>
      <c r="E3" s="12" t="s">
        <v>68</v>
      </c>
    </row>
    <row r="4" customFormat="false" ht="21.75" hidden="false" customHeight="true" outlineLevel="0" collapsed="false">
      <c r="A4" s="11" t="s">
        <v>236</v>
      </c>
      <c r="B4" s="12" t="s">
        <v>66</v>
      </c>
      <c r="D4" s="11" t="s">
        <v>237</v>
      </c>
      <c r="E4" s="12" t="s">
        <v>195</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51.75" hidden="false" customHeight="true" outlineLevel="0" collapsed="false">
      <c r="A8" s="11" t="s">
        <v>246</v>
      </c>
      <c r="B8" s="12" t="s">
        <v>467</v>
      </c>
      <c r="D8" s="11" t="s">
        <v>248</v>
      </c>
      <c r="E8" s="12" t="s">
        <v>468</v>
      </c>
    </row>
    <row r="9" customFormat="false" ht="51.75" hidden="false" customHeight="true" outlineLevel="0" collapsed="false">
      <c r="A9" s="11" t="s">
        <v>250</v>
      </c>
      <c r="B9" s="12" t="s">
        <v>469</v>
      </c>
      <c r="D9" s="11" t="s">
        <v>252</v>
      </c>
      <c r="E9" s="12" t="s">
        <v>470</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471</v>
      </c>
      <c r="D11" s="11" t="s">
        <v>256</v>
      </c>
      <c r="E11" s="12" t="s">
        <v>471</v>
      </c>
    </row>
    <row r="12" customFormat="false" ht="21.75" hidden="false" customHeight="true" outlineLevel="0" collapsed="false">
      <c r="A12" s="11" t="s">
        <v>258</v>
      </c>
      <c r="B12" s="12" t="s">
        <v>68</v>
      </c>
      <c r="D12" s="11" t="s">
        <v>259</v>
      </c>
      <c r="E12" s="12" t="s">
        <v>68</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472</v>
      </c>
      <c r="B1" s="9"/>
      <c r="D1" s="9" t="s">
        <v>473</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70</v>
      </c>
      <c r="D3" s="11" t="s">
        <v>235</v>
      </c>
      <c r="E3" s="12" t="s">
        <v>70</v>
      </c>
    </row>
    <row r="4" customFormat="false" ht="21.75" hidden="false" customHeight="true" outlineLevel="0" collapsed="false">
      <c r="A4" s="11" t="s">
        <v>236</v>
      </c>
      <c r="B4" s="12" t="s">
        <v>71</v>
      </c>
      <c r="D4" s="11" t="s">
        <v>237</v>
      </c>
      <c r="E4" s="12" t="s">
        <v>196</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220.5" hidden="false" customHeight="true" outlineLevel="0" collapsed="false">
      <c r="A8" s="11" t="s">
        <v>246</v>
      </c>
      <c r="B8" s="12" t="s">
        <v>474</v>
      </c>
      <c r="D8" s="11" t="s">
        <v>248</v>
      </c>
      <c r="E8" s="12" t="s">
        <v>475</v>
      </c>
    </row>
    <row r="9" customFormat="false" ht="298.5" hidden="false" customHeight="true" outlineLevel="0" collapsed="false">
      <c r="A9" s="11" t="s">
        <v>250</v>
      </c>
      <c r="B9" s="12" t="s">
        <v>476</v>
      </c>
      <c r="D9" s="11" t="s">
        <v>252</v>
      </c>
      <c r="E9" s="12" t="s">
        <v>477</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478</v>
      </c>
      <c r="D11" s="11" t="s">
        <v>256</v>
      </c>
      <c r="E11" s="12" t="s">
        <v>478</v>
      </c>
    </row>
    <row r="12" customFormat="false" ht="21.75" hidden="false" customHeight="true" outlineLevel="0" collapsed="false">
      <c r="A12" s="11" t="s">
        <v>258</v>
      </c>
      <c r="B12" s="12" t="s">
        <v>70</v>
      </c>
      <c r="D12" s="11" t="s">
        <v>259</v>
      </c>
      <c r="E12" s="12" t="s">
        <v>70</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479</v>
      </c>
      <c r="B1" s="9"/>
      <c r="D1" s="9" t="s">
        <v>480</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72</v>
      </c>
      <c r="D3" s="11" t="s">
        <v>235</v>
      </c>
      <c r="E3" s="12" t="s">
        <v>72</v>
      </c>
    </row>
    <row r="4" customFormat="false" ht="21.75" hidden="false" customHeight="true" outlineLevel="0" collapsed="false">
      <c r="A4" s="11" t="s">
        <v>236</v>
      </c>
      <c r="B4" s="12" t="s">
        <v>71</v>
      </c>
      <c r="D4" s="11" t="s">
        <v>237</v>
      </c>
      <c r="E4" s="12" t="s">
        <v>196</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51.75" hidden="false" customHeight="true" outlineLevel="0" collapsed="false">
      <c r="A8" s="11" t="s">
        <v>246</v>
      </c>
      <c r="B8" s="12" t="s">
        <v>481</v>
      </c>
      <c r="D8" s="11" t="s">
        <v>248</v>
      </c>
      <c r="E8" s="12" t="s">
        <v>482</v>
      </c>
    </row>
    <row r="9" customFormat="false" ht="90.75" hidden="false" customHeight="true" outlineLevel="0" collapsed="false">
      <c r="A9" s="11" t="s">
        <v>250</v>
      </c>
      <c r="B9" s="12" t="s">
        <v>483</v>
      </c>
      <c r="D9" s="11" t="s">
        <v>252</v>
      </c>
      <c r="E9" s="12" t="s">
        <v>484</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485</v>
      </c>
      <c r="D11" s="11" t="s">
        <v>256</v>
      </c>
      <c r="E11" s="12" t="s">
        <v>485</v>
      </c>
    </row>
    <row r="12" customFormat="false" ht="21.75" hidden="false" customHeight="true" outlineLevel="0" collapsed="false">
      <c r="A12" s="11" t="s">
        <v>258</v>
      </c>
      <c r="B12" s="12" t="s">
        <v>72</v>
      </c>
      <c r="D12" s="11" t="s">
        <v>259</v>
      </c>
      <c r="E12" s="12" t="s">
        <v>72</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486</v>
      </c>
      <c r="B1" s="9"/>
      <c r="D1" s="9" t="s">
        <v>487</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74</v>
      </c>
      <c r="D3" s="11" t="s">
        <v>235</v>
      </c>
      <c r="E3" s="12" t="s">
        <v>74</v>
      </c>
    </row>
    <row r="4" customFormat="false" ht="21.75" hidden="false" customHeight="true" outlineLevel="0" collapsed="false">
      <c r="A4" s="11" t="s">
        <v>236</v>
      </c>
      <c r="B4" s="12" t="s">
        <v>75</v>
      </c>
      <c r="D4" s="11" t="s">
        <v>237</v>
      </c>
      <c r="E4" s="12" t="s">
        <v>197</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45" hidden="false" customHeight="true" outlineLevel="0" collapsed="false">
      <c r="A8" s="11" t="s">
        <v>246</v>
      </c>
      <c r="B8" s="12" t="s">
        <v>488</v>
      </c>
      <c r="D8" s="11" t="s">
        <v>248</v>
      </c>
      <c r="E8" s="12" t="s">
        <v>489</v>
      </c>
    </row>
    <row r="9" customFormat="false" ht="45" hidden="false" customHeight="true" outlineLevel="0" collapsed="false">
      <c r="A9" s="11" t="s">
        <v>250</v>
      </c>
      <c r="B9" s="12" t="s">
        <v>490</v>
      </c>
      <c r="D9" s="11" t="s">
        <v>252</v>
      </c>
      <c r="E9" s="12" t="s">
        <v>491</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492</v>
      </c>
      <c r="D11" s="11" t="s">
        <v>256</v>
      </c>
      <c r="E11" s="12" t="s">
        <v>492</v>
      </c>
    </row>
    <row r="12" customFormat="false" ht="21.75" hidden="false" customHeight="true" outlineLevel="0" collapsed="false">
      <c r="A12" s="11" t="s">
        <v>258</v>
      </c>
      <c r="B12" s="12" t="s">
        <v>74</v>
      </c>
      <c r="D12" s="11" t="s">
        <v>259</v>
      </c>
      <c r="E12" s="12" t="s">
        <v>74</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493</v>
      </c>
      <c r="B1" s="9"/>
      <c r="D1" s="9" t="s">
        <v>494</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77</v>
      </c>
      <c r="D3" s="11" t="s">
        <v>235</v>
      </c>
      <c r="E3" s="12" t="s">
        <v>77</v>
      </c>
    </row>
    <row r="4" customFormat="false" ht="21.75" hidden="false" customHeight="true" outlineLevel="0" collapsed="false">
      <c r="A4" s="11" t="s">
        <v>236</v>
      </c>
      <c r="B4" s="12" t="s">
        <v>78</v>
      </c>
      <c r="D4" s="11" t="s">
        <v>237</v>
      </c>
      <c r="E4" s="12" t="s">
        <v>198</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168.75" hidden="false" customHeight="true" outlineLevel="0" collapsed="false">
      <c r="A8" s="11" t="s">
        <v>246</v>
      </c>
      <c r="B8" s="12" t="s">
        <v>495</v>
      </c>
      <c r="D8" s="11" t="s">
        <v>248</v>
      </c>
      <c r="E8" s="12" t="s">
        <v>496</v>
      </c>
    </row>
    <row r="9" customFormat="false" ht="300" hidden="false" customHeight="true" outlineLevel="0" collapsed="false">
      <c r="A9" s="11" t="s">
        <v>250</v>
      </c>
      <c r="B9" s="12" t="s">
        <v>497</v>
      </c>
      <c r="D9" s="11" t="s">
        <v>252</v>
      </c>
      <c r="E9" s="12" t="s">
        <v>498</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499</v>
      </c>
      <c r="D11" s="11" t="s">
        <v>256</v>
      </c>
      <c r="E11" s="12" t="s">
        <v>499</v>
      </c>
    </row>
    <row r="12" customFormat="false" ht="21.75" hidden="false" customHeight="true" outlineLevel="0" collapsed="false">
      <c r="A12" s="11" t="s">
        <v>258</v>
      </c>
      <c r="B12" s="12" t="s">
        <v>77</v>
      </c>
      <c r="D12" s="11" t="s">
        <v>259</v>
      </c>
      <c r="E12" s="12" t="s">
        <v>77</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500</v>
      </c>
      <c r="B1" s="9"/>
      <c r="D1" s="9" t="s">
        <v>501</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79</v>
      </c>
      <c r="D3" s="11" t="s">
        <v>235</v>
      </c>
      <c r="E3" s="12" t="s">
        <v>79</v>
      </c>
    </row>
    <row r="4" customFormat="false" ht="21.75" hidden="false" customHeight="true" outlineLevel="0" collapsed="false">
      <c r="A4" s="11" t="s">
        <v>236</v>
      </c>
      <c r="B4" s="12" t="s">
        <v>78</v>
      </c>
      <c r="D4" s="11" t="s">
        <v>237</v>
      </c>
      <c r="E4" s="12" t="s">
        <v>198</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64.5" hidden="false" customHeight="true" outlineLevel="0" collapsed="false">
      <c r="A8" s="11" t="s">
        <v>246</v>
      </c>
      <c r="B8" s="12" t="s">
        <v>502</v>
      </c>
      <c r="D8" s="11" t="s">
        <v>248</v>
      </c>
      <c r="E8" s="12" t="s">
        <v>503</v>
      </c>
    </row>
    <row r="9" customFormat="false" ht="45" hidden="false" customHeight="true" outlineLevel="0" collapsed="false">
      <c r="A9" s="11" t="s">
        <v>250</v>
      </c>
      <c r="B9" s="12" t="s">
        <v>504</v>
      </c>
      <c r="D9" s="11" t="s">
        <v>252</v>
      </c>
      <c r="E9" s="12" t="s">
        <v>505</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506</v>
      </c>
      <c r="D11" s="11" t="s">
        <v>256</v>
      </c>
      <c r="E11" s="12" t="s">
        <v>506</v>
      </c>
    </row>
    <row r="12" customFormat="false" ht="21.75" hidden="false" customHeight="true" outlineLevel="0" collapsed="false">
      <c r="A12" s="11" t="s">
        <v>258</v>
      </c>
      <c r="B12" s="12" t="s">
        <v>79</v>
      </c>
      <c r="D12" s="11" t="s">
        <v>259</v>
      </c>
      <c r="E12" s="12" t="s">
        <v>79</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507</v>
      </c>
      <c r="B1" s="9"/>
      <c r="D1" s="9" t="s">
        <v>508</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81</v>
      </c>
      <c r="D3" s="11" t="s">
        <v>235</v>
      </c>
      <c r="E3" s="12" t="s">
        <v>81</v>
      </c>
    </row>
    <row r="4" customFormat="false" ht="21.75" hidden="false" customHeight="true" outlineLevel="0" collapsed="false">
      <c r="A4" s="11" t="s">
        <v>236</v>
      </c>
      <c r="B4" s="12" t="s">
        <v>82</v>
      </c>
      <c r="D4" s="11" t="s">
        <v>237</v>
      </c>
      <c r="E4" s="12" t="s">
        <v>199</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78" hidden="false" customHeight="true" outlineLevel="0" collapsed="false">
      <c r="A8" s="11" t="s">
        <v>246</v>
      </c>
      <c r="B8" s="12" t="s">
        <v>509</v>
      </c>
      <c r="D8" s="11" t="s">
        <v>248</v>
      </c>
      <c r="E8" s="12" t="s">
        <v>510</v>
      </c>
    </row>
    <row r="9" customFormat="false" ht="300" hidden="false" customHeight="true" outlineLevel="0" collapsed="false">
      <c r="A9" s="11" t="s">
        <v>250</v>
      </c>
      <c r="B9" s="12" t="s">
        <v>511</v>
      </c>
      <c r="D9" s="11" t="s">
        <v>252</v>
      </c>
      <c r="E9" s="12" t="s">
        <v>512</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513</v>
      </c>
      <c r="D11" s="11" t="s">
        <v>256</v>
      </c>
      <c r="E11" s="12" t="s">
        <v>513</v>
      </c>
    </row>
    <row r="12" customFormat="false" ht="21.75" hidden="false" customHeight="true" outlineLevel="0" collapsed="false">
      <c r="A12" s="11" t="s">
        <v>258</v>
      </c>
      <c r="B12" s="12" t="s">
        <v>81</v>
      </c>
      <c r="D12" s="11" t="s">
        <v>259</v>
      </c>
      <c r="E12" s="12" t="s">
        <v>81</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514</v>
      </c>
      <c r="B1" s="9"/>
      <c r="D1" s="9" t="s">
        <v>515</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83</v>
      </c>
      <c r="D3" s="11" t="s">
        <v>235</v>
      </c>
      <c r="E3" s="12" t="s">
        <v>83</v>
      </c>
    </row>
    <row r="4" customFormat="false" ht="21.75" hidden="false" customHeight="true" outlineLevel="0" collapsed="false">
      <c r="A4" s="11" t="s">
        <v>236</v>
      </c>
      <c r="B4" s="12" t="s">
        <v>82</v>
      </c>
      <c r="D4" s="11" t="s">
        <v>237</v>
      </c>
      <c r="E4" s="12" t="s">
        <v>199</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78" hidden="false" customHeight="true" outlineLevel="0" collapsed="false">
      <c r="A8" s="11" t="s">
        <v>246</v>
      </c>
      <c r="B8" s="12" t="s">
        <v>516</v>
      </c>
      <c r="D8" s="11" t="s">
        <v>248</v>
      </c>
      <c r="E8" s="12" t="s">
        <v>517</v>
      </c>
    </row>
    <row r="9" customFormat="false" ht="64.5" hidden="false" customHeight="true" outlineLevel="0" collapsed="false">
      <c r="A9" s="11" t="s">
        <v>250</v>
      </c>
      <c r="B9" s="12" t="s">
        <v>518</v>
      </c>
      <c r="D9" s="11" t="s">
        <v>252</v>
      </c>
      <c r="E9" s="12" t="s">
        <v>519</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520</v>
      </c>
      <c r="D11" s="11" t="s">
        <v>256</v>
      </c>
      <c r="E11" s="12" t="s">
        <v>520</v>
      </c>
    </row>
    <row r="12" customFormat="false" ht="21.75" hidden="false" customHeight="true" outlineLevel="0" collapsed="false">
      <c r="A12" s="11" t="s">
        <v>258</v>
      </c>
      <c r="B12" s="12" t="s">
        <v>83</v>
      </c>
      <c r="D12" s="11" t="s">
        <v>259</v>
      </c>
      <c r="E12" s="12" t="s">
        <v>83</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521</v>
      </c>
      <c r="B1" s="9"/>
      <c r="D1" s="9" t="s">
        <v>522</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85</v>
      </c>
      <c r="D3" s="11" t="s">
        <v>235</v>
      </c>
      <c r="E3" s="12" t="s">
        <v>85</v>
      </c>
    </row>
    <row r="4" customFormat="false" ht="21.75" hidden="false" customHeight="true" outlineLevel="0" collapsed="false">
      <c r="A4" s="11" t="s">
        <v>236</v>
      </c>
      <c r="B4" s="12" t="s">
        <v>86</v>
      </c>
      <c r="D4" s="11" t="s">
        <v>237</v>
      </c>
      <c r="E4" s="12" t="s">
        <v>200</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51.75" hidden="false" customHeight="true" outlineLevel="0" collapsed="false">
      <c r="A8" s="11" t="s">
        <v>246</v>
      </c>
      <c r="B8" s="12" t="s">
        <v>523</v>
      </c>
      <c r="D8" s="11" t="s">
        <v>248</v>
      </c>
      <c r="E8" s="12" t="s">
        <v>524</v>
      </c>
    </row>
    <row r="9" customFormat="false" ht="129.75" hidden="false" customHeight="true" outlineLevel="0" collapsed="false">
      <c r="A9" s="11" t="s">
        <v>250</v>
      </c>
      <c r="B9" s="12" t="s">
        <v>525</v>
      </c>
      <c r="D9" s="11" t="s">
        <v>252</v>
      </c>
      <c r="E9" s="12" t="s">
        <v>526</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527</v>
      </c>
      <c r="D11" s="11" t="s">
        <v>256</v>
      </c>
      <c r="E11" s="12" t="s">
        <v>527</v>
      </c>
    </row>
    <row r="12" customFormat="false" ht="21.75" hidden="false" customHeight="true" outlineLevel="0" collapsed="false">
      <c r="A12" s="11" t="s">
        <v>258</v>
      </c>
      <c r="B12" s="12" t="s">
        <v>85</v>
      </c>
      <c r="D12" s="11" t="s">
        <v>259</v>
      </c>
      <c r="E12" s="12" t="s">
        <v>85</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528</v>
      </c>
      <c r="B1" s="9"/>
      <c r="D1" s="9" t="s">
        <v>529</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88</v>
      </c>
      <c r="D3" s="11" t="s">
        <v>235</v>
      </c>
      <c r="E3" s="12" t="s">
        <v>88</v>
      </c>
    </row>
    <row r="4" customFormat="false" ht="21.75" hidden="false" customHeight="true" outlineLevel="0" collapsed="false">
      <c r="A4" s="11" t="s">
        <v>236</v>
      </c>
      <c r="B4" s="12" t="s">
        <v>86</v>
      </c>
      <c r="D4" s="11" t="s">
        <v>237</v>
      </c>
      <c r="E4" s="12" t="s">
        <v>200</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64.5" hidden="false" customHeight="true" outlineLevel="0" collapsed="false">
      <c r="A8" s="11" t="s">
        <v>246</v>
      </c>
      <c r="B8" s="12" t="s">
        <v>530</v>
      </c>
      <c r="D8" s="11" t="s">
        <v>248</v>
      </c>
      <c r="E8" s="12" t="s">
        <v>531</v>
      </c>
    </row>
    <row r="9" customFormat="false" ht="45" hidden="false" customHeight="true" outlineLevel="0" collapsed="false">
      <c r="A9" s="11" t="s">
        <v>250</v>
      </c>
      <c r="B9" s="12" t="s">
        <v>532</v>
      </c>
      <c r="D9" s="11" t="s">
        <v>252</v>
      </c>
      <c r="E9" s="12" t="s">
        <v>533</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534</v>
      </c>
      <c r="D11" s="11" t="s">
        <v>256</v>
      </c>
      <c r="E11" s="12" t="s">
        <v>534</v>
      </c>
    </row>
    <row r="12" customFormat="false" ht="21.75" hidden="false" customHeight="true" outlineLevel="0" collapsed="false">
      <c r="A12" s="11" t="s">
        <v>258</v>
      </c>
      <c r="B12" s="12" t="s">
        <v>88</v>
      </c>
      <c r="D12" s="11" t="s">
        <v>259</v>
      </c>
      <c r="E12" s="12" t="s">
        <v>88</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535</v>
      </c>
      <c r="B1" s="9"/>
      <c r="D1" s="9" t="s">
        <v>536</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90</v>
      </c>
      <c r="D3" s="11" t="s">
        <v>235</v>
      </c>
      <c r="E3" s="12" t="s">
        <v>90</v>
      </c>
    </row>
    <row r="4" customFormat="false" ht="21.75" hidden="false" customHeight="true" outlineLevel="0" collapsed="false">
      <c r="A4" s="11" t="s">
        <v>236</v>
      </c>
      <c r="B4" s="12" t="s">
        <v>91</v>
      </c>
      <c r="D4" s="11" t="s">
        <v>237</v>
      </c>
      <c r="E4" s="12" t="s">
        <v>201</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64.5" hidden="false" customHeight="true" outlineLevel="0" collapsed="false">
      <c r="A8" s="11" t="s">
        <v>246</v>
      </c>
      <c r="B8" s="12" t="s">
        <v>537</v>
      </c>
      <c r="D8" s="11" t="s">
        <v>248</v>
      </c>
      <c r="E8" s="12" t="s">
        <v>538</v>
      </c>
    </row>
    <row r="9" customFormat="false" ht="168.75" hidden="false" customHeight="true" outlineLevel="0" collapsed="false">
      <c r="A9" s="11" t="s">
        <v>250</v>
      </c>
      <c r="B9" s="12" t="s">
        <v>539</v>
      </c>
      <c r="D9" s="11" t="s">
        <v>252</v>
      </c>
      <c r="E9" s="12" t="s">
        <v>540</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541</v>
      </c>
      <c r="D11" s="11" t="s">
        <v>256</v>
      </c>
      <c r="E11" s="12" t="s">
        <v>541</v>
      </c>
    </row>
    <row r="12" customFormat="false" ht="21.75" hidden="false" customHeight="true" outlineLevel="0" collapsed="false">
      <c r="A12" s="11" t="s">
        <v>258</v>
      </c>
      <c r="B12" s="12" t="s">
        <v>90</v>
      </c>
      <c r="D12" s="11" t="s">
        <v>259</v>
      </c>
      <c r="E12" s="12" t="s">
        <v>90</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542</v>
      </c>
      <c r="B1" s="9"/>
      <c r="D1" s="9" t="s">
        <v>543</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92</v>
      </c>
      <c r="D3" s="11" t="s">
        <v>235</v>
      </c>
      <c r="E3" s="12" t="s">
        <v>92</v>
      </c>
    </row>
    <row r="4" customFormat="false" ht="21.75" hidden="false" customHeight="true" outlineLevel="0" collapsed="false">
      <c r="A4" s="11" t="s">
        <v>236</v>
      </c>
      <c r="B4" s="12" t="s">
        <v>91</v>
      </c>
      <c r="D4" s="11" t="s">
        <v>237</v>
      </c>
      <c r="E4" s="12" t="s">
        <v>201</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51.75" hidden="false" customHeight="true" outlineLevel="0" collapsed="false">
      <c r="A8" s="11" t="s">
        <v>246</v>
      </c>
      <c r="B8" s="12" t="s">
        <v>544</v>
      </c>
      <c r="D8" s="11" t="s">
        <v>248</v>
      </c>
      <c r="E8" s="12" t="s">
        <v>545</v>
      </c>
    </row>
    <row r="9" customFormat="false" ht="45" hidden="false" customHeight="true" outlineLevel="0" collapsed="false">
      <c r="A9" s="11" t="s">
        <v>250</v>
      </c>
      <c r="B9" s="12"/>
      <c r="D9" s="11" t="s">
        <v>252</v>
      </c>
      <c r="E9" s="12"/>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546</v>
      </c>
      <c r="D11" s="11" t="s">
        <v>256</v>
      </c>
      <c r="E11" s="12" t="s">
        <v>546</v>
      </c>
    </row>
    <row r="12" customFormat="false" ht="21.75" hidden="false" customHeight="true" outlineLevel="0" collapsed="false">
      <c r="A12" s="11" t="s">
        <v>258</v>
      </c>
      <c r="B12" s="12" t="s">
        <v>92</v>
      </c>
      <c r="D12" s="11" t="s">
        <v>259</v>
      </c>
      <c r="E12" s="12" t="s">
        <v>92</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547</v>
      </c>
      <c r="B1" s="9"/>
      <c r="D1" s="9" t="s">
        <v>548</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94</v>
      </c>
      <c r="D3" s="11" t="s">
        <v>235</v>
      </c>
      <c r="E3" s="12" t="s">
        <v>94</v>
      </c>
    </row>
    <row r="4" customFormat="false" ht="21.75" hidden="false" customHeight="true" outlineLevel="0" collapsed="false">
      <c r="A4" s="11" t="s">
        <v>236</v>
      </c>
      <c r="B4" s="12" t="s">
        <v>95</v>
      </c>
      <c r="D4" s="11" t="s">
        <v>237</v>
      </c>
      <c r="E4" s="12" t="s">
        <v>202</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181.5" hidden="false" customHeight="true" outlineLevel="0" collapsed="false">
      <c r="A8" s="11" t="s">
        <v>246</v>
      </c>
      <c r="B8" s="12" t="s">
        <v>549</v>
      </c>
      <c r="D8" s="11" t="s">
        <v>248</v>
      </c>
      <c r="E8" s="12" t="s">
        <v>550</v>
      </c>
    </row>
    <row r="9" customFormat="false" ht="168.75" hidden="false" customHeight="true" outlineLevel="0" collapsed="false">
      <c r="A9" s="11" t="s">
        <v>250</v>
      </c>
      <c r="B9" s="12" t="s">
        <v>551</v>
      </c>
      <c r="D9" s="11" t="s">
        <v>252</v>
      </c>
      <c r="E9" s="12" t="s">
        <v>552</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553</v>
      </c>
      <c r="D11" s="11" t="s">
        <v>256</v>
      </c>
      <c r="E11" s="12" t="s">
        <v>553</v>
      </c>
    </row>
    <row r="12" customFormat="false" ht="21.75" hidden="false" customHeight="true" outlineLevel="0" collapsed="false">
      <c r="A12" s="11" t="s">
        <v>258</v>
      </c>
      <c r="B12" s="12" t="s">
        <v>94</v>
      </c>
      <c r="D12" s="11" t="s">
        <v>259</v>
      </c>
      <c r="E12" s="12" t="s">
        <v>94</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554</v>
      </c>
      <c r="B1" s="9"/>
      <c r="D1" s="9" t="s">
        <v>555</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96</v>
      </c>
      <c r="D3" s="11" t="s">
        <v>235</v>
      </c>
      <c r="E3" s="12" t="s">
        <v>96</v>
      </c>
    </row>
    <row r="4" customFormat="false" ht="21.75" hidden="false" customHeight="true" outlineLevel="0" collapsed="false">
      <c r="A4" s="11" t="s">
        <v>236</v>
      </c>
      <c r="B4" s="12" t="s">
        <v>95</v>
      </c>
      <c r="D4" s="11" t="s">
        <v>237</v>
      </c>
      <c r="E4" s="12" t="s">
        <v>202</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51.75" hidden="false" customHeight="true" outlineLevel="0" collapsed="false">
      <c r="A8" s="11" t="s">
        <v>246</v>
      </c>
      <c r="B8" s="12" t="s">
        <v>556</v>
      </c>
      <c r="D8" s="11" t="s">
        <v>248</v>
      </c>
      <c r="E8" s="12" t="s">
        <v>557</v>
      </c>
    </row>
    <row r="9" customFormat="false" ht="129.75" hidden="false" customHeight="true" outlineLevel="0" collapsed="false">
      <c r="A9" s="11" t="s">
        <v>250</v>
      </c>
      <c r="B9" s="12" t="s">
        <v>558</v>
      </c>
      <c r="D9" s="11" t="s">
        <v>252</v>
      </c>
      <c r="E9" s="12" t="s">
        <v>559</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560</v>
      </c>
      <c r="D11" s="11" t="s">
        <v>256</v>
      </c>
      <c r="E11" s="12" t="s">
        <v>560</v>
      </c>
    </row>
    <row r="12" customFormat="false" ht="21.75" hidden="false" customHeight="true" outlineLevel="0" collapsed="false">
      <c r="A12" s="11" t="s">
        <v>258</v>
      </c>
      <c r="B12" s="12" t="s">
        <v>96</v>
      </c>
      <c r="D12" s="11" t="s">
        <v>259</v>
      </c>
      <c r="E12" s="12" t="s">
        <v>96</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561</v>
      </c>
      <c r="B1" s="9"/>
      <c r="D1" s="9" t="s">
        <v>562</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98</v>
      </c>
      <c r="D3" s="11" t="s">
        <v>235</v>
      </c>
      <c r="E3" s="12" t="s">
        <v>98</v>
      </c>
    </row>
    <row r="4" customFormat="false" ht="21.75" hidden="false" customHeight="true" outlineLevel="0" collapsed="false">
      <c r="A4" s="11" t="s">
        <v>236</v>
      </c>
      <c r="B4" s="12" t="s">
        <v>95</v>
      </c>
      <c r="D4" s="11" t="s">
        <v>237</v>
      </c>
      <c r="E4" s="12" t="s">
        <v>202</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51.75" hidden="false" customHeight="true" outlineLevel="0" collapsed="false">
      <c r="A8" s="11" t="s">
        <v>246</v>
      </c>
      <c r="B8" s="12" t="s">
        <v>563</v>
      </c>
      <c r="D8" s="11" t="s">
        <v>248</v>
      </c>
      <c r="E8" s="12" t="s">
        <v>564</v>
      </c>
    </row>
    <row r="9" customFormat="false" ht="78" hidden="false" customHeight="true" outlineLevel="0" collapsed="false">
      <c r="A9" s="11" t="s">
        <v>250</v>
      </c>
      <c r="B9" s="12" t="s">
        <v>565</v>
      </c>
      <c r="D9" s="11" t="s">
        <v>252</v>
      </c>
      <c r="E9" s="12" t="s">
        <v>566</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567</v>
      </c>
      <c r="D11" s="11" t="s">
        <v>256</v>
      </c>
      <c r="E11" s="12" t="s">
        <v>567</v>
      </c>
    </row>
    <row r="12" customFormat="false" ht="21.75" hidden="false" customHeight="true" outlineLevel="0" collapsed="false">
      <c r="A12" s="11" t="s">
        <v>258</v>
      </c>
      <c r="B12" s="12" t="s">
        <v>98</v>
      </c>
      <c r="D12" s="11" t="s">
        <v>259</v>
      </c>
      <c r="E12" s="12" t="s">
        <v>98</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568</v>
      </c>
      <c r="B1" s="9"/>
      <c r="D1" s="9" t="s">
        <v>569</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100</v>
      </c>
      <c r="D3" s="11" t="s">
        <v>235</v>
      </c>
      <c r="E3" s="12" t="s">
        <v>100</v>
      </c>
    </row>
    <row r="4" customFormat="false" ht="21.75" hidden="false" customHeight="true" outlineLevel="0" collapsed="false">
      <c r="A4" s="11" t="s">
        <v>236</v>
      </c>
      <c r="B4" s="12" t="s">
        <v>101</v>
      </c>
      <c r="D4" s="11" t="s">
        <v>237</v>
      </c>
      <c r="E4" s="12" t="s">
        <v>203</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168.75" hidden="false" customHeight="true" outlineLevel="0" collapsed="false">
      <c r="A8" s="11" t="s">
        <v>246</v>
      </c>
      <c r="B8" s="12" t="s">
        <v>570</v>
      </c>
      <c r="D8" s="11" t="s">
        <v>248</v>
      </c>
      <c r="E8" s="12" t="s">
        <v>571</v>
      </c>
    </row>
    <row r="9" customFormat="false" ht="156" hidden="false" customHeight="true" outlineLevel="0" collapsed="false">
      <c r="A9" s="11" t="s">
        <v>250</v>
      </c>
      <c r="B9" s="12" t="s">
        <v>572</v>
      </c>
      <c r="D9" s="11" t="s">
        <v>252</v>
      </c>
      <c r="E9" s="12" t="s">
        <v>573</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574</v>
      </c>
      <c r="D11" s="11" t="s">
        <v>256</v>
      </c>
      <c r="E11" s="12" t="s">
        <v>574</v>
      </c>
    </row>
    <row r="12" customFormat="false" ht="21.75" hidden="false" customHeight="true" outlineLevel="0" collapsed="false">
      <c r="A12" s="11" t="s">
        <v>258</v>
      </c>
      <c r="B12" s="12" t="s">
        <v>100</v>
      </c>
      <c r="D12" s="11" t="s">
        <v>259</v>
      </c>
      <c r="E12" s="12" t="s">
        <v>100</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575</v>
      </c>
      <c r="B1" s="9"/>
      <c r="D1" s="9" t="s">
        <v>576</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102</v>
      </c>
      <c r="D3" s="11" t="s">
        <v>235</v>
      </c>
      <c r="E3" s="12" t="s">
        <v>102</v>
      </c>
    </row>
    <row r="4" customFormat="false" ht="21.75" hidden="false" customHeight="true" outlineLevel="0" collapsed="false">
      <c r="A4" s="11" t="s">
        <v>236</v>
      </c>
      <c r="B4" s="12" t="s">
        <v>101</v>
      </c>
      <c r="D4" s="11" t="s">
        <v>237</v>
      </c>
      <c r="E4" s="12" t="s">
        <v>203</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51.75" hidden="false" customHeight="true" outlineLevel="0" collapsed="false">
      <c r="A8" s="11" t="s">
        <v>246</v>
      </c>
      <c r="B8" s="12" t="s">
        <v>577</v>
      </c>
      <c r="D8" s="11" t="s">
        <v>248</v>
      </c>
      <c r="E8" s="12" t="s">
        <v>578</v>
      </c>
    </row>
    <row r="9" customFormat="false" ht="45" hidden="false" customHeight="true" outlineLevel="0" collapsed="false">
      <c r="A9" s="11" t="s">
        <v>250</v>
      </c>
      <c r="B9" s="12" t="s">
        <v>579</v>
      </c>
      <c r="D9" s="11" t="s">
        <v>252</v>
      </c>
      <c r="E9" s="12" t="s">
        <v>580</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581</v>
      </c>
      <c r="D11" s="11" t="s">
        <v>256</v>
      </c>
      <c r="E11" s="12" t="s">
        <v>581</v>
      </c>
    </row>
    <row r="12" customFormat="false" ht="21.75" hidden="false" customHeight="true" outlineLevel="0" collapsed="false">
      <c r="A12" s="11" t="s">
        <v>258</v>
      </c>
      <c r="B12" s="12" t="s">
        <v>102</v>
      </c>
      <c r="D12" s="11" t="s">
        <v>259</v>
      </c>
      <c r="E12" s="12" t="s">
        <v>102</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582</v>
      </c>
      <c r="B1" s="9"/>
      <c r="D1" s="9" t="s">
        <v>583</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104</v>
      </c>
      <c r="D3" s="11" t="s">
        <v>235</v>
      </c>
      <c r="E3" s="12" t="s">
        <v>104</v>
      </c>
    </row>
    <row r="4" customFormat="false" ht="21.75" hidden="false" customHeight="true" outlineLevel="0" collapsed="false">
      <c r="A4" s="11" t="s">
        <v>236</v>
      </c>
      <c r="B4" s="12" t="s">
        <v>101</v>
      </c>
      <c r="D4" s="11" t="s">
        <v>237</v>
      </c>
      <c r="E4" s="12" t="s">
        <v>203</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51.75" hidden="false" customHeight="true" outlineLevel="0" collapsed="false">
      <c r="A8" s="11" t="s">
        <v>246</v>
      </c>
      <c r="B8" s="12" t="s">
        <v>584</v>
      </c>
      <c r="D8" s="11" t="s">
        <v>248</v>
      </c>
      <c r="E8" s="12" t="s">
        <v>585</v>
      </c>
    </row>
    <row r="9" customFormat="false" ht="45" hidden="false" customHeight="true" outlineLevel="0" collapsed="false">
      <c r="A9" s="11" t="s">
        <v>250</v>
      </c>
      <c r="B9" s="12" t="s">
        <v>579</v>
      </c>
      <c r="D9" s="11" t="s">
        <v>252</v>
      </c>
      <c r="E9" s="12" t="s">
        <v>580</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586</v>
      </c>
      <c r="D11" s="11" t="s">
        <v>256</v>
      </c>
      <c r="E11" s="12" t="s">
        <v>586</v>
      </c>
    </row>
    <row r="12" customFormat="false" ht="21.75" hidden="false" customHeight="true" outlineLevel="0" collapsed="false">
      <c r="A12" s="11" t="s">
        <v>258</v>
      </c>
      <c r="B12" s="12" t="s">
        <v>104</v>
      </c>
      <c r="D12" s="11" t="s">
        <v>259</v>
      </c>
      <c r="E12" s="12" t="s">
        <v>104</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587</v>
      </c>
      <c r="B1" s="9"/>
      <c r="D1" s="9" t="s">
        <v>588</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106</v>
      </c>
      <c r="D3" s="11" t="s">
        <v>235</v>
      </c>
      <c r="E3" s="12" t="s">
        <v>106</v>
      </c>
    </row>
    <row r="4" customFormat="false" ht="21.75" hidden="false" customHeight="true" outlineLevel="0" collapsed="false">
      <c r="A4" s="11" t="s">
        <v>236</v>
      </c>
      <c r="B4" s="12" t="s">
        <v>101</v>
      </c>
      <c r="D4" s="11" t="s">
        <v>237</v>
      </c>
      <c r="E4" s="12" t="s">
        <v>203</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64.5" hidden="false" customHeight="true" outlineLevel="0" collapsed="false">
      <c r="A8" s="11" t="s">
        <v>246</v>
      </c>
      <c r="B8" s="12" t="s">
        <v>589</v>
      </c>
      <c r="D8" s="11" t="s">
        <v>248</v>
      </c>
      <c r="E8" s="12" t="s">
        <v>590</v>
      </c>
    </row>
    <row r="9" customFormat="false" ht="103.5" hidden="false" customHeight="true" outlineLevel="0" collapsed="false">
      <c r="A9" s="11" t="s">
        <v>250</v>
      </c>
      <c r="B9" s="12" t="s">
        <v>591</v>
      </c>
      <c r="D9" s="11" t="s">
        <v>252</v>
      </c>
      <c r="E9" s="12" t="s">
        <v>592</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593</v>
      </c>
      <c r="D11" s="11" t="s">
        <v>256</v>
      </c>
      <c r="E11" s="12" t="s">
        <v>593</v>
      </c>
    </row>
    <row r="12" customFormat="false" ht="21.75" hidden="false" customHeight="true" outlineLevel="0" collapsed="false">
      <c r="A12" s="11" t="s">
        <v>258</v>
      </c>
      <c r="B12" s="12" t="s">
        <v>106</v>
      </c>
      <c r="D12" s="11" t="s">
        <v>259</v>
      </c>
      <c r="E12" s="12" t="s">
        <v>106</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594</v>
      </c>
      <c r="B1" s="9"/>
      <c r="D1" s="9" t="s">
        <v>595</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108</v>
      </c>
      <c r="D3" s="11" t="s">
        <v>235</v>
      </c>
      <c r="E3" s="12" t="s">
        <v>108</v>
      </c>
    </row>
    <row r="4" customFormat="false" ht="21.75" hidden="false" customHeight="true" outlineLevel="0" collapsed="false">
      <c r="A4" s="11" t="s">
        <v>236</v>
      </c>
      <c r="B4" s="12" t="s">
        <v>101</v>
      </c>
      <c r="D4" s="11" t="s">
        <v>237</v>
      </c>
      <c r="E4" s="12" t="s">
        <v>203</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64.5" hidden="false" customHeight="true" outlineLevel="0" collapsed="false">
      <c r="A8" s="11" t="s">
        <v>246</v>
      </c>
      <c r="B8" s="12" t="s">
        <v>596</v>
      </c>
      <c r="D8" s="11" t="s">
        <v>248</v>
      </c>
      <c r="E8" s="12" t="s">
        <v>597</v>
      </c>
    </row>
    <row r="9" customFormat="false" ht="45" hidden="false" customHeight="true" outlineLevel="0" collapsed="false">
      <c r="A9" s="11" t="s">
        <v>250</v>
      </c>
      <c r="B9" s="12" t="s">
        <v>598</v>
      </c>
      <c r="D9" s="11" t="s">
        <v>252</v>
      </c>
      <c r="E9" s="12" t="s">
        <v>599</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600</v>
      </c>
      <c r="D11" s="11" t="s">
        <v>256</v>
      </c>
      <c r="E11" s="12" t="s">
        <v>600</v>
      </c>
    </row>
    <row r="12" customFormat="false" ht="21.75" hidden="false" customHeight="true" outlineLevel="0" collapsed="false">
      <c r="A12" s="11" t="s">
        <v>258</v>
      </c>
      <c r="B12" s="12" t="s">
        <v>108</v>
      </c>
      <c r="D12" s="11" t="s">
        <v>259</v>
      </c>
      <c r="E12" s="12" t="s">
        <v>108</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601</v>
      </c>
      <c r="B1" s="9"/>
      <c r="D1" s="9" t="s">
        <v>602</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110</v>
      </c>
      <c r="D3" s="11" t="s">
        <v>235</v>
      </c>
      <c r="E3" s="12" t="s">
        <v>110</v>
      </c>
    </row>
    <row r="4" customFormat="false" ht="21.75" hidden="false" customHeight="true" outlineLevel="0" collapsed="false">
      <c r="A4" s="11" t="s">
        <v>236</v>
      </c>
      <c r="B4" s="12" t="s">
        <v>111</v>
      </c>
      <c r="D4" s="11" t="s">
        <v>237</v>
      </c>
      <c r="E4" s="12" t="s">
        <v>204</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45" hidden="false" customHeight="true" outlineLevel="0" collapsed="false">
      <c r="A8" s="11" t="s">
        <v>246</v>
      </c>
      <c r="B8" s="12" t="s">
        <v>603</v>
      </c>
      <c r="D8" s="11" t="s">
        <v>248</v>
      </c>
      <c r="E8" s="12" t="s">
        <v>604</v>
      </c>
    </row>
    <row r="9" customFormat="false" ht="246.75" hidden="false" customHeight="true" outlineLevel="0" collapsed="false">
      <c r="A9" s="11" t="s">
        <v>250</v>
      </c>
      <c r="B9" s="12" t="s">
        <v>605</v>
      </c>
      <c r="D9" s="11" t="s">
        <v>252</v>
      </c>
      <c r="E9" s="12" t="s">
        <v>606</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607</v>
      </c>
      <c r="D11" s="11" t="s">
        <v>256</v>
      </c>
      <c r="E11" s="12" t="s">
        <v>607</v>
      </c>
    </row>
    <row r="12" customFormat="false" ht="21.75" hidden="false" customHeight="true" outlineLevel="0" collapsed="false">
      <c r="A12" s="11" t="s">
        <v>258</v>
      </c>
      <c r="B12" s="12" t="s">
        <v>110</v>
      </c>
      <c r="D12" s="11" t="s">
        <v>259</v>
      </c>
      <c r="E12" s="12" t="s">
        <v>110</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608</v>
      </c>
      <c r="B1" s="9"/>
      <c r="D1" s="9" t="s">
        <v>609</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112</v>
      </c>
      <c r="D3" s="11" t="s">
        <v>235</v>
      </c>
      <c r="E3" s="12" t="s">
        <v>112</v>
      </c>
    </row>
    <row r="4" customFormat="false" ht="21.75" hidden="false" customHeight="true" outlineLevel="0" collapsed="false">
      <c r="A4" s="11" t="s">
        <v>236</v>
      </c>
      <c r="B4" s="12" t="s">
        <v>111</v>
      </c>
      <c r="D4" s="11" t="s">
        <v>237</v>
      </c>
      <c r="E4" s="12" t="s">
        <v>204</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78" hidden="false" customHeight="true" outlineLevel="0" collapsed="false">
      <c r="A8" s="11" t="s">
        <v>246</v>
      </c>
      <c r="B8" s="12" t="s">
        <v>610</v>
      </c>
      <c r="D8" s="11" t="s">
        <v>248</v>
      </c>
      <c r="E8" s="12" t="s">
        <v>611</v>
      </c>
    </row>
    <row r="9" customFormat="false" ht="45" hidden="false" customHeight="true" outlineLevel="0" collapsed="false">
      <c r="A9" s="11" t="s">
        <v>250</v>
      </c>
      <c r="B9" s="12" t="s">
        <v>612</v>
      </c>
      <c r="D9" s="11" t="s">
        <v>252</v>
      </c>
      <c r="E9" s="12" t="s">
        <v>613</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614</v>
      </c>
      <c r="D11" s="11" t="s">
        <v>256</v>
      </c>
      <c r="E11" s="12" t="s">
        <v>614</v>
      </c>
    </row>
    <row r="12" customFormat="false" ht="21.75" hidden="false" customHeight="true" outlineLevel="0" collapsed="false">
      <c r="A12" s="11" t="s">
        <v>258</v>
      </c>
      <c r="B12" s="12" t="s">
        <v>112</v>
      </c>
      <c r="D12" s="11" t="s">
        <v>259</v>
      </c>
      <c r="E12" s="12" t="s">
        <v>112</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615</v>
      </c>
      <c r="B1" s="9"/>
      <c r="D1" s="9" t="s">
        <v>616</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114</v>
      </c>
      <c r="D3" s="11" t="s">
        <v>235</v>
      </c>
      <c r="E3" s="12" t="s">
        <v>114</v>
      </c>
    </row>
    <row r="4" customFormat="false" ht="21.75" hidden="false" customHeight="true" outlineLevel="0" collapsed="false">
      <c r="A4" s="11" t="s">
        <v>236</v>
      </c>
      <c r="B4" s="12" t="s">
        <v>115</v>
      </c>
      <c r="D4" s="11" t="s">
        <v>237</v>
      </c>
      <c r="E4" s="12" t="s">
        <v>205</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51.75" hidden="false" customHeight="true" outlineLevel="0" collapsed="false">
      <c r="A8" s="11" t="s">
        <v>246</v>
      </c>
      <c r="B8" s="12" t="s">
        <v>617</v>
      </c>
      <c r="D8" s="11" t="s">
        <v>248</v>
      </c>
      <c r="E8" s="12" t="s">
        <v>618</v>
      </c>
    </row>
    <row r="9" customFormat="false" ht="90.75" hidden="false" customHeight="true" outlineLevel="0" collapsed="false">
      <c r="A9" s="11" t="s">
        <v>250</v>
      </c>
      <c r="B9" s="12" t="s">
        <v>619</v>
      </c>
      <c r="D9" s="11" t="s">
        <v>252</v>
      </c>
      <c r="E9" s="12" t="s">
        <v>620</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621</v>
      </c>
      <c r="D11" s="11" t="s">
        <v>256</v>
      </c>
      <c r="E11" s="12" t="s">
        <v>621</v>
      </c>
    </row>
    <row r="12" customFormat="false" ht="21.75" hidden="false" customHeight="true" outlineLevel="0" collapsed="false">
      <c r="A12" s="11" t="s">
        <v>258</v>
      </c>
      <c r="B12" s="12" t="s">
        <v>114</v>
      </c>
      <c r="D12" s="11" t="s">
        <v>259</v>
      </c>
      <c r="E12" s="12" t="s">
        <v>114</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622</v>
      </c>
      <c r="B1" s="9"/>
      <c r="D1" s="9" t="s">
        <v>623</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117</v>
      </c>
      <c r="D3" s="11" t="s">
        <v>235</v>
      </c>
      <c r="E3" s="12" t="s">
        <v>117</v>
      </c>
    </row>
    <row r="4" customFormat="false" ht="21.75" hidden="false" customHeight="true" outlineLevel="0" collapsed="false">
      <c r="A4" s="11" t="s">
        <v>236</v>
      </c>
      <c r="B4" s="12" t="s">
        <v>118</v>
      </c>
      <c r="D4" s="11" t="s">
        <v>237</v>
      </c>
      <c r="E4" s="12" t="s">
        <v>206</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117" hidden="false" customHeight="true" outlineLevel="0" collapsed="false">
      <c r="A8" s="11" t="s">
        <v>246</v>
      </c>
      <c r="B8" s="12" t="s">
        <v>624</v>
      </c>
      <c r="D8" s="11" t="s">
        <v>248</v>
      </c>
      <c r="E8" s="12" t="s">
        <v>625</v>
      </c>
    </row>
    <row r="9" customFormat="false" ht="220.5" hidden="false" customHeight="true" outlineLevel="0" collapsed="false">
      <c r="A9" s="11" t="s">
        <v>250</v>
      </c>
      <c r="B9" s="12" t="s">
        <v>626</v>
      </c>
      <c r="D9" s="11" t="s">
        <v>252</v>
      </c>
      <c r="E9" s="12" t="s">
        <v>627</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628</v>
      </c>
      <c r="D11" s="11" t="s">
        <v>256</v>
      </c>
      <c r="E11" s="12" t="s">
        <v>628</v>
      </c>
    </row>
    <row r="12" customFormat="false" ht="21.75" hidden="false" customHeight="true" outlineLevel="0" collapsed="false">
      <c r="A12" s="11" t="s">
        <v>258</v>
      </c>
      <c r="B12" s="12" t="s">
        <v>117</v>
      </c>
      <c r="D12" s="11" t="s">
        <v>259</v>
      </c>
      <c r="E12" s="12" t="s">
        <v>117</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629</v>
      </c>
      <c r="B1" s="9"/>
      <c r="D1" s="9" t="s">
        <v>630</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119</v>
      </c>
      <c r="D3" s="11" t="s">
        <v>235</v>
      </c>
      <c r="E3" s="12" t="s">
        <v>119</v>
      </c>
    </row>
    <row r="4" customFormat="false" ht="21.75" hidden="false" customHeight="true" outlineLevel="0" collapsed="false">
      <c r="A4" s="11" t="s">
        <v>236</v>
      </c>
      <c r="B4" s="12" t="s">
        <v>118</v>
      </c>
      <c r="D4" s="11" t="s">
        <v>237</v>
      </c>
      <c r="E4" s="12" t="s">
        <v>206</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64.5" hidden="false" customHeight="true" outlineLevel="0" collapsed="false">
      <c r="A8" s="11" t="s">
        <v>246</v>
      </c>
      <c r="B8" s="12" t="s">
        <v>631</v>
      </c>
      <c r="D8" s="11" t="s">
        <v>248</v>
      </c>
      <c r="E8" s="12" t="s">
        <v>632</v>
      </c>
    </row>
    <row r="9" customFormat="false" ht="45" hidden="false" customHeight="true" outlineLevel="0" collapsed="false">
      <c r="A9" s="11" t="s">
        <v>250</v>
      </c>
      <c r="B9" s="12" t="s">
        <v>633</v>
      </c>
      <c r="D9" s="11" t="s">
        <v>252</v>
      </c>
      <c r="E9" s="12" t="s">
        <v>634</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635</v>
      </c>
      <c r="D11" s="11" t="s">
        <v>256</v>
      </c>
      <c r="E11" s="12" t="s">
        <v>635</v>
      </c>
    </row>
    <row r="12" customFormat="false" ht="21.75" hidden="false" customHeight="true" outlineLevel="0" collapsed="false">
      <c r="A12" s="11" t="s">
        <v>258</v>
      </c>
      <c r="B12" s="12" t="s">
        <v>119</v>
      </c>
      <c r="D12" s="11" t="s">
        <v>259</v>
      </c>
      <c r="E12" s="12" t="s">
        <v>119</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636</v>
      </c>
      <c r="B1" s="9"/>
      <c r="D1" s="9" t="s">
        <v>637</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121</v>
      </c>
      <c r="D3" s="11" t="s">
        <v>235</v>
      </c>
      <c r="E3" s="12" t="s">
        <v>121</v>
      </c>
    </row>
    <row r="4" customFormat="false" ht="21.75" hidden="false" customHeight="true" outlineLevel="0" collapsed="false">
      <c r="A4" s="11" t="s">
        <v>236</v>
      </c>
      <c r="B4" s="12" t="s">
        <v>122</v>
      </c>
      <c r="D4" s="11" t="s">
        <v>237</v>
      </c>
      <c r="E4" s="12" t="s">
        <v>207</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298.5" hidden="false" customHeight="true" outlineLevel="0" collapsed="false">
      <c r="A8" s="11" t="s">
        <v>246</v>
      </c>
      <c r="B8" s="12" t="s">
        <v>638</v>
      </c>
      <c r="D8" s="11" t="s">
        <v>248</v>
      </c>
      <c r="E8" s="12" t="s">
        <v>639</v>
      </c>
    </row>
    <row r="9" customFormat="false" ht="220.5" hidden="false" customHeight="true" outlineLevel="0" collapsed="false">
      <c r="A9" s="11" t="s">
        <v>250</v>
      </c>
      <c r="B9" s="12" t="s">
        <v>640</v>
      </c>
      <c r="D9" s="11" t="s">
        <v>252</v>
      </c>
      <c r="E9" s="12" t="s">
        <v>641</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642</v>
      </c>
      <c r="D11" s="11" t="s">
        <v>256</v>
      </c>
      <c r="E11" s="12" t="s">
        <v>642</v>
      </c>
    </row>
    <row r="12" customFormat="false" ht="21.75" hidden="false" customHeight="true" outlineLevel="0" collapsed="false">
      <c r="A12" s="11" t="s">
        <v>258</v>
      </c>
      <c r="B12" s="12" t="s">
        <v>121</v>
      </c>
      <c r="D12" s="11" t="s">
        <v>259</v>
      </c>
      <c r="E12" s="12" t="s">
        <v>121</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643</v>
      </c>
      <c r="B1" s="9"/>
      <c r="D1" s="9" t="s">
        <v>644</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123</v>
      </c>
      <c r="D3" s="11" t="s">
        <v>235</v>
      </c>
      <c r="E3" s="12" t="s">
        <v>123</v>
      </c>
    </row>
    <row r="4" customFormat="false" ht="21.75" hidden="false" customHeight="true" outlineLevel="0" collapsed="false">
      <c r="A4" s="11" t="s">
        <v>236</v>
      </c>
      <c r="B4" s="12" t="s">
        <v>122</v>
      </c>
      <c r="D4" s="11" t="s">
        <v>237</v>
      </c>
      <c r="E4" s="12" t="s">
        <v>207</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51.75" hidden="false" customHeight="true" outlineLevel="0" collapsed="false">
      <c r="A8" s="11" t="s">
        <v>246</v>
      </c>
      <c r="B8" s="12" t="s">
        <v>645</v>
      </c>
      <c r="D8" s="11" t="s">
        <v>248</v>
      </c>
      <c r="E8" s="12" t="s">
        <v>646</v>
      </c>
    </row>
    <row r="9" customFormat="false" ht="45" hidden="false" customHeight="true" outlineLevel="0" collapsed="false">
      <c r="A9" s="11" t="s">
        <v>250</v>
      </c>
      <c r="B9" s="12" t="s">
        <v>647</v>
      </c>
      <c r="D9" s="11" t="s">
        <v>252</v>
      </c>
      <c r="E9" s="12" t="s">
        <v>648</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649</v>
      </c>
      <c r="D11" s="11" t="s">
        <v>256</v>
      </c>
      <c r="E11" s="12" t="s">
        <v>649</v>
      </c>
    </row>
    <row r="12" customFormat="false" ht="21.75" hidden="false" customHeight="true" outlineLevel="0" collapsed="false">
      <c r="A12" s="11" t="s">
        <v>258</v>
      </c>
      <c r="B12" s="12" t="s">
        <v>123</v>
      </c>
      <c r="D12" s="11" t="s">
        <v>259</v>
      </c>
      <c r="E12" s="12" t="s">
        <v>123</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650</v>
      </c>
      <c r="B1" s="9"/>
      <c r="D1" s="9" t="s">
        <v>651</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125</v>
      </c>
      <c r="D3" s="11" t="s">
        <v>235</v>
      </c>
      <c r="E3" s="12" t="s">
        <v>125</v>
      </c>
    </row>
    <row r="4" customFormat="false" ht="21.75" hidden="false" customHeight="true" outlineLevel="0" collapsed="false">
      <c r="A4" s="11" t="s">
        <v>236</v>
      </c>
      <c r="B4" s="12" t="s">
        <v>126</v>
      </c>
      <c r="D4" s="11" t="s">
        <v>237</v>
      </c>
      <c r="E4" s="12" t="s">
        <v>208</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103.5" hidden="false" customHeight="true" outlineLevel="0" collapsed="false">
      <c r="A8" s="11" t="s">
        <v>246</v>
      </c>
      <c r="B8" s="12" t="s">
        <v>652</v>
      </c>
      <c r="D8" s="11" t="s">
        <v>248</v>
      </c>
      <c r="E8" s="12" t="s">
        <v>653</v>
      </c>
    </row>
    <row r="9" customFormat="false" ht="234" hidden="false" customHeight="true" outlineLevel="0" collapsed="false">
      <c r="A9" s="11" t="s">
        <v>250</v>
      </c>
      <c r="B9" s="12" t="s">
        <v>654</v>
      </c>
      <c r="D9" s="11" t="s">
        <v>252</v>
      </c>
      <c r="E9" s="12" t="s">
        <v>655</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656</v>
      </c>
      <c r="D11" s="11" t="s">
        <v>256</v>
      </c>
      <c r="E11" s="12" t="s">
        <v>656</v>
      </c>
    </row>
    <row r="12" customFormat="false" ht="21.75" hidden="false" customHeight="true" outlineLevel="0" collapsed="false">
      <c r="A12" s="11" t="s">
        <v>258</v>
      </c>
      <c r="B12" s="12" t="s">
        <v>125</v>
      </c>
      <c r="D12" s="11" t="s">
        <v>259</v>
      </c>
      <c r="E12" s="12" t="s">
        <v>125</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657</v>
      </c>
      <c r="B1" s="9"/>
      <c r="D1" s="9" t="s">
        <v>658</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128</v>
      </c>
      <c r="D3" s="11" t="s">
        <v>235</v>
      </c>
      <c r="E3" s="12" t="s">
        <v>128</v>
      </c>
    </row>
    <row r="4" customFormat="false" ht="21.75" hidden="false" customHeight="true" outlineLevel="0" collapsed="false">
      <c r="A4" s="11" t="s">
        <v>236</v>
      </c>
      <c r="B4" s="12" t="s">
        <v>129</v>
      </c>
      <c r="D4" s="11" t="s">
        <v>237</v>
      </c>
      <c r="E4" s="12" t="s">
        <v>209</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117" hidden="false" customHeight="true" outlineLevel="0" collapsed="false">
      <c r="A8" s="11" t="s">
        <v>246</v>
      </c>
      <c r="B8" s="12" t="s">
        <v>659</v>
      </c>
      <c r="D8" s="11" t="s">
        <v>248</v>
      </c>
      <c r="E8" s="12" t="s">
        <v>660</v>
      </c>
    </row>
    <row r="9" customFormat="false" ht="285.75" hidden="false" customHeight="true" outlineLevel="0" collapsed="false">
      <c r="A9" s="11" t="s">
        <v>250</v>
      </c>
      <c r="B9" s="12" t="s">
        <v>661</v>
      </c>
      <c r="D9" s="11" t="s">
        <v>252</v>
      </c>
      <c r="E9" s="12" t="s">
        <v>662</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663</v>
      </c>
      <c r="D11" s="11" t="s">
        <v>256</v>
      </c>
      <c r="E11" s="12" t="s">
        <v>663</v>
      </c>
    </row>
    <row r="12" customFormat="false" ht="21.75" hidden="false" customHeight="true" outlineLevel="0" collapsed="false">
      <c r="A12" s="11" t="s">
        <v>258</v>
      </c>
      <c r="B12" s="12" t="s">
        <v>128</v>
      </c>
      <c r="D12" s="11" t="s">
        <v>259</v>
      </c>
      <c r="E12" s="12" t="s">
        <v>128</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664</v>
      </c>
      <c r="B1" s="9"/>
      <c r="D1" s="9" t="s">
        <v>665</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130</v>
      </c>
      <c r="D3" s="11" t="s">
        <v>235</v>
      </c>
      <c r="E3" s="12" t="s">
        <v>130</v>
      </c>
    </row>
    <row r="4" customFormat="false" ht="21.75" hidden="false" customHeight="true" outlineLevel="0" collapsed="false">
      <c r="A4" s="11" t="s">
        <v>236</v>
      </c>
      <c r="B4" s="12" t="s">
        <v>131</v>
      </c>
      <c r="D4" s="11" t="s">
        <v>237</v>
      </c>
      <c r="E4" s="12" t="s">
        <v>210</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45" hidden="false" customHeight="true" outlineLevel="0" collapsed="false">
      <c r="A8" s="11" t="s">
        <v>246</v>
      </c>
      <c r="B8" s="12" t="s">
        <v>666</v>
      </c>
      <c r="D8" s="11" t="s">
        <v>248</v>
      </c>
      <c r="E8" s="12" t="s">
        <v>667</v>
      </c>
    </row>
    <row r="9" customFormat="false" ht="234" hidden="false" customHeight="true" outlineLevel="0" collapsed="false">
      <c r="A9" s="11" t="s">
        <v>250</v>
      </c>
      <c r="B9" s="12" t="s">
        <v>668</v>
      </c>
      <c r="D9" s="11" t="s">
        <v>252</v>
      </c>
      <c r="E9" s="12" t="s">
        <v>669</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670</v>
      </c>
      <c r="D11" s="11" t="s">
        <v>256</v>
      </c>
      <c r="E11" s="12" t="s">
        <v>670</v>
      </c>
    </row>
    <row r="12" customFormat="false" ht="21.75" hidden="false" customHeight="true" outlineLevel="0" collapsed="false">
      <c r="A12" s="11" t="s">
        <v>258</v>
      </c>
      <c r="B12" s="12" t="s">
        <v>130</v>
      </c>
      <c r="D12" s="11" t="s">
        <v>259</v>
      </c>
      <c r="E12" s="12" t="s">
        <v>130</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671</v>
      </c>
      <c r="B1" s="9"/>
      <c r="D1" s="9" t="s">
        <v>672</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132</v>
      </c>
      <c r="D3" s="11" t="s">
        <v>235</v>
      </c>
      <c r="E3" s="12" t="s">
        <v>132</v>
      </c>
    </row>
    <row r="4" customFormat="false" ht="21.75" hidden="false" customHeight="true" outlineLevel="0" collapsed="false">
      <c r="A4" s="11" t="s">
        <v>236</v>
      </c>
      <c r="B4" s="12" t="s">
        <v>133</v>
      </c>
      <c r="D4" s="11" t="s">
        <v>237</v>
      </c>
      <c r="E4" s="12" t="s">
        <v>211</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78" hidden="false" customHeight="true" outlineLevel="0" collapsed="false">
      <c r="A8" s="11" t="s">
        <v>246</v>
      </c>
      <c r="B8" s="12" t="s">
        <v>673</v>
      </c>
      <c r="D8" s="11" t="s">
        <v>248</v>
      </c>
      <c r="E8" s="12" t="s">
        <v>674</v>
      </c>
    </row>
    <row r="9" customFormat="false" ht="168.75" hidden="false" customHeight="true" outlineLevel="0" collapsed="false">
      <c r="A9" s="11" t="s">
        <v>250</v>
      </c>
      <c r="B9" s="12" t="s">
        <v>675</v>
      </c>
      <c r="D9" s="11" t="s">
        <v>252</v>
      </c>
      <c r="E9" s="12" t="s">
        <v>676</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677</v>
      </c>
      <c r="D11" s="11" t="s">
        <v>256</v>
      </c>
      <c r="E11" s="12" t="s">
        <v>677</v>
      </c>
    </row>
    <row r="12" customFormat="false" ht="21.75" hidden="false" customHeight="true" outlineLevel="0" collapsed="false">
      <c r="A12" s="11" t="s">
        <v>258</v>
      </c>
      <c r="B12" s="12" t="s">
        <v>132</v>
      </c>
      <c r="D12" s="11" t="s">
        <v>259</v>
      </c>
      <c r="E12" s="12" t="s">
        <v>132</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678</v>
      </c>
      <c r="B1" s="9"/>
      <c r="D1" s="9" t="s">
        <v>679</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134</v>
      </c>
      <c r="D3" s="11" t="s">
        <v>235</v>
      </c>
      <c r="E3" s="12" t="s">
        <v>134</v>
      </c>
    </row>
    <row r="4" customFormat="false" ht="21.75" hidden="false" customHeight="true" outlineLevel="0" collapsed="false">
      <c r="A4" s="11" t="s">
        <v>236</v>
      </c>
      <c r="B4" s="12" t="s">
        <v>135</v>
      </c>
      <c r="D4" s="11" t="s">
        <v>237</v>
      </c>
      <c r="E4" s="12" t="s">
        <v>212</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51.75" hidden="false" customHeight="true" outlineLevel="0" collapsed="false">
      <c r="A8" s="11" t="s">
        <v>246</v>
      </c>
      <c r="B8" s="12" t="s">
        <v>680</v>
      </c>
      <c r="D8" s="11" t="s">
        <v>248</v>
      </c>
      <c r="E8" s="12" t="s">
        <v>681</v>
      </c>
    </row>
    <row r="9" customFormat="false" ht="259.5" hidden="false" customHeight="true" outlineLevel="0" collapsed="false">
      <c r="A9" s="11" t="s">
        <v>250</v>
      </c>
      <c r="B9" s="12" t="s">
        <v>682</v>
      </c>
      <c r="D9" s="11" t="s">
        <v>252</v>
      </c>
      <c r="E9" s="12" t="s">
        <v>683</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684</v>
      </c>
      <c r="D11" s="11" t="s">
        <v>256</v>
      </c>
      <c r="E11" s="12" t="s">
        <v>684</v>
      </c>
    </row>
    <row r="12" customFormat="false" ht="21.75" hidden="false" customHeight="true" outlineLevel="0" collapsed="false">
      <c r="A12" s="11" t="s">
        <v>258</v>
      </c>
      <c r="B12" s="12" t="s">
        <v>134</v>
      </c>
      <c r="D12" s="11" t="s">
        <v>259</v>
      </c>
      <c r="E12" s="12" t="s">
        <v>134</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685</v>
      </c>
      <c r="B1" s="9"/>
      <c r="D1" s="9" t="s">
        <v>686</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136</v>
      </c>
      <c r="D3" s="11" t="s">
        <v>235</v>
      </c>
      <c r="E3" s="12" t="s">
        <v>136</v>
      </c>
    </row>
    <row r="4" customFormat="false" ht="21.75" hidden="false" customHeight="true" outlineLevel="0" collapsed="false">
      <c r="A4" s="11" t="s">
        <v>236</v>
      </c>
      <c r="B4" s="12" t="s">
        <v>135</v>
      </c>
      <c r="D4" s="11" t="s">
        <v>237</v>
      </c>
      <c r="E4" s="12" t="s">
        <v>212</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78" hidden="false" customHeight="true" outlineLevel="0" collapsed="false">
      <c r="A8" s="11" t="s">
        <v>246</v>
      </c>
      <c r="B8" s="12" t="s">
        <v>687</v>
      </c>
      <c r="D8" s="11" t="s">
        <v>248</v>
      </c>
      <c r="E8" s="12" t="s">
        <v>688</v>
      </c>
    </row>
    <row r="9" customFormat="false" ht="207.75" hidden="false" customHeight="true" outlineLevel="0" collapsed="false">
      <c r="A9" s="11" t="s">
        <v>250</v>
      </c>
      <c r="B9" s="12" t="s">
        <v>689</v>
      </c>
      <c r="D9" s="11" t="s">
        <v>252</v>
      </c>
      <c r="E9" s="12" t="s">
        <v>690</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691</v>
      </c>
      <c r="D11" s="11" t="s">
        <v>256</v>
      </c>
      <c r="E11" s="12" t="s">
        <v>691</v>
      </c>
    </row>
    <row r="12" customFormat="false" ht="21.75" hidden="false" customHeight="true" outlineLevel="0" collapsed="false">
      <c r="A12" s="11" t="s">
        <v>258</v>
      </c>
      <c r="B12" s="12" t="s">
        <v>136</v>
      </c>
      <c r="D12" s="11" t="s">
        <v>259</v>
      </c>
      <c r="E12" s="12" t="s">
        <v>136</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692</v>
      </c>
      <c r="B1" s="9"/>
      <c r="D1" s="9" t="s">
        <v>693</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138</v>
      </c>
      <c r="D3" s="11" t="s">
        <v>235</v>
      </c>
      <c r="E3" s="12" t="s">
        <v>138</v>
      </c>
    </row>
    <row r="4" customFormat="false" ht="21.75" hidden="false" customHeight="true" outlineLevel="0" collapsed="false">
      <c r="A4" s="11" t="s">
        <v>236</v>
      </c>
      <c r="B4" s="12" t="s">
        <v>139</v>
      </c>
      <c r="D4" s="11" t="s">
        <v>237</v>
      </c>
      <c r="E4" s="12" t="s">
        <v>213</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51.75" hidden="false" customHeight="true" outlineLevel="0" collapsed="false">
      <c r="A8" s="11" t="s">
        <v>246</v>
      </c>
      <c r="B8" s="12" t="s">
        <v>694</v>
      </c>
      <c r="D8" s="11" t="s">
        <v>248</v>
      </c>
      <c r="E8" s="12" t="s">
        <v>695</v>
      </c>
    </row>
    <row r="9" customFormat="false" ht="45" hidden="false" customHeight="true" outlineLevel="0" collapsed="false">
      <c r="A9" s="11" t="s">
        <v>250</v>
      </c>
      <c r="B9" s="12" t="s">
        <v>696</v>
      </c>
      <c r="D9" s="11" t="s">
        <v>252</v>
      </c>
      <c r="E9" s="12" t="s">
        <v>697</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698</v>
      </c>
      <c r="D11" s="11" t="s">
        <v>256</v>
      </c>
      <c r="E11" s="12" t="s">
        <v>698</v>
      </c>
    </row>
    <row r="12" customFormat="false" ht="21.75" hidden="false" customHeight="true" outlineLevel="0" collapsed="false">
      <c r="A12" s="11" t="s">
        <v>258</v>
      </c>
      <c r="B12" s="12" t="s">
        <v>138</v>
      </c>
      <c r="D12" s="11" t="s">
        <v>259</v>
      </c>
      <c r="E12" s="12" t="s">
        <v>138</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699</v>
      </c>
      <c r="B1" s="9"/>
      <c r="D1" s="9" t="s">
        <v>700</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141</v>
      </c>
      <c r="D3" s="11" t="s">
        <v>235</v>
      </c>
      <c r="E3" s="12" t="s">
        <v>141</v>
      </c>
    </row>
    <row r="4" customFormat="false" ht="21.75" hidden="false" customHeight="true" outlineLevel="0" collapsed="false">
      <c r="A4" s="11" t="s">
        <v>236</v>
      </c>
      <c r="B4" s="12" t="s">
        <v>142</v>
      </c>
      <c r="D4" s="11" t="s">
        <v>237</v>
      </c>
      <c r="E4" s="12" t="s">
        <v>214</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45" hidden="false" customHeight="true" outlineLevel="0" collapsed="false">
      <c r="A8" s="11" t="s">
        <v>246</v>
      </c>
      <c r="B8" s="12" t="s">
        <v>701</v>
      </c>
      <c r="D8" s="11" t="s">
        <v>248</v>
      </c>
      <c r="E8" s="12" t="s">
        <v>702</v>
      </c>
    </row>
    <row r="9" customFormat="false" ht="78" hidden="false" customHeight="true" outlineLevel="0" collapsed="false">
      <c r="A9" s="11" t="s">
        <v>250</v>
      </c>
      <c r="B9" s="12" t="s">
        <v>703</v>
      </c>
      <c r="D9" s="11" t="s">
        <v>252</v>
      </c>
      <c r="E9" s="12" t="s">
        <v>704</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705</v>
      </c>
      <c r="D11" s="11" t="s">
        <v>256</v>
      </c>
      <c r="E11" s="12" t="s">
        <v>705</v>
      </c>
    </row>
    <row r="12" customFormat="false" ht="21.75" hidden="false" customHeight="true" outlineLevel="0" collapsed="false">
      <c r="A12" s="11" t="s">
        <v>258</v>
      </c>
      <c r="B12" s="12" t="s">
        <v>141</v>
      </c>
      <c r="D12" s="11" t="s">
        <v>259</v>
      </c>
      <c r="E12" s="12" t="s">
        <v>141</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706</v>
      </c>
      <c r="B1" s="9"/>
      <c r="D1" s="9" t="s">
        <v>707</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144</v>
      </c>
      <c r="D3" s="11" t="s">
        <v>235</v>
      </c>
      <c r="E3" s="12" t="s">
        <v>144</v>
      </c>
    </row>
    <row r="4" customFormat="false" ht="21.75" hidden="false" customHeight="true" outlineLevel="0" collapsed="false">
      <c r="A4" s="11" t="s">
        <v>236</v>
      </c>
      <c r="B4" s="12" t="s">
        <v>142</v>
      </c>
      <c r="D4" s="11" t="s">
        <v>237</v>
      </c>
      <c r="E4" s="12" t="s">
        <v>214</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45" hidden="false" customHeight="true" outlineLevel="0" collapsed="false">
      <c r="A8" s="11" t="s">
        <v>246</v>
      </c>
      <c r="B8" s="12" t="s">
        <v>708</v>
      </c>
      <c r="D8" s="11" t="s">
        <v>248</v>
      </c>
      <c r="E8" s="12" t="s">
        <v>709</v>
      </c>
    </row>
    <row r="9" customFormat="false" ht="64.5" hidden="false" customHeight="true" outlineLevel="0" collapsed="false">
      <c r="A9" s="11" t="s">
        <v>250</v>
      </c>
      <c r="B9" s="12" t="s">
        <v>710</v>
      </c>
      <c r="D9" s="11" t="s">
        <v>252</v>
      </c>
      <c r="E9" s="12" t="s">
        <v>711</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712</v>
      </c>
      <c r="D11" s="11" t="s">
        <v>256</v>
      </c>
      <c r="E11" s="12" t="s">
        <v>712</v>
      </c>
    </row>
    <row r="12" customFormat="false" ht="21.75" hidden="false" customHeight="true" outlineLevel="0" collapsed="false">
      <c r="A12" s="11" t="s">
        <v>258</v>
      </c>
      <c r="B12" s="12" t="s">
        <v>144</v>
      </c>
      <c r="D12" s="11" t="s">
        <v>259</v>
      </c>
      <c r="E12" s="12" t="s">
        <v>144</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713</v>
      </c>
      <c r="B1" s="9"/>
      <c r="D1" s="9" t="s">
        <v>714</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146</v>
      </c>
      <c r="D3" s="11" t="s">
        <v>235</v>
      </c>
      <c r="E3" s="12" t="s">
        <v>146</v>
      </c>
    </row>
    <row r="4" customFormat="false" ht="21.75" hidden="false" customHeight="true" outlineLevel="0" collapsed="false">
      <c r="A4" s="11" t="s">
        <v>236</v>
      </c>
      <c r="B4" s="12" t="s">
        <v>147</v>
      </c>
      <c r="D4" s="11" t="s">
        <v>237</v>
      </c>
      <c r="E4" s="12" t="s">
        <v>215</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300" hidden="false" customHeight="true" outlineLevel="0" collapsed="false">
      <c r="A8" s="11" t="s">
        <v>246</v>
      </c>
      <c r="B8" s="12" t="s">
        <v>715</v>
      </c>
      <c r="D8" s="11" t="s">
        <v>248</v>
      </c>
      <c r="E8" s="12" t="s">
        <v>716</v>
      </c>
    </row>
    <row r="9" customFormat="false" ht="300" hidden="false" customHeight="true" outlineLevel="0" collapsed="false">
      <c r="A9" s="11" t="s">
        <v>250</v>
      </c>
      <c r="B9" s="12" t="s">
        <v>717</v>
      </c>
      <c r="D9" s="11" t="s">
        <v>252</v>
      </c>
      <c r="E9" s="12" t="s">
        <v>718</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719</v>
      </c>
      <c r="D11" s="11" t="s">
        <v>256</v>
      </c>
      <c r="E11" s="12" t="s">
        <v>719</v>
      </c>
    </row>
    <row r="12" customFormat="false" ht="21.75" hidden="false" customHeight="true" outlineLevel="0" collapsed="false">
      <c r="A12" s="11" t="s">
        <v>258</v>
      </c>
      <c r="B12" s="12" t="s">
        <v>146</v>
      </c>
      <c r="D12" s="11" t="s">
        <v>259</v>
      </c>
      <c r="E12" s="12" t="s">
        <v>146</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720</v>
      </c>
      <c r="B1" s="9"/>
      <c r="D1" s="9" t="s">
        <v>721</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148</v>
      </c>
      <c r="D3" s="11" t="s">
        <v>235</v>
      </c>
      <c r="E3" s="12" t="s">
        <v>148</v>
      </c>
    </row>
    <row r="4" customFormat="false" ht="21.75" hidden="false" customHeight="true" outlineLevel="0" collapsed="false">
      <c r="A4" s="11" t="s">
        <v>236</v>
      </c>
      <c r="B4" s="12" t="s">
        <v>147</v>
      </c>
      <c r="D4" s="11" t="s">
        <v>237</v>
      </c>
      <c r="E4" s="12" t="s">
        <v>215</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51.75" hidden="false" customHeight="true" outlineLevel="0" collapsed="false">
      <c r="A8" s="11" t="s">
        <v>246</v>
      </c>
      <c r="B8" s="12" t="s">
        <v>722</v>
      </c>
      <c r="D8" s="11" t="s">
        <v>248</v>
      </c>
      <c r="E8" s="12" t="s">
        <v>723</v>
      </c>
    </row>
    <row r="9" customFormat="false" ht="45" hidden="false" customHeight="true" outlineLevel="0" collapsed="false">
      <c r="A9" s="11" t="s">
        <v>250</v>
      </c>
      <c r="B9" s="12"/>
      <c r="D9" s="11" t="s">
        <v>252</v>
      </c>
      <c r="E9" s="12"/>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724</v>
      </c>
      <c r="D11" s="11" t="s">
        <v>256</v>
      </c>
      <c r="E11" s="12" t="s">
        <v>724</v>
      </c>
    </row>
    <row r="12" customFormat="false" ht="21.75" hidden="false" customHeight="true" outlineLevel="0" collapsed="false">
      <c r="A12" s="11" t="s">
        <v>258</v>
      </c>
      <c r="B12" s="12" t="s">
        <v>148</v>
      </c>
      <c r="D12" s="11" t="s">
        <v>259</v>
      </c>
      <c r="E12" s="12" t="s">
        <v>148</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725</v>
      </c>
      <c r="B1" s="9"/>
      <c r="D1" s="9" t="s">
        <v>726</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150</v>
      </c>
      <c r="D3" s="11" t="s">
        <v>235</v>
      </c>
      <c r="E3" s="12" t="s">
        <v>150</v>
      </c>
    </row>
    <row r="4" customFormat="false" ht="21.75" hidden="false" customHeight="true" outlineLevel="0" collapsed="false">
      <c r="A4" s="11" t="s">
        <v>236</v>
      </c>
      <c r="B4" s="12" t="s">
        <v>147</v>
      </c>
      <c r="D4" s="11" t="s">
        <v>237</v>
      </c>
      <c r="E4" s="12" t="s">
        <v>215</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45" hidden="false" customHeight="true" outlineLevel="0" collapsed="false">
      <c r="A8" s="11" t="s">
        <v>246</v>
      </c>
      <c r="B8" s="12" t="s">
        <v>727</v>
      </c>
      <c r="D8" s="11" t="s">
        <v>248</v>
      </c>
      <c r="E8" s="12" t="s">
        <v>728</v>
      </c>
    </row>
    <row r="9" customFormat="false" ht="78" hidden="false" customHeight="true" outlineLevel="0" collapsed="false">
      <c r="A9" s="11" t="s">
        <v>250</v>
      </c>
      <c r="B9" s="12" t="s">
        <v>729</v>
      </c>
      <c r="D9" s="11" t="s">
        <v>252</v>
      </c>
      <c r="E9" s="12" t="s">
        <v>730</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731</v>
      </c>
      <c r="D11" s="11" t="s">
        <v>256</v>
      </c>
      <c r="E11" s="12" t="s">
        <v>731</v>
      </c>
    </row>
    <row r="12" customFormat="false" ht="21.75" hidden="false" customHeight="true" outlineLevel="0" collapsed="false">
      <c r="A12" s="11" t="s">
        <v>258</v>
      </c>
      <c r="B12" s="12" t="s">
        <v>150</v>
      </c>
      <c r="D12" s="11" t="s">
        <v>259</v>
      </c>
      <c r="E12" s="12" t="s">
        <v>150</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732</v>
      </c>
      <c r="B1" s="9"/>
      <c r="D1" s="9" t="s">
        <v>733</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152</v>
      </c>
      <c r="D3" s="11" t="s">
        <v>235</v>
      </c>
      <c r="E3" s="12" t="s">
        <v>152</v>
      </c>
    </row>
    <row r="4" customFormat="false" ht="21.75" hidden="false" customHeight="true" outlineLevel="0" collapsed="false">
      <c r="A4" s="11" t="s">
        <v>236</v>
      </c>
      <c r="B4" s="12" t="s">
        <v>147</v>
      </c>
      <c r="D4" s="11" t="s">
        <v>237</v>
      </c>
      <c r="E4" s="12" t="s">
        <v>215</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51.75" hidden="false" customHeight="true" outlineLevel="0" collapsed="false">
      <c r="A8" s="11" t="s">
        <v>246</v>
      </c>
      <c r="B8" s="12" t="s">
        <v>734</v>
      </c>
      <c r="D8" s="11" t="s">
        <v>248</v>
      </c>
      <c r="E8" s="12" t="s">
        <v>735</v>
      </c>
    </row>
    <row r="9" customFormat="false" ht="117" hidden="false" customHeight="true" outlineLevel="0" collapsed="false">
      <c r="A9" s="11" t="s">
        <v>250</v>
      </c>
      <c r="B9" s="12" t="s">
        <v>736</v>
      </c>
      <c r="D9" s="11" t="s">
        <v>252</v>
      </c>
      <c r="E9" s="12" t="s">
        <v>737</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738</v>
      </c>
      <c r="D11" s="11" t="s">
        <v>256</v>
      </c>
      <c r="E11" s="12" t="s">
        <v>738</v>
      </c>
    </row>
    <row r="12" customFormat="false" ht="21.75" hidden="false" customHeight="true" outlineLevel="0" collapsed="false">
      <c r="A12" s="11" t="s">
        <v>258</v>
      </c>
      <c r="B12" s="12" t="s">
        <v>152</v>
      </c>
      <c r="D12" s="11" t="s">
        <v>259</v>
      </c>
      <c r="E12" s="12" t="s">
        <v>152</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739</v>
      </c>
      <c r="B1" s="9"/>
      <c r="D1" s="9" t="s">
        <v>740</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154</v>
      </c>
      <c r="D3" s="11" t="s">
        <v>235</v>
      </c>
      <c r="E3" s="12" t="s">
        <v>154</v>
      </c>
    </row>
    <row r="4" customFormat="false" ht="21.75" hidden="false" customHeight="true" outlineLevel="0" collapsed="false">
      <c r="A4" s="11" t="s">
        <v>236</v>
      </c>
      <c r="B4" s="12" t="s">
        <v>147</v>
      </c>
      <c r="D4" s="11" t="s">
        <v>237</v>
      </c>
      <c r="E4" s="12" t="s">
        <v>215</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64.5" hidden="false" customHeight="true" outlineLevel="0" collapsed="false">
      <c r="A8" s="11" t="s">
        <v>246</v>
      </c>
      <c r="B8" s="12" t="s">
        <v>741</v>
      </c>
      <c r="D8" s="11" t="s">
        <v>248</v>
      </c>
      <c r="E8" s="12" t="s">
        <v>742</v>
      </c>
    </row>
    <row r="9" customFormat="false" ht="142.5" hidden="false" customHeight="true" outlineLevel="0" collapsed="false">
      <c r="A9" s="11" t="s">
        <v>250</v>
      </c>
      <c r="B9" s="12" t="s">
        <v>743</v>
      </c>
      <c r="D9" s="11" t="s">
        <v>252</v>
      </c>
      <c r="E9" s="12" t="s">
        <v>744</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745</v>
      </c>
      <c r="D11" s="11" t="s">
        <v>256</v>
      </c>
      <c r="E11" s="12" t="s">
        <v>745</v>
      </c>
    </row>
    <row r="12" customFormat="false" ht="21.75" hidden="false" customHeight="true" outlineLevel="0" collapsed="false">
      <c r="A12" s="11" t="s">
        <v>258</v>
      </c>
      <c r="B12" s="12" t="s">
        <v>154</v>
      </c>
      <c r="D12" s="11" t="s">
        <v>259</v>
      </c>
      <c r="E12" s="12" t="s">
        <v>154</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746</v>
      </c>
      <c r="B1" s="9"/>
      <c r="D1" s="9" t="s">
        <v>747</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156</v>
      </c>
      <c r="D3" s="11" t="s">
        <v>235</v>
      </c>
      <c r="E3" s="12" t="s">
        <v>156</v>
      </c>
    </row>
    <row r="4" customFormat="false" ht="21.75" hidden="false" customHeight="true" outlineLevel="0" collapsed="false">
      <c r="A4" s="11" t="s">
        <v>236</v>
      </c>
      <c r="B4" s="12" t="s">
        <v>147</v>
      </c>
      <c r="D4" s="11" t="s">
        <v>237</v>
      </c>
      <c r="E4" s="12" t="s">
        <v>215</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64.5" hidden="false" customHeight="true" outlineLevel="0" collapsed="false">
      <c r="A8" s="11" t="s">
        <v>246</v>
      </c>
      <c r="B8" s="12" t="s">
        <v>748</v>
      </c>
      <c r="D8" s="11" t="s">
        <v>248</v>
      </c>
      <c r="E8" s="12" t="s">
        <v>749</v>
      </c>
    </row>
    <row r="9" customFormat="false" ht="64.5" hidden="false" customHeight="true" outlineLevel="0" collapsed="false">
      <c r="A9" s="11" t="s">
        <v>250</v>
      </c>
      <c r="B9" s="12" t="s">
        <v>750</v>
      </c>
      <c r="D9" s="11" t="s">
        <v>252</v>
      </c>
      <c r="E9" s="12" t="s">
        <v>751</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752</v>
      </c>
      <c r="D11" s="11" t="s">
        <v>256</v>
      </c>
      <c r="E11" s="12" t="s">
        <v>752</v>
      </c>
    </row>
    <row r="12" customFormat="false" ht="21.75" hidden="false" customHeight="true" outlineLevel="0" collapsed="false">
      <c r="A12" s="11" t="s">
        <v>258</v>
      </c>
      <c r="B12" s="12" t="s">
        <v>156</v>
      </c>
      <c r="D12" s="11" t="s">
        <v>259</v>
      </c>
      <c r="E12" s="12" t="s">
        <v>156</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753</v>
      </c>
      <c r="B1" s="9"/>
      <c r="D1" s="9" t="s">
        <v>754</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158</v>
      </c>
      <c r="D3" s="11" t="s">
        <v>235</v>
      </c>
      <c r="E3" s="12" t="s">
        <v>158</v>
      </c>
    </row>
    <row r="4" customFormat="false" ht="21.75" hidden="false" customHeight="true" outlineLevel="0" collapsed="false">
      <c r="A4" s="11" t="s">
        <v>236</v>
      </c>
      <c r="B4" s="12" t="s">
        <v>159</v>
      </c>
      <c r="D4" s="11" t="s">
        <v>237</v>
      </c>
      <c r="E4" s="12" t="s">
        <v>216</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142.5" hidden="false" customHeight="true" outlineLevel="0" collapsed="false">
      <c r="A8" s="11" t="s">
        <v>246</v>
      </c>
      <c r="B8" s="12" t="s">
        <v>755</v>
      </c>
      <c r="D8" s="11" t="s">
        <v>248</v>
      </c>
      <c r="E8" s="12" t="s">
        <v>756</v>
      </c>
    </row>
    <row r="9" customFormat="false" ht="90.75" hidden="false" customHeight="true" outlineLevel="0" collapsed="false">
      <c r="A9" s="11" t="s">
        <v>250</v>
      </c>
      <c r="B9" s="12" t="s">
        <v>757</v>
      </c>
      <c r="D9" s="11" t="s">
        <v>252</v>
      </c>
      <c r="E9" s="12" t="s">
        <v>758</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759</v>
      </c>
      <c r="D11" s="11" t="s">
        <v>256</v>
      </c>
      <c r="E11" s="12" t="s">
        <v>759</v>
      </c>
    </row>
    <row r="12" customFormat="false" ht="21.75" hidden="false" customHeight="true" outlineLevel="0" collapsed="false">
      <c r="A12" s="11" t="s">
        <v>258</v>
      </c>
      <c r="B12" s="12" t="s">
        <v>158</v>
      </c>
      <c r="D12" s="11" t="s">
        <v>259</v>
      </c>
      <c r="E12" s="12" t="s">
        <v>158</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760</v>
      </c>
      <c r="B1" s="9"/>
      <c r="D1" s="9" t="s">
        <v>761</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160</v>
      </c>
      <c r="D3" s="11" t="s">
        <v>235</v>
      </c>
      <c r="E3" s="12" t="s">
        <v>160</v>
      </c>
    </row>
    <row r="4" customFormat="false" ht="21.75" hidden="false" customHeight="true" outlineLevel="0" collapsed="false">
      <c r="A4" s="11" t="s">
        <v>236</v>
      </c>
      <c r="B4" s="12" t="s">
        <v>161</v>
      </c>
      <c r="D4" s="11" t="s">
        <v>237</v>
      </c>
      <c r="E4" s="12" t="s">
        <v>217</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64.5" hidden="false" customHeight="true" outlineLevel="0" collapsed="false">
      <c r="A8" s="11" t="s">
        <v>246</v>
      </c>
      <c r="B8" s="12" t="s">
        <v>762</v>
      </c>
      <c r="D8" s="11" t="s">
        <v>248</v>
      </c>
      <c r="E8" s="12" t="s">
        <v>763</v>
      </c>
    </row>
    <row r="9" customFormat="false" ht="117" hidden="false" customHeight="true" outlineLevel="0" collapsed="false">
      <c r="A9" s="11" t="s">
        <v>250</v>
      </c>
      <c r="B9" s="12" t="s">
        <v>764</v>
      </c>
      <c r="D9" s="11" t="s">
        <v>252</v>
      </c>
      <c r="E9" s="12" t="s">
        <v>765</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766</v>
      </c>
      <c r="D11" s="11" t="s">
        <v>256</v>
      </c>
      <c r="E11" s="12" t="s">
        <v>766</v>
      </c>
    </row>
    <row r="12" customFormat="false" ht="21.75" hidden="false" customHeight="true" outlineLevel="0" collapsed="false">
      <c r="A12" s="11" t="s">
        <v>258</v>
      </c>
      <c r="B12" s="12" t="s">
        <v>160</v>
      </c>
      <c r="D12" s="11" t="s">
        <v>259</v>
      </c>
      <c r="E12" s="12" t="s">
        <v>160</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767</v>
      </c>
      <c r="B1" s="9"/>
      <c r="D1" s="9" t="s">
        <v>768</v>
      </c>
      <c r="E1" s="9"/>
    </row>
    <row r="2" customFormat="false" ht="19.5" hidden="false" customHeight="true" outlineLevel="0" collapsed="false">
      <c r="A2" s="10" t="s">
        <v>232</v>
      </c>
      <c r="B2" s="10"/>
      <c r="D2" s="10" t="s">
        <v>233</v>
      </c>
      <c r="E2" s="10"/>
    </row>
    <row r="3" customFormat="false" ht="21.75" hidden="false" customHeight="true" outlineLevel="0" collapsed="false">
      <c r="A3" s="11" t="s">
        <v>234</v>
      </c>
      <c r="B3" s="12" t="s">
        <v>163</v>
      </c>
      <c r="D3" s="11" t="s">
        <v>235</v>
      </c>
      <c r="E3" s="12" t="s">
        <v>163</v>
      </c>
    </row>
    <row r="4" customFormat="false" ht="21.75" hidden="false" customHeight="true" outlineLevel="0" collapsed="false">
      <c r="A4" s="11" t="s">
        <v>236</v>
      </c>
      <c r="B4" s="12" t="s">
        <v>164</v>
      </c>
      <c r="D4" s="11" t="s">
        <v>237</v>
      </c>
      <c r="E4" s="12" t="s">
        <v>218</v>
      </c>
    </row>
    <row r="5" customFormat="false" ht="21.75" hidden="false" customHeight="true" outlineLevel="0" collapsed="false">
      <c r="A5" s="11" t="s">
        <v>238</v>
      </c>
      <c r="B5" s="12" t="s">
        <v>239</v>
      </c>
      <c r="D5" s="11" t="s">
        <v>240</v>
      </c>
      <c r="E5" s="12" t="s">
        <v>241</v>
      </c>
    </row>
    <row r="6" customFormat="false" ht="21.75" hidden="false" customHeight="true" outlineLevel="0" collapsed="false">
      <c r="A6" s="11" t="s">
        <v>242</v>
      </c>
      <c r="B6" s="12"/>
      <c r="D6" s="11" t="s">
        <v>243</v>
      </c>
      <c r="E6" s="12"/>
    </row>
    <row r="7" customFormat="false" ht="21.75" hidden="false" customHeight="true" outlineLevel="0" collapsed="false">
      <c r="A7" s="11" t="s">
        <v>244</v>
      </c>
      <c r="B7" s="12"/>
      <c r="D7" s="11" t="s">
        <v>245</v>
      </c>
      <c r="E7" s="12"/>
    </row>
    <row r="8" customFormat="false" ht="64.5" hidden="false" customHeight="true" outlineLevel="0" collapsed="false">
      <c r="A8" s="11" t="s">
        <v>246</v>
      </c>
      <c r="B8" s="12" t="s">
        <v>769</v>
      </c>
      <c r="D8" s="11" t="s">
        <v>248</v>
      </c>
      <c r="E8" s="12" t="s">
        <v>770</v>
      </c>
    </row>
    <row r="9" customFormat="false" ht="168.75" hidden="false" customHeight="true" outlineLevel="0" collapsed="false">
      <c r="A9" s="11" t="s">
        <v>250</v>
      </c>
      <c r="B9" s="12" t="s">
        <v>771</v>
      </c>
      <c r="D9" s="11" t="s">
        <v>252</v>
      </c>
      <c r="E9" s="12" t="s">
        <v>772</v>
      </c>
    </row>
    <row r="10" customFormat="false" ht="19.5" hidden="false" customHeight="true" outlineLevel="0" collapsed="false">
      <c r="A10" s="10" t="s">
        <v>254</v>
      </c>
      <c r="B10" s="10"/>
      <c r="D10" s="10" t="s">
        <v>255</v>
      </c>
      <c r="E10" s="10"/>
    </row>
    <row r="11" customFormat="false" ht="21.75" hidden="false" customHeight="true" outlineLevel="0" collapsed="false">
      <c r="A11" s="11" t="s">
        <v>256</v>
      </c>
      <c r="B11" s="12" t="s">
        <v>773</v>
      </c>
      <c r="D11" s="11" t="s">
        <v>256</v>
      </c>
      <c r="E11" s="12" t="s">
        <v>773</v>
      </c>
    </row>
    <row r="12" customFormat="false" ht="21.75" hidden="false" customHeight="true" outlineLevel="0" collapsed="false">
      <c r="A12" s="11" t="s">
        <v>258</v>
      </c>
      <c r="B12" s="12" t="s">
        <v>163</v>
      </c>
      <c r="D12" s="11" t="s">
        <v>259</v>
      </c>
      <c r="E12" s="12" t="s">
        <v>163</v>
      </c>
    </row>
    <row r="13" customFormat="false" ht="21.75" hidden="false" customHeight="true" outlineLevel="0" collapsed="false">
      <c r="A13" s="11" t="s">
        <v>260</v>
      </c>
      <c r="B13" s="12"/>
      <c r="D13" s="11" t="s">
        <v>261</v>
      </c>
      <c r="E13" s="12"/>
    </row>
    <row r="14" customFormat="false" ht="54.75" hidden="false" customHeight="true" outlineLevel="0" collapsed="false">
      <c r="A14" s="11" t="s">
        <v>262</v>
      </c>
      <c r="B14" s="12"/>
      <c r="D14" s="11" t="s">
        <v>263</v>
      </c>
      <c r="E14" s="12"/>
    </row>
    <row r="15" customFormat="false" ht="54.75" hidden="false" customHeight="true" outlineLevel="0" collapsed="false">
      <c r="A15" s="11" t="s">
        <v>264</v>
      </c>
      <c r="B15" s="12"/>
      <c r="D15" s="11" t="s">
        <v>265</v>
      </c>
      <c r="E15" s="12"/>
    </row>
    <row r="16" customFormat="false" ht="54.75" hidden="false" customHeight="true" outlineLevel="0" collapsed="false">
      <c r="A16" s="11" t="s">
        <v>169</v>
      </c>
      <c r="B16" s="12"/>
      <c r="D16" s="11" t="s">
        <v>223</v>
      </c>
      <c r="E16" s="12"/>
    </row>
    <row r="17" customFormat="false" ht="24.75" hidden="false" customHeight="true" outlineLevel="0" collapsed="false">
      <c r="A17" s="11" t="s">
        <v>266</v>
      </c>
      <c r="B17" s="12"/>
      <c r="D17" s="11" t="s">
        <v>267</v>
      </c>
      <c r="E17" s="12"/>
    </row>
    <row r="18" customFormat="false" ht="24.75" hidden="false" customHeight="true" outlineLevel="0" collapsed="false">
      <c r="A18" s="11" t="s">
        <v>268</v>
      </c>
      <c r="B18" s="12"/>
      <c r="D18" s="11" t="s">
        <v>269</v>
      </c>
      <c r="E18" s="12"/>
    </row>
    <row r="19" customFormat="false" ht="24.75" hidden="false" customHeight="true" outlineLevel="0" collapsed="false">
      <c r="A19" s="11" t="s">
        <v>270</v>
      </c>
      <c r="B19" s="12"/>
      <c r="D19" s="11" t="s">
        <v>271</v>
      </c>
      <c r="E19" s="12"/>
    </row>
    <row r="20" customFormat="false" ht="21.75" hidden="false" customHeight="true" outlineLevel="0" collapsed="false">
      <c r="A20" s="11" t="s">
        <v>5</v>
      </c>
      <c r="B20" s="12" t="s">
        <v>167</v>
      </c>
      <c r="D20" s="11" t="s">
        <v>181</v>
      </c>
      <c r="E20" s="12" t="s">
        <v>272</v>
      </c>
    </row>
    <row r="21" customFormat="false" ht="54.75" hidden="false" customHeight="true" outlineLevel="0" collapsed="false">
      <c r="A21" s="11" t="s">
        <v>273</v>
      </c>
      <c r="B21" s="12"/>
      <c r="D21" s="11" t="s">
        <v>274</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2026-05-29T18:33:57Z</dcterms:created>
  <dc:creator>openpyxl</dc:creator>
  <dc:description/>
  <dc:language>en-US</dc:language>
  <cp:lastModifiedBy/>
  <dcterms:modified xsi:type="dcterms:W3CDTF">2026-05-29T18:33:59Z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