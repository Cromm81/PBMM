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7.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C-2-4" sheetId="3" state="visible" r:id="rId5"/>
    <sheet name="AC-2-5" sheetId="4" state="visible" r:id="rId6"/>
    <sheet name="AC-2-7" sheetId="5" state="visible" r:id="rId7"/>
    <sheet name="AC-6" sheetId="6" state="visible" r:id="rId8"/>
    <sheet name="AC-6-1" sheetId="7" state="visible" r:id="rId9"/>
    <sheet name="AC-6-9" sheetId="8" state="visible" r:id="rId10"/>
    <sheet name="AC-17-1" sheetId="9" state="visible" r:id="rId11"/>
    <sheet name="AU-2" sheetId="10" state="visible" r:id="rId12"/>
    <sheet name="AU-3" sheetId="11" state="visible" r:id="rId13"/>
    <sheet name="AU-3-1" sheetId="12" state="visible" r:id="rId14"/>
    <sheet name="AU-5" sheetId="13" state="visible" r:id="rId15"/>
    <sheet name="AU-6-1" sheetId="14" state="visible" r:id="rId16"/>
    <sheet name="AU-6-3" sheetId="15" state="visible" r:id="rId17"/>
    <sheet name="AU-7" sheetId="16" state="visible" r:id="rId18"/>
    <sheet name="AU-7-1" sheetId="17" state="visible" r:id="rId19"/>
    <sheet name="AU-8" sheetId="18" state="visible" r:id="rId20"/>
    <sheet name="AU-8-1" sheetId="19" state="visible" r:id="rId21"/>
    <sheet name="AU-9" sheetId="20" state="visible" r:id="rId22"/>
    <sheet name="AU-9-2" sheetId="21" state="visible" r:id="rId23"/>
    <sheet name="AU-9-4" sheetId="22" state="visible" r:id="rId24"/>
    <sheet name="AU-11" sheetId="23" state="visible" r:id="rId25"/>
    <sheet name="AU-12" sheetId="24" state="visible" r:id="rId26"/>
    <sheet name="CM-3" sheetId="25" state="visible" r:id="rId27"/>
    <sheet name="CM-5-1" sheetId="26" state="visible" r:id="rId28"/>
    <sheet name="CM-5-6" sheetId="27" state="visible" r:id="rId29"/>
    <sheet name="CM-6" sheetId="28" state="visible" r:id="rId30"/>
    <sheet name="CM-7" sheetId="29" state="visible" r:id="rId31"/>
    <sheet name="CM-7-1" sheetId="30" state="visible" r:id="rId32"/>
    <sheet name="CP-10" sheetId="31" state="visible" r:id="rId33"/>
    <sheet name="CP-10-4" sheetId="32" state="visible" r:id="rId34"/>
    <sheet name="IA-5-7" sheetId="33" state="visible" r:id="rId35"/>
    <sheet name="MA-4" sheetId="34" state="visible" r:id="rId36"/>
    <sheet name="MA-4-1" sheetId="35" state="visible" r:id="rId37"/>
    <sheet name="SA-9-5" sheetId="36" state="visible" r:id="rId38"/>
    <sheet name="SA-11-1" sheetId="37" state="visible" r:id="rId39"/>
    <sheet name="SA-11-8" sheetId="38" state="visible" r:id="rId40"/>
    <sheet name="SC-7" sheetId="39" state="visible" r:id="rId41"/>
    <sheet name="SC-18" sheetId="40" state="visible" r:id="rId42"/>
    <sheet name="SI-4" sheetId="41" state="visible" r:id="rId43"/>
    <sheet name="SI-4-1" sheetId="42" state="visible" r:id="rId44"/>
    <sheet name="SI-4-2" sheetId="43" state="visible" r:id="rId45"/>
    <sheet name="SI-4-4" sheetId="44" state="visible" r:id="rId46"/>
    <sheet name="SI-4-5" sheetId="45" state="visible" r:id="rId47"/>
    <sheet name="SI-4-11" sheetId="46" state="visible" r:id="rId48"/>
    <sheet name="SI-6" sheetId="47" state="visible" r:id="rId49"/>
    <sheet name="SI-7-7" sheetId="48" state="visible" r:id="rId50"/>
    <sheet name="SI-11" sheetId="49" state="visible" r:id="rId5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<sst xmlns="http://schemas.openxmlformats.org/spreadsheetml/2006/main" count="3036" uniqueCount="524">
  <si>
    <t xml:space="preserve">DASHBOARD — PBMM Evidence: DevOps</t>
  </si>
  <si>
    <t xml:space="preserve">Control ID</t>
  </si>
  <si>
    <t xml:space="preserve">Control Name</t>
  </si>
  <si>
    <t xml:space="preserve">Primary Tool</t>
  </si>
  <si>
    <t xml:space="preserve">Tab</t>
  </si>
  <si>
    <t xml:space="preserve">Status</t>
  </si>
  <si>
    <t xml:space="preserve">AC-2(4)</t>
  </si>
  <si>
    <t xml:space="preserve">Account Management</t>
  </si>
  <si>
    <t xml:space="preserve">AC-2-4</t>
  </si>
  <si>
    <t xml:space="preserve">AC-2(5)</t>
  </si>
  <si>
    <t xml:space="preserve">AC-2-5</t>
  </si>
  <si>
    <t xml:space="preserve">AC-2(7)</t>
  </si>
  <si>
    <t xml:space="preserve">AC-2-7</t>
  </si>
  <si>
    <t xml:space="preserve">AC-6</t>
  </si>
  <si>
    <t xml:space="preserve">Least Privilege</t>
  </si>
  <si>
    <t xml:space="preserve">AC-6(1)</t>
  </si>
  <si>
    <t xml:space="preserve">AC-6-1</t>
  </si>
  <si>
    <t xml:space="preserve">AC-6(9)</t>
  </si>
  <si>
    <t xml:space="preserve">AC-6-9</t>
  </si>
  <si>
    <t xml:space="preserve">AC-17(1)</t>
  </si>
  <si>
    <t xml:space="preserve">Remote Access</t>
  </si>
  <si>
    <t xml:space="preserve">AC-17-1</t>
  </si>
  <si>
    <t xml:space="preserve">AU-2</t>
  </si>
  <si>
    <t xml:space="preserve">Auditable Events</t>
  </si>
  <si>
    <t xml:space="preserve">AU-3</t>
  </si>
  <si>
    <t xml:space="preserve">Content of Audit Records</t>
  </si>
  <si>
    <t xml:space="preserve">AU-3(1)</t>
  </si>
  <si>
    <t xml:space="preserve">AU-3-1</t>
  </si>
  <si>
    <t xml:space="preserve">AU-5</t>
  </si>
  <si>
    <t xml:space="preserve">Response To Audit Processing Failures</t>
  </si>
  <si>
    <t xml:space="preserve">AU-6(1)</t>
  </si>
  <si>
    <t xml:space="preserve">Audit Review, Analysis, and Reporting</t>
  </si>
  <si>
    <t xml:space="preserve">AU-6-1</t>
  </si>
  <si>
    <t xml:space="preserve">AU-6(3)</t>
  </si>
  <si>
    <t xml:space="preserve">AU-6-3</t>
  </si>
  <si>
    <t xml:space="preserve">AU-7</t>
  </si>
  <si>
    <t xml:space="preserve">Audit Reduction and Report Generation</t>
  </si>
  <si>
    <t xml:space="preserve">AU-7(1)</t>
  </si>
  <si>
    <t xml:space="preserve">AU-7-1</t>
  </si>
  <si>
    <t xml:space="preserve">AU-8</t>
  </si>
  <si>
    <t xml:space="preserve">Time Stamps</t>
  </si>
  <si>
    <t xml:space="preserve">AU-8(1)</t>
  </si>
  <si>
    <t xml:space="preserve">AU-8-1</t>
  </si>
  <si>
    <t xml:space="preserve">AU-9</t>
  </si>
  <si>
    <t xml:space="preserve">Protection of Audit Information</t>
  </si>
  <si>
    <t xml:space="preserve">AU-9(2)</t>
  </si>
  <si>
    <t xml:space="preserve">AU-9-2</t>
  </si>
  <si>
    <t xml:space="preserve">AU-9(4)</t>
  </si>
  <si>
    <t xml:space="preserve">AU-9-4</t>
  </si>
  <si>
    <t xml:space="preserve">AU-11</t>
  </si>
  <si>
    <t xml:space="preserve">Audit Record Retention</t>
  </si>
  <si>
    <t xml:space="preserve">AU-12</t>
  </si>
  <si>
    <t xml:space="preserve">Audit Generation</t>
  </si>
  <si>
    <t xml:space="preserve">CM-3</t>
  </si>
  <si>
    <t xml:space="preserve">Configuration Change Control</t>
  </si>
  <si>
    <t xml:space="preserve">CM-5(1)</t>
  </si>
  <si>
    <t xml:space="preserve">Access Restrictions for Change</t>
  </si>
  <si>
    <t xml:space="preserve">CM-5-1</t>
  </si>
  <si>
    <t xml:space="preserve">CM-5(6)</t>
  </si>
  <si>
    <t xml:space="preserve">CM-5-6</t>
  </si>
  <si>
    <t xml:space="preserve">CM-6</t>
  </si>
  <si>
    <t xml:space="preserve">Configuration Settings</t>
  </si>
  <si>
    <t xml:space="preserve">CM-7</t>
  </si>
  <si>
    <t xml:space="preserve">Least Functionality</t>
  </si>
  <si>
    <t xml:space="preserve">CM-7(1)</t>
  </si>
  <si>
    <t xml:space="preserve">CM-7-1</t>
  </si>
  <si>
    <t xml:space="preserve">CP-10</t>
  </si>
  <si>
    <t xml:space="preserve">Information System Recovery and Reconstitution</t>
  </si>
  <si>
    <t xml:space="preserve">CP-10(4)</t>
  </si>
  <si>
    <t xml:space="preserve">CP-10-4</t>
  </si>
  <si>
    <t xml:space="preserve">IA-5(7)</t>
  </si>
  <si>
    <t xml:space="preserve">Authenticator Management</t>
  </si>
  <si>
    <t xml:space="preserve">IA-5-7</t>
  </si>
  <si>
    <t xml:space="preserve">MA-4</t>
  </si>
  <si>
    <t xml:space="preserve">Non-Local Maintenance</t>
  </si>
  <si>
    <t xml:space="preserve">MA-4(1)</t>
  </si>
  <si>
    <t xml:space="preserve">MA-4-1</t>
  </si>
  <si>
    <t xml:space="preserve">SA-9(5)</t>
  </si>
  <si>
    <t xml:space="preserve">External Information System Services</t>
  </si>
  <si>
    <t xml:space="preserve">SA-9-5</t>
  </si>
  <si>
    <t xml:space="preserve">SA-11(1)</t>
  </si>
  <si>
    <t xml:space="preserve">Developer Security Testing</t>
  </si>
  <si>
    <t xml:space="preserve">SA-11-1</t>
  </si>
  <si>
    <t xml:space="preserve">SA-11(8)</t>
  </si>
  <si>
    <t xml:space="preserve">SA-11-8</t>
  </si>
  <si>
    <t xml:space="preserve">SC-7</t>
  </si>
  <si>
    <t xml:space="preserve">Boundary Protection</t>
  </si>
  <si>
    <t xml:space="preserve">SC-18</t>
  </si>
  <si>
    <t xml:space="preserve">Mobile Code</t>
  </si>
  <si>
    <t xml:space="preserve">SI-4</t>
  </si>
  <si>
    <t xml:space="preserve">Information System Monitoring</t>
  </si>
  <si>
    <t xml:space="preserve">SI-4(1)</t>
  </si>
  <si>
    <t xml:space="preserve">SI-4-1</t>
  </si>
  <si>
    <t xml:space="preserve">SI-4(2)</t>
  </si>
  <si>
    <t xml:space="preserve">SI-4-2</t>
  </si>
  <si>
    <t xml:space="preserve">SI-4(4)</t>
  </si>
  <si>
    <t xml:space="preserve">SI-4-4</t>
  </si>
  <si>
    <t xml:space="preserve">SI-4(5)</t>
  </si>
  <si>
    <t xml:space="preserve">SI-4-5</t>
  </si>
  <si>
    <t xml:space="preserve">SI-4(11)</t>
  </si>
  <si>
    <t xml:space="preserve">SI-4-11</t>
  </si>
  <si>
    <t xml:space="preserve">SI-6</t>
  </si>
  <si>
    <t xml:space="preserve">Security Functional Verification</t>
  </si>
  <si>
    <t xml:space="preserve">SI-7(7)</t>
  </si>
  <si>
    <t xml:space="preserve">Software, Firmware, and Information Integrity</t>
  </si>
  <si>
    <t xml:space="preserve">SI-7-7</t>
  </si>
  <si>
    <t xml:space="preserve">SI-11</t>
  </si>
  <si>
    <t xml:space="preserve">Error Handling</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</si>
  <si>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</si>
  <si>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</si>
  <si>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</si>
  <si>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</si>
  <si>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</si>
  <si>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</si>
  <si>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</si>
  <si>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</si>
  <si>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</si>
  <si>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</si>
  <si>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</si>
  <si>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DevOps</t>
  </si>
  <si>
    <t xml:space="preserve">ID Contrôle</t>
  </si>
  <si>
    <t xml:space="preserve">Nom du contrôle</t>
  </si>
  <si>
    <t xml:space="preserve">Outil principal</t>
  </si>
  <si>
    <t xml:space="preserve">Onglet</t>
  </si>
  <si>
    <t xml:space="preserve">Statut</t>
  </si>
  <si>
    <t xml:space="preserve">Gestion des comptes</t>
  </si>
  <si>
    <t xml:space="preserve">Moindre privilège</t>
  </si>
  <si>
    <t xml:space="preserve">Accès à distance</t>
  </si>
  <si>
    <t xml:space="preserve">Événements vérifiables</t>
  </si>
  <si>
    <t xml:space="preserve">Contenu des enregistrements de vérification</t>
  </si>
  <si>
    <t xml:space="preserve">Réponse aux échecs de traitement de vérification</t>
  </si>
  <si>
    <t xml:space="preserve">Examen, analyse et rapport de vérification</t>
  </si>
  <si>
    <t xml:space="preserve">Réduction des vérifications et production de rapports</t>
  </si>
  <si>
    <t xml:space="preserve">Estampilles temporelles</t>
  </si>
  <si>
    <t xml:space="preserve">Protection des renseignements de vérification</t>
  </si>
  <si>
    <t xml:space="preserve">Conservation des enregistrements de vérification</t>
  </si>
  <si>
    <t xml:space="preserve">Génération des vérifications</t>
  </si>
  <si>
    <t xml:space="preserve">Contrôle des changements de configuration</t>
  </si>
  <si>
    <t xml:space="preserve">Restrictions d’accès pour les changements</t>
  </si>
  <si>
    <t xml:space="preserve">Paramètres de configuration</t>
  </si>
  <si>
    <t xml:space="preserve">Moindre fonctionnalité</t>
  </si>
  <si>
    <t xml:space="preserve">Reprise et reconstitution du système d’information</t>
  </si>
  <si>
    <t xml:space="preserve">Gestion des authentifiants</t>
  </si>
  <si>
    <t xml:space="preserve">Maintenance non locale</t>
  </si>
  <si>
    <t xml:space="preserve">Services de systèmes d’information externes</t>
  </si>
  <si>
    <t xml:space="preserve">Essais de sécurité du développeur</t>
  </si>
  <si>
    <t xml:space="preserve">Protection des frontières</t>
  </si>
  <si>
    <t xml:space="preserve">Code mobile</t>
  </si>
  <si>
    <t xml:space="preserve">Surveillance du système d’information</t>
  </si>
  <si>
    <t xml:space="preserve">Vérification fonctionnelle de la sécurité</t>
  </si>
  <si>
    <t xml:space="preserve">Logiciels, micrologiciels et intégrité de l’information</t>
  </si>
  <si>
    <t xml:space="preserve">Traitement des erreurs</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</si>
  <si>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</si>
  <si>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</si>
  <si>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</si>
  <si>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</si>
  <si>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</si>
  <si>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</si>
  <si>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</si>
  <si>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</si>
  <si>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</si>
  <si>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</si>
  <si>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</si>
  <si>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AC-2(4) — Evidence Tracking</t>
  </si>
  <si>
    <t xml:space="preserve">Contrôle AC-2(4)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</si>
  <si>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</si>
  <si>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</si>
  <si>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</si>
  <si>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</si>
  <si>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</si>
  <si>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</si>
  <si>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</si>
  <si>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</si>
  <si>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</si>
  <si>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</si>
  <si>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</si>
  <si>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</si>
  <si>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</si>
  <si>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</si>
  <si>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</si>
  <si>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ACCOUNT MANAGEMENT | AUTOMATED AUDIT ACTIONS
The information system automatically audits account creation, modification, enabling, disabling, and removal actions, and notifies responsible managers. Related controls: AU-2, AU-12.</t>
  </si>
  <si>
    <t xml:space="preserve">Description du contrôle</t>
  </si>
  <si>
    <t xml:space="preserve">GESTION DES COMPTES | MESURES DE VÉRIFICATION AUTOMATISÉES
Le système d’information vérifie automatiquement les opérations de création, de modification, d’activation, de désactivation et de retrait des comptes, et avise les gestionnaires responsables. Contrôles connexes : AU-2, AU-12.</t>
  </si>
  <si>
    <t xml:space="preserve">Supplemental Guidance</t>
  </si>
  <si>
    <t xml:space="preserve">Directives supplémentaires</t>
  </si>
  <si>
    <t xml:space="preserve">Test Case</t>
  </si>
  <si>
    <t xml:space="preserve">Cas de test</t>
  </si>
  <si>
    <t xml:space="preserve">Test</t>
  </si>
  <si>
    <t xml:space="preserve">TEST-AC-2(4)</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</si>
  <si>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</si>
  <si>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</si>
  <si>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</si>
  <si>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</si>
  <si>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</si>
  <si>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</si>
  <si>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</si>
  <si>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</si>
  <si>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</si>
  <si>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</si>
  <si>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</si>
  <si>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</si>
  <si>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</si>
  <si>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</si>
  <si>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</si>
  <si>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</si>
  <si>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</si>
  <si>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AC-2(5) — Evidence Tracking</t>
  </si>
  <si>
    <t xml:space="preserve">Contrôle AC-2(5) — Suivi des preuves</t>
  </si>
  <si>
    <t xml:space="preserve">ACCOUNT MANAGEMENT | INACTIVITY LOGOUT
The organization requires that users log out at the end of the users’ standard work period unless otherwise defined in formal organizational policy. Related controls: SC-23</t>
  </si>
  <si>
    <t xml:space="preserve">GESTION DES COMPTES | FERMETURE DE SESSION INACTIVE
L’organisation exige que les utilisateurs ferment leur session à la fin de leur période de travail normale, à moins d’indication contraire dans la politique officielle de l’organisation. Contrôles connexes : SC-23</t>
  </si>
  <si>
    <t xml:space="preserve">TEST-AC-2(5)</t>
  </si>
  <si>
    <t xml:space="preserve">Control AC-2(7) — Evidence Tracking</t>
  </si>
  <si>
    <t xml:space="preserve">Contrôle AC-2(7) — Suivi des preuves</t>
  </si>
  <si>
    <t xml:space="preserve">ACCOUNT MANAGEMENT | ROLE-BASED SCHEMES
(a)
The organization establishes and administers privileged user accounts in accordance with a role-based access scheme that organizes allowed information system access and privileges into roles;
(b)
The organization monitors privileged role assignments; and
(c) The organization disables (or revokes) privileged user assignments within 24 hours or sooner when privileged role assignments are no longer appropriate.</t>
  </si>
  <si>
    <t xml:space="preserve">GESTION DES COMPTES | SCHÉMAS FONDÉS SUR LES RÔLES
(a) L’organisation établit et administre les comptes d’utilisateurs privilégiés conformément à un système d’accès basé sur les rôles qui organise les autorisations d’accès au système d’information et les privilèges en fonction des rôles;
(b) L’organisation surveille les affectations de rôles privilégiés;
(c) L’organisation désactive (ou révoque) les affectations d’utilisateurs privilégiés dans les 24 heures ou plus lorsque les affectations de rôles privilégiés ne sont plus appropriées.</t>
  </si>
  <si>
    <t xml:space="preserve">Privileged roles are organization-defined roles assigned to individuals that allow those individuals to perform certain security-relevant functions that ordinary users are not authorized to perform. These privileged roles include, for example, key management, account management, network and system administration, database administration, and web administration.</t>
  </si>
  <si>
    <t xml:space="preserve">Les rôles privilégiés sont des rôles définis par l’organisation et attribués à des personnes pour leur permettre d’exécuter certaines fonctions ayant une influence sur la sécurité que les utilisateurs ordinaires ne sont pas autorisés à exécuter. Ces rôles privilégiés comprennent, par exemple, la gestion des clés, la gestion des comptes, l’administration des réseaux et des systèmes, l’administration des bases de données et l’administration Web.</t>
  </si>
  <si>
    <t xml:space="preserve">TEST-AC-2(7)</t>
  </si>
  <si>
    <t xml:space="preserve">Control AC-6 — Evidence Tracking</t>
  </si>
  <si>
    <t xml:space="preserve">Contrôle AC-6 — Suivi des preuves</t>
  </si>
  <si>
    <t xml:space="preserve">(A)
The organization employs the principle of least privilege, allowing only authorized accesses for users (or processes acting on behalf of users) which are necessary to accomplish assigned tasks in accordance with organizational missions and business functions.</t>
  </si>
  <si>
    <t xml:space="preserve">(A) L’organisation utilise le principe du moindre privilège, qui permet seulement les accès autorisés aux utilisateurs (ou aux processus qui agissent pour le compte des utilisateurs) qui sont nécessaires pour accomplir les tâches assignées conformément aux missions et aux fonctions opérationnelles de l’organisation.</t>
  </si>
  <si>
    <t xml:space="preserve">Organizations employ least privilege for specific duties and information systems. The principle of least privilege is also applied to information system processes, ensuring that the processes operate at privilege levels no higher than necessary to accomplish required organizational missions/business functions. Organizations consider the creation of additional processes, roles, and information system accounts as necessary, to achieve least privilege. Organizations also apply least privilege to the development, implementation, and operation of organizational information systems. Related controls: AC-2, AC-3, AC-5, CM-6, CM-7, PL-2</t>
  </si>
  <si>
    <t xml:space="preserve">Les organisations utilisent le moindre privilège pour certaines tâches et certains systèmes d’information. Le principe du moindre privilège s’applique également aux processus du système d’information, ce qui fait en sorte que les processus ne fonctionnent pas à des niveaux de privilège plus élevés que nécessaire pour accomplir les missions et les fonctions opérationnelles requises de l’organisation. Les organisations envisagent la création de processus, de rôles et de comptes de système d’information supplémentaires lorsque nécessaire, pour obtenir le moindre privilège. Les organisations appliquent également le moindre privilège au développement, à la mise en œuvre et à l’exploitation de leurs systèmes d’information. Contrôles connexes : AC-2, AC-3, AC-5, CM-6, CM-7, PL-2</t>
  </si>
  <si>
    <t xml:space="preserve">TEST-AC-6</t>
  </si>
  <si>
    <t xml:space="preserve">Control AC-6(1) — Evidence Tracking</t>
  </si>
  <si>
    <t xml:space="preserve">Contrôle AC-6(1) — Suivi des preuves</t>
  </si>
  <si>
    <t xml:space="preserve">LEAST PRIVILEGE | AUTHORIZE ACCESS TO SECURITY FUNCTIONS
The organization explicitly authorizes access to all security functions not publicly accessible and all security-relevant information not publicly available.</t>
  </si>
  <si>
    <t xml:space="preserve">MOINDRE PRIVILÈGE | AUTORISATION D’ACCÈS AUX FONCTIONS DE SÉCURITÉ
L’organisation autorise explicitement l’accès à toutes les fonctions de sécurité qui ne sont pas accessibles au public et à toute l’information pertinente à la sécurité qui n’est pas accessible au public.</t>
  </si>
  <si>
    <t xml:space="preserve">Security functions include, for example, establishing system accounts, configuring access authorizations (i.e., permissions, privileges), setting events to be audited, and setting intrusion detection parameters. Security-relevant information includes, for example, filtering rules for routers/firewalls, cryptographic key management information, configuration parameters for security services, and access control lists. Explicitly authorized personnel include, for example, security administrators, system and network administrators, system security officers, system maintenance personnel, system programmers, and other privileged users. Related controls: AC-17, AC-18, AC-19.</t>
  </si>
  <si>
    <t xml:space="preserve">Les fonctions de sécurité comprennent, par exemple, l’établissement des comptes système, la configuration des autorisations d’accès (c.-à-d. les permissions, les privilèges), le réglage des événements à vérifier, et l’établissement des paramètres de détection des intrusions. Les renseignements pertinents pour la sécurité comprennent, par exemple, les règles de filtrage pour les routeurs/pare-feu, l’information de gestion des clés cryptographiques, les paramètres de configuration pour les services de sécurité et les listes de contrôle d’accès. Le personnel explicitement autorisé comprend, par exemple, les administrateurs de la sécurité, les administrateurs de systèmes et de réseaux, les agents de sécurité des systèmes, le personnel de maintenance des systèmes, les programmeurs de systèmes et d’autres utilisateurs privilégiés. Contrôles connexes : AC-17, AC-18, AC-19.</t>
  </si>
  <si>
    <t xml:space="preserve">TEST-AC-6(1)</t>
  </si>
  <si>
    <t xml:space="preserve">Control AC-6(9) — Evidence Tracking</t>
  </si>
  <si>
    <t xml:space="preserve">Contrôle AC-6(9) — Suivi des preuves</t>
  </si>
  <si>
    <t xml:space="preserve">LEAST PRIVILEGE | AUDITING USE OF PRIVILEGED FUNCTIONS
The information system audits the execution of privileged functions.</t>
  </si>
  <si>
    <t xml:space="preserve">MOINDRE PRIVILÈGE | VÉRIFICATION DE L’UTILISATION DES FONCTIONS PRIVILÉGIÉES
Le système d’information vérifie l’exécution des fonctions privilégiées.</t>
  </si>
  <si>
    <t xml:space="preserve">Misuse of privileged functions, either intentionally or unintentionally by authorized users, or by unauthorized external entities that have compromised information system accounts, is a serious and ongoing concern and can have significant adverse impacts on organizations. Auditing the use of privileged functions is one way to detect such misuse, and in doing so, help mitigate the risk from insider threats and the advanced persistent threat (APT). Related control: AU-2.</t>
  </si>
  <si>
    <t xml:space="preserve">L’utilisation abusive des fonctions privilégiées, intentionnellement ou non, par des utilisateurs autorisés ou par des entités externes non autorisées qui ont compromis des comptes de système d’information, est une préoccupation grave et constante qui peut avoir des répercussions négatives importantes sur les organisations. La vérification de l’utilisation des fonctions privilégiées est une façon de détecter un tel abus et, ce faisant, de contribuer à atténuer le risque de menaces internes et de menaces persistantes avancées (MPA). Contrôle connexe : AU-2.</t>
  </si>
  <si>
    <t xml:space="preserve">TEST-AC-6(9)</t>
  </si>
  <si>
    <t xml:space="preserve">Control AC-17(1) — Evidence Tracking</t>
  </si>
  <si>
    <t xml:space="preserve">Contrôle AC-17(1) — Suivi des preuves</t>
  </si>
  <si>
    <t xml:space="preserve">REMOTE ACCESS | AUTOMATED MONITORING / CONTROL
The information system monitors and controls remote access methods.</t>
  </si>
  <si>
    <t xml:space="preserve">ACCÈS À DISTANCE | SURVEILLANCE ET CONTRÔLE AUTOMATISÉS
Le système d’information surveille et contrôle les méthodes d’accès à distance.</t>
  </si>
  <si>
    <t xml:space="preserve">Automated monitoring and control of remote access sessions allows organizations to detect cyber-attacks and also ensure ongoing compliance with remote access policies by auditing connection activities of remote users on a variety of information system components (e.g., servers, workstations, notebook computers, smart phones, and tablets). Related controls: AU-2, AU-12.</t>
  </si>
  <si>
    <t xml:space="preserve">La surveillance et le contrôle automatisés des sessions avec accès à distance permettent aux organisations de détecter les cyberattaques et d’assurer la conformité continue aux politiques d’accès à distance en vérifiant les activités de connexion des utilisateurs distants sur une variété de composants du système d’information (p. ex., serveurs, postes de travail, ordinateurs portatifs, téléphones intelligents et tablettes). Contrôles connexes : AU-2, AU-12.</t>
  </si>
  <si>
    <t xml:space="preserve">TEST-AC-17(1)</t>
  </si>
  <si>
    <t xml:space="preserve">Control AU-2 — Evidence Tracking</t>
  </si>
  <si>
    <t xml:space="preserve">Contrôle AU-2 — Suivi des preuves</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</si>
  <si>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</si>
  <si>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</si>
  <si>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</si>
  <si>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</si>
  <si>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TEST-AU-2</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</si>
  <si>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</si>
  <si>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</si>
  <si>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</si>
  <si>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</si>
  <si>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</si>
  <si>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</si>
  <si>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</si>
  <si>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</si>
  <si>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</si>
  <si>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</si>
  <si>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</si>
  <si>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</si>
  <si>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</si>
  <si>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</si>
  <si>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AU-5 — Evidence Tracking</t>
  </si>
  <si>
    <t xml:space="preserve">Contrôle AU-5 — Suivi des preuves</t>
  </si>
  <si>
    <t xml:space="preserve">(A) The information system alerts organization-defined personnel or roles in the event of an audit processing failure; and
(B) The information system overwrites the oldest audit records.</t>
  </si>
  <si>
    <t xml:space="preserve">(A) Le système d’information alerte le personnel ou les rôles définis par l’organisation en cas d’échec de traitement de vérification;
(B) Le système d’information écrase les enregistrements de vérification les plus anciens.</t>
  </si>
  <si>
    <t xml:space="preserve">Audit processing failures include, for example, software/hardware errors, failures in the audit capturing mechanisms, and audit storage capacity being reached or exceeded. Organizations may choose to define additional actions for different audit processing failures (e.g., by type, by location, by severity, or a combination of such factors). This control applies to each audit data storage repository (i.e., distinct information system component where audit records are stored), the total audit storage capacity of organizations (i.e., all audit data storage repositories combined), or both. Related controls: AU-4, SI-12</t>
  </si>
  <si>
    <t xml:space="preserve">Les échecs de traitement de vérification comprennent, par exemple, les erreurs de logiciel ou de matériel, les défaillances des mécanismes de saisie des vérifications et la capacité de stockage atteinte ou dépassée pour les vérifications. Les organisations peuvent choisir de définir des mesures supplémentaires pour différents échecs de traitement de vérification (p. ex., par type, par emplacement, par gravité ou une combinaison de ces facteurs). Ce contrôle s’applique à chaque répertoire de stockage des données de vérification (c.-à -d. à chaque composant distinct du système d’information dans lequel les enregistrements de vérification sont conservés), à la capacité totale de stockage des vérifications des organisations (c.-à-d. tous les répertoires de stockage des données de vérification combinés), ou aux deux. Contrôles connexes : AU-4, SI-12</t>
  </si>
  <si>
    <t xml:space="preserve">TEST-AU-5</t>
  </si>
  <si>
    <t xml:space="preserve">Control AU-6(1) — Evidence Tracking</t>
  </si>
  <si>
    <t xml:space="preserve">Contrôle AU-6(1) — Suivi des preuves</t>
  </si>
  <si>
    <t xml:space="preserve">AUDIT REVIEW, ANALYSIS, AND REPORTING | PROCESS INTEGRATION
The organization employs automated mechanisms to integrate audit review, analysis, and reporting processes to support organizational processes for investigation and response to suspicious activities.</t>
  </si>
  <si>
    <t xml:space="preserve">EXAMEN, ANALYSE ET RAPPORT DE VÉRIFICATION | INTÉGRATION DES PROCESSUS
L’organisation utilise des mécanismes automatisés pour intégrer les processus d’examen, d’analyse et de production de rapports de vérification afin de soutenir les processus organisationnels d’enquête et d’intervention en cas d’activités suspectes.</t>
  </si>
  <si>
    <t xml:space="preserve">Organizational processes benefiting from integrated audit review, analysis, and reporting include, for example, incident response, continuous monitoring, and contingency planning. Related control: AU-12.</t>
  </si>
  <si>
    <t xml:space="preserve">Les processus organisationnels qui bénéficient de l’intégration de l’examen, de l’analyse et de la production de rapports de vérification sont notamment l’intervention en cas d’incident, la surveillance continue et la planification d’urgence. Contrôle connexe : AU-12.</t>
  </si>
  <si>
    <t xml:space="preserve">TEST-AU-6(1)</t>
  </si>
  <si>
    <t xml:space="preserve">Control AU-6(3) — Evidence Tracking</t>
  </si>
  <si>
    <t xml:space="preserve">Contrôle AU-6(3) — Suivi des preuves</t>
  </si>
  <si>
    <t xml:space="preserve">AUDIT REVIEW, ANALYSIS, AND REPORTING | CORRELATE AUDIT REPOSITORIES
The organization analyzes and correlates audit records across different repositories to gain organization-wide situational awareness.</t>
  </si>
  <si>
    <t xml:space="preserve">EXAMEN, ANALYSE ET RAPPORT DE VÉRIFICATION | MISE EN CORRÉLATION DES RÉPERTOIRES DE VÉRIFICATION
L’organisation analyse et met en corrélation les enregistrements de vérification entre les différents répertoires afin d’acquérir une connaissance globale de la situation dans l’ensemble de l’organisation.</t>
  </si>
  <si>
    <t xml:space="preserve">Organization-wide situational awareness includes awareness across all three tiers of risk management (i.e., organizational, mission/business process, and information system) and supports cross-organization awareness. Related controls: AU-12, IR-4.</t>
  </si>
  <si>
    <t xml:space="preserve">La connaissance de la situation dans l’ensemble de l’organisation comprend la connaissance aux trois niveaux de la gestion des risques (c.-à-d. au niveau de l’organisation, de la mission/des processus opérationnels, et du système d’information) et appuie une connaissance transorganisationnelle de la situation. Contrôles connexes : AU-12, IR-4.</t>
  </si>
  <si>
    <t xml:space="preserve">TEST-AU-6(3)</t>
  </si>
  <si>
    <t xml:space="preserve">Control AU-7 — Evidence Tracking</t>
  </si>
  <si>
    <t xml:space="preserve">Contrôle AU-7 — Suivi des preuves</t>
  </si>
  <si>
    <t xml:space="preserve">(A)
The information system provides an audit reduction and report generation capability that supports on-demand audit review, analysis, and reporting requirements and after-the-fact investigations of security incidents.
(B)
The information system provides an audit reduction and report generation capability that does not alter the original content or time ordering of audit records.</t>
  </si>
  <si>
    <t xml:space="preserve">(A) Le système d’information offre une capacité de réduction des vérifications et de production de rapports prenant en charge les examens, les analyses et les rapports de vérification sur demande ainsi que les enquêtes à la suite d’incidents de sécurité.
(B) Le système d’information offre une capacité de réduction de la vérification et de production de rapports qui ne modifie pas le contenu original ou l’ordre chronologique des enregistrements de vérification.</t>
  </si>
  <si>
    <t xml:space="preserve">Audit reduction is a process that manipulates collected audit information and organizes such information in a summary format that is more meaningful to analysts. Audit reduction and report generation capabilities do not always emanate from the same information system or from the same organizational entities conducting auditing activities. Audit reduction capability can include, for example, modern data mining techniques with advanced data filters to identify anomalous behaviour in audit records. The report generation capability provided by the information system can generate customizable reports. Time ordering of audit records can be a significant issue if the granularity of the timestamp in the record is insufficient. Related control: AU-6</t>
  </si>
  <si>
    <t xml:space="preserve">La réduction de la vérification est un processus qui permet de manipuler l’information recueillie et de l’organiser dans un format sommaire plus significatif pour les analystes. Les capacités de réduction des vérifications et de production de rapports ne proviennent pas toujours du système d’information ou des entités organisationnelles qui mènent les activités de vérification. La capacité de réduction des vérifications peut comprendre, par exemple, des techniques modernes d’exploration de données avec filtres de données avancés pour déceler les comportements anormaux dans les enregistrements de vérification. La capacité de production de rapports fournie par le système d’information permet de générer des rapports personnalisables. L’ordre chronologique des enregistrements de vérification peut poser un problème important si la granularité de l’estampille temporelle dans l’enregistrement est insuffisante. Contrôle connexe : AU-6</t>
  </si>
  <si>
    <t xml:space="preserve">TEST-AU-7</t>
  </si>
  <si>
    <t xml:space="preserve">Control AU-7(1) — Evidence Tracking</t>
  </si>
  <si>
    <t xml:space="preserve">Contrôle AU-7(1) — Suivi des preuves</t>
  </si>
  <si>
    <t xml:space="preserve">AUDIT REDUCTION AND REPORT GENERATION | AUTOMATIC PROCESSING
The information system provides the capability to process audit records for events of interest based on all audit fields specified in AU-2, AU-3 and AU-3(1).</t>
  </si>
  <si>
    <t xml:space="preserve">RÉDUCTION DES VÉRIFICATIONS ET PRODUCTION DE RAPPORTS | TRAITEMENT AUTOMATIQUE
Le système d’information permet de traiter les enregistrements de vérification relatifs aux événements d’intérêt en fonction de tous les champs de vérification précisés dans AU-2, AU-3 et AU-3(1).</t>
  </si>
  <si>
    <t xml:space="preserve">Events of interest can be identified by the content of specific audit record fields including, for example, identities of individuals, event types, event locations, event times, event dates, system resources involved, IP addresses involved, or information objects accessed. Organizations may define audit event criteria to any degree of granularity required, for example, locations selectable by general networking location (e.g., by network or sub-network) or selectable by specific information system component. Related controls: AU-2, AU-12.</t>
  </si>
  <si>
    <t xml:space="preserve">Les événements d’intérêt peuvent être définis par le contenu des champs particuliers de l’enregistrement de vérification, y compris, par exemple, les identités des personnes, les types d’événements, les emplacements des événements, les heures des événements, les dates des événements, les ressources du système en cause, les adresses IP en cause ou les objets d’information consultés. Les organisations peuvent définir les critères des événements de vérification à n’importe quel degré de granularité requis, par exemple, les emplacements que l’on peut sélectionner par emplacement de réseautique général (p. ex., par réseau ou sous-réseau) ou par composant de système d’information particulier. Contrôles connexes : AU-2, AU-12.</t>
  </si>
  <si>
    <t xml:space="preserve">TEST-AU-7(1)</t>
  </si>
  <si>
    <t xml:space="preserve">Control AU-8 — Evidence Tracking</t>
  </si>
  <si>
    <t xml:space="preserve">Contrôle AU-8 — Suivi des preuves</t>
  </si>
  <si>
    <t xml:space="preserve">(A)
The information system uses internal system clocks to generate time stamps for audit records.
(B)
The information system records time stamps for audit records that can be mapped to Coordinated Universal Time (UTC) or Greenwich Mean Time (GMT) within 1 second precision.</t>
  </si>
  <si>
    <t xml:space="preserve">(A) Le système d’information utilise les horloges système internes afin de générer les estampilles temporelles pour les enregistrements de vérification.
(B) Le système d’information enregistre des estampilles temporelles pour les enregistrements de vérification qui peuvent être mappées sur le temps universel coordonné (UTC) ou l’heure moyenne de Greenwich (GMT) à la seconde près.</t>
  </si>
  <si>
    <t xml:space="preserve">Time stamps generated by the information system include date and time. Time is commonly expressed in Coordinated Universal Time (UTC) or local time with an offset from UTC. Granularity of time measurements refers to the degree of synchronization between information system clocks and reference clocks, for example, clocks synchronizing within hundreds of milliseconds or within tens of milliseconds. Organizations may define different time granularities for different system components. Time service can also be critical to other security capabilities such as access control and identification and authentication, depending on the nature of the mechanisms used to support those capabilities. Related controls: AU-3, AU-12</t>
  </si>
  <si>
    <t xml:space="preserve">Les estampilles temporelles générées par le système d’information comprennent la date et l’heure. L’heure est généralement exprimée en temps universel coordonné (UTC) ou selon l’heure locale avec indication du décalage par rapport à l’UTC. La granularité des mesures du temps désigne le niveau de synchronisation entre les horloges du système d’information et les horloges de référence, par exemple, des horloges synchronisées à quelques centaines ou dizaines de millisecondes près. Les organisations peuvent définir différentes granularités temporelles pour différents composants du système. Le service de l’heure peut également être essentiel à d’autres capacités de sécurité comme le contrôle d’accès, l’identification et l’authentification, selon la nature des mécanismes utilisés pour soutenir ces capacités. Contrôles connexes : AU-3, AU-12</t>
  </si>
  <si>
    <t xml:space="preserve">TEST-AU-8</t>
  </si>
  <si>
    <t xml:space="preserve">Control AU-8(1) — Evidence Tracking</t>
  </si>
  <si>
    <t xml:space="preserve">Contrôle AU-8(1) — Suivi des preuves</t>
  </si>
  <si>
    <t xml:space="preserve">TIME STAMPS | SYNCHRONIZATION WITH AUTHORITATIVE TIME SOURCE
(a)
The information system compares the internal information system clocks at least every 24 hours with an organization-defined authoritative time source; and
(b)
The information system synchronizes the internal system clocks to the authoritative time source when the time difference is greater than 1 millisecond.</t>
  </si>
  <si>
    <t xml:space="preserve">ESTAMPILLES TEMPORELLES | SYNCHRONISATION AVEC UNE SOURCE D’HORODATAGE RECONNUE
(a) Le système d’information compare les horloges internes du système d’information au moins toutes les 24 heures avec une source d’horodatage reconnue définie par l’organisation.
(b) Le système d’information synchronise les horloges internes du système avec la source d’horodatage reconnue lorsque la différence de temps est supérieure à 1 milliseconde.</t>
  </si>
  <si>
    <t xml:space="preserve">This control enhancement provides uniformity of time stamps for information systems with multiple system clocks and systems connected over a network.</t>
  </si>
  <si>
    <t xml:space="preserve">Cette amélioration du contrôle assure l’uniformité des estampilles temporelles pour les systèmes d’information dotés de nombreuses horloges et les systèmes sur un réseau.</t>
  </si>
  <si>
    <t xml:space="preserve">TEST-AU-8(1)</t>
  </si>
  <si>
    <t xml:space="preserve">Control AU-9 — Evidence Tracking</t>
  </si>
  <si>
    <t xml:space="preserve">Contrôle AU-9 — Suivi des preuves</t>
  </si>
  <si>
    <t xml:space="preserve">(A)
The information system protects audit information and audit tools from unauthorized access, modification, and deletion.</t>
  </si>
  <si>
    <t xml:space="preserve">(A) Le système d’information protège les renseignements de vérification et les outils de vérification contre l’accès, la modification et la suppression non autorisés.</t>
  </si>
  <si>
    <t xml:space="preserve">Audit information includes all information (e.g., audit records, audit settings, and audit reports) needed to successfully audit information system activity. This control focuses on technical protection of audit information. Physical protection of audit information is addressed by media protection controls and physical and environmental protection controls. Related controls: AC-3, AC-6, MP-2, MP-4, PE-2, PE-3, PE-6</t>
  </si>
  <si>
    <t xml:space="preserve">Les renseignements de vérification comprennent tous les renseignements (p. ex., les enregistrements de vérification, les paramètres de vérification et les rapports de vérification) nécessaires pour vérifier avec succès l’activité du système d’information. Ce contrôle est axé sur la protection technique des renseignements de vérification. La protection physique des renseignements de vérification est assurée par des contrôles de protection des supports et des contrôles de protection physique et environnementale. Contrôles connexes : AC-3, AC-6, MP-2, MP-4, PE-2, PE-3, PE-6</t>
  </si>
  <si>
    <t xml:space="preserve">TEST-AU-9</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</si>
  <si>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</si>
  <si>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</si>
  <si>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</si>
  <si>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</si>
  <si>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</si>
  <si>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</si>
  <si>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</si>
  <si>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AU-9(4) — Evidence Tracking</t>
  </si>
  <si>
    <t xml:space="preserve">Contrôle AU-9(4) — Suivi des preuves</t>
  </si>
  <si>
    <t xml:space="preserve">PROTECTION OF AUDIT INFORMATION | ACCESS BY SUBSET OF PRIVILEGED USERS
The organization authorizes access to management of audit functionality to only an organization-defined subset of privileged users.</t>
  </si>
  <si>
    <t xml:space="preserve">PROTECTION DES RENSEIGNEMENTS DE VÉRIFICATION | ACCÈS PAR SOUS-ENSEMBLE D’UTILISATEURS PRIVILÉGIÉS
L’organisation n’autorise l’accès à la fonction de gestion de la vérification qu’à un sous-ensemble d’utilisateurs privilégiés défini par l’organisation seulement.</t>
  </si>
  <si>
    <t xml:space="preserve">Individuals with privileged access to an information system and who are also the subject of an audit by that system, may affect the reliability of audit information by inhibiting audit activities or modifying audit records. This control enhancement requires that privileged access be further defined between audit-related privileges and other privileges, thus limiting the users with audit-related privileges. Related control: AC-5.</t>
  </si>
  <si>
    <t xml:space="preserve">Les personnes qui ont un accès privilégié à un système d’information et qui font également l’objet d’une vérification par ce système peuvent nuire à la fiabilité de l’information de vérification en entravant les activités de vérification ou en modifiant les enregistrements de vérification. Cette amélioration du contrôle exige que l’accès privilégié soit mieux défini entre les privilèges liés à la vérification et les autres privilèges, de manière à limiter le nombre d’utilisateurs ayant des privilèges liés à la vérification. Contrôle connexe : AC-5.</t>
  </si>
  <si>
    <t xml:space="preserve">TEST-AU-9(4)</t>
  </si>
  <si>
    <t xml:space="preserve">Control AU-11 — Evidence Tracking</t>
  </si>
  <si>
    <t xml:space="preserve">Contrôle AU-11 — Suivi des preuves</t>
  </si>
  <si>
    <t xml:space="preserve">(A) The CSP retains audit records for at least 90 days to provide support for after-the-fact investigations of security incidents and to meet regulatory and organizational information retention requirements.
(B) The client retains audit records and logs for at least 3 months online and at least 6 months in storage.
(C) The client retains all audit records and logs associated with a security incident for at least 5 years.</t>
  </si>
  <si>
    <t xml:space="preserve">(A) Le FSI conserve les enregistrements de vérification pendant au moins 90 jours afin de soutenir les enquêtes faisant suite aux incidents de sécurité et de respecter les exigences réglementaires et organisationnelles en matière de conservation de l’information.
(B) Le client conserve les enregistrements et les journaux de vérification pendant au moins 3 mois en ligne et au moins 6 mois en mémoire.
(C) Le client conserve pendant au moins 5 ans tous les enregistrements et journaux de vérification associés à un incident de sécurité.</t>
  </si>
  <si>
    <t xml:space="preserve">Organizations retain audit records until it is determined that they are no longer needed for administrative, legal, audit, or other operational purposes. This includes, for example, retention and availability of audit records relative to legal requests, subpoenas, and law enforcement actions. Organizations develop standard categories of audit records relative to such types of actions and standard response processes for each type of action. Related controls: AU-4, AU-5, AU-9, MP-6</t>
  </si>
  <si>
    <t xml:space="preserve">Les organisations conservent les enregistrements de vérification jusqu’à ce qu’il soit déterminé qu’ils ne sont plus nécessaires à des fins administratives, juridiques, de vérification ou à d’autres fins opérationnelles. Cela comprend, par exemple, la conservation et la disponibilité des enregistrements de vérification relatifs aux demandes légales, aux citations à comparaître et aux mesures d’application de la loi. Les organisations établissent des catégories normalisées d’enregistrements de vérification par rapport à ces types de mesures ainsi que des processus de réponse normalisés pour chaque type de mesure. Contrôles connexes : AU-4, AU-5, AU-9, MP-6</t>
  </si>
  <si>
    <t xml:space="preserve">TEST-AU-11</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</si>
  <si>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</si>
  <si>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</si>
  <si>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</si>
  <si>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</si>
  <si>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</si>
  <si>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</si>
  <si>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</si>
  <si>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CM-3 — Evidence Tracking</t>
  </si>
  <si>
    <t xml:space="preserve">Contrôle CM-3 — Suivi des preuves</t>
  </si>
  <si>
    <t xml:space="preserve">(A)
The organization determines the types of changes to the information system that are configuration-controlled.
(B)
The organization reviews proposed configuration-controlled changes to the information system and approves or disapproves such changes with explicit consideration for security impact analyses.
(C)
The organization documents configuration change decisions associated with the information system.
(D)
The organization implements approved configuration-controlled changes to the information system.
(E)
The organization retains records of configuration-controlled changes to the information system for at least 90 days.
(F)
The organization audits and reviews activities associated with configuration-controlled changes to the information system.
(G)
The organization coordinates and provides oversight for configuration change control activities through a central communication process that includes organizational governance bodies that convenes at least annually.</t>
  </si>
  <si>
    <t xml:space="preserve">(A) L’organisation détermine les types de changements au système d’information qui sont contrôlés par la configuration.
(B) L’organisation examine les changements proposés au système d’information qui sont contrôlés par la configuration et approuve ou désapprouve ces changements en tenant compte explicitement des analyses des répercussions sur la sécurité.
(C) L’organisation documente les décisions sur les changements de configuration associés au système d’information.
(D) L’organisation met en œuvre les changements approuvés au système d’information qui sont contrôlés par la configuration.
(E) L’organisation conserve pendant au moins 90 jours les enregistrements des changements apportés au système d’information qui sont contrôlés par la configuration.
(F) L’organisation vérifie et examine les activités associées aux changements apportés au système d’information qui sont contrôlés par la configuration.
(G) L’organisation coordonne et surveille les activités de contrôle des changements de configuration au moyen d’un processus de communication central comprenant des organismes de gouvernance organisationnelle qui se réunissent au moins une fois par année.</t>
  </si>
  <si>
    <t xml:space="preserve">Configuration change controls for organizational information systems involve the systematic proposal, justification, implementation, testing, review, and disposition of changes to the systems, including system upgrades and modifications. Configuration change control includes changes to baseline configurations for components and configuration items of information systems, changes to configuration settings for information technology products (e.g., operating systems, applications, firewalls, routers, and mobile devices), unscheduled/unauthorized changes, and changes to remediate vulnerabilities. Typical processes for managing configuration changes to information systems include, for example, Configuration Control Boards that approve proposed changes to systems. For new development information systems or systems undergoing major upgrades, organizations consider including representatives from development organizations on the Configuration Control Boards. Auditing of changes includes activities before and after changes are made to organizational information systems and the auditing activities required to implement such changes. Related controls: CA-7, CM-2, CM-4, CM-5, CM-6, CM-9, SA-10, SI-2, SI-12</t>
  </si>
  <si>
    <t xml:space="preserve">Les contrôles des changements de configuration pour les systèmes d’information organisationnels comprennent la proposition systématique, la justification, la mise en œuvre, les essais, l’examen et la disposition des changements aux systèmes, y compris les mises à niveau et les modifications des systèmes. Le contrôle des changements de configuration comprend les changements apportés aux configurations de base des composants et des éléments de configuration des systèmes d’information, les changements apportés aux paramètres de configuration des produits de technologie de l’information (p. ex., systèmes d’exploitation, applications, pare-feu, routeurs et appareils mobiles), les changements imprévus ou non autorisés et les changements visant à corriger les vulnérabilités. Les processus types de gestion des changements de configuration des systèmes d’information comprennent, par exemple, les comités de contrôle de la configuration qui approuvent les changements proposés aux systèmes. En ce qui concerne les nouveaux systèmes d’information en développement ou les systèmes faisant l’objet de mises à niveau importantes, les organisations envisagent d’inclure des représentants des organisations de développement dans les comités de contrôle de la configuration. La vérification des changements comprend les activités menées avant et après les changements apportés aux systèmes d’information organisationnels et les activités de vérification nécessaires à la mise en œuvre de ces changements. Contrôles connexes : CA-7, CM-2, CM-4, CM-5, CM-6, CM-9, SA-10, SI-2, SI-12</t>
  </si>
  <si>
    <t xml:space="preserve">TEST-CM-3</t>
  </si>
  <si>
    <t xml:space="preserve">Control CM-5(1) — Evidence Tracking</t>
  </si>
  <si>
    <t xml:space="preserve">Contrôle CM-5(1) — Suivi des preuves</t>
  </si>
  <si>
    <t xml:space="preserve">ACCESS RESTRICTIONS FOR CHANGE | AUTOMATED ACCESS ENFORCEMENT / AUDITING
The information system enforces access restrictions and supports auditing of the enforcement actions.</t>
  </si>
  <si>
    <t xml:space="preserve">RESTRICTIONS D’ACCÈS POUR LES CHANGEMENTS | CONTRÔLE AUTOMATISÉ DE L’ACCÈS/VÉRIFICATION
Le système d’information applique les restrictions d’accès et prend en charge la vérification des contrôles appliqués.</t>
  </si>
  <si>
    <t xml:space="preserve">Related controls: AU-2, AU-12, AU-6, CM-3, and CM-6.</t>
  </si>
  <si>
    <t xml:space="preserve">Contrôles connexes : AU-2, AU-12, AU-6, CM-3 et CM-6.</t>
  </si>
  <si>
    <t xml:space="preserve">TEST-CM-5(1)</t>
  </si>
  <si>
    <t xml:space="preserve">Control CM-5(6) — Evidence Tracking</t>
  </si>
  <si>
    <t xml:space="preserve">Contrôle CM-5(6) — Suivi des preuves</t>
  </si>
  <si>
    <t xml:space="preserve">ACCESS RESTRICTIONS FOR CHANGE | LIMIT LIBRARY PRIVILEGES
The organization limits privileges to change software resident within software libraries.</t>
  </si>
  <si>
    <t xml:space="preserve">RESTRICTIONS D’ACCÈS POUR LES CHANGEMENTS | LIMITER LES PRIVILÈGES RELATIFS AUX BIBLIOTHÈQUES
L’organisation limite les privilèges relatifs aux modifications du logiciel résidant dans les bibliothèques de logiciels.</t>
  </si>
  <si>
    <t xml:space="preserve">Software libraries include privileged programs. Related control: AC-2.</t>
  </si>
  <si>
    <t xml:space="preserve">Les bibliothèques de logiciels comprennent des programmes privilégiés. Contrôle connexe : AC-2.</t>
  </si>
  <si>
    <t xml:space="preserve">TEST-CM-5(6)</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</si>
  <si>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</si>
  <si>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</si>
  <si>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</si>
  <si>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</si>
  <si>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</si>
  <si>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</si>
  <si>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</si>
  <si>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</si>
  <si>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</si>
  <si>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</si>
  <si>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</si>
  <si>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</si>
  <si>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</si>
  <si>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</si>
  <si>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</si>
  <si>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</si>
  <si>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</si>
  <si>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</si>
  <si>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</si>
  <si>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</si>
  <si>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</si>
  <si>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</si>
  <si>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</si>
  <si>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</si>
  <si>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</si>
  <si>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</si>
  <si>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</si>
  <si>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</si>
  <si>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</si>
  <si>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</si>
  <si>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</si>
  <si>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</si>
  <si>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</si>
  <si>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</si>
  <si>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</si>
  <si>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IA-5(7) — Evidence Tracking</t>
  </si>
  <si>
    <t xml:space="preserve">Contrôle IA-5(7) — Suivi des preuves</t>
  </si>
  <si>
    <t xml:space="preserve">AUTHENTICATOR MANAGEMENT | NO EMBEDDED UNENCRYPTED STATIC AUTHENTICATORS
The organization ensures that unencrypted static authenticators are not embedded in applications or access scripts or stored on function keys.</t>
  </si>
  <si>
    <t xml:space="preserve">GESTION DES AUTHENTIFIANTS | AUCUN AUTHENTIFIANT STATIQUE INTÉGRÉ NON CHIFFRÉ
L’organisation veille à ce que les authentifiants statiques non chiffrés ne soient pas intégrés dans les applications ou les scripts d’accès ou stockés sur les clés de fonction.</t>
  </si>
  <si>
    <t xml:space="preserve">Organizations exercise caution in determining whether embedded or stored authenticators are in encrypted or unencrypted form. If authenticators are used in the manner stored, then those representations are considered unencrypted authenticators. This is irrespective of whether that representation is perhaps an encrypted version of something else (e.g., a password).</t>
  </si>
  <si>
    <t xml:space="preserve">Les organisations usent de prudence lorsqu’il s’agit de déterminer si les authentifiants intégrés ou stockés sont chiffrés ou non chiffrés. Si les authentifiants sont utilisés sous leur forme stockée, ces représentations sont alors considérées comme étant des authentifiants non chiffrés. Cela n’a rien à voir avec le fait que cette représentation puisse être une version chiffrée de quelque chose d’autre (p. ex., un mot de passe).</t>
  </si>
  <si>
    <t xml:space="preserve">TEST-IA-5(7)</t>
  </si>
  <si>
    <t xml:space="preserve">Control MA-4 — Evidence Tracking</t>
  </si>
  <si>
    <t xml:space="preserve">Contrôle MA-4 — Suivi des preuves</t>
  </si>
  <si>
    <t xml:space="preserve">(A)
The organization approves and monitors nonlocal maintenance and diagnostic activities.
(B)
The organization allows the use of non-local maintenance and diagnostic tools only as consistent with organizational policy and as documented in the security plan for the information system.
(C)
The organization employs strong authenticators in the establishment of nonlocal maintenance and diagnostic sessions.
(D)
The organization maintains records for nonlocal maintenance and diagnostic activities.</t>
  </si>
  <si>
    <t xml:space="preserve">(A) L’organisation approuve et surveille les activités de maintenance et de diagnostic non locales.
(B) L’organisation ne permet l’utilisation d’outils de maintenance et de diagnostic non locaux que dans la mesure où ils sont conformes à la politique de l’organisation et documentés dans le plan de sécurité du système d’information.
(C) L’organisation utilise des authentifiants puissants pour les ouvertures de sessions de maintenance et de diagnostic non locales.
(D) L’organisation tient des registres pour les activités de maintenance et de diagnostic non locales.</t>
  </si>
  <si>
    <t xml:space="preserve">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Authentication techniques used in the establishment of nonlocal maintenance and diagnostic sessions reflect the network access requirements in IA-2. Typically, strong authentication requires authenticators that are resistant to replay attacks and employ multifactor authentication. Strong authenticators include, for example, PKI where certificates are stored on a token protected by a password, passphrase, or biometric. Enforcing requirements in MA-4 is accomplished in part by other controls. Related controls: AC-2, AC-3, AC-6, AC-17, AU-2, AU-3, IA-2, IA-4, IA-5, IA-8, MA-2, MA-5, MP-6, PL-2, SC-7, SC-10, SC-17</t>
  </si>
  <si>
    <t xml:space="preserve">Les activités de maintenance et de diagnostic non locales sont des activités menées par des personnes qui communiquent par l’entremise d’un réseau externe (p. ex., Internet) ou interne. Les activités de maintenance et de diagnostic locales sont les activités menées par des personnes physiquement présentes sur les lieux du système d’information ou du composant du système d’information et qui ne communiquent pas au moyen d’une connexion réseau. Les techniques d’authentification utilisées pour les ouvertures de sessions de maintenance et de diagnostic non locales reflètent les exigences d’accès au réseau dans IA-2. En règle générale, une authentification forte nécessite des authentifiants qui résistent aux attaques par réinsertion et utilisent l’authentification multifactorielle. Les authentifiants puissants comprennent, par exemple, l’ICP, où les certificats sont stockés sur un jeton protégé par un mot de passe, une phrase de passe ou des données biométriques. L’application des exigences du contrôle MA-4 est assurée en partie par d’autres contrôles. Contrôles connexes : AC-2, AC-3, AC-6, AC-17, AU-2, AU-3, IA-2, IA-4, IA-5, IA-8, MA-2, MA-5, MP-6, PL-2, SC-7, SC-10, SC-17</t>
  </si>
  <si>
    <t xml:space="preserve">TEST-MA-4</t>
  </si>
  <si>
    <t xml:space="preserve">Control MA-4(1) — Evidence Tracking</t>
  </si>
  <si>
    <t xml:space="preserve">Contrôle MA-4(1) — Suivi des preuves</t>
  </si>
  <si>
    <t xml:space="preserve">NONLOCAL MAINTENANCE | AUDITING AND REVIEW
(a)
The organization audits nonlocal maintenance and diagnostic sessions as defined in the organizations formal audit policy (AU-2, AU-6, AU-12); and
(b)
The organization reviews the records of the maintenance and diagnostic sessions.</t>
  </si>
  <si>
    <t xml:space="preserve">MAINTENANCE NON LOCALE | VÉRIFICATION ET EXAMEN
(a) L’organisation vérifie les sessions de maintenance et de diagnostic non locales telles que définies dans la politique de vérification officielle de l’organisation (AU-2, AU-6, AU-12);
(b) L’organisation examine les enregistrements des sessions de maintenance et de diagnostic.</t>
  </si>
  <si>
    <t xml:space="preserve">Related controls: AU-2, AU-6, AU-12.</t>
  </si>
  <si>
    <t xml:space="preserve">Contrôles connexes : AU-2, AU-6, AU-12.</t>
  </si>
  <si>
    <t xml:space="preserve">TEST-MA-4(1)</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</si>
  <si>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</si>
  <si>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</si>
  <si>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</si>
  <si>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</si>
  <si>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</si>
  <si>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</si>
  <si>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</si>
  <si>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SA-11(1) — Evidence Tracking</t>
  </si>
  <si>
    <t xml:space="preserve">Contrôle SA-11(1) — Suivi des preuves</t>
  </si>
  <si>
    <t xml:space="preserve">DEVELOPER SECURITY TESTING AND EVALUATION | STATIC CODE ANALYSIS
The organization requires the developer of the information system, system component, or information system service to employ static code analysis tools to identify common flaws and document the results of the analysis.</t>
  </si>
  <si>
    <t xml:space="preserve">ESSAIS ET ÉVALUATION DE LA SÉCURITÉ PAR LE DÉVELOPPEUR | ANALYSE DU CODE STATIQUE
L’organisation exige que le développeur du système d’information, du composant du système ou du service du système d’information utilise des outils d’analyse du code statique pour repérer les défauts courants et documenter les résultats de l’analyse.</t>
  </si>
  <si>
    <t xml:space="preserve">Static code analysis provides a technology and methodology for security reviews. Such analysis can be used to identify security vulnerabilities and enforce security coding practices. Static code analysis is most effective when used early in the development process, when each code change can be automatically scanned for potential weaknesses. Static analysis can provide clear remediation guidance along with defects to enable developers to fix such defects. Evidence of correct implementation of static analysis can include, for example, aggregate defect density for critical defect types, evidence that defects were inspected by developers or security professionals, and evidence that defects were fixed. An excessively high density of ignored findings (commonly referred to as ignored or false positives) indicates a potential problem with the analysis process or tool. In such cases, organizations weigh the validity of the evidence against evidence from other sources.</t>
  </si>
  <si>
    <t xml:space="preserve">L’analyse du code statique fournit une technologie et une méthodologie pour les examens de sécurité. Une telle analyse peut servir à déterminer les vulnérabilités en matière de sécurité et à appliquer les pratiques de codage de sécurité. L’analyse du code statique sera plus efficace si elle est utilisée tôt dans le processus de développement, alors que chaque changement de code peut automatiquement être soumis à un balayage permettant de déceler les faiblesses potentielles. L’analyse statique peut fournir des directives claires sur les mesures correctives ainsi que sur les défauts afin de permettre aux développeurs de corriger ces défauts. Les preuves de la mise en œuvre correcte de l’analyse statique peuvent comprendre, par exemple, la densité globale des défauts pour les types de défauts critiques, des preuves que les défauts ont été inspectés par des développeurs ou des professionnels de la sécurité, et des preuves que les défauts ont été corrigés. Une densité excessivement élevée de résultats ignorés (communément appelés faux positifs) indique un problème potentiel avec le processus ou l’outil d’analyse. Dans de tels cas, les organisations évaluent la validité de la preuve par rapport à celle d’autres sources.</t>
  </si>
  <si>
    <t xml:space="preserve">TEST-SA-11(1)</t>
  </si>
  <si>
    <t xml:space="preserve">Control SA-11(8) — Evidence Tracking</t>
  </si>
  <si>
    <t xml:space="preserve">Contrôle SA-11(8) — Suivi des preuves</t>
  </si>
  <si>
    <t xml:space="preserve">DEVELOPER SECURITY TESTING AND EVALUATION | DYNAMIC CODE ANALYSIS
The organization requires the developer of the information system, system component, or information system service to employ dynamic code analysis tools to identify common flaws and document the results of the analysis.</t>
  </si>
  <si>
    <t xml:space="preserve">ESSAIS ET ÉVALUATION DE LA SÉCURITÉ PAR LE DÉVELOPPEUR | ANALYSE DU CODE DYNAMIQUE
L’organisation exige que le développeur du système d’information, du composant du système ou du service du système d’information utilise des outils d’analyse du code dynamique pour repérer les vulnérabilités courantes et documenter les résultats de l’analyse.</t>
  </si>
  <si>
    <t xml:space="preserve">Dynamic code analysis provides run-time verification of software programs, using tools capable of monitoring programs for memory corruption, user privilege issues, and other potential security problems. Dynamic code analysis employs run-time tools to help to ensure that security functionality performs in the manner in which it was designed. A specialized type of dynamic analysis, known as fuzz testing, induces program failures by deliberately introducing malformed or random data into software programs. Fuzz testing strategies derive from the intended use of applications and the functional and design specifications for the applications. To understand the scope of dynamic code analysis and hence the assurance provided, organizations may also consider conducting code coverage analysis (checking the degree to which the code has been tested using metrics such as percent of subroutines tested or percent of program statements called during execution of the test suite) and/or concordance analysis.</t>
  </si>
  <si>
    <t xml:space="preserve">L’analyse du code dynamique permet de vérifier le temps d’exécution des programmes logiciels à l’aide d’outils capables de surveiller les programmes en ce qui a trait à la corruption de la mémoire, aux problèmes liés aux privilèges d’utilisateur et à d’autres problèmes de sécurité potentiels. L’analyse dynamique du code fait appel à des outils à l’exécution pour s’assurer que les fonctionnalités de sécurité fonctionnent de la façon dont elles ont été conçues. Un type spécialisé d’analyse dynamique, connu sous le nom de test à données aléatoires (fuzz testing), induit des échecs du programme en introduisant délibérément des données erronées ou aléatoires dans des programmes logiciels. Les stratégies de test à données aléatoires déployées dépendent de l’utilisation prévue des applications et des spécifications fonctionnelles et de conception pour les applications. Pour comprendre la portée de l’analyse dynamique du code et, par conséquent, l’assurance fournie, les organisations peuvent également envisager d’effectuer une analyse de la couverture du code (en vérifiant la mesure dans laquelle le code a été mis à l’essai à l’aide de paramètres comme le pourcentage des sous-programmes testés ou le pourcentage des instructions du programme appelées pendant l’exécution de la série d’essais) ou une analyse de concordance.</t>
  </si>
  <si>
    <t xml:space="preserve">TEST-SA-11(8)</t>
  </si>
  <si>
    <t xml:space="preserve">Control SC-7 — Evidence Tracking</t>
  </si>
  <si>
    <t xml:space="preserve">Contrôle SC-7 — Suivi des preuves</t>
  </si>
  <si>
    <t xml:space="preserve">(A)
The information system monitors and controls communications at the external boundary of the system and at key internal boundaries within the system.
(B)
The information system implements sub-networks for publicly accessible system components that are physically or logically separated from internal organizational networks.
(C)
The information system connects to external networks or information systems only through managed interfaces consisting of boundary protection devices arranged in accordance with an organizational security architecture.</t>
  </si>
  <si>
    <t xml:space="preserve">(A) Le système d’information surveille et contrôle les communications à la frontière externe du système et aux frontières internes clés du système.
(B) Le système d’information met en œuvre des sous-réseaux pour des composants du système accessibles au public qui sont physiquement ou logiquement séparés des réseaux organisationnels internes.
(C) Le système d’information ne se connecte à des réseaux ou à des systèmes d’information externes que par des interfaces gérées comprenant des dispositifs de protection des frontières organisés conformément à une architecture de sécurité organisationnelle.</t>
  </si>
  <si>
    <t xml:space="preserve">Managed interfaces include, for example, gateways, routers, firewalls, guards, network-based malicious code analysis and virtualization systems, or encrypted tunnels implemented within a security architecture (e.g., routers protecting firewalls or application gateways residing on protected sub-networks). Sub-networks that are physically or logically separated from internal networks are referred to as demilitarized zones or DMZs. Restricting or prohibiting interfaces within organizational information systems includes, for example, restricting external web traffic to designated web servers within managed interfaces and prohibiting external traffic that appears to be spoofing internal addresses. Organizations consider the shared nature of commercial telecommunications services in the implementation of security controls associated with the use of such services. Commercial telecommunications services are commonly based on network components and consolidated management systems shared by all attached commercial customers, and may also include third party-provided access lines and other service elements. Such transmission services may represent sources of increased risk despite contract security provisions. Related controls: AC-4, AC-17, CA-3, CM-7, CP-8, IR-4, RA-3, SC-5, SC-13</t>
  </si>
  <si>
    <t xml:space="preserve">Les interfaces gérées comprennent, par exemple, les passerelles, les routeurs, les pare-feu, les gardiens, les systèmes d’analyse et de virtualisation de codes malveillants basés sur le réseau, ou les tunnels chiffrés mis en œuvre dans une architecture de sécurité (p. ex., les routeurs protégeant les pare-feu ou les passerelles d’application résidant sur des sous-réseaux protégés). Les sous-réseaux qui sont physiquement ou logiquement séparés des réseaux internes sont appelés « zones démilitarisées » ou « ZD ». La restriction ou l’interdiction des interfaces dans les systèmes d’information de l’organisation comprend, par exemple, la restriction du trafic Web externe aux serveurs Web désignés dans les interfaces gérées et l’interdiction du trafic externe qui semble usurper les adresses internes. Les organisations tiennent compte de la nature commune des services de télécommunications commerciaux dans la mise en œuvre des contrôles de sécurité associés à l’utilisation de tels services. Les services de télécommunications commerciaux sont généralement fondés sur des composants de réseau et des systèmes de gestion consolidés partagés par tous les clients commerciaux attenants, et peuvent également comprendre des lignes d’accès fournies par des tiers et d’autres éléments de service. Ces services de transmission peuvent représenter des sources de risque accru malgré les dispositions relatives à la sécurité dans les contrats. Contrôles connexes : AC-4, AC-17, CA-3, CM-7, CP-8, IR-4, RA-3, SC-5, SC-13</t>
  </si>
  <si>
    <t xml:space="preserve">TEST-SC-7</t>
  </si>
  <si>
    <t xml:space="preserve">Control SC-18 — Evidence Tracking</t>
  </si>
  <si>
    <t xml:space="preserve">Contrôle SC-18 — Suivi des preuves</t>
  </si>
  <si>
    <t xml:space="preserve">(A)
The organization defines acceptable and unacceptable mobile code and mobile code technologies.
(B)
The organization establishes usage restrictions and implementation guidance for acceptable mobile code and mobile code technologies.
(C)
The organization authorizes, monitors, and controls the use of mobile code within the information system.</t>
  </si>
  <si>
    <t xml:space="preserve">(A) L’organisation définit les codes mobiles et les technologies de codes mobiles acceptables et inacceptables.
(B) L’organisation établit des restrictions d’utilisation et des directives de mise en œuvre pour le code mobile et les technologies de code mobile acceptables.
(C) L’organisation autorise, surveille et contrôle l’utilisation du code mobile dans le système d’information.</t>
  </si>
  <si>
    <t xml:space="preserve">Decisions regarding the employment of mobile code within organizational information systems are based on the potential for the code to cause damage to the systems if used maliciously. Mobile code technologies include, for example, Java, JavaScript, ActiveX, Postscript, PDF, Shockwave movies, Flash animations, and VBScript. Usage restrictions and implementation guidance apply to both the selection and use of mobile code installed on servers and mobile code downloaded and executed on individual workstations and devices (e.g., smart phones). Mobile code policy and procedures address preventing the development, acquisition, or introduction of unacceptable mobile code within organizational information systems. Related controls: AU-2, AU-12, CM-2, CM-6, SI-3</t>
  </si>
  <si>
    <t xml:space="preserve">Les décisions concernant l’utilisation du code mobile dans les systèmes d’information de l’organisation sont basées sur le potentiel de dommages causés aux systèmes si le code est utilisé de façon malveillante. Les technologies de code mobile comprennent, par exemple, Java, JavaScript, ActiveX, Postcript, PDF, les films Shockwave, les animations Flash et VBScript. Les restrictions d’utilisation et les directives de mise en œuvre s’appliquent à la fois à la sélection et à l’utilisation du code mobile installé sur les serveurs et du code mobile téléchargé et exécuté sur des postes de travail et des appareils individuels (p. ex., téléphones intelligents). La politique et les procédures relatives au code mobile visent à prévenir l’élaboration, l’acquisition ou l’introduction de code mobile inacceptable dans les systèmes d’information de l’organisation. Contrôles connexes : AU-2, AU-12, CM-2, CM-6, SI-3</t>
  </si>
  <si>
    <t xml:space="preserve">TEST-SC-18</t>
  </si>
  <si>
    <t xml:space="preserve">Control SI-4 — Evidence Tracking</t>
  </si>
  <si>
    <t xml:space="preserve">Contrôle SI-4 — Suivi des preuves</t>
  </si>
  <si>
    <t xml:space="preserve">(A)
The organization monitors the information system to detect:
(a)
Attacks and indicators of potential attacks in accordance with organization-defined monitoring objectives; and
(b)
Unauthorized local, network, and remote connections;
(B)
The organization identifies unauthorized use of the information system through organization-defined techniques and methods.
(C)
The organization deploys monitoring devices: (i) strategically within the information system to collect organization-determined essential information; and (ii) at ad hoc locations within the system to track specific types of transactions of interest to the organization.
(D)
The organization protects information obtained from intrusion-monitoring tools from unauthorized access, modification, and deletion.
(E)
The organization heightens the level of information system monitoring activity whenever there is an indication of increased risk to organizational operations and assets, individuals, other organizations, or Canada based on law enforcement information, intelligence information, or other credible sources of information.
(F)
The organization obtains legal opinion with regard to information system monitoring activities in accordance with orgnanizational policies, directives and standards.
(G)
The organization provides organization-defined information system monitoring information to organization-defined personnel or roles at an organization-defined frequency.</t>
  </si>
  <si>
    <t xml:space="preserve">(A) L’organisation surveille le système d’information pour détecter :
(a) les attaques et indicateurs d’attaques potentielles conformément aux objectifs de surveillance définis par l’organisation;
(b) les connexions locales, de réseau et à distance non autorisées;
(B) L’organisation détecte l’utilisation non autorisée du système d’information au moyen de techniques et de méthodes définies par l’organisation.
(C) L’organisation déploie des dispositifs de surveillance : (i) de façon stratégique au sein du système d’information pour recueillir les renseignements essentiels déterminés par l’organisation; (ii) à des endroits spéciaux dans le système pour faire le suivi de certains types de transactions d’intérêt pour l’organisation.
(D) L’organisation protège l’information obtenue des outils de surveillance des intrusions contre l’accès, la modification et la suppression non autorisés.
(E) L’organisation augmente le niveau de l’activité de surveillance du système d’information chaque fois qu’il y a indication d’un risque accru pour les opérations et les biens de l’organisation, les personnes, les autres organisations ou le Canada sur la base de renseignements concernant l’application de la loi, de renseignements de sécurité ou d’autres sources d’information crédibles.
(F) L’organisation obtient un avis juridique concernant les activités de surveillance du système d’information conformément aux politiques, aux directives et aux normes de l’organisation.
(G) L’organisation fournit les renseignements relatifs à la surveillance du système d’information définis par l’organisation au personnel ou aux rôles définis par l’organisation à une fréquence définie par l’organisation.</t>
  </si>
  <si>
    <t xml:space="preserve">Information system monitoring includes external and internal monitoring. External monitoring includes the observation of events occurring at the information system boundary (i.e., part of perimeter defence and boundary protection). Internal monitoring includes the observation of events occurring within the information system. Organizations can monitor information systems, for example, by observing audit activities in real time or by observing other system aspects such as access patterns, characteristics of access, and other actions. The monitoring objectives may guide determination of the events. Information system monitoring capability is achieved through a variety of tools and techniques (e.g., intrusion detection systems, intrusion prevention systems, malicious code protection software, scanning tools, audit record monitoring software, network monitoring software). Strategic locations for monitoring devices include, for example, selected perimeter locations and near server farms supporting critical applications, with such devices typically being employed at the managed interfaces associated with controls SC-7 and AC-17. The granularity of monitoring information collected is based on organizational monitoring objectives and the capability of information systems to support such objectives. Specific types of transactions of interest include, for example, HTTP traffic that bypasses HTTP proxies. Information system monitoring is an integral part of organizational continuous monitoring and incident response programs. Output from system monitoring serves as input to continuous monitoring and incident response programs. A network connection is any connection with a device that communicates through a network (e.g., local area network, Internet). A remote connection is any connection with a device communicating through an external network (e.g., the Internet). Local, network, and remote connections can be either wired or wireless. Related controls: AC-3, AC-4, AC-8, AC-17, AU-2, AU-6, AU-7, AU-9, AU-12, CA-7, IR-4, PE-3, RA-5, SC-7, SC-26, SC-35, SI-3, SI-7</t>
  </si>
  <si>
    <t xml:space="preserve">La surveillance du système d’information comprend la surveillance externe et interne. La surveillance externe comprend l’observation d’événements qui se produisent à la frontière du système d’information (c.-à-d. qu’elle fait partie de la défense du périmètre et de la protection des frontières). La surveillance interne comprend l’observation des événements qui se produisent au sein du système d’information. Les organisations peuvent surveiller les systèmes d’information, par exemple en observant les activités de vérification en temps réel ou en observant d’autres aspects du système, comme les profils d’accès, les caractéristiques de l’accès et d’autres mesures. Les objectifs de surveillance peuvent guider la détermination des événements. La capacité de surveillance des systèmes d’information est assurée par divers outils et techniques (p. ex., systèmes de détection des intrusions, systèmes de prévention des intrusions, logiciels de protection contre le code malveillant, outils de balayage, logiciel de surveillance des enregistrements de vérification, logiciel de surveillance de réseau). Les emplacements stratégiques pour les dispositifs de surveillance comprennent, par exemple, des emplacements périmétriques choisis et près des grappes de serveurs prenant en charge les applications critiques, ces dispositifs étant habituellement utilisés aux interfaces gérées associées aux contrôles SC-7 et AC-17. La granularité des données de surveillance recueillies est fonction des objectifs de surveillance de l’organisation et de la capacité des systèmes d’information à appuyer de tels objectifs. Les types particuliers de transactions d’intérêt comprennent, par exemple, le trafic HTTP qui contourne les mandataires HTTP. La surveillance du système d’information fait partie intégrante des programmes de surveillance continue et d’intervention en cas d’incident de l’organisation. Les résultats de la surveillance des systèmes servent d’intrants aux programmes de surveillance continue et d’intervention en cas d’incident. Une connexion réseau est toute connexion avec un appareil qui communique par l’entremise d’un réseau (p. ex., réseau local, Internet). Une connexion distante est toute connexion avec un appareil qui communique par l’entremise d’un réseau externe (p. ex., Internet). Les connexions locales, réseau et distantes peuvent être câblées ou sans fil. Contrôles connexes : AC-3, AC-4, AC-8, AC-17, AU-2, AU-6, AU-7, AU-9, AU-12, CA-7, IR-4, PE-3, RA-5, SC-7, SC-26, SC-35, SI-3, SI-7</t>
  </si>
  <si>
    <t xml:space="preserve">TEST-SI-4</t>
  </si>
  <si>
    <t xml:space="preserve">Control SI-4(1) — Evidence Tracking</t>
  </si>
  <si>
    <t xml:space="preserve">Contrôle SI-4(1) — Suivi des preuves</t>
  </si>
  <si>
    <t xml:space="preserve">INFORMATION SYSTEM MONITORING | SYSTEM-WIDE INTRUSION DETECTION SYSTEM
The organization connects and configures individual intrusion detection tools into an information system-wide intrusion detection system.</t>
  </si>
  <si>
    <t xml:space="preserve">SURVEILLANCE DU SYSTÈME D’INFORMATION | SYSTÈME DE DÉTECTION DES INTRUSIONS À L’ÉCHELLE DU SYSTÈME
L’organisation connecte et configure les outils de détection d’intrusion individuels en un système de détection d’intrusion global pour l’ensemble du système d’information.</t>
  </si>
  <si>
    <t xml:space="preserve">TEST-SI-4(1)</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</si>
  <si>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</si>
  <si>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</si>
  <si>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</si>
  <si>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</si>
  <si>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</si>
  <si>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</si>
  <si>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</si>
  <si>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SI-4(4) — Evidence Tracking</t>
  </si>
  <si>
    <t xml:space="preserve">Contrôle SI-4(4) — Suivi des preuves</t>
  </si>
  <si>
    <t xml:space="preserve">INFORMATION SYSTEM MONITORING | INBOUND AND OUTBOUND COMMUNICATIONS TRAFFIC
The information system monitors inbound and outbound communications traffic continously for unusual or unauthorized activities or conditions.</t>
  </si>
  <si>
    <t xml:space="preserve">SURVEILLANCE DU SYSTÈME D’INFORMATION | COMMUNICATIONS ENTRANTES ET SORTANTES
Le système d’information surveille les communications entrantes et sortantes de façon continue pour détecter les activités ou les conditions inhabituelles ou non autorisées.</t>
  </si>
  <si>
    <t xml:space="preserve">Unusual/unauthorized activities or conditions related to information system inbound and outbound communications traffic include, for example, internal traffic that indicates the presence of malicious code within organizational information systems or propagating among system components, the unauthorized exporting of information, or signalling to external information systems. Evidence of malicious code is used to identify potentially compromised information systems or information system components.</t>
  </si>
  <si>
    <t xml:space="preserve">Les activités ou les conditions inhabituelles ou non autorisées liées aux communications entrantes et sortantes du système d’information comprennent, par exemple, le trafic interne indiquant la présence de code malveillant dans les systèmes d’information de l’organisation ou se propageant dans les composants du système, l’exportation non autorisée d’information ou la signalisation vers des systèmes d’information externes. Les preuves de la présence du code malveillant sont utilisées pour identifier les systèmes d’information ou les composants de systèmes d’information potentiellement compromis.</t>
  </si>
  <si>
    <t xml:space="preserve">TEST-SI-4(4)</t>
  </si>
  <si>
    <t xml:space="preserve">Control SI-4(5) — Evidence Tracking</t>
  </si>
  <si>
    <t xml:space="preserve">Contrôle SI-4(5) — Suivi des preuves</t>
  </si>
  <si>
    <t xml:space="preserve">INFORMATION SYSTEM MONITORING | SYSTEM-GENERATED ALERTS
The information system alerts  organization-defined personnel or roles and client governance bodies when organization-defined compromise or potential compromise indicators occur.</t>
  </si>
  <si>
    <t xml:space="preserve">SURVEILLANCE DU SYSTÈME D’INFORMATION | ALERTES GÉNÉRÉES PAR LE SYSTÈME
Le système d’information alerte le personnel ou les rôles définis par l’organisation et les organes de gouvernance du client lorsque des indicateurs de compromission ou de compromission potentielle définis par l’organisation sont détectés.</t>
  </si>
  <si>
    <t xml:space="preserve">Alerts may be generated from a variety of sources, including, for example, audit records or inputs from malicious code protection mechanisms, intrusion detection or prevention mechanisms, or boundary protection devices such as firewalls, gateways, and routers. Alerts can be transmitted, for example, telephonically, by electronic mail messages, or by text messaging. Organizational personnel on the notification list can include, for example, system administrators, mission/business owners, system owners, or information system security officers. Related controls: AU-5, PE-6.</t>
  </si>
  <si>
    <t xml:space="preserve">Les alertes peuvent provenir de diverses sources, y compris, par exemple, des enregistrements de vérification ou des données provenant de mécanismes de protection contre le code malveillant, de mécanismes de détection ou de prévention des intrusions, ou de dispositifs de protection des frontières comme les pare-feu, les passerelles et les routeurs. Les alertes peuvent être transmises, par exemple, par téléphone, par courrier électronique ou par messagerie texte. Le personnel de l’organisation figurant sur la liste de notification peut comprendre, par exemple, des administrateurs de système, des responsables opérationnels ou de mission, des propriétaires de système ou des agents de sécurité de système d’information. Contrôles connexes : AU-5, PE-6.</t>
  </si>
  <si>
    <t xml:space="preserve">TEST-SI-4(5)</t>
  </si>
  <si>
    <t xml:space="preserve">Control SI-4(11) — Evidence Tracking</t>
  </si>
  <si>
    <t xml:space="preserve">Contrôle SI-4(11) — Suivi des preuves</t>
  </si>
  <si>
    <t xml:space="preserve">INFORMATION SYSTEM MONITORING | ANALYZE COMMUNICATIONS TRAFFIC ANOMALIES
The organization analyzes outbound communications traffic at the external boundary of the information system and selected organization-defined interior points within the system (e.g., sub-networks, subsystems) to discover anomalies.</t>
  </si>
  <si>
    <t xml:space="preserve">SURVEILLANCE DU SYSTÈME D’INFORMATION | ANALYSE DES ANOMALIES DANS LES COMMUNICATIONS
L’organisation analyse les communications sortantes à la frontière externe du système d’information et à certains points définis par l’organisation à l’intérieur du système (p. ex. sous-réseaux, sous-systèmes) pour découvrir des anomalies.</t>
  </si>
  <si>
    <t xml:space="preserve">Anomalies within organizational information systems include, for example, large file transfers, long-time persistent connections, unusual protocols and ports in use, and attempted communications with suspected malicious external addresses.</t>
  </si>
  <si>
    <t xml:space="preserve">Les anomalies dans les systèmes d’information de l’organisation comprennent, par exemple, les transferts de fichiers volumineux, les connexions persistantes de longue durée, les protocoles et les ports inhabituels utilisés et les tentatives de communication avec des adresses externes soupçonnées de malveillance.</t>
  </si>
  <si>
    <t xml:space="preserve">TEST-SI-4(11)</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</si>
  <si>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</si>
  <si>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</si>
  <si>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</si>
  <si>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</si>
  <si>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</si>
  <si>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</si>
  <si>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</si>
  <si>
    <t xml:space="preserve">Control SI-7(7) — Evidence Tracking</t>
  </si>
  <si>
    <t xml:space="preserve">Contrôle SI-7(7) — Suivi des preuves</t>
  </si>
  <si>
    <t xml:space="preserve">SOFTWARE, FIRMWARE, AND INFORMATION INTEGRITY | INTEGRATION OF DETECTION AND RESPONSE
The organization incorporates the detection of unauthorized organization-defined security-relevant changes to the information system into the organizational incident response capability.</t>
  </si>
  <si>
    <t xml:space="preserve">INTÉGRITÉ DES LOGICIELS, DES MICROLOGICIELS ET DE L’INFORMATION | INTÉGRATION DE LA DÉTECTION ET DE L’INTERVENTION
L’organisation intègre la détection des changements non autorisés qu’elle définit comme pertinents pour la sécurité du système d’information dans sa capacité d’intervention en cas d’incident.</t>
  </si>
  <si>
    <t xml:space="preserve">This control enhancement helps to ensure that detected events are tracked, monitored, corrected, and available for historical purposes. Maintaining historical records is important both for being able to identify and discern adversary actions over an extended period of time and for possible legal actions. Security-relevant changes include, for example, unauthorized changes to established configuration settings or unauthorized elevation of information system privileges. Related controls: IR-4, IR-5, SI-4.</t>
  </si>
  <si>
    <t xml:space="preserve">Cette amélioration du contrôle permet de s’assurer que les événements détectés sont suivis, surveillés, corrigés et disponibles à des fins historiques. Il est important de tenir des registres de l’historique pour être en mesure d’identifier et de discerner les actions adverses sur une période prolongée et pour d’éventuelles actions en justice. Les changements pertinents pour la sécurité comprennent, par exemple, les changements non autorisés aux paramètres de configuration établis ou l’élévation non autorisée des privilèges du système d’information. Contrôles connexes : IR-4, IR-5, SI-4.</t>
  </si>
  <si>
    <t xml:space="preserve">TEST-SI-7(7)</t>
  </si>
  <si>
    <t xml:space="preserve">Control SI-11 — Evidence Tracking</t>
  </si>
  <si>
    <t xml:space="preserve">Contrôle SI-11 — Suivi des preuves</t>
  </si>
  <si>
    <t xml:space="preserve">(A)
The information system generates error messages that provide information necessary for corrective actions without revealing information that could be exploited by adversaries.
(B)
The information system reveals error messages only to organization-defined personnel or roles.</t>
  </si>
  <si>
    <t xml:space="preserve">(A) Le système d’information génère des messages d’erreur qui fournissent l’information nécessaire aux mesures correctives sans révéler l’information qui pourrait être exploitée par des adversaires.
(B) Le système d’information ne révèle les messages d’erreur qu’au personnel ou aux rôles définis par l’organisation.</t>
  </si>
  <si>
    <t xml:space="preserve">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 In addition, error messages may provide a covert channel for transmitting information. Related controls: AU-2, AU-3, SC-31</t>
  </si>
  <si>
    <t xml:space="preserve">Les organisations examinent attentivement la structure et le contenu des messages d’erreur. La mesure dans laquelle les systèmes d’information peuvent déterminer et gérer les conditions d’erreur est fonction des politiques et des exigences opérationnelles de l’organisation. Les renseignements qui pourraient être exploités par des adversaires comprennent, par exemple, les tentatives d’ouverture de session erronées avec des mots de passe entrés par erreur en tant que nom d’utilisateur, des renseignements sur la mission ou les opérations qui peuvent être déduits de (voire être explicitement indiqués par) l’information saisie, et des renseignements personnels comme des numéros de compte, des numéros de sécurité sociale et des numéros de carte de crédit. De plus, les messages d’erreur peuvent servir de voie secrète pour transmettre de l’information. Contrôles connexes : AU-2, AU-3, SC-31</t>
  </si>
  <si>
    <t xml:space="preserve">TEST-SI-11</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</si>
</sst>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C3D69B"/>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0</v>
      </c>
      <c r="B1" s="1"/>
      <c r="C1" s="1"/>
      <c r="D1" s="1"/>
      <c r="E1" s="1"/>
    </row>
    <row r="2" customFormat="false" ht="21.75" hidden="false" customHeight="true" outlineLevel="0" collapsed="false">
      <c r="A2" s="2" t="s">
        <v>1</v>
      </c>
      <c r="B2" s="2" t="s">
        <v>2</v>
      </c>
      <c r="C2" s="2" t="s">
        <v>3</v>
      </c>
      <c r="D2" s="2" t="s">
        <v>4</v>
      </c>
      <c r="E2" s="2" t="s">
        <v>5</v>
      </c>
    </row>
    <row r="3" customFormat="false" ht="18" hidden="false" customHeight="true" outlineLevel="0" collapsed="false">
      <c r="A3" s="3" t="s">
        <v>6</v>
      </c>
      <c r="B3" s="4" t="s">
        <v>7</v>
      </c>
      <c r="C3" s="4"/>
      <c r="D3" s="3" t="s">
        <v>8</v>
      </c>
      <c r="E3" s="3" t="str">
        <f aca="false">'AC-2-4'!B20</f>
        <v>Not Started</v>
      </c>
    </row>
    <row r="4" customFormat="false" ht="18" hidden="false" customHeight="true" outlineLevel="0" collapsed="false">
      <c r="A4" s="3" t="s">
        <v>9</v>
      </c>
      <c r="B4" s="4" t="s">
        <v>7</v>
      </c>
      <c r="C4" s="4"/>
      <c r="D4" s="3" t="s">
        <v>10</v>
      </c>
      <c r="E4" s="3" t="str">
        <f aca="false">'AC-2-5'!B20</f>
        <v>Not Started</v>
      </c>
    </row>
    <row r="5" customFormat="false" ht="18" hidden="false" customHeight="true" outlineLevel="0" collapsed="false">
      <c r="A5" s="3" t="s">
        <v>11</v>
      </c>
      <c r="B5" s="4" t="s">
        <v>7</v>
      </c>
      <c r="C5" s="4"/>
      <c r="D5" s="3" t="s">
        <v>12</v>
      </c>
      <c r="E5" s="3" t="str">
        <f aca="false">'AC-2-7'!B20</f>
        <v>Not Started</v>
      </c>
    </row>
    <row r="6" customFormat="false" ht="18" hidden="false" customHeight="true" outlineLevel="0" collapsed="false">
      <c r="A6" s="3" t="s">
        <v>13</v>
      </c>
      <c r="B6" s="4" t="s">
        <v>14</v>
      </c>
      <c r="C6" s="4"/>
      <c r="D6" s="3" t="s">
        <v>13</v>
      </c>
      <c r="E6" s="3" t="str">
        <f aca="false">'AC-6'!B20</f>
        <v>Not Started</v>
      </c>
    </row>
    <row r="7" customFormat="false" ht="18" hidden="false" customHeight="true" outlineLevel="0" collapsed="false">
      <c r="A7" s="3" t="s">
        <v>15</v>
      </c>
      <c r="B7" s="4" t="s">
        <v>14</v>
      </c>
      <c r="C7" s="4"/>
      <c r="D7" s="3" t="s">
        <v>16</v>
      </c>
      <c r="E7" s="3" t="str">
        <f aca="false">'AC-6-1'!B20</f>
        <v>Not Started</v>
      </c>
    </row>
    <row r="8" customFormat="false" ht="18" hidden="false" customHeight="true" outlineLevel="0" collapsed="false">
      <c r="A8" s="3" t="s">
        <v>17</v>
      </c>
      <c r="B8" s="4" t="s">
        <v>14</v>
      </c>
      <c r="C8" s="4"/>
      <c r="D8" s="3" t="s">
        <v>18</v>
      </c>
      <c r="E8" s="3" t="str">
        <f aca="false">'AC-6-9'!B20</f>
        <v>Not Started</v>
      </c>
    </row>
    <row r="9" customFormat="false" ht="18" hidden="false" customHeight="true" outlineLevel="0" collapsed="false">
      <c r="A9" s="3" t="s">
        <v>19</v>
      </c>
      <c r="B9" s="4" t="s">
        <v>20</v>
      </c>
      <c r="C9" s="4"/>
      <c r="D9" s="3" t="s">
        <v>21</v>
      </c>
      <c r="E9" s="3" t="str">
        <f aca="false">'AC-17-1'!B20</f>
        <v>Not Started</v>
      </c>
    </row>
    <row r="10" customFormat="false" ht="18" hidden="false" customHeight="true" outlineLevel="0" collapsed="false">
      <c r="A10" s="3" t="s">
        <v>22</v>
      </c>
      <c r="B10" s="4" t="s">
        <v>23</v>
      </c>
      <c r="C10" s="4"/>
      <c r="D10" s="3" t="s">
        <v>22</v>
      </c>
      <c r="E10" s="3" t="str">
        <f aca="false">'AU-2'!B20</f>
        <v>Not Started</v>
      </c>
    </row>
    <row r="11" customFormat="false" ht="18" hidden="false" customHeight="true" outlineLevel="0" collapsed="false">
      <c r="A11" s="3" t="s">
        <v>24</v>
      </c>
      <c r="B11" s="4" t="s">
        <v>25</v>
      </c>
      <c r="C11" s="4"/>
      <c r="D11" s="3" t="s">
        <v>24</v>
      </c>
      <c r="E11" s="3" t="str">
        <f aca="false">'AU-3'!B20</f>
        <v>Not Started</v>
      </c>
    </row>
    <row r="12" customFormat="false" ht="18" hidden="false" customHeight="true" outlineLevel="0" collapsed="false">
      <c r="A12" s="3" t="s">
        <v>26</v>
      </c>
      <c r="B12" s="4" t="s">
        <v>25</v>
      </c>
      <c r="C12" s="4"/>
      <c r="D12" s="3" t="s">
        <v>27</v>
      </c>
      <c r="E12" s="3" t="str">
        <f aca="false">'AU-3-1'!B20</f>
        <v>Not Started</v>
      </c>
    </row>
    <row r="13" customFormat="false" ht="18" hidden="false" customHeight="true" outlineLevel="0" collapsed="false">
      <c r="A13" s="3" t="s">
        <v>28</v>
      </c>
      <c r="B13" s="4" t="s">
        <v>29</v>
      </c>
      <c r="C13" s="4"/>
      <c r="D13" s="3" t="s">
        <v>28</v>
      </c>
      <c r="E13" s="3" t="str">
        <f aca="false">'AU-5'!B20</f>
        <v>Not Started</v>
      </c>
    </row>
    <row r="14" customFormat="false" ht="18" hidden="false" customHeight="true" outlineLevel="0" collapsed="false">
      <c r="A14" s="3" t="s">
        <v>30</v>
      </c>
      <c r="B14" s="4" t="s">
        <v>31</v>
      </c>
      <c r="C14" s="4"/>
      <c r="D14" s="3" t="s">
        <v>32</v>
      </c>
      <c r="E14" s="3" t="str">
        <f aca="false">'AU-6-1'!B20</f>
        <v>Not Started</v>
      </c>
    </row>
    <row r="15" customFormat="false" ht="18" hidden="false" customHeight="true" outlineLevel="0" collapsed="false">
      <c r="A15" s="3" t="s">
        <v>33</v>
      </c>
      <c r="B15" s="4" t="s">
        <v>31</v>
      </c>
      <c r="C15" s="4"/>
      <c r="D15" s="3" t="s">
        <v>34</v>
      </c>
      <c r="E15" s="3" t="str">
        <f aca="false">'AU-6-3'!B20</f>
        <v>Not Started</v>
      </c>
    </row>
    <row r="16" customFormat="false" ht="18" hidden="false" customHeight="true" outlineLevel="0" collapsed="false">
      <c r="A16" s="3" t="s">
        <v>35</v>
      </c>
      <c r="B16" s="4" t="s">
        <v>36</v>
      </c>
      <c r="C16" s="4"/>
      <c r="D16" s="3" t="s">
        <v>35</v>
      </c>
      <c r="E16" s="3" t="str">
        <f aca="false">'AU-7'!B20</f>
        <v>Not Started</v>
      </c>
    </row>
    <row r="17" customFormat="false" ht="18" hidden="false" customHeight="true" outlineLevel="0" collapsed="false">
      <c r="A17" s="3" t="s">
        <v>37</v>
      </c>
      <c r="B17" s="4" t="s">
        <v>36</v>
      </c>
      <c r="C17" s="4"/>
      <c r="D17" s="3" t="s">
        <v>38</v>
      </c>
      <c r="E17" s="3" t="str">
        <f aca="false">'AU-7-1'!B20</f>
        <v>Not Started</v>
      </c>
    </row>
    <row r="18" customFormat="false" ht="18" hidden="false" customHeight="true" outlineLevel="0" collapsed="false">
      <c r="A18" s="3" t="s">
        <v>39</v>
      </c>
      <c r="B18" s="4" t="s">
        <v>40</v>
      </c>
      <c r="C18" s="4"/>
      <c r="D18" s="3" t="s">
        <v>39</v>
      </c>
      <c r="E18" s="3" t="str">
        <f aca="false">'AU-8'!B20</f>
        <v>Not Started</v>
      </c>
    </row>
    <row r="19" customFormat="false" ht="18" hidden="false" customHeight="true" outlineLevel="0" collapsed="false">
      <c r="A19" s="3" t="s">
        <v>41</v>
      </c>
      <c r="B19" s="4" t="s">
        <v>40</v>
      </c>
      <c r="C19" s="4"/>
      <c r="D19" s="3" t="s">
        <v>42</v>
      </c>
      <c r="E19" s="3" t="str">
        <f aca="false">'AU-8-1'!B20</f>
        <v>Not Started</v>
      </c>
    </row>
    <row r="20" customFormat="false" ht="18" hidden="false" customHeight="true" outlineLevel="0" collapsed="false">
      <c r="A20" s="3" t="s">
        <v>43</v>
      </c>
      <c r="B20" s="4" t="s">
        <v>44</v>
      </c>
      <c r="C20" s="4"/>
      <c r="D20" s="3" t="s">
        <v>43</v>
      </c>
      <c r="E20" s="3" t="str">
        <f aca="false">'AU-9'!B20</f>
        <v>Not Started</v>
      </c>
    </row>
    <row r="21" customFormat="false" ht="18" hidden="false" customHeight="true" outlineLevel="0" collapsed="false">
      <c r="A21" s="3" t="s">
        <v>45</v>
      </c>
      <c r="B21" s="4" t="s">
        <v>44</v>
      </c>
      <c r="C21" s="4"/>
      <c r="D21" s="3" t="s">
        <v>46</v>
      </c>
      <c r="E21" s="3" t="str">
        <f aca="false">'AU-9-2'!B20</f>
        <v>Not Started</v>
      </c>
    </row>
    <row r="22" customFormat="false" ht="18" hidden="false" customHeight="true" outlineLevel="0" collapsed="false">
      <c r="A22" s="3" t="s">
        <v>47</v>
      </c>
      <c r="B22" s="4" t="s">
        <v>44</v>
      </c>
      <c r="C22" s="4"/>
      <c r="D22" s="3" t="s">
        <v>48</v>
      </c>
      <c r="E22" s="3" t="str">
        <f aca="false">'AU-9-4'!B20</f>
        <v>Not Started</v>
      </c>
    </row>
    <row r="23" customFormat="false" ht="18" hidden="false" customHeight="true" outlineLevel="0" collapsed="false">
      <c r="A23" s="3" t="s">
        <v>49</v>
      </c>
      <c r="B23" s="4" t="s">
        <v>50</v>
      </c>
      <c r="C23" s="4"/>
      <c r="D23" s="3" t="s">
        <v>49</v>
      </c>
      <c r="E23" s="3" t="str">
        <f aca="false">'AU-11'!B20</f>
        <v>Not Started</v>
      </c>
    </row>
    <row r="24" customFormat="false" ht="18" hidden="false" customHeight="true" outlineLevel="0" collapsed="false">
      <c r="A24" s="3" t="s">
        <v>51</v>
      </c>
      <c r="B24" s="4" t="s">
        <v>52</v>
      </c>
      <c r="C24" s="4"/>
      <c r="D24" s="3" t="s">
        <v>51</v>
      </c>
      <c r="E24" s="3" t="str">
        <f aca="false">'AU-12'!B20</f>
        <v>Not Started</v>
      </c>
    </row>
    <row r="25" customFormat="false" ht="18" hidden="false" customHeight="true" outlineLevel="0" collapsed="false">
      <c r="A25" s="3" t="s">
        <v>53</v>
      </c>
      <c r="B25" s="4" t="s">
        <v>54</v>
      </c>
      <c r="C25" s="4"/>
      <c r="D25" s="3" t="s">
        <v>53</v>
      </c>
      <c r="E25" s="3" t="str">
        <f aca="false">'CM-3'!B20</f>
        <v>Not Started</v>
      </c>
    </row>
    <row r="26" customFormat="false" ht="18" hidden="false" customHeight="true" outlineLevel="0" collapsed="false">
      <c r="A26" s="3" t="s">
        <v>55</v>
      </c>
      <c r="B26" s="4" t="s">
        <v>56</v>
      </c>
      <c r="C26" s="4"/>
      <c r="D26" s="3" t="s">
        <v>57</v>
      </c>
      <c r="E26" s="3" t="str">
        <f aca="false">'CM-5-1'!B20</f>
        <v>Not Started</v>
      </c>
    </row>
    <row r="27" customFormat="false" ht="18" hidden="false" customHeight="true" outlineLevel="0" collapsed="false">
      <c r="A27" s="3" t="s">
        <v>58</v>
      </c>
      <c r="B27" s="4" t="s">
        <v>56</v>
      </c>
      <c r="C27" s="4"/>
      <c r="D27" s="3" t="s">
        <v>59</v>
      </c>
      <c r="E27" s="3" t="str">
        <f aca="false">'CM-5-6'!B20</f>
        <v>Not Started</v>
      </c>
    </row>
    <row r="28" customFormat="false" ht="18" hidden="false" customHeight="true" outlineLevel="0" collapsed="false">
      <c r="A28" s="3" t="s">
        <v>60</v>
      </c>
      <c r="B28" s="4" t="s">
        <v>61</v>
      </c>
      <c r="C28" s="4"/>
      <c r="D28" s="3" t="s">
        <v>60</v>
      </c>
      <c r="E28" s="3" t="str">
        <f aca="false">'CM-6'!B20</f>
        <v>Not Started</v>
      </c>
    </row>
    <row r="29" customFormat="false" ht="18" hidden="false" customHeight="true" outlineLevel="0" collapsed="false">
      <c r="A29" s="3" t="s">
        <v>62</v>
      </c>
      <c r="B29" s="4" t="s">
        <v>63</v>
      </c>
      <c r="C29" s="4"/>
      <c r="D29" s="3" t="s">
        <v>62</v>
      </c>
      <c r="E29" s="3" t="str">
        <f aca="false">'CM-7'!B20</f>
        <v>Not Started</v>
      </c>
    </row>
    <row r="30" customFormat="false" ht="18" hidden="false" customHeight="true" outlineLevel="0" collapsed="false">
      <c r="A30" s="3" t="s">
        <v>64</v>
      </c>
      <c r="B30" s="4" t="s">
        <v>63</v>
      </c>
      <c r="C30" s="4"/>
      <c r="D30" s="3" t="s">
        <v>65</v>
      </c>
      <c r="E30" s="3" t="str">
        <f aca="false">'CM-7-1'!B20</f>
        <v>Not Started</v>
      </c>
    </row>
    <row r="31" customFormat="false" ht="18" hidden="false" customHeight="true" outlineLevel="0" collapsed="false">
      <c r="A31" s="3" t="s">
        <v>66</v>
      </c>
      <c r="B31" s="4" t="s">
        <v>67</v>
      </c>
      <c r="C31" s="4"/>
      <c r="D31" s="3" t="s">
        <v>66</v>
      </c>
      <c r="E31" s="3" t="str">
        <f aca="false">'CP-10'!B20</f>
        <v>Not Started</v>
      </c>
    </row>
    <row r="32" customFormat="false" ht="18" hidden="false" customHeight="true" outlineLevel="0" collapsed="false">
      <c r="A32" s="3" t="s">
        <v>68</v>
      </c>
      <c r="B32" s="4" t="s">
        <v>67</v>
      </c>
      <c r="C32" s="4"/>
      <c r="D32" s="3" t="s">
        <v>69</v>
      </c>
      <c r="E32" s="3" t="str">
        <f aca="false">'CP-10-4'!B20</f>
        <v>Not Started</v>
      </c>
    </row>
    <row r="33" customFormat="false" ht="18" hidden="false" customHeight="true" outlineLevel="0" collapsed="false">
      <c r="A33" s="3" t="s">
        <v>70</v>
      </c>
      <c r="B33" s="4" t="s">
        <v>71</v>
      </c>
      <c r="C33" s="4"/>
      <c r="D33" s="3" t="s">
        <v>72</v>
      </c>
      <c r="E33" s="3" t="str">
        <f aca="false">'IA-5-7'!B20</f>
        <v>Not Started</v>
      </c>
    </row>
    <row r="34" customFormat="false" ht="18" hidden="false" customHeight="true" outlineLevel="0" collapsed="false">
      <c r="A34" s="3" t="s">
        <v>73</v>
      </c>
      <c r="B34" s="4" t="s">
        <v>74</v>
      </c>
      <c r="C34" s="4"/>
      <c r="D34" s="3" t="s">
        <v>73</v>
      </c>
      <c r="E34" s="3" t="str">
        <f aca="false">'MA-4'!B20</f>
        <v>Not Started</v>
      </c>
    </row>
    <row r="35" customFormat="false" ht="18" hidden="false" customHeight="true" outlineLevel="0" collapsed="false">
      <c r="A35" s="3" t="s">
        <v>75</v>
      </c>
      <c r="B35" s="4" t="s">
        <v>74</v>
      </c>
      <c r="C35" s="4"/>
      <c r="D35" s="3" t="s">
        <v>76</v>
      </c>
      <c r="E35" s="3" t="str">
        <f aca="false">'MA-4-1'!B20</f>
        <v>Not Started</v>
      </c>
    </row>
    <row r="36" customFormat="false" ht="18" hidden="false" customHeight="true" outlineLevel="0" collapsed="false">
      <c r="A36" s="3" t="s">
        <v>77</v>
      </c>
      <c r="B36" s="4" t="s">
        <v>78</v>
      </c>
      <c r="C36" s="4"/>
      <c r="D36" s="3" t="s">
        <v>79</v>
      </c>
      <c r="E36" s="3" t="str">
        <f aca="false">'SA-9-5'!B20</f>
        <v>Not Started</v>
      </c>
    </row>
    <row r="37" customFormat="false" ht="18" hidden="false" customHeight="true" outlineLevel="0" collapsed="false">
      <c r="A37" s="3" t="s">
        <v>80</v>
      </c>
      <c r="B37" s="4" t="s">
        <v>81</v>
      </c>
      <c r="C37" s="4"/>
      <c r="D37" s="3" t="s">
        <v>82</v>
      </c>
      <c r="E37" s="3" t="str">
        <f aca="false">'SA-11-1'!B20</f>
        <v>Not Started</v>
      </c>
    </row>
    <row r="38" customFormat="false" ht="18" hidden="false" customHeight="true" outlineLevel="0" collapsed="false">
      <c r="A38" s="3" t="s">
        <v>83</v>
      </c>
      <c r="B38" s="4" t="s">
        <v>81</v>
      </c>
      <c r="C38" s="4"/>
      <c r="D38" s="3" t="s">
        <v>84</v>
      </c>
      <c r="E38" s="3" t="str">
        <f aca="false">'SA-11-8'!B20</f>
        <v>Not Started</v>
      </c>
    </row>
    <row r="39" customFormat="false" ht="18" hidden="false" customHeight="true" outlineLevel="0" collapsed="false">
      <c r="A39" s="3" t="s">
        <v>85</v>
      </c>
      <c r="B39" s="4" t="s">
        <v>86</v>
      </c>
      <c r="C39" s="4"/>
      <c r="D39" s="3" t="s">
        <v>85</v>
      </c>
      <c r="E39" s="3" t="str">
        <f aca="false">'SC-7'!B20</f>
        <v>Not Started</v>
      </c>
    </row>
    <row r="40" customFormat="false" ht="18" hidden="false" customHeight="true" outlineLevel="0" collapsed="false">
      <c r="A40" s="3" t="s">
        <v>87</v>
      </c>
      <c r="B40" s="4" t="s">
        <v>88</v>
      </c>
      <c r="C40" s="4"/>
      <c r="D40" s="3" t="s">
        <v>87</v>
      </c>
      <c r="E40" s="3" t="str">
        <f aca="false">'SC-18'!B20</f>
        <v>Not Started</v>
      </c>
    </row>
    <row r="41" customFormat="false" ht="18" hidden="false" customHeight="true" outlineLevel="0" collapsed="false">
      <c r="A41" s="3" t="s">
        <v>89</v>
      </c>
      <c r="B41" s="4" t="s">
        <v>90</v>
      </c>
      <c r="C41" s="4"/>
      <c r="D41" s="3" t="s">
        <v>89</v>
      </c>
      <c r="E41" s="3" t="str">
        <f aca="false">'SI-4'!B20</f>
        <v>Not Started</v>
      </c>
    </row>
    <row r="42" customFormat="false" ht="18" hidden="false" customHeight="true" outlineLevel="0" collapsed="false">
      <c r="A42" s="3" t="s">
        <v>91</v>
      </c>
      <c r="B42" s="4" t="s">
        <v>90</v>
      </c>
      <c r="C42" s="4"/>
      <c r="D42" s="3" t="s">
        <v>92</v>
      </c>
      <c r="E42" s="3" t="str">
        <f aca="false">'SI-4-1'!B20</f>
        <v>Not Started</v>
      </c>
    </row>
    <row r="43" customFormat="false" ht="18" hidden="false" customHeight="true" outlineLevel="0" collapsed="false">
      <c r="A43" s="3" t="s">
        <v>93</v>
      </c>
      <c r="B43" s="4" t="s">
        <v>90</v>
      </c>
      <c r="C43" s="4"/>
      <c r="D43" s="3" t="s">
        <v>94</v>
      </c>
      <c r="E43" s="3" t="str">
        <f aca="false">'SI-4-2'!B20</f>
        <v>Not Started</v>
      </c>
    </row>
    <row r="44" customFormat="false" ht="18" hidden="false" customHeight="true" outlineLevel="0" collapsed="false">
      <c r="A44" s="3" t="s">
        <v>95</v>
      </c>
      <c r="B44" s="4" t="s">
        <v>90</v>
      </c>
      <c r="C44" s="4"/>
      <c r="D44" s="3" t="s">
        <v>96</v>
      </c>
      <c r="E44" s="3" t="str">
        <f aca="false">'SI-4-4'!B20</f>
        <v>Not Started</v>
      </c>
    </row>
    <row r="45" customFormat="false" ht="18" hidden="false" customHeight="true" outlineLevel="0" collapsed="false">
      <c r="A45" s="3" t="s">
        <v>97</v>
      </c>
      <c r="B45" s="4" t="s">
        <v>90</v>
      </c>
      <c r="C45" s="4"/>
      <c r="D45" s="3" t="s">
        <v>98</v>
      </c>
      <c r="E45" s="3" t="str">
        <f aca="false">'SI-4-5'!B20</f>
        <v>Not Started</v>
      </c>
    </row>
    <row r="46" customFormat="false" ht="18" hidden="false" customHeight="true" outlineLevel="0" collapsed="false">
      <c r="A46" s="3" t="s">
        <v>99</v>
      </c>
      <c r="B46" s="4" t="s">
        <v>90</v>
      </c>
      <c r="C46" s="4"/>
      <c r="D46" s="3" t="s">
        <v>100</v>
      </c>
      <c r="E46" s="3" t="str">
        <f aca="false">'SI-4-11'!B20</f>
        <v>Not Started</v>
      </c>
    </row>
    <row r="47" customFormat="false" ht="18" hidden="false" customHeight="true" outlineLevel="0" collapsed="false">
      <c r="A47" s="3" t="s">
        <v>101</v>
      </c>
      <c r="B47" s="4" t="s">
        <v>102</v>
      </c>
      <c r="C47" s="4"/>
      <c r="D47" s="3" t="s">
        <v>101</v>
      </c>
      <c r="E47" s="3" t="str">
        <f aca="false">'SI-6'!B20</f>
        <v>Not Started</v>
      </c>
    </row>
    <row r="48" customFormat="false" ht="18" hidden="false" customHeight="true" outlineLevel="0" collapsed="false">
      <c r="A48" s="3" t="s">
        <v>103</v>
      </c>
      <c r="B48" s="4" t="s">
        <v>104</v>
      </c>
      <c r="C48" s="4"/>
      <c r="D48" s="3" t="s">
        <v>105</v>
      </c>
      <c r="E48" s="3" t="str">
        <f aca="false">'SI-7-7'!B20</f>
        <v>Not Started</v>
      </c>
    </row>
    <row r="49" customFormat="false" ht="18" hidden="false" customHeight="true" outlineLevel="0" collapsed="false">
      <c r="A49" s="3" t="s">
        <v>106</v>
      </c>
      <c r="B49" s="4" t="s">
        <v>107</v>
      </c>
      <c r="C49" s="4"/>
      <c r="D49" s="3" t="s">
        <v>106</v>
      </c>
      <c r="E49" s="3" t="str">
        <f aca="false">'SI-11'!B20</f>
        <v>Not Started</v>
      </c>
    </row>
    <row r="51" customFormat="false" ht="21.75" hidden="false" customHeight="true" outlineLevel="0" collapsed="false">
      <c r="A51" s="5" t="s">
        <v>108</v>
      </c>
      <c r="B51" s="5"/>
      <c r="C51" s="5"/>
      <c r="D51" s="5"/>
      <c r="E51" s="5"/>
    </row>
    <row r="52" customFormat="false" ht="19.5" hidden="false" customHeight="true" outlineLevel="0" collapsed="false">
      <c r="A52" s="6" t="s">
        <v>109</v>
      </c>
      <c r="B52" s="6"/>
      <c r="C52" s="6"/>
      <c r="D52" s="6"/>
      <c r="E52" s="7" t="n">
        <f aca="false">47</f>
        <v>47</v>
      </c>
    </row>
    <row r="53" customFormat="false" ht="19.5" hidden="false" customHeight="true" outlineLevel="0" collapsed="false">
      <c r="A53" s="6" t="s">
        <v>110</v>
      </c>
      <c r="B53" s="6"/>
      <c r="C53" s="6"/>
      <c r="D53" s="6"/>
      <c r="E53" s="7" t="n">
        <f aca="false">COUNTIF(E3:E49,"Not Started")</f>
        <v>47</v>
      </c>
    </row>
    <row r="54" customFormat="false" ht="19.5" hidden="false" customHeight="true" outlineLevel="0" collapsed="false">
      <c r="A54" s="6" t="s">
        <v>111</v>
      </c>
      <c r="B54" s="6"/>
      <c r="C54" s="6"/>
      <c r="D54" s="6"/>
      <c r="E54" s="7" t="n">
        <f aca="false">COUNTIF(E3:E49,"In Progress")</f>
        <v>0</v>
      </c>
    </row>
    <row r="55" customFormat="false" ht="19.5" hidden="false" customHeight="true" outlineLevel="0" collapsed="false">
      <c r="A55" s="6" t="s">
        <v>112</v>
      </c>
      <c r="B55" s="6"/>
      <c r="C55" s="6"/>
      <c r="D55" s="6"/>
      <c r="E55" s="7" t="n">
        <f aca="false">COUNTIF(E3:E49,"Evidence Provided")</f>
        <v>0</v>
      </c>
    </row>
    <row r="56" customFormat="false" ht="19.5" hidden="false" customHeight="true" outlineLevel="0" collapsed="false">
      <c r="A56" s="6" t="s">
        <v>113</v>
      </c>
      <c r="B56" s="6"/>
      <c r="C56" s="6"/>
      <c r="D56" s="6"/>
      <c r="E56" s="7" t="n">
        <f aca="false">COUNTIF(E3:E49,"Under Review")</f>
        <v>0</v>
      </c>
    </row>
    <row r="57" customFormat="false" ht="19.5" hidden="false" customHeight="true" outlineLevel="0" collapsed="false">
      <c r="A57" s="6" t="s">
        <v>114</v>
      </c>
      <c r="B57" s="6"/>
      <c r="C57" s="6"/>
      <c r="D57" s="6"/>
      <c r="E57" s="7" t="n">
        <f aca="false">COUNTIF(E3:E49,"Passed")</f>
        <v>0</v>
      </c>
    </row>
    <row r="58" customFormat="false" ht="19.5" hidden="false" customHeight="true" outlineLevel="0" collapsed="false">
      <c r="A58" s="6" t="s">
        <v>115</v>
      </c>
      <c r="B58" s="6"/>
      <c r="C58" s="6"/>
      <c r="D58" s="6"/>
      <c r="E58" s="7" t="n">
        <f aca="false">COUNTIF(E3:E49,"Failed")</f>
        <v>0</v>
      </c>
    </row>
    <row r="59" customFormat="false" ht="19.5" hidden="false" customHeight="true" outlineLevel="0" collapsed="false">
      <c r="A59" s="6" t="s">
        <v>116</v>
      </c>
      <c r="B59" s="6"/>
      <c r="C59" s="6"/>
      <c r="D59" s="6"/>
      <c r="E59" s="7" t="n">
        <f aca="false">COUNTIF(E3:E49,"Accepted Exception")</f>
        <v>0</v>
      </c>
    </row>
    <row r="60" customFormat="false" ht="19.5" hidden="false" customHeight="true" outlineLevel="0" collapsed="false">
      <c r="A60" s="6" t="s">
        <v>117</v>
      </c>
      <c r="B60" s="6"/>
      <c r="C60" s="6"/>
      <c r="D60" s="6"/>
      <c r="E60" s="8" t="n">
        <f aca="false">IFERROR(COUNTIF(E3:E49,"Passed")/47,0)</f>
        <v>0</v>
      </c>
    </row>
    <row r="61" customFormat="false" ht="19.5" hidden="false" customHeight="true" outlineLevel="0" collapsed="false">
      <c r="A61" s="6" t="s">
        <v>118</v>
      </c>
      <c r="B61" s="6"/>
      <c r="C61" s="6"/>
      <c r="D61" s="6"/>
      <c r="E61" s="8" t="n">
        <f aca="false">IFERROR(COUNTIF(E3:E49,"Not Started")/47,0)</f>
        <v>1</v>
      </c>
    </row>
  </sheetData>
  <mergeCells count="12">
    <mergeCell ref="A1:E1"/>
    <mergeCell ref="A51:E51"/>
    <mergeCell ref="A52:D52"/>
    <mergeCell ref="A53:D53"/>
    <mergeCell ref="A54:D54"/>
    <mergeCell ref="A55:D55"/>
    <mergeCell ref="A56:D56"/>
    <mergeCell ref="A57:D57"/>
    <mergeCell ref="A58:D58"/>
    <mergeCell ref="A59:D59"/>
    <mergeCell ref="A60:D60"/>
    <mergeCell ref="A61:D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119</v>
      </c>
      <c r="B1" s="1"/>
      <c r="C1" s="1"/>
      <c r="D1" s="1"/>
      <c r="E1" s="1"/>
    </row>
    <row r="2" customFormat="false" ht="21.75" hidden="false" customHeight="true" outlineLevel="0" collapsed="false">
      <c r="A2" s="2" t="s">
        <v>120</v>
      </c>
      <c r="B2" s="2" t="s">
        <v>121</v>
      </c>
      <c r="C2" s="2" t="s">
        <v>122</v>
      </c>
      <c r="D2" s="2" t="s">
        <v>123</v>
      </c>
      <c r="E2" s="2" t="s">
        <v>124</v>
      </c>
    </row>
    <row r="3" customFormat="false" ht="18" hidden="false" customHeight="true" outlineLevel="0" collapsed="false">
      <c r="A3" s="3" t="s">
        <v>6</v>
      </c>
      <c r="B3" s="4" t="s">
        <v>125</v>
      </c>
      <c r="C3" s="4"/>
      <c r="D3" s="3" t="s">
        <v>8</v>
      </c>
      <c r="E3" s="3" t="str">
        <f aca="false">'AC-2-4'!E20</f>
        <v>Non commencé</v>
      </c>
    </row>
    <row r="4" customFormat="false" ht="18" hidden="false" customHeight="true" outlineLevel="0" collapsed="false">
      <c r="A4" s="3" t="s">
        <v>9</v>
      </c>
      <c r="B4" s="4" t="s">
        <v>125</v>
      </c>
      <c r="C4" s="4"/>
      <c r="D4" s="3" t="s">
        <v>10</v>
      </c>
      <c r="E4" s="3" t="str">
        <f aca="false">'AC-2-5'!E20</f>
        <v>Non commencé</v>
      </c>
    </row>
    <row r="5" customFormat="false" ht="18" hidden="false" customHeight="true" outlineLevel="0" collapsed="false">
      <c r="A5" s="3" t="s">
        <v>11</v>
      </c>
      <c r="B5" s="4" t="s">
        <v>125</v>
      </c>
      <c r="C5" s="4"/>
      <c r="D5" s="3" t="s">
        <v>12</v>
      </c>
      <c r="E5" s="3" t="str">
        <f aca="false">'AC-2-7'!E20</f>
        <v>Non commencé</v>
      </c>
    </row>
    <row r="6" customFormat="false" ht="18" hidden="false" customHeight="true" outlineLevel="0" collapsed="false">
      <c r="A6" s="3" t="s">
        <v>13</v>
      </c>
      <c r="B6" s="4" t="s">
        <v>126</v>
      </c>
      <c r="C6" s="4"/>
      <c r="D6" s="3" t="s">
        <v>13</v>
      </c>
      <c r="E6" s="3" t="str">
        <f aca="false">'AC-6'!E20</f>
        <v>Non commencé</v>
      </c>
    </row>
    <row r="7" customFormat="false" ht="18" hidden="false" customHeight="true" outlineLevel="0" collapsed="false">
      <c r="A7" s="3" t="s">
        <v>15</v>
      </c>
      <c r="B7" s="4" t="s">
        <v>126</v>
      </c>
      <c r="C7" s="4"/>
      <c r="D7" s="3" t="s">
        <v>16</v>
      </c>
      <c r="E7" s="3" t="str">
        <f aca="false">'AC-6-1'!E20</f>
        <v>Non commencé</v>
      </c>
    </row>
    <row r="8" customFormat="false" ht="18" hidden="false" customHeight="true" outlineLevel="0" collapsed="false">
      <c r="A8" s="3" t="s">
        <v>17</v>
      </c>
      <c r="B8" s="4" t="s">
        <v>126</v>
      </c>
      <c r="C8" s="4"/>
      <c r="D8" s="3" t="s">
        <v>18</v>
      </c>
      <c r="E8" s="3" t="str">
        <f aca="false">'AC-6-9'!E20</f>
        <v>Non commencé</v>
      </c>
    </row>
    <row r="9" customFormat="false" ht="18" hidden="false" customHeight="true" outlineLevel="0" collapsed="false">
      <c r="A9" s="3" t="s">
        <v>19</v>
      </c>
      <c r="B9" s="4" t="s">
        <v>127</v>
      </c>
      <c r="C9" s="4"/>
      <c r="D9" s="3" t="s">
        <v>21</v>
      </c>
      <c r="E9" s="3" t="str">
        <f aca="false">'AC-17-1'!E20</f>
        <v>Non commencé</v>
      </c>
    </row>
    <row r="10" customFormat="false" ht="18" hidden="false" customHeight="true" outlineLevel="0" collapsed="false">
      <c r="A10" s="3" t="s">
        <v>22</v>
      </c>
      <c r="B10" s="4" t="s">
        <v>128</v>
      </c>
      <c r="C10" s="4"/>
      <c r="D10" s="3" t="s">
        <v>22</v>
      </c>
      <c r="E10" s="3" t="str">
        <f aca="false">'AU-2'!E20</f>
        <v>Non commencé</v>
      </c>
    </row>
    <row r="11" customFormat="false" ht="18" hidden="false" customHeight="true" outlineLevel="0" collapsed="false">
      <c r="A11" s="3" t="s">
        <v>24</v>
      </c>
      <c r="B11" s="4" t="s">
        <v>129</v>
      </c>
      <c r="C11" s="4"/>
      <c r="D11" s="3" t="s">
        <v>24</v>
      </c>
      <c r="E11" s="3" t="str">
        <f aca="false">'AU-3'!E20</f>
        <v>Non commencé</v>
      </c>
    </row>
    <row r="12" customFormat="false" ht="18" hidden="false" customHeight="true" outlineLevel="0" collapsed="false">
      <c r="A12" s="3" t="s">
        <v>26</v>
      </c>
      <c r="B12" s="4" t="s">
        <v>129</v>
      </c>
      <c r="C12" s="4"/>
      <c r="D12" s="3" t="s">
        <v>27</v>
      </c>
      <c r="E12" s="3" t="str">
        <f aca="false">'AU-3-1'!E20</f>
        <v>Non commencé</v>
      </c>
    </row>
    <row r="13" customFormat="false" ht="18" hidden="false" customHeight="true" outlineLevel="0" collapsed="false">
      <c r="A13" s="3" t="s">
        <v>28</v>
      </c>
      <c r="B13" s="4" t="s">
        <v>130</v>
      </c>
      <c r="C13" s="4"/>
      <c r="D13" s="3" t="s">
        <v>28</v>
      </c>
      <c r="E13" s="3" t="str">
        <f aca="false">'AU-5'!E20</f>
        <v>Non commencé</v>
      </c>
    </row>
    <row r="14" customFormat="false" ht="18" hidden="false" customHeight="true" outlineLevel="0" collapsed="false">
      <c r="A14" s="3" t="s">
        <v>30</v>
      </c>
      <c r="B14" s="4" t="s">
        <v>131</v>
      </c>
      <c r="C14" s="4"/>
      <c r="D14" s="3" t="s">
        <v>32</v>
      </c>
      <c r="E14" s="3" t="str">
        <f aca="false">'AU-6-1'!E20</f>
        <v>Non commencé</v>
      </c>
    </row>
    <row r="15" customFormat="false" ht="18" hidden="false" customHeight="true" outlineLevel="0" collapsed="false">
      <c r="A15" s="3" t="s">
        <v>33</v>
      </c>
      <c r="B15" s="4" t="s">
        <v>131</v>
      </c>
      <c r="C15" s="4"/>
      <c r="D15" s="3" t="s">
        <v>34</v>
      </c>
      <c r="E15" s="3" t="str">
        <f aca="false">'AU-6-3'!E20</f>
        <v>Non commencé</v>
      </c>
    </row>
    <row r="16" customFormat="false" ht="18" hidden="false" customHeight="true" outlineLevel="0" collapsed="false">
      <c r="A16" s="3" t="s">
        <v>35</v>
      </c>
      <c r="B16" s="4" t="s">
        <v>132</v>
      </c>
      <c r="C16" s="4"/>
      <c r="D16" s="3" t="s">
        <v>35</v>
      </c>
      <c r="E16" s="3" t="str">
        <f aca="false">'AU-7'!E20</f>
        <v>Non commencé</v>
      </c>
    </row>
    <row r="17" customFormat="false" ht="18" hidden="false" customHeight="true" outlineLevel="0" collapsed="false">
      <c r="A17" s="3" t="s">
        <v>37</v>
      </c>
      <c r="B17" s="4" t="s">
        <v>132</v>
      </c>
      <c r="C17" s="4"/>
      <c r="D17" s="3" t="s">
        <v>38</v>
      </c>
      <c r="E17" s="3" t="str">
        <f aca="false">'AU-7-1'!E20</f>
        <v>Non commencé</v>
      </c>
    </row>
    <row r="18" customFormat="false" ht="18" hidden="false" customHeight="true" outlineLevel="0" collapsed="false">
      <c r="A18" s="3" t="s">
        <v>39</v>
      </c>
      <c r="B18" s="4" t="s">
        <v>133</v>
      </c>
      <c r="C18" s="4"/>
      <c r="D18" s="3" t="s">
        <v>39</v>
      </c>
      <c r="E18" s="3" t="str">
        <f aca="false">'AU-8'!E20</f>
        <v>Non commencé</v>
      </c>
    </row>
    <row r="19" customFormat="false" ht="18" hidden="false" customHeight="true" outlineLevel="0" collapsed="false">
      <c r="A19" s="3" t="s">
        <v>41</v>
      </c>
      <c r="B19" s="4" t="s">
        <v>133</v>
      </c>
      <c r="C19" s="4"/>
      <c r="D19" s="3" t="s">
        <v>42</v>
      </c>
      <c r="E19" s="3" t="str">
        <f aca="false">'AU-8-1'!E20</f>
        <v>Non commencé</v>
      </c>
    </row>
    <row r="20" customFormat="false" ht="18" hidden="false" customHeight="true" outlineLevel="0" collapsed="false">
      <c r="A20" s="3" t="s">
        <v>43</v>
      </c>
      <c r="B20" s="4" t="s">
        <v>134</v>
      </c>
      <c r="C20" s="4"/>
      <c r="D20" s="3" t="s">
        <v>43</v>
      </c>
      <c r="E20" s="3" t="str">
        <f aca="false">'AU-9'!E20</f>
        <v>Non commencé</v>
      </c>
    </row>
    <row r="21" customFormat="false" ht="18" hidden="false" customHeight="true" outlineLevel="0" collapsed="false">
      <c r="A21" s="3" t="s">
        <v>45</v>
      </c>
      <c r="B21" s="4" t="s">
        <v>134</v>
      </c>
      <c r="C21" s="4"/>
      <c r="D21" s="3" t="s">
        <v>46</v>
      </c>
      <c r="E21" s="3" t="str">
        <f aca="false">'AU-9-2'!E20</f>
        <v>Non commencé</v>
      </c>
    </row>
    <row r="22" customFormat="false" ht="18" hidden="false" customHeight="true" outlineLevel="0" collapsed="false">
      <c r="A22" s="3" t="s">
        <v>47</v>
      </c>
      <c r="B22" s="4" t="s">
        <v>134</v>
      </c>
      <c r="C22" s="4"/>
      <c r="D22" s="3" t="s">
        <v>48</v>
      </c>
      <c r="E22" s="3" t="str">
        <f aca="false">'AU-9-4'!E20</f>
        <v>Non commencé</v>
      </c>
    </row>
    <row r="23" customFormat="false" ht="18" hidden="false" customHeight="true" outlineLevel="0" collapsed="false">
      <c r="A23" s="3" t="s">
        <v>49</v>
      </c>
      <c r="B23" s="4" t="s">
        <v>135</v>
      </c>
      <c r="C23" s="4"/>
      <c r="D23" s="3" t="s">
        <v>49</v>
      </c>
      <c r="E23" s="3" t="str">
        <f aca="false">'AU-11'!E20</f>
        <v>Non commencé</v>
      </c>
    </row>
    <row r="24" customFormat="false" ht="18" hidden="false" customHeight="true" outlineLevel="0" collapsed="false">
      <c r="A24" s="3" t="s">
        <v>51</v>
      </c>
      <c r="B24" s="4" t="s">
        <v>136</v>
      </c>
      <c r="C24" s="4"/>
      <c r="D24" s="3" t="s">
        <v>51</v>
      </c>
      <c r="E24" s="3" t="str">
        <f aca="false">'AU-12'!E20</f>
        <v>Non commencé</v>
      </c>
    </row>
    <row r="25" customFormat="false" ht="18" hidden="false" customHeight="true" outlineLevel="0" collapsed="false">
      <c r="A25" s="3" t="s">
        <v>53</v>
      </c>
      <c r="B25" s="4" t="s">
        <v>137</v>
      </c>
      <c r="C25" s="4"/>
      <c r="D25" s="3" t="s">
        <v>53</v>
      </c>
      <c r="E25" s="3" t="str">
        <f aca="false">'CM-3'!E20</f>
        <v>Non commencé</v>
      </c>
    </row>
    <row r="26" customFormat="false" ht="18" hidden="false" customHeight="true" outlineLevel="0" collapsed="false">
      <c r="A26" s="3" t="s">
        <v>55</v>
      </c>
      <c r="B26" s="4" t="s">
        <v>138</v>
      </c>
      <c r="C26" s="4"/>
      <c r="D26" s="3" t="s">
        <v>57</v>
      </c>
      <c r="E26" s="3" t="str">
        <f aca="false">'CM-5-1'!E20</f>
        <v>Non commencé</v>
      </c>
    </row>
    <row r="27" customFormat="false" ht="18" hidden="false" customHeight="true" outlineLevel="0" collapsed="false">
      <c r="A27" s="3" t="s">
        <v>58</v>
      </c>
      <c r="B27" s="4" t="s">
        <v>138</v>
      </c>
      <c r="C27" s="4"/>
      <c r="D27" s="3" t="s">
        <v>59</v>
      </c>
      <c r="E27" s="3" t="str">
        <f aca="false">'CM-5-6'!E20</f>
        <v>Non commencé</v>
      </c>
    </row>
    <row r="28" customFormat="false" ht="18" hidden="false" customHeight="true" outlineLevel="0" collapsed="false">
      <c r="A28" s="3" t="s">
        <v>60</v>
      </c>
      <c r="B28" s="4" t="s">
        <v>139</v>
      </c>
      <c r="C28" s="4"/>
      <c r="D28" s="3" t="s">
        <v>60</v>
      </c>
      <c r="E28" s="3" t="str">
        <f aca="false">'CM-6'!E20</f>
        <v>Non commencé</v>
      </c>
    </row>
    <row r="29" customFormat="false" ht="18" hidden="false" customHeight="true" outlineLevel="0" collapsed="false">
      <c r="A29" s="3" t="s">
        <v>62</v>
      </c>
      <c r="B29" s="4" t="s">
        <v>140</v>
      </c>
      <c r="C29" s="4"/>
      <c r="D29" s="3" t="s">
        <v>62</v>
      </c>
      <c r="E29" s="3" t="str">
        <f aca="false">'CM-7'!E20</f>
        <v>Non commencé</v>
      </c>
    </row>
    <row r="30" customFormat="false" ht="18" hidden="false" customHeight="true" outlineLevel="0" collapsed="false">
      <c r="A30" s="3" t="s">
        <v>64</v>
      </c>
      <c r="B30" s="4" t="s">
        <v>140</v>
      </c>
      <c r="C30" s="4"/>
      <c r="D30" s="3" t="s">
        <v>65</v>
      </c>
      <c r="E30" s="3" t="str">
        <f aca="false">'CM-7-1'!E20</f>
        <v>Non commencé</v>
      </c>
    </row>
    <row r="31" customFormat="false" ht="18" hidden="false" customHeight="true" outlineLevel="0" collapsed="false">
      <c r="A31" s="3" t="s">
        <v>66</v>
      </c>
      <c r="B31" s="4" t="s">
        <v>141</v>
      </c>
      <c r="C31" s="4"/>
      <c r="D31" s="3" t="s">
        <v>66</v>
      </c>
      <c r="E31" s="3" t="str">
        <f aca="false">'CP-10'!E20</f>
        <v>Non commencé</v>
      </c>
    </row>
    <row r="32" customFormat="false" ht="18" hidden="false" customHeight="true" outlineLevel="0" collapsed="false">
      <c r="A32" s="3" t="s">
        <v>68</v>
      </c>
      <c r="B32" s="4" t="s">
        <v>141</v>
      </c>
      <c r="C32" s="4"/>
      <c r="D32" s="3" t="s">
        <v>69</v>
      </c>
      <c r="E32" s="3" t="str">
        <f aca="false">'CP-10-4'!E20</f>
        <v>Non commencé</v>
      </c>
    </row>
    <row r="33" customFormat="false" ht="18" hidden="false" customHeight="true" outlineLevel="0" collapsed="false">
      <c r="A33" s="3" t="s">
        <v>70</v>
      </c>
      <c r="B33" s="4" t="s">
        <v>142</v>
      </c>
      <c r="C33" s="4"/>
      <c r="D33" s="3" t="s">
        <v>72</v>
      </c>
      <c r="E33" s="3" t="str">
        <f aca="false">'IA-5-7'!E20</f>
        <v>Non commencé</v>
      </c>
    </row>
    <row r="34" customFormat="false" ht="18" hidden="false" customHeight="true" outlineLevel="0" collapsed="false">
      <c r="A34" s="3" t="s">
        <v>73</v>
      </c>
      <c r="B34" s="4" t="s">
        <v>143</v>
      </c>
      <c r="C34" s="4"/>
      <c r="D34" s="3" t="s">
        <v>73</v>
      </c>
      <c r="E34" s="3" t="str">
        <f aca="false">'MA-4'!E20</f>
        <v>Non commencé</v>
      </c>
    </row>
    <row r="35" customFormat="false" ht="18" hidden="false" customHeight="true" outlineLevel="0" collapsed="false">
      <c r="A35" s="3" t="s">
        <v>75</v>
      </c>
      <c r="B35" s="4" t="s">
        <v>143</v>
      </c>
      <c r="C35" s="4"/>
      <c r="D35" s="3" t="s">
        <v>76</v>
      </c>
      <c r="E35" s="3" t="str">
        <f aca="false">'MA-4-1'!E20</f>
        <v>Non commencé</v>
      </c>
    </row>
    <row r="36" customFormat="false" ht="18" hidden="false" customHeight="true" outlineLevel="0" collapsed="false">
      <c r="A36" s="3" t="s">
        <v>77</v>
      </c>
      <c r="B36" s="4" t="s">
        <v>144</v>
      </c>
      <c r="C36" s="4"/>
      <c r="D36" s="3" t="s">
        <v>79</v>
      </c>
      <c r="E36" s="3" t="str">
        <f aca="false">'SA-9-5'!E20</f>
        <v>Non commencé</v>
      </c>
    </row>
    <row r="37" customFormat="false" ht="18" hidden="false" customHeight="true" outlineLevel="0" collapsed="false">
      <c r="A37" s="3" t="s">
        <v>80</v>
      </c>
      <c r="B37" s="4" t="s">
        <v>145</v>
      </c>
      <c r="C37" s="4"/>
      <c r="D37" s="3" t="s">
        <v>82</v>
      </c>
      <c r="E37" s="3" t="str">
        <f aca="false">'SA-11-1'!E20</f>
        <v>Non commencé</v>
      </c>
    </row>
    <row r="38" customFormat="false" ht="18" hidden="false" customHeight="true" outlineLevel="0" collapsed="false">
      <c r="A38" s="3" t="s">
        <v>83</v>
      </c>
      <c r="B38" s="4" t="s">
        <v>145</v>
      </c>
      <c r="C38" s="4"/>
      <c r="D38" s="3" t="s">
        <v>84</v>
      </c>
      <c r="E38" s="3" t="str">
        <f aca="false">'SA-11-8'!E20</f>
        <v>Non commencé</v>
      </c>
    </row>
    <row r="39" customFormat="false" ht="18" hidden="false" customHeight="true" outlineLevel="0" collapsed="false">
      <c r="A39" s="3" t="s">
        <v>85</v>
      </c>
      <c r="B39" s="4" t="s">
        <v>146</v>
      </c>
      <c r="C39" s="4"/>
      <c r="D39" s="3" t="s">
        <v>85</v>
      </c>
      <c r="E39" s="3" t="str">
        <f aca="false">'SC-7'!E20</f>
        <v>Non commencé</v>
      </c>
    </row>
    <row r="40" customFormat="false" ht="18" hidden="false" customHeight="true" outlineLevel="0" collapsed="false">
      <c r="A40" s="3" t="s">
        <v>87</v>
      </c>
      <c r="B40" s="4" t="s">
        <v>147</v>
      </c>
      <c r="C40" s="4"/>
      <c r="D40" s="3" t="s">
        <v>87</v>
      </c>
      <c r="E40" s="3" t="str">
        <f aca="false">'SC-18'!E20</f>
        <v>Non commencé</v>
      </c>
    </row>
    <row r="41" customFormat="false" ht="18" hidden="false" customHeight="true" outlineLevel="0" collapsed="false">
      <c r="A41" s="3" t="s">
        <v>89</v>
      </c>
      <c r="B41" s="4" t="s">
        <v>148</v>
      </c>
      <c r="C41" s="4"/>
      <c r="D41" s="3" t="s">
        <v>89</v>
      </c>
      <c r="E41" s="3" t="str">
        <f aca="false">'SI-4'!E20</f>
        <v>Non commencé</v>
      </c>
    </row>
    <row r="42" customFormat="false" ht="18" hidden="false" customHeight="true" outlineLevel="0" collapsed="false">
      <c r="A42" s="3" t="s">
        <v>91</v>
      </c>
      <c r="B42" s="4" t="s">
        <v>148</v>
      </c>
      <c r="C42" s="4"/>
      <c r="D42" s="3" t="s">
        <v>92</v>
      </c>
      <c r="E42" s="3" t="str">
        <f aca="false">'SI-4-1'!E20</f>
        <v>Non commencé</v>
      </c>
    </row>
    <row r="43" customFormat="false" ht="18" hidden="false" customHeight="true" outlineLevel="0" collapsed="false">
      <c r="A43" s="3" t="s">
        <v>93</v>
      </c>
      <c r="B43" s="4" t="s">
        <v>148</v>
      </c>
      <c r="C43" s="4"/>
      <c r="D43" s="3" t="s">
        <v>94</v>
      </c>
      <c r="E43" s="3" t="str">
        <f aca="false">'SI-4-2'!E20</f>
        <v>Non commencé</v>
      </c>
    </row>
    <row r="44" customFormat="false" ht="18" hidden="false" customHeight="true" outlineLevel="0" collapsed="false">
      <c r="A44" s="3" t="s">
        <v>95</v>
      </c>
      <c r="B44" s="4" t="s">
        <v>148</v>
      </c>
      <c r="C44" s="4"/>
      <c r="D44" s="3" t="s">
        <v>96</v>
      </c>
      <c r="E44" s="3" t="str">
        <f aca="false">'SI-4-4'!E20</f>
        <v>Non commencé</v>
      </c>
    </row>
    <row r="45" customFormat="false" ht="18" hidden="false" customHeight="true" outlineLevel="0" collapsed="false">
      <c r="A45" s="3" t="s">
        <v>97</v>
      </c>
      <c r="B45" s="4" t="s">
        <v>148</v>
      </c>
      <c r="C45" s="4"/>
      <c r="D45" s="3" t="s">
        <v>98</v>
      </c>
      <c r="E45" s="3" t="str">
        <f aca="false">'SI-4-5'!E20</f>
        <v>Non commencé</v>
      </c>
    </row>
    <row r="46" customFormat="false" ht="18" hidden="false" customHeight="true" outlineLevel="0" collapsed="false">
      <c r="A46" s="3" t="s">
        <v>99</v>
      </c>
      <c r="B46" s="4" t="s">
        <v>148</v>
      </c>
      <c r="C46" s="4"/>
      <c r="D46" s="3" t="s">
        <v>100</v>
      </c>
      <c r="E46" s="3" t="str">
        <f aca="false">'SI-4-11'!E20</f>
        <v>Non commencé</v>
      </c>
    </row>
    <row r="47" customFormat="false" ht="18" hidden="false" customHeight="true" outlineLevel="0" collapsed="false">
      <c r="A47" s="3" t="s">
        <v>101</v>
      </c>
      <c r="B47" s="4" t="s">
        <v>149</v>
      </c>
      <c r="C47" s="4"/>
      <c r="D47" s="3" t="s">
        <v>101</v>
      </c>
      <c r="E47" s="3" t="str">
        <f aca="false">'SI-6'!E20</f>
        <v>Non commencé</v>
      </c>
    </row>
    <row r="48" customFormat="false" ht="18" hidden="false" customHeight="true" outlineLevel="0" collapsed="false">
      <c r="A48" s="3" t="s">
        <v>103</v>
      </c>
      <c r="B48" s="4" t="s">
        <v>150</v>
      </c>
      <c r="C48" s="4"/>
      <c r="D48" s="3" t="s">
        <v>105</v>
      </c>
      <c r="E48" s="3" t="str">
        <f aca="false">'SI-7-7'!E20</f>
        <v>Non commencé</v>
      </c>
    </row>
    <row r="49" customFormat="false" ht="18" hidden="false" customHeight="true" outlineLevel="0" collapsed="false">
      <c r="A49" s="3" t="s">
        <v>106</v>
      </c>
      <c r="B49" s="4" t="s">
        <v>151</v>
      </c>
      <c r="C49" s="4"/>
      <c r="D49" s="3" t="s">
        <v>106</v>
      </c>
      <c r="E49" s="3" t="str">
        <f aca="false">'SI-11'!E20</f>
        <v>Non commencé</v>
      </c>
    </row>
    <row r="51" customFormat="false" ht="21.75" hidden="false" customHeight="true" outlineLevel="0" collapsed="false">
      <c r="A51" s="5" t="s">
        <v>152</v>
      </c>
      <c r="B51" s="5"/>
      <c r="C51" s="5"/>
      <c r="D51" s="5"/>
      <c r="E51" s="5"/>
    </row>
    <row r="52" customFormat="false" ht="19.5" hidden="false" customHeight="true" outlineLevel="0" collapsed="false">
      <c r="A52" s="6" t="s">
        <v>153</v>
      </c>
      <c r="B52" s="6"/>
      <c r="C52" s="6"/>
      <c r="D52" s="6"/>
      <c r="E52" s="7" t="n">
        <f aca="false">47</f>
        <v>47</v>
      </c>
    </row>
    <row r="53" customFormat="false" ht="19.5" hidden="false" customHeight="true" outlineLevel="0" collapsed="false">
      <c r="A53" s="6" t="s">
        <v>154</v>
      </c>
      <c r="B53" s="6"/>
      <c r="C53" s="6"/>
      <c r="D53" s="6"/>
      <c r="E53" s="7" t="n">
        <f aca="false">COUNTIF(E3:E49,"Non commencé")</f>
        <v>47</v>
      </c>
    </row>
    <row r="54" customFormat="false" ht="19.5" hidden="false" customHeight="true" outlineLevel="0" collapsed="false">
      <c r="A54" s="6" t="s">
        <v>155</v>
      </c>
      <c r="B54" s="6"/>
      <c r="C54" s="6"/>
      <c r="D54" s="6"/>
      <c r="E54" s="7" t="n">
        <f aca="false">COUNTIF(E3:E49,"En cours")</f>
        <v>0</v>
      </c>
    </row>
    <row r="55" customFormat="false" ht="19.5" hidden="false" customHeight="true" outlineLevel="0" collapsed="false">
      <c r="A55" s="6" t="s">
        <v>156</v>
      </c>
      <c r="B55" s="6"/>
      <c r="C55" s="6"/>
      <c r="D55" s="6"/>
      <c r="E55" s="7" t="n">
        <f aca="false">COUNTIF(E3:E49,"Preuve fournie")</f>
        <v>0</v>
      </c>
    </row>
    <row r="56" customFormat="false" ht="19.5" hidden="false" customHeight="true" outlineLevel="0" collapsed="false">
      <c r="A56" s="6" t="s">
        <v>157</v>
      </c>
      <c r="B56" s="6"/>
      <c r="C56" s="6"/>
      <c r="D56" s="6"/>
      <c r="E56" s="7" t="n">
        <f aca="false">COUNTIF(E3:E49,"En révision")</f>
        <v>0</v>
      </c>
    </row>
    <row r="57" customFormat="false" ht="19.5" hidden="false" customHeight="true" outlineLevel="0" collapsed="false">
      <c r="A57" s="6" t="s">
        <v>158</v>
      </c>
      <c r="B57" s="6"/>
      <c r="C57" s="6"/>
      <c r="D57" s="6"/>
      <c r="E57" s="7" t="n">
        <f aca="false">COUNTIF(E3:E49,"Réussi")</f>
        <v>0</v>
      </c>
    </row>
    <row r="58" customFormat="false" ht="19.5" hidden="false" customHeight="true" outlineLevel="0" collapsed="false">
      <c r="A58" s="6" t="s">
        <v>159</v>
      </c>
      <c r="B58" s="6"/>
      <c r="C58" s="6"/>
      <c r="D58" s="6"/>
      <c r="E58" s="7" t="n">
        <f aca="false">COUNTIF(E3:E49,"Échec")</f>
        <v>0</v>
      </c>
    </row>
    <row r="59" customFormat="false" ht="19.5" hidden="false" customHeight="true" outlineLevel="0" collapsed="false">
      <c r="A59" s="6" t="s">
        <v>160</v>
      </c>
      <c r="B59" s="6"/>
      <c r="C59" s="6"/>
      <c r="D59" s="6"/>
      <c r="E59" s="7" t="n">
        <f aca="false">COUNTIF(E3:E49,"Exception acceptée")</f>
        <v>0</v>
      </c>
    </row>
    <row r="60" customFormat="false" ht="19.5" hidden="false" customHeight="true" outlineLevel="0" collapsed="false">
      <c r="A60" s="6" t="s">
        <v>161</v>
      </c>
      <c r="B60" s="6"/>
      <c r="C60" s="6"/>
      <c r="D60" s="6"/>
      <c r="E60" s="8" t="n">
        <f aca="false">IFERROR(COUNTIF(E3:E49,"Réussi")/47,0)</f>
        <v>0</v>
      </c>
    </row>
    <row r="61" customFormat="false" ht="19.5" hidden="false" customHeight="true" outlineLevel="0" collapsed="false">
      <c r="A61" s="6" t="s">
        <v>162</v>
      </c>
      <c r="B61" s="6"/>
      <c r="C61" s="6"/>
      <c r="D61" s="6"/>
      <c r="E61" s="8" t="n">
        <f aca="false">IFERROR(COUNTIF(E3:E49,"Non commencé")/47,0)</f>
        <v>1</v>
      </c>
    </row>
  </sheetData>
  <mergeCells count="12">
    <mergeCell ref="A1:E1"/>
    <mergeCell ref="A51:E51"/>
    <mergeCell ref="A52:D52"/>
    <mergeCell ref="A53:D53"/>
    <mergeCell ref="A54:D54"/>
    <mergeCell ref="A55:D55"/>
    <mergeCell ref="A56:D56"/>
    <mergeCell ref="A57:D57"/>
    <mergeCell ref="A58:D58"/>
    <mergeCell ref="A59:D59"/>
    <mergeCell ref="A60:D60"/>
    <mergeCell ref="A61:D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163</v>
      </c>
      <c r="B1" s="9"/>
      <c r="D1" s="9" t="s">
        <v>164</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6</v>
      </c>
      <c r="D3" s="11" t="s">
        <v>168</v>
      </c>
      <c r="E3" s="12" t="s">
        <v>6</v>
      </c>
    </row>
    <row r="4" customFormat="false" ht="21.75" hidden="false" customHeight="true" outlineLevel="0" collapsed="false">
      <c r="A4" s="11" t="s">
        <v>169</v>
      </c>
      <c r="B4" s="12" t="s">
        <v>7</v>
      </c>
      <c r="D4" s="11" t="s">
        <v>170</v>
      </c>
      <c r="E4" s="12" t="s">
        <v>125</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64.5" hidden="false" customHeight="true" outlineLevel="0" collapsed="false">
      <c r="A8" s="11" t="s">
        <v>179</v>
      </c>
      <c r="B8" s="12" t="s">
        <v>180</v>
      </c>
      <c r="D8" s="11" t="s">
        <v>181</v>
      </c>
      <c r="E8" s="12" t="s">
        <v>182</v>
      </c>
    </row>
    <row r="9" customFormat="false" ht="45" hidden="false" customHeight="true" outlineLevel="0" collapsed="false">
      <c r="A9" s="11" t="s">
        <v>183</v>
      </c>
      <c r="B9" s="12"/>
      <c r="D9" s="11" t="s">
        <v>184</v>
      </c>
      <c r="E9" s="12"/>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188</v>
      </c>
      <c r="D11" s="11" t="s">
        <v>187</v>
      </c>
      <c r="E11" s="12" t="s">
        <v>188</v>
      </c>
    </row>
    <row r="12" customFormat="false" ht="21.75" hidden="false" customHeight="true" outlineLevel="0" collapsed="false">
      <c r="A12" s="11" t="s">
        <v>189</v>
      </c>
      <c r="B12" s="12" t="s">
        <v>6</v>
      </c>
      <c r="D12" s="11" t="s">
        <v>190</v>
      </c>
      <c r="E12" s="12" t="s">
        <v>6</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3D69B"/>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206</v>
      </c>
      <c r="B1" s="9"/>
      <c r="D1" s="9" t="s">
        <v>207</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9</v>
      </c>
      <c r="D3" s="11" t="s">
        <v>168</v>
      </c>
      <c r="E3" s="12" t="s">
        <v>9</v>
      </c>
    </row>
    <row r="4" customFormat="false" ht="21.75" hidden="false" customHeight="true" outlineLevel="0" collapsed="false">
      <c r="A4" s="11" t="s">
        <v>169</v>
      </c>
      <c r="B4" s="12" t="s">
        <v>7</v>
      </c>
      <c r="D4" s="11" t="s">
        <v>170</v>
      </c>
      <c r="E4" s="12" t="s">
        <v>125</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51.75" hidden="false" customHeight="true" outlineLevel="0" collapsed="false">
      <c r="A8" s="11" t="s">
        <v>179</v>
      </c>
      <c r="B8" s="12" t="s">
        <v>208</v>
      </c>
      <c r="D8" s="11" t="s">
        <v>181</v>
      </c>
      <c r="E8" s="12" t="s">
        <v>209</v>
      </c>
    </row>
    <row r="9" customFormat="false" ht="45" hidden="false" customHeight="true" outlineLevel="0" collapsed="false">
      <c r="A9" s="11" t="s">
        <v>183</v>
      </c>
      <c r="B9" s="12"/>
      <c r="D9" s="11" t="s">
        <v>184</v>
      </c>
      <c r="E9" s="12"/>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210</v>
      </c>
      <c r="D11" s="11" t="s">
        <v>187</v>
      </c>
      <c r="E11" s="12" t="s">
        <v>210</v>
      </c>
    </row>
    <row r="12" customFormat="false" ht="21.75" hidden="false" customHeight="true" outlineLevel="0" collapsed="false">
      <c r="A12" s="11" t="s">
        <v>189</v>
      </c>
      <c r="B12" s="12" t="s">
        <v>9</v>
      </c>
      <c r="D12" s="11" t="s">
        <v>190</v>
      </c>
      <c r="E12" s="12" t="s">
        <v>9</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211</v>
      </c>
      <c r="B1" s="9"/>
      <c r="D1" s="9" t="s">
        <v>212</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11</v>
      </c>
      <c r="D3" s="11" t="s">
        <v>168</v>
      </c>
      <c r="E3" s="12" t="s">
        <v>11</v>
      </c>
    </row>
    <row r="4" customFormat="false" ht="21.75" hidden="false" customHeight="true" outlineLevel="0" collapsed="false">
      <c r="A4" s="11" t="s">
        <v>169</v>
      </c>
      <c r="B4" s="12" t="s">
        <v>7</v>
      </c>
      <c r="D4" s="11" t="s">
        <v>170</v>
      </c>
      <c r="E4" s="12" t="s">
        <v>125</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103.5" hidden="false" customHeight="true" outlineLevel="0" collapsed="false">
      <c r="A8" s="11" t="s">
        <v>179</v>
      </c>
      <c r="B8" s="12" t="s">
        <v>213</v>
      </c>
      <c r="D8" s="11" t="s">
        <v>181</v>
      </c>
      <c r="E8" s="12" t="s">
        <v>214</v>
      </c>
    </row>
    <row r="9" customFormat="false" ht="90.75" hidden="false" customHeight="true" outlineLevel="0" collapsed="false">
      <c r="A9" s="11" t="s">
        <v>183</v>
      </c>
      <c r="B9" s="12" t="s">
        <v>215</v>
      </c>
      <c r="D9" s="11" t="s">
        <v>184</v>
      </c>
      <c r="E9" s="12" t="s">
        <v>216</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217</v>
      </c>
      <c r="D11" s="11" t="s">
        <v>187</v>
      </c>
      <c r="E11" s="12" t="s">
        <v>217</v>
      </c>
    </row>
    <row r="12" customFormat="false" ht="21.75" hidden="false" customHeight="true" outlineLevel="0" collapsed="false">
      <c r="A12" s="11" t="s">
        <v>189</v>
      </c>
      <c r="B12" s="12" t="s">
        <v>11</v>
      </c>
      <c r="D12" s="11" t="s">
        <v>190</v>
      </c>
      <c r="E12" s="12" t="s">
        <v>11</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218</v>
      </c>
      <c r="B1" s="9"/>
      <c r="D1" s="9" t="s">
        <v>219</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13</v>
      </c>
      <c r="D3" s="11" t="s">
        <v>168</v>
      </c>
      <c r="E3" s="12" t="s">
        <v>13</v>
      </c>
    </row>
    <row r="4" customFormat="false" ht="21.75" hidden="false" customHeight="true" outlineLevel="0" collapsed="false">
      <c r="A4" s="11" t="s">
        <v>169</v>
      </c>
      <c r="B4" s="12" t="s">
        <v>14</v>
      </c>
      <c r="D4" s="11" t="s">
        <v>170</v>
      </c>
      <c r="E4" s="12" t="s">
        <v>126</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64.5" hidden="false" customHeight="true" outlineLevel="0" collapsed="false">
      <c r="A8" s="11" t="s">
        <v>179</v>
      </c>
      <c r="B8" s="12" t="s">
        <v>220</v>
      </c>
      <c r="D8" s="11" t="s">
        <v>181</v>
      </c>
      <c r="E8" s="12" t="s">
        <v>221</v>
      </c>
    </row>
    <row r="9" customFormat="false" ht="156" hidden="false" customHeight="true" outlineLevel="0" collapsed="false">
      <c r="A9" s="11" t="s">
        <v>183</v>
      </c>
      <c r="B9" s="12" t="s">
        <v>222</v>
      </c>
      <c r="D9" s="11" t="s">
        <v>184</v>
      </c>
      <c r="E9" s="12" t="s">
        <v>223</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224</v>
      </c>
      <c r="D11" s="11" t="s">
        <v>187</v>
      </c>
      <c r="E11" s="12" t="s">
        <v>224</v>
      </c>
    </row>
    <row r="12" customFormat="false" ht="21.75" hidden="false" customHeight="true" outlineLevel="0" collapsed="false">
      <c r="A12" s="11" t="s">
        <v>189</v>
      </c>
      <c r="B12" s="12" t="s">
        <v>13</v>
      </c>
      <c r="D12" s="11" t="s">
        <v>190</v>
      </c>
      <c r="E12" s="12" t="s">
        <v>13</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225</v>
      </c>
      <c r="B1" s="9"/>
      <c r="D1" s="9" t="s">
        <v>226</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15</v>
      </c>
      <c r="D3" s="11" t="s">
        <v>168</v>
      </c>
      <c r="E3" s="12" t="s">
        <v>15</v>
      </c>
    </row>
    <row r="4" customFormat="false" ht="21.75" hidden="false" customHeight="true" outlineLevel="0" collapsed="false">
      <c r="A4" s="11" t="s">
        <v>169</v>
      </c>
      <c r="B4" s="12" t="s">
        <v>14</v>
      </c>
      <c r="D4" s="11" t="s">
        <v>170</v>
      </c>
      <c r="E4" s="12" t="s">
        <v>126</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51.75" hidden="false" customHeight="true" outlineLevel="0" collapsed="false">
      <c r="A8" s="11" t="s">
        <v>179</v>
      </c>
      <c r="B8" s="12" t="s">
        <v>227</v>
      </c>
      <c r="D8" s="11" t="s">
        <v>181</v>
      </c>
      <c r="E8" s="12" t="s">
        <v>228</v>
      </c>
    </row>
    <row r="9" customFormat="false" ht="168.75" hidden="false" customHeight="true" outlineLevel="0" collapsed="false">
      <c r="A9" s="11" t="s">
        <v>183</v>
      </c>
      <c r="B9" s="12" t="s">
        <v>229</v>
      </c>
      <c r="D9" s="11" t="s">
        <v>184</v>
      </c>
      <c r="E9" s="12" t="s">
        <v>230</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231</v>
      </c>
      <c r="D11" s="11" t="s">
        <v>187</v>
      </c>
      <c r="E11" s="12" t="s">
        <v>231</v>
      </c>
    </row>
    <row r="12" customFormat="false" ht="21.75" hidden="false" customHeight="true" outlineLevel="0" collapsed="false">
      <c r="A12" s="11" t="s">
        <v>189</v>
      </c>
      <c r="B12" s="12" t="s">
        <v>15</v>
      </c>
      <c r="D12" s="11" t="s">
        <v>190</v>
      </c>
      <c r="E12" s="12" t="s">
        <v>15</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232</v>
      </c>
      <c r="B1" s="9"/>
      <c r="D1" s="9" t="s">
        <v>233</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17</v>
      </c>
      <c r="D3" s="11" t="s">
        <v>168</v>
      </c>
      <c r="E3" s="12" t="s">
        <v>17</v>
      </c>
    </row>
    <row r="4" customFormat="false" ht="21.75" hidden="false" customHeight="true" outlineLevel="0" collapsed="false">
      <c r="A4" s="11" t="s">
        <v>169</v>
      </c>
      <c r="B4" s="12" t="s">
        <v>14</v>
      </c>
      <c r="D4" s="11" t="s">
        <v>170</v>
      </c>
      <c r="E4" s="12" t="s">
        <v>126</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45" hidden="false" customHeight="true" outlineLevel="0" collapsed="false">
      <c r="A8" s="11" t="s">
        <v>179</v>
      </c>
      <c r="B8" s="12" t="s">
        <v>234</v>
      </c>
      <c r="D8" s="11" t="s">
        <v>181</v>
      </c>
      <c r="E8" s="12" t="s">
        <v>235</v>
      </c>
    </row>
    <row r="9" customFormat="false" ht="103.5" hidden="false" customHeight="true" outlineLevel="0" collapsed="false">
      <c r="A9" s="11" t="s">
        <v>183</v>
      </c>
      <c r="B9" s="12" t="s">
        <v>236</v>
      </c>
      <c r="D9" s="11" t="s">
        <v>184</v>
      </c>
      <c r="E9" s="12" t="s">
        <v>237</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238</v>
      </c>
      <c r="D11" s="11" t="s">
        <v>187</v>
      </c>
      <c r="E11" s="12" t="s">
        <v>238</v>
      </c>
    </row>
    <row r="12" customFormat="false" ht="21.75" hidden="false" customHeight="true" outlineLevel="0" collapsed="false">
      <c r="A12" s="11" t="s">
        <v>189</v>
      </c>
      <c r="B12" s="12" t="s">
        <v>17</v>
      </c>
      <c r="D12" s="11" t="s">
        <v>190</v>
      </c>
      <c r="E12" s="12" t="s">
        <v>17</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239</v>
      </c>
      <c r="B1" s="9"/>
      <c r="D1" s="9" t="s">
        <v>240</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19</v>
      </c>
      <c r="D3" s="11" t="s">
        <v>168</v>
      </c>
      <c r="E3" s="12" t="s">
        <v>19</v>
      </c>
    </row>
    <row r="4" customFormat="false" ht="21.75" hidden="false" customHeight="true" outlineLevel="0" collapsed="false">
      <c r="A4" s="11" t="s">
        <v>169</v>
      </c>
      <c r="B4" s="12" t="s">
        <v>20</v>
      </c>
      <c r="D4" s="11" t="s">
        <v>170</v>
      </c>
      <c r="E4" s="12" t="s">
        <v>127</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45" hidden="false" customHeight="true" outlineLevel="0" collapsed="false">
      <c r="A8" s="11" t="s">
        <v>179</v>
      </c>
      <c r="B8" s="12" t="s">
        <v>241</v>
      </c>
      <c r="D8" s="11" t="s">
        <v>181</v>
      </c>
      <c r="E8" s="12" t="s">
        <v>242</v>
      </c>
    </row>
    <row r="9" customFormat="false" ht="90.75" hidden="false" customHeight="true" outlineLevel="0" collapsed="false">
      <c r="A9" s="11" t="s">
        <v>183</v>
      </c>
      <c r="B9" s="12" t="s">
        <v>243</v>
      </c>
      <c r="D9" s="11" t="s">
        <v>184</v>
      </c>
      <c r="E9" s="12" t="s">
        <v>244</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245</v>
      </c>
      <c r="D11" s="11" t="s">
        <v>187</v>
      </c>
      <c r="E11" s="12" t="s">
        <v>245</v>
      </c>
    </row>
    <row r="12" customFormat="false" ht="21.75" hidden="false" customHeight="true" outlineLevel="0" collapsed="false">
      <c r="A12" s="11" t="s">
        <v>189</v>
      </c>
      <c r="B12" s="12" t="s">
        <v>19</v>
      </c>
      <c r="D12" s="11" t="s">
        <v>190</v>
      </c>
      <c r="E12" s="12" t="s">
        <v>19</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246</v>
      </c>
      <c r="B1" s="9"/>
      <c r="D1" s="9" t="s">
        <v>247</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22</v>
      </c>
      <c r="D3" s="11" t="s">
        <v>168</v>
      </c>
      <c r="E3" s="12" t="s">
        <v>22</v>
      </c>
    </row>
    <row r="4" customFormat="false" ht="21.75" hidden="false" customHeight="true" outlineLevel="0" collapsed="false">
      <c r="A4" s="11" t="s">
        <v>169</v>
      </c>
      <c r="B4" s="12" t="s">
        <v>23</v>
      </c>
      <c r="D4" s="11" t="s">
        <v>170</v>
      </c>
      <c r="E4" s="12" t="s">
        <v>128</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234" hidden="false" customHeight="true" outlineLevel="0" collapsed="false">
      <c r="A8" s="11" t="s">
        <v>179</v>
      </c>
      <c r="B8" s="12" t="s">
        <v>248</v>
      </c>
      <c r="D8" s="11" t="s">
        <v>181</v>
      </c>
      <c r="E8" s="12" t="s">
        <v>249</v>
      </c>
    </row>
    <row r="9" customFormat="false" ht="300" hidden="false" customHeight="true" outlineLevel="0" collapsed="false">
      <c r="A9" s="11" t="s">
        <v>183</v>
      </c>
      <c r="B9" s="12" t="s">
        <v>250</v>
      </c>
      <c r="D9" s="11" t="s">
        <v>184</v>
      </c>
      <c r="E9" s="12" t="s">
        <v>251</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252</v>
      </c>
      <c r="D11" s="11" t="s">
        <v>187</v>
      </c>
      <c r="E11" s="12" t="s">
        <v>252</v>
      </c>
    </row>
    <row r="12" customFormat="false" ht="21.75" hidden="false" customHeight="true" outlineLevel="0" collapsed="false">
      <c r="A12" s="11" t="s">
        <v>189</v>
      </c>
      <c r="B12" s="12" t="s">
        <v>22</v>
      </c>
      <c r="D12" s="11" t="s">
        <v>190</v>
      </c>
      <c r="E12" s="12" t="s">
        <v>22</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253</v>
      </c>
      <c r="B1" s="9"/>
      <c r="D1" s="9" t="s">
        <v>254</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24</v>
      </c>
      <c r="D3" s="11" t="s">
        <v>168</v>
      </c>
      <c r="E3" s="12" t="s">
        <v>24</v>
      </c>
    </row>
    <row r="4" customFormat="false" ht="21.75" hidden="false" customHeight="true" outlineLevel="0" collapsed="false">
      <c r="A4" s="11" t="s">
        <v>169</v>
      </c>
      <c r="B4" s="12" t="s">
        <v>25</v>
      </c>
      <c r="D4" s="11" t="s">
        <v>170</v>
      </c>
      <c r="E4" s="12" t="s">
        <v>129</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64.5" hidden="false" customHeight="true" outlineLevel="0" collapsed="false">
      <c r="A8" s="11" t="s">
        <v>179</v>
      </c>
      <c r="B8" s="12" t="s">
        <v>255</v>
      </c>
      <c r="D8" s="11" t="s">
        <v>181</v>
      </c>
      <c r="E8" s="12" t="s">
        <v>256</v>
      </c>
    </row>
    <row r="9" customFormat="false" ht="129.75" hidden="false" customHeight="true" outlineLevel="0" collapsed="false">
      <c r="A9" s="11" t="s">
        <v>183</v>
      </c>
      <c r="B9" s="12" t="s">
        <v>257</v>
      </c>
      <c r="D9" s="11" t="s">
        <v>184</v>
      </c>
      <c r="E9" s="12" t="s">
        <v>258</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259</v>
      </c>
      <c r="D11" s="11" t="s">
        <v>187</v>
      </c>
      <c r="E11" s="12" t="s">
        <v>259</v>
      </c>
    </row>
    <row r="12" customFormat="false" ht="21.75" hidden="false" customHeight="true" outlineLevel="0" collapsed="false">
      <c r="A12" s="11" t="s">
        <v>189</v>
      </c>
      <c r="B12" s="12" t="s">
        <v>24</v>
      </c>
      <c r="D12" s="11" t="s">
        <v>190</v>
      </c>
      <c r="E12" s="12" t="s">
        <v>24</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260</v>
      </c>
      <c r="B1" s="9"/>
      <c r="D1" s="9" t="s">
        <v>261</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26</v>
      </c>
      <c r="D3" s="11" t="s">
        <v>168</v>
      </c>
      <c r="E3" s="12" t="s">
        <v>26</v>
      </c>
    </row>
    <row r="4" customFormat="false" ht="21.75" hidden="false" customHeight="true" outlineLevel="0" collapsed="false">
      <c r="A4" s="11" t="s">
        <v>169</v>
      </c>
      <c r="B4" s="12" t="s">
        <v>25</v>
      </c>
      <c r="D4" s="11" t="s">
        <v>170</v>
      </c>
      <c r="E4" s="12" t="s">
        <v>129</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103.5" hidden="false" customHeight="true" outlineLevel="0" collapsed="false">
      <c r="A8" s="11" t="s">
        <v>179</v>
      </c>
      <c r="B8" s="12" t="s">
        <v>262</v>
      </c>
      <c r="D8" s="11" t="s">
        <v>181</v>
      </c>
      <c r="E8" s="12" t="s">
        <v>263</v>
      </c>
    </row>
    <row r="9" customFormat="false" ht="181.5" hidden="false" customHeight="true" outlineLevel="0" collapsed="false">
      <c r="A9" s="11" t="s">
        <v>183</v>
      </c>
      <c r="B9" s="12" t="s">
        <v>264</v>
      </c>
      <c r="D9" s="11" t="s">
        <v>184</v>
      </c>
      <c r="E9" s="12" t="s">
        <v>265</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266</v>
      </c>
      <c r="D11" s="11" t="s">
        <v>187</v>
      </c>
      <c r="E11" s="12" t="s">
        <v>266</v>
      </c>
    </row>
    <row r="12" customFormat="false" ht="21.75" hidden="false" customHeight="true" outlineLevel="0" collapsed="false">
      <c r="A12" s="11" t="s">
        <v>189</v>
      </c>
      <c r="B12" s="12" t="s">
        <v>26</v>
      </c>
      <c r="D12" s="11" t="s">
        <v>190</v>
      </c>
      <c r="E12" s="12" t="s">
        <v>26</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267</v>
      </c>
      <c r="B1" s="9"/>
      <c r="D1" s="9" t="s">
        <v>268</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28</v>
      </c>
      <c r="D3" s="11" t="s">
        <v>168</v>
      </c>
      <c r="E3" s="12" t="s">
        <v>28</v>
      </c>
    </row>
    <row r="4" customFormat="false" ht="21.75" hidden="false" customHeight="true" outlineLevel="0" collapsed="false">
      <c r="A4" s="11" t="s">
        <v>169</v>
      </c>
      <c r="B4" s="12" t="s">
        <v>29</v>
      </c>
      <c r="D4" s="11" t="s">
        <v>170</v>
      </c>
      <c r="E4" s="12" t="s">
        <v>130</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51.75" hidden="false" customHeight="true" outlineLevel="0" collapsed="false">
      <c r="A8" s="11" t="s">
        <v>179</v>
      </c>
      <c r="B8" s="12" t="s">
        <v>269</v>
      </c>
      <c r="D8" s="11" t="s">
        <v>181</v>
      </c>
      <c r="E8" s="12" t="s">
        <v>270</v>
      </c>
    </row>
    <row r="9" customFormat="false" ht="168.75" hidden="false" customHeight="true" outlineLevel="0" collapsed="false">
      <c r="A9" s="11" t="s">
        <v>183</v>
      </c>
      <c r="B9" s="12" t="s">
        <v>271</v>
      </c>
      <c r="D9" s="11" t="s">
        <v>184</v>
      </c>
      <c r="E9" s="12" t="s">
        <v>272</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273</v>
      </c>
      <c r="D11" s="11" t="s">
        <v>187</v>
      </c>
      <c r="E11" s="12" t="s">
        <v>273</v>
      </c>
    </row>
    <row r="12" customFormat="false" ht="21.75" hidden="false" customHeight="true" outlineLevel="0" collapsed="false">
      <c r="A12" s="11" t="s">
        <v>189</v>
      </c>
      <c r="B12" s="12" t="s">
        <v>28</v>
      </c>
      <c r="D12" s="11" t="s">
        <v>190</v>
      </c>
      <c r="E12" s="12" t="s">
        <v>28</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274</v>
      </c>
      <c r="B1" s="9"/>
      <c r="D1" s="9" t="s">
        <v>275</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30</v>
      </c>
      <c r="D3" s="11" t="s">
        <v>168</v>
      </c>
      <c r="E3" s="12" t="s">
        <v>30</v>
      </c>
    </row>
    <row r="4" customFormat="false" ht="21.75" hidden="false" customHeight="true" outlineLevel="0" collapsed="false">
      <c r="A4" s="11" t="s">
        <v>169</v>
      </c>
      <c r="B4" s="12" t="s">
        <v>31</v>
      </c>
      <c r="D4" s="11" t="s">
        <v>170</v>
      </c>
      <c r="E4" s="12" t="s">
        <v>131</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64.5" hidden="false" customHeight="true" outlineLevel="0" collapsed="false">
      <c r="A8" s="11" t="s">
        <v>179</v>
      </c>
      <c r="B8" s="12" t="s">
        <v>276</v>
      </c>
      <c r="D8" s="11" t="s">
        <v>181</v>
      </c>
      <c r="E8" s="12" t="s">
        <v>277</v>
      </c>
    </row>
    <row r="9" customFormat="false" ht="51.75" hidden="false" customHeight="true" outlineLevel="0" collapsed="false">
      <c r="A9" s="11" t="s">
        <v>183</v>
      </c>
      <c r="B9" s="12" t="s">
        <v>278</v>
      </c>
      <c r="D9" s="11" t="s">
        <v>184</v>
      </c>
      <c r="E9" s="12" t="s">
        <v>279</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280</v>
      </c>
      <c r="D11" s="11" t="s">
        <v>187</v>
      </c>
      <c r="E11" s="12" t="s">
        <v>280</v>
      </c>
    </row>
    <row r="12" customFormat="false" ht="21.75" hidden="false" customHeight="true" outlineLevel="0" collapsed="false">
      <c r="A12" s="11" t="s">
        <v>189</v>
      </c>
      <c r="B12" s="12" t="s">
        <v>30</v>
      </c>
      <c r="D12" s="11" t="s">
        <v>190</v>
      </c>
      <c r="E12" s="12" t="s">
        <v>30</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281</v>
      </c>
      <c r="B1" s="9"/>
      <c r="D1" s="9" t="s">
        <v>282</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33</v>
      </c>
      <c r="D3" s="11" t="s">
        <v>168</v>
      </c>
      <c r="E3" s="12" t="s">
        <v>33</v>
      </c>
    </row>
    <row r="4" customFormat="false" ht="21.75" hidden="false" customHeight="true" outlineLevel="0" collapsed="false">
      <c r="A4" s="11" t="s">
        <v>169</v>
      </c>
      <c r="B4" s="12" t="s">
        <v>31</v>
      </c>
      <c r="D4" s="11" t="s">
        <v>170</v>
      </c>
      <c r="E4" s="12" t="s">
        <v>131</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64.5" hidden="false" customHeight="true" outlineLevel="0" collapsed="false">
      <c r="A8" s="11" t="s">
        <v>179</v>
      </c>
      <c r="B8" s="12" t="s">
        <v>283</v>
      </c>
      <c r="D8" s="11" t="s">
        <v>181</v>
      </c>
      <c r="E8" s="12" t="s">
        <v>284</v>
      </c>
    </row>
    <row r="9" customFormat="false" ht="64.5" hidden="false" customHeight="true" outlineLevel="0" collapsed="false">
      <c r="A9" s="11" t="s">
        <v>183</v>
      </c>
      <c r="B9" s="12" t="s">
        <v>285</v>
      </c>
      <c r="D9" s="11" t="s">
        <v>184</v>
      </c>
      <c r="E9" s="12" t="s">
        <v>286</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287</v>
      </c>
      <c r="D11" s="11" t="s">
        <v>187</v>
      </c>
      <c r="E11" s="12" t="s">
        <v>287</v>
      </c>
    </row>
    <row r="12" customFormat="false" ht="21.75" hidden="false" customHeight="true" outlineLevel="0" collapsed="false">
      <c r="A12" s="11" t="s">
        <v>189</v>
      </c>
      <c r="B12" s="12" t="s">
        <v>33</v>
      </c>
      <c r="D12" s="11" t="s">
        <v>190</v>
      </c>
      <c r="E12" s="12" t="s">
        <v>33</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288</v>
      </c>
      <c r="B1" s="9"/>
      <c r="D1" s="9" t="s">
        <v>289</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35</v>
      </c>
      <c r="D3" s="11" t="s">
        <v>168</v>
      </c>
      <c r="E3" s="12" t="s">
        <v>35</v>
      </c>
    </row>
    <row r="4" customFormat="false" ht="21.75" hidden="false" customHeight="true" outlineLevel="0" collapsed="false">
      <c r="A4" s="11" t="s">
        <v>169</v>
      </c>
      <c r="B4" s="12" t="s">
        <v>36</v>
      </c>
      <c r="D4" s="11" t="s">
        <v>170</v>
      </c>
      <c r="E4" s="12" t="s">
        <v>132</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90.75" hidden="false" customHeight="true" outlineLevel="0" collapsed="false">
      <c r="A8" s="11" t="s">
        <v>179</v>
      </c>
      <c r="B8" s="12" t="s">
        <v>290</v>
      </c>
      <c r="D8" s="11" t="s">
        <v>181</v>
      </c>
      <c r="E8" s="12" t="s">
        <v>291</v>
      </c>
    </row>
    <row r="9" customFormat="false" ht="181.5" hidden="false" customHeight="true" outlineLevel="0" collapsed="false">
      <c r="A9" s="11" t="s">
        <v>183</v>
      </c>
      <c r="B9" s="12" t="s">
        <v>292</v>
      </c>
      <c r="D9" s="11" t="s">
        <v>184</v>
      </c>
      <c r="E9" s="12" t="s">
        <v>293</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294</v>
      </c>
      <c r="D11" s="11" t="s">
        <v>187</v>
      </c>
      <c r="E11" s="12" t="s">
        <v>294</v>
      </c>
    </row>
    <row r="12" customFormat="false" ht="21.75" hidden="false" customHeight="true" outlineLevel="0" collapsed="false">
      <c r="A12" s="11" t="s">
        <v>189</v>
      </c>
      <c r="B12" s="12" t="s">
        <v>35</v>
      </c>
      <c r="D12" s="11" t="s">
        <v>190</v>
      </c>
      <c r="E12" s="12" t="s">
        <v>35</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295</v>
      </c>
      <c r="B1" s="9"/>
      <c r="D1" s="9" t="s">
        <v>296</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37</v>
      </c>
      <c r="D3" s="11" t="s">
        <v>168</v>
      </c>
      <c r="E3" s="12" t="s">
        <v>37</v>
      </c>
    </row>
    <row r="4" customFormat="false" ht="21.75" hidden="false" customHeight="true" outlineLevel="0" collapsed="false">
      <c r="A4" s="11" t="s">
        <v>169</v>
      </c>
      <c r="B4" s="12" t="s">
        <v>36</v>
      </c>
      <c r="D4" s="11" t="s">
        <v>170</v>
      </c>
      <c r="E4" s="12" t="s">
        <v>132</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51.75" hidden="false" customHeight="true" outlineLevel="0" collapsed="false">
      <c r="A8" s="11" t="s">
        <v>179</v>
      </c>
      <c r="B8" s="12" t="s">
        <v>297</v>
      </c>
      <c r="D8" s="11" t="s">
        <v>181</v>
      </c>
      <c r="E8" s="12" t="s">
        <v>298</v>
      </c>
    </row>
    <row r="9" customFormat="false" ht="142.5" hidden="false" customHeight="true" outlineLevel="0" collapsed="false">
      <c r="A9" s="11" t="s">
        <v>183</v>
      </c>
      <c r="B9" s="12" t="s">
        <v>299</v>
      </c>
      <c r="D9" s="11" t="s">
        <v>184</v>
      </c>
      <c r="E9" s="12" t="s">
        <v>300</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301</v>
      </c>
      <c r="D11" s="11" t="s">
        <v>187</v>
      </c>
      <c r="E11" s="12" t="s">
        <v>301</v>
      </c>
    </row>
    <row r="12" customFormat="false" ht="21.75" hidden="false" customHeight="true" outlineLevel="0" collapsed="false">
      <c r="A12" s="11" t="s">
        <v>189</v>
      </c>
      <c r="B12" s="12" t="s">
        <v>37</v>
      </c>
      <c r="D12" s="11" t="s">
        <v>190</v>
      </c>
      <c r="E12" s="12" t="s">
        <v>37</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302</v>
      </c>
      <c r="B1" s="9"/>
      <c r="D1" s="9" t="s">
        <v>303</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39</v>
      </c>
      <c r="D3" s="11" t="s">
        <v>168</v>
      </c>
      <c r="E3" s="12" t="s">
        <v>39</v>
      </c>
    </row>
    <row r="4" customFormat="false" ht="21.75" hidden="false" customHeight="true" outlineLevel="0" collapsed="false">
      <c r="A4" s="11" t="s">
        <v>169</v>
      </c>
      <c r="B4" s="12" t="s">
        <v>40</v>
      </c>
      <c r="D4" s="11" t="s">
        <v>170</v>
      </c>
      <c r="E4" s="12" t="s">
        <v>133</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78" hidden="false" customHeight="true" outlineLevel="0" collapsed="false">
      <c r="A8" s="11" t="s">
        <v>179</v>
      </c>
      <c r="B8" s="12" t="s">
        <v>304</v>
      </c>
      <c r="D8" s="11" t="s">
        <v>181</v>
      </c>
      <c r="E8" s="12" t="s">
        <v>305</v>
      </c>
    </row>
    <row r="9" customFormat="false" ht="156" hidden="false" customHeight="true" outlineLevel="0" collapsed="false">
      <c r="A9" s="11" t="s">
        <v>183</v>
      </c>
      <c r="B9" s="12" t="s">
        <v>306</v>
      </c>
      <c r="D9" s="11" t="s">
        <v>184</v>
      </c>
      <c r="E9" s="12" t="s">
        <v>307</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308</v>
      </c>
      <c r="D11" s="11" t="s">
        <v>187</v>
      </c>
      <c r="E11" s="12" t="s">
        <v>308</v>
      </c>
    </row>
    <row r="12" customFormat="false" ht="21.75" hidden="false" customHeight="true" outlineLevel="0" collapsed="false">
      <c r="A12" s="11" t="s">
        <v>189</v>
      </c>
      <c r="B12" s="12" t="s">
        <v>39</v>
      </c>
      <c r="D12" s="11" t="s">
        <v>190</v>
      </c>
      <c r="E12" s="12" t="s">
        <v>39</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309</v>
      </c>
      <c r="B1" s="9"/>
      <c r="D1" s="9" t="s">
        <v>310</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41</v>
      </c>
      <c r="D3" s="11" t="s">
        <v>168</v>
      </c>
      <c r="E3" s="12" t="s">
        <v>41</v>
      </c>
    </row>
    <row r="4" customFormat="false" ht="21.75" hidden="false" customHeight="true" outlineLevel="0" collapsed="false">
      <c r="A4" s="11" t="s">
        <v>169</v>
      </c>
      <c r="B4" s="12" t="s">
        <v>40</v>
      </c>
      <c r="D4" s="11" t="s">
        <v>170</v>
      </c>
      <c r="E4" s="12" t="s">
        <v>133</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90.75" hidden="false" customHeight="true" outlineLevel="0" collapsed="false">
      <c r="A8" s="11" t="s">
        <v>179</v>
      </c>
      <c r="B8" s="12" t="s">
        <v>311</v>
      </c>
      <c r="D8" s="11" t="s">
        <v>181</v>
      </c>
      <c r="E8" s="12" t="s">
        <v>312</v>
      </c>
    </row>
    <row r="9" customFormat="false" ht="45" hidden="false" customHeight="true" outlineLevel="0" collapsed="false">
      <c r="A9" s="11" t="s">
        <v>183</v>
      </c>
      <c r="B9" s="12" t="s">
        <v>313</v>
      </c>
      <c r="D9" s="11" t="s">
        <v>184</v>
      </c>
      <c r="E9" s="12" t="s">
        <v>314</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315</v>
      </c>
      <c r="D11" s="11" t="s">
        <v>187</v>
      </c>
      <c r="E11" s="12" t="s">
        <v>315</v>
      </c>
    </row>
    <row r="12" customFormat="false" ht="21.75" hidden="false" customHeight="true" outlineLevel="0" collapsed="false">
      <c r="A12" s="11" t="s">
        <v>189</v>
      </c>
      <c r="B12" s="12" t="s">
        <v>41</v>
      </c>
      <c r="D12" s="11" t="s">
        <v>190</v>
      </c>
      <c r="E12" s="12" t="s">
        <v>41</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316</v>
      </c>
      <c r="B1" s="9"/>
      <c r="D1" s="9" t="s">
        <v>317</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43</v>
      </c>
      <c r="D3" s="11" t="s">
        <v>168</v>
      </c>
      <c r="E3" s="12" t="s">
        <v>43</v>
      </c>
    </row>
    <row r="4" customFormat="false" ht="21.75" hidden="false" customHeight="true" outlineLevel="0" collapsed="false">
      <c r="A4" s="11" t="s">
        <v>169</v>
      </c>
      <c r="B4" s="12" t="s">
        <v>44</v>
      </c>
      <c r="D4" s="11" t="s">
        <v>170</v>
      </c>
      <c r="E4" s="12" t="s">
        <v>134</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45" hidden="false" customHeight="true" outlineLevel="0" collapsed="false">
      <c r="A8" s="11" t="s">
        <v>179</v>
      </c>
      <c r="B8" s="12" t="s">
        <v>318</v>
      </c>
      <c r="D8" s="11" t="s">
        <v>181</v>
      </c>
      <c r="E8" s="12" t="s">
        <v>319</v>
      </c>
    </row>
    <row r="9" customFormat="false" ht="117" hidden="false" customHeight="true" outlineLevel="0" collapsed="false">
      <c r="A9" s="11" t="s">
        <v>183</v>
      </c>
      <c r="B9" s="12" t="s">
        <v>320</v>
      </c>
      <c r="D9" s="11" t="s">
        <v>184</v>
      </c>
      <c r="E9" s="12" t="s">
        <v>321</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322</v>
      </c>
      <c r="D11" s="11" t="s">
        <v>187</v>
      </c>
      <c r="E11" s="12" t="s">
        <v>322</v>
      </c>
    </row>
    <row r="12" customFormat="false" ht="21.75" hidden="false" customHeight="true" outlineLevel="0" collapsed="false">
      <c r="A12" s="11" t="s">
        <v>189</v>
      </c>
      <c r="B12" s="12" t="s">
        <v>43</v>
      </c>
      <c r="D12" s="11" t="s">
        <v>190</v>
      </c>
      <c r="E12" s="12" t="s">
        <v>43</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323</v>
      </c>
      <c r="B1" s="9"/>
      <c r="D1" s="9" t="s">
        <v>324</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45</v>
      </c>
      <c r="D3" s="11" t="s">
        <v>168</v>
      </c>
      <c r="E3" s="12" t="s">
        <v>45</v>
      </c>
    </row>
    <row r="4" customFormat="false" ht="21.75" hidden="false" customHeight="true" outlineLevel="0" collapsed="false">
      <c r="A4" s="11" t="s">
        <v>169</v>
      </c>
      <c r="B4" s="12" t="s">
        <v>44</v>
      </c>
      <c r="D4" s="11" t="s">
        <v>170</v>
      </c>
      <c r="E4" s="12" t="s">
        <v>134</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64.5" hidden="false" customHeight="true" outlineLevel="0" collapsed="false">
      <c r="A8" s="11" t="s">
        <v>179</v>
      </c>
      <c r="B8" s="12" t="s">
        <v>325</v>
      </c>
      <c r="D8" s="11" t="s">
        <v>181</v>
      </c>
      <c r="E8" s="12" t="s">
        <v>326</v>
      </c>
    </row>
    <row r="9" customFormat="false" ht="51.75" hidden="false" customHeight="true" outlineLevel="0" collapsed="false">
      <c r="A9" s="11" t="s">
        <v>183</v>
      </c>
      <c r="B9" s="12" t="s">
        <v>327</v>
      </c>
      <c r="D9" s="11" t="s">
        <v>184</v>
      </c>
      <c r="E9" s="12" t="s">
        <v>328</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329</v>
      </c>
      <c r="D11" s="11" t="s">
        <v>187</v>
      </c>
      <c r="E11" s="12" t="s">
        <v>329</v>
      </c>
    </row>
    <row r="12" customFormat="false" ht="21.75" hidden="false" customHeight="true" outlineLevel="0" collapsed="false">
      <c r="A12" s="11" t="s">
        <v>189</v>
      </c>
      <c r="B12" s="12" t="s">
        <v>45</v>
      </c>
      <c r="D12" s="11" t="s">
        <v>190</v>
      </c>
      <c r="E12" s="12" t="s">
        <v>45</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330</v>
      </c>
      <c r="B1" s="9"/>
      <c r="D1" s="9" t="s">
        <v>331</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47</v>
      </c>
      <c r="D3" s="11" t="s">
        <v>168</v>
      </c>
      <c r="E3" s="12" t="s">
        <v>47</v>
      </c>
    </row>
    <row r="4" customFormat="false" ht="21.75" hidden="false" customHeight="true" outlineLevel="0" collapsed="false">
      <c r="A4" s="11" t="s">
        <v>169</v>
      </c>
      <c r="B4" s="12" t="s">
        <v>44</v>
      </c>
      <c r="D4" s="11" t="s">
        <v>170</v>
      </c>
      <c r="E4" s="12" t="s">
        <v>134</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51.75" hidden="false" customHeight="true" outlineLevel="0" collapsed="false">
      <c r="A8" s="11" t="s">
        <v>179</v>
      </c>
      <c r="B8" s="12" t="s">
        <v>332</v>
      </c>
      <c r="D8" s="11" t="s">
        <v>181</v>
      </c>
      <c r="E8" s="12" t="s">
        <v>333</v>
      </c>
    </row>
    <row r="9" customFormat="false" ht="103.5" hidden="false" customHeight="true" outlineLevel="0" collapsed="false">
      <c r="A9" s="11" t="s">
        <v>183</v>
      </c>
      <c r="B9" s="12" t="s">
        <v>334</v>
      </c>
      <c r="D9" s="11" t="s">
        <v>184</v>
      </c>
      <c r="E9" s="12" t="s">
        <v>335</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336</v>
      </c>
      <c r="D11" s="11" t="s">
        <v>187</v>
      </c>
      <c r="E11" s="12" t="s">
        <v>336</v>
      </c>
    </row>
    <row r="12" customFormat="false" ht="21.75" hidden="false" customHeight="true" outlineLevel="0" collapsed="false">
      <c r="A12" s="11" t="s">
        <v>189</v>
      </c>
      <c r="B12" s="12" t="s">
        <v>47</v>
      </c>
      <c r="D12" s="11" t="s">
        <v>190</v>
      </c>
      <c r="E12" s="12" t="s">
        <v>47</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337</v>
      </c>
      <c r="B1" s="9"/>
      <c r="D1" s="9" t="s">
        <v>338</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49</v>
      </c>
      <c r="D3" s="11" t="s">
        <v>168</v>
      </c>
      <c r="E3" s="12" t="s">
        <v>49</v>
      </c>
    </row>
    <row r="4" customFormat="false" ht="21.75" hidden="false" customHeight="true" outlineLevel="0" collapsed="false">
      <c r="A4" s="11" t="s">
        <v>169</v>
      </c>
      <c r="B4" s="12" t="s">
        <v>50</v>
      </c>
      <c r="D4" s="11" t="s">
        <v>170</v>
      </c>
      <c r="E4" s="12" t="s">
        <v>135</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103.5" hidden="false" customHeight="true" outlineLevel="0" collapsed="false">
      <c r="A8" s="11" t="s">
        <v>179</v>
      </c>
      <c r="B8" s="12" t="s">
        <v>339</v>
      </c>
      <c r="D8" s="11" t="s">
        <v>181</v>
      </c>
      <c r="E8" s="12" t="s">
        <v>340</v>
      </c>
    </row>
    <row r="9" customFormat="false" ht="129.75" hidden="false" customHeight="true" outlineLevel="0" collapsed="false">
      <c r="A9" s="11" t="s">
        <v>183</v>
      </c>
      <c r="B9" s="12" t="s">
        <v>341</v>
      </c>
      <c r="D9" s="11" t="s">
        <v>184</v>
      </c>
      <c r="E9" s="12" t="s">
        <v>342</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343</v>
      </c>
      <c r="D11" s="11" t="s">
        <v>187</v>
      </c>
      <c r="E11" s="12" t="s">
        <v>343</v>
      </c>
    </row>
    <row r="12" customFormat="false" ht="21.75" hidden="false" customHeight="true" outlineLevel="0" collapsed="false">
      <c r="A12" s="11" t="s">
        <v>189</v>
      </c>
      <c r="B12" s="12" t="s">
        <v>49</v>
      </c>
      <c r="D12" s="11" t="s">
        <v>190</v>
      </c>
      <c r="E12" s="12" t="s">
        <v>49</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344</v>
      </c>
      <c r="B1" s="9"/>
      <c r="D1" s="9" t="s">
        <v>345</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51</v>
      </c>
      <c r="D3" s="11" t="s">
        <v>168</v>
      </c>
      <c r="E3" s="12" t="s">
        <v>51</v>
      </c>
    </row>
    <row r="4" customFormat="false" ht="21.75" hidden="false" customHeight="true" outlineLevel="0" collapsed="false">
      <c r="A4" s="11" t="s">
        <v>169</v>
      </c>
      <c r="B4" s="12" t="s">
        <v>52</v>
      </c>
      <c r="D4" s="11" t="s">
        <v>170</v>
      </c>
      <c r="E4" s="12" t="s">
        <v>136</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117" hidden="false" customHeight="true" outlineLevel="0" collapsed="false">
      <c r="A8" s="11" t="s">
        <v>179</v>
      </c>
      <c r="B8" s="12" t="s">
        <v>346</v>
      </c>
      <c r="D8" s="11" t="s">
        <v>181</v>
      </c>
      <c r="E8" s="12" t="s">
        <v>347</v>
      </c>
    </row>
    <row r="9" customFormat="false" ht="90.75" hidden="false" customHeight="true" outlineLevel="0" collapsed="false">
      <c r="A9" s="11" t="s">
        <v>183</v>
      </c>
      <c r="B9" s="12" t="s">
        <v>348</v>
      </c>
      <c r="D9" s="11" t="s">
        <v>184</v>
      </c>
      <c r="E9" s="12" t="s">
        <v>349</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350</v>
      </c>
      <c r="D11" s="11" t="s">
        <v>187</v>
      </c>
      <c r="E11" s="12" t="s">
        <v>350</v>
      </c>
    </row>
    <row r="12" customFormat="false" ht="21.75" hidden="false" customHeight="true" outlineLevel="0" collapsed="false">
      <c r="A12" s="11" t="s">
        <v>189</v>
      </c>
      <c r="B12" s="12" t="s">
        <v>51</v>
      </c>
      <c r="D12" s="11" t="s">
        <v>190</v>
      </c>
      <c r="E12" s="12" t="s">
        <v>51</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351</v>
      </c>
      <c r="B1" s="9"/>
      <c r="D1" s="9" t="s">
        <v>352</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53</v>
      </c>
      <c r="D3" s="11" t="s">
        <v>168</v>
      </c>
      <c r="E3" s="12" t="s">
        <v>53</v>
      </c>
    </row>
    <row r="4" customFormat="false" ht="21.75" hidden="false" customHeight="true" outlineLevel="0" collapsed="false">
      <c r="A4" s="11" t="s">
        <v>169</v>
      </c>
      <c r="B4" s="12" t="s">
        <v>54</v>
      </c>
      <c r="D4" s="11" t="s">
        <v>170</v>
      </c>
      <c r="E4" s="12" t="s">
        <v>137</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220.5" hidden="false" customHeight="true" outlineLevel="0" collapsed="false">
      <c r="A8" s="11" t="s">
        <v>179</v>
      </c>
      <c r="B8" s="12" t="s">
        <v>353</v>
      </c>
      <c r="D8" s="11" t="s">
        <v>181</v>
      </c>
      <c r="E8" s="12" t="s">
        <v>354</v>
      </c>
    </row>
    <row r="9" customFormat="false" ht="298.5" hidden="false" customHeight="true" outlineLevel="0" collapsed="false">
      <c r="A9" s="11" t="s">
        <v>183</v>
      </c>
      <c r="B9" s="12" t="s">
        <v>355</v>
      </c>
      <c r="D9" s="11" t="s">
        <v>184</v>
      </c>
      <c r="E9" s="12" t="s">
        <v>356</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357</v>
      </c>
      <c r="D11" s="11" t="s">
        <v>187</v>
      </c>
      <c r="E11" s="12" t="s">
        <v>357</v>
      </c>
    </row>
    <row r="12" customFormat="false" ht="21.75" hidden="false" customHeight="true" outlineLevel="0" collapsed="false">
      <c r="A12" s="11" t="s">
        <v>189</v>
      </c>
      <c r="B12" s="12" t="s">
        <v>53</v>
      </c>
      <c r="D12" s="11" t="s">
        <v>190</v>
      </c>
      <c r="E12" s="12" t="s">
        <v>53</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358</v>
      </c>
      <c r="B1" s="9"/>
      <c r="D1" s="9" t="s">
        <v>359</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55</v>
      </c>
      <c r="D3" s="11" t="s">
        <v>168</v>
      </c>
      <c r="E3" s="12" t="s">
        <v>55</v>
      </c>
    </row>
    <row r="4" customFormat="false" ht="21.75" hidden="false" customHeight="true" outlineLevel="0" collapsed="false">
      <c r="A4" s="11" t="s">
        <v>169</v>
      </c>
      <c r="B4" s="12" t="s">
        <v>56</v>
      </c>
      <c r="D4" s="11" t="s">
        <v>170</v>
      </c>
      <c r="E4" s="12" t="s">
        <v>138</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45" hidden="false" customHeight="true" outlineLevel="0" collapsed="false">
      <c r="A8" s="11" t="s">
        <v>179</v>
      </c>
      <c r="B8" s="12" t="s">
        <v>360</v>
      </c>
      <c r="D8" s="11" t="s">
        <v>181</v>
      </c>
      <c r="E8" s="12" t="s">
        <v>361</v>
      </c>
    </row>
    <row r="9" customFormat="false" ht="45" hidden="false" customHeight="true" outlineLevel="0" collapsed="false">
      <c r="A9" s="11" t="s">
        <v>183</v>
      </c>
      <c r="B9" s="12" t="s">
        <v>362</v>
      </c>
      <c r="D9" s="11" t="s">
        <v>184</v>
      </c>
      <c r="E9" s="12" t="s">
        <v>363</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364</v>
      </c>
      <c r="D11" s="11" t="s">
        <v>187</v>
      </c>
      <c r="E11" s="12" t="s">
        <v>364</v>
      </c>
    </row>
    <row r="12" customFormat="false" ht="21.75" hidden="false" customHeight="true" outlineLevel="0" collapsed="false">
      <c r="A12" s="11" t="s">
        <v>189</v>
      </c>
      <c r="B12" s="12" t="s">
        <v>55</v>
      </c>
      <c r="D12" s="11" t="s">
        <v>190</v>
      </c>
      <c r="E12" s="12" t="s">
        <v>55</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365</v>
      </c>
      <c r="B1" s="9"/>
      <c r="D1" s="9" t="s">
        <v>366</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58</v>
      </c>
      <c r="D3" s="11" t="s">
        <v>168</v>
      </c>
      <c r="E3" s="12" t="s">
        <v>58</v>
      </c>
    </row>
    <row r="4" customFormat="false" ht="21.75" hidden="false" customHeight="true" outlineLevel="0" collapsed="false">
      <c r="A4" s="11" t="s">
        <v>169</v>
      </c>
      <c r="B4" s="12" t="s">
        <v>56</v>
      </c>
      <c r="D4" s="11" t="s">
        <v>170</v>
      </c>
      <c r="E4" s="12" t="s">
        <v>138</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51.75" hidden="false" customHeight="true" outlineLevel="0" collapsed="false">
      <c r="A8" s="11" t="s">
        <v>179</v>
      </c>
      <c r="B8" s="12" t="s">
        <v>367</v>
      </c>
      <c r="D8" s="11" t="s">
        <v>181</v>
      </c>
      <c r="E8" s="12" t="s">
        <v>368</v>
      </c>
    </row>
    <row r="9" customFormat="false" ht="45" hidden="false" customHeight="true" outlineLevel="0" collapsed="false">
      <c r="A9" s="11" t="s">
        <v>183</v>
      </c>
      <c r="B9" s="12" t="s">
        <v>369</v>
      </c>
      <c r="D9" s="11" t="s">
        <v>184</v>
      </c>
      <c r="E9" s="12" t="s">
        <v>370</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371</v>
      </c>
      <c r="D11" s="11" t="s">
        <v>187</v>
      </c>
      <c r="E11" s="12" t="s">
        <v>371</v>
      </c>
    </row>
    <row r="12" customFormat="false" ht="21.75" hidden="false" customHeight="true" outlineLevel="0" collapsed="false">
      <c r="A12" s="11" t="s">
        <v>189</v>
      </c>
      <c r="B12" s="12" t="s">
        <v>58</v>
      </c>
      <c r="D12" s="11" t="s">
        <v>190</v>
      </c>
      <c r="E12" s="12" t="s">
        <v>58</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372</v>
      </c>
      <c r="B1" s="9"/>
      <c r="D1" s="9" t="s">
        <v>373</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60</v>
      </c>
      <c r="D3" s="11" t="s">
        <v>168</v>
      </c>
      <c r="E3" s="12" t="s">
        <v>60</v>
      </c>
    </row>
    <row r="4" customFormat="false" ht="21.75" hidden="false" customHeight="true" outlineLevel="0" collapsed="false">
      <c r="A4" s="11" t="s">
        <v>169</v>
      </c>
      <c r="B4" s="12" t="s">
        <v>61</v>
      </c>
      <c r="D4" s="11" t="s">
        <v>170</v>
      </c>
      <c r="E4" s="12" t="s">
        <v>139</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168.75" hidden="false" customHeight="true" outlineLevel="0" collapsed="false">
      <c r="A8" s="11" t="s">
        <v>179</v>
      </c>
      <c r="B8" s="12" t="s">
        <v>374</v>
      </c>
      <c r="D8" s="11" t="s">
        <v>181</v>
      </c>
      <c r="E8" s="12" t="s">
        <v>375</v>
      </c>
    </row>
    <row r="9" customFormat="false" ht="300" hidden="false" customHeight="true" outlineLevel="0" collapsed="false">
      <c r="A9" s="11" t="s">
        <v>183</v>
      </c>
      <c r="B9" s="12" t="s">
        <v>376</v>
      </c>
      <c r="D9" s="11" t="s">
        <v>184</v>
      </c>
      <c r="E9" s="12" t="s">
        <v>377</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378</v>
      </c>
      <c r="D11" s="11" t="s">
        <v>187</v>
      </c>
      <c r="E11" s="12" t="s">
        <v>378</v>
      </c>
    </row>
    <row r="12" customFormat="false" ht="21.75" hidden="false" customHeight="true" outlineLevel="0" collapsed="false">
      <c r="A12" s="11" t="s">
        <v>189</v>
      </c>
      <c r="B12" s="12" t="s">
        <v>60</v>
      </c>
      <c r="D12" s="11" t="s">
        <v>190</v>
      </c>
      <c r="E12" s="12" t="s">
        <v>60</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379</v>
      </c>
      <c r="B1" s="9"/>
      <c r="D1" s="9" t="s">
        <v>380</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62</v>
      </c>
      <c r="D3" s="11" t="s">
        <v>168</v>
      </c>
      <c r="E3" s="12" t="s">
        <v>62</v>
      </c>
    </row>
    <row r="4" customFormat="false" ht="21.75" hidden="false" customHeight="true" outlineLevel="0" collapsed="false">
      <c r="A4" s="11" t="s">
        <v>169</v>
      </c>
      <c r="B4" s="12" t="s">
        <v>63</v>
      </c>
      <c r="D4" s="11" t="s">
        <v>170</v>
      </c>
      <c r="E4" s="12" t="s">
        <v>140</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78" hidden="false" customHeight="true" outlineLevel="0" collapsed="false">
      <c r="A8" s="11" t="s">
        <v>179</v>
      </c>
      <c r="B8" s="12" t="s">
        <v>381</v>
      </c>
      <c r="D8" s="11" t="s">
        <v>181</v>
      </c>
      <c r="E8" s="12" t="s">
        <v>382</v>
      </c>
    </row>
    <row r="9" customFormat="false" ht="300" hidden="false" customHeight="true" outlineLevel="0" collapsed="false">
      <c r="A9" s="11" t="s">
        <v>183</v>
      </c>
      <c r="B9" s="12" t="s">
        <v>383</v>
      </c>
      <c r="D9" s="11" t="s">
        <v>184</v>
      </c>
      <c r="E9" s="12" t="s">
        <v>384</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385</v>
      </c>
      <c r="D11" s="11" t="s">
        <v>187</v>
      </c>
      <c r="E11" s="12" t="s">
        <v>385</v>
      </c>
    </row>
    <row r="12" customFormat="false" ht="21.75" hidden="false" customHeight="true" outlineLevel="0" collapsed="false">
      <c r="A12" s="11" t="s">
        <v>189</v>
      </c>
      <c r="B12" s="12" t="s">
        <v>62</v>
      </c>
      <c r="D12" s="11" t="s">
        <v>190</v>
      </c>
      <c r="E12" s="12" t="s">
        <v>62</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386</v>
      </c>
      <c r="B1" s="9"/>
      <c r="D1" s="9" t="s">
        <v>387</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64</v>
      </c>
      <c r="D3" s="11" t="s">
        <v>168</v>
      </c>
      <c r="E3" s="12" t="s">
        <v>64</v>
      </c>
    </row>
    <row r="4" customFormat="false" ht="21.75" hidden="false" customHeight="true" outlineLevel="0" collapsed="false">
      <c r="A4" s="11" t="s">
        <v>169</v>
      </c>
      <c r="B4" s="12" t="s">
        <v>63</v>
      </c>
      <c r="D4" s="11" t="s">
        <v>170</v>
      </c>
      <c r="E4" s="12" t="s">
        <v>140</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78" hidden="false" customHeight="true" outlineLevel="0" collapsed="false">
      <c r="A8" s="11" t="s">
        <v>179</v>
      </c>
      <c r="B8" s="12" t="s">
        <v>388</v>
      </c>
      <c r="D8" s="11" t="s">
        <v>181</v>
      </c>
      <c r="E8" s="12" t="s">
        <v>389</v>
      </c>
    </row>
    <row r="9" customFormat="false" ht="64.5" hidden="false" customHeight="true" outlineLevel="0" collapsed="false">
      <c r="A9" s="11" t="s">
        <v>183</v>
      </c>
      <c r="B9" s="12" t="s">
        <v>390</v>
      </c>
      <c r="D9" s="11" t="s">
        <v>184</v>
      </c>
      <c r="E9" s="12" t="s">
        <v>391</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392</v>
      </c>
      <c r="D11" s="11" t="s">
        <v>187</v>
      </c>
      <c r="E11" s="12" t="s">
        <v>392</v>
      </c>
    </row>
    <row r="12" customFormat="false" ht="21.75" hidden="false" customHeight="true" outlineLevel="0" collapsed="false">
      <c r="A12" s="11" t="s">
        <v>189</v>
      </c>
      <c r="B12" s="12" t="s">
        <v>64</v>
      </c>
      <c r="D12" s="11" t="s">
        <v>190</v>
      </c>
      <c r="E12" s="12" t="s">
        <v>64</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393</v>
      </c>
      <c r="B1" s="9"/>
      <c r="D1" s="9" t="s">
        <v>394</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66</v>
      </c>
      <c r="D3" s="11" t="s">
        <v>168</v>
      </c>
      <c r="E3" s="12" t="s">
        <v>66</v>
      </c>
    </row>
    <row r="4" customFormat="false" ht="21.75" hidden="false" customHeight="true" outlineLevel="0" collapsed="false">
      <c r="A4" s="11" t="s">
        <v>169</v>
      </c>
      <c r="B4" s="12" t="s">
        <v>67</v>
      </c>
      <c r="D4" s="11" t="s">
        <v>170</v>
      </c>
      <c r="E4" s="12" t="s">
        <v>141</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45" hidden="false" customHeight="true" outlineLevel="0" collapsed="false">
      <c r="A8" s="11" t="s">
        <v>179</v>
      </c>
      <c r="B8" s="12" t="s">
        <v>395</v>
      </c>
      <c r="D8" s="11" t="s">
        <v>181</v>
      </c>
      <c r="E8" s="12" t="s">
        <v>396</v>
      </c>
    </row>
    <row r="9" customFormat="false" ht="246.75" hidden="false" customHeight="true" outlineLevel="0" collapsed="false">
      <c r="A9" s="11" t="s">
        <v>183</v>
      </c>
      <c r="B9" s="12" t="s">
        <v>397</v>
      </c>
      <c r="D9" s="11" t="s">
        <v>184</v>
      </c>
      <c r="E9" s="12" t="s">
        <v>398</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399</v>
      </c>
      <c r="D11" s="11" t="s">
        <v>187</v>
      </c>
      <c r="E11" s="12" t="s">
        <v>399</v>
      </c>
    </row>
    <row r="12" customFormat="false" ht="21.75" hidden="false" customHeight="true" outlineLevel="0" collapsed="false">
      <c r="A12" s="11" t="s">
        <v>189</v>
      </c>
      <c r="B12" s="12" t="s">
        <v>66</v>
      </c>
      <c r="D12" s="11" t="s">
        <v>190</v>
      </c>
      <c r="E12" s="12" t="s">
        <v>66</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400</v>
      </c>
      <c r="B1" s="9"/>
      <c r="D1" s="9" t="s">
        <v>401</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68</v>
      </c>
      <c r="D3" s="11" t="s">
        <v>168</v>
      </c>
      <c r="E3" s="12" t="s">
        <v>68</v>
      </c>
    </row>
    <row r="4" customFormat="false" ht="21.75" hidden="false" customHeight="true" outlineLevel="0" collapsed="false">
      <c r="A4" s="11" t="s">
        <v>169</v>
      </c>
      <c r="B4" s="12" t="s">
        <v>67</v>
      </c>
      <c r="D4" s="11" t="s">
        <v>170</v>
      </c>
      <c r="E4" s="12" t="s">
        <v>141</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78" hidden="false" customHeight="true" outlineLevel="0" collapsed="false">
      <c r="A8" s="11" t="s">
        <v>179</v>
      </c>
      <c r="B8" s="12" t="s">
        <v>402</v>
      </c>
      <c r="D8" s="11" t="s">
        <v>181</v>
      </c>
      <c r="E8" s="12" t="s">
        <v>403</v>
      </c>
    </row>
    <row r="9" customFormat="false" ht="45" hidden="false" customHeight="true" outlineLevel="0" collapsed="false">
      <c r="A9" s="11" t="s">
        <v>183</v>
      </c>
      <c r="B9" s="12" t="s">
        <v>404</v>
      </c>
      <c r="D9" s="11" t="s">
        <v>184</v>
      </c>
      <c r="E9" s="12" t="s">
        <v>405</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406</v>
      </c>
      <c r="D11" s="11" t="s">
        <v>187</v>
      </c>
      <c r="E11" s="12" t="s">
        <v>406</v>
      </c>
    </row>
    <row r="12" customFormat="false" ht="21.75" hidden="false" customHeight="true" outlineLevel="0" collapsed="false">
      <c r="A12" s="11" t="s">
        <v>189</v>
      </c>
      <c r="B12" s="12" t="s">
        <v>68</v>
      </c>
      <c r="D12" s="11" t="s">
        <v>190</v>
      </c>
      <c r="E12" s="12" t="s">
        <v>68</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407</v>
      </c>
      <c r="B1" s="9"/>
      <c r="D1" s="9" t="s">
        <v>408</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70</v>
      </c>
      <c r="D3" s="11" t="s">
        <v>168</v>
      </c>
      <c r="E3" s="12" t="s">
        <v>70</v>
      </c>
    </row>
    <row r="4" customFormat="false" ht="21.75" hidden="false" customHeight="true" outlineLevel="0" collapsed="false">
      <c r="A4" s="11" t="s">
        <v>169</v>
      </c>
      <c r="B4" s="12" t="s">
        <v>71</v>
      </c>
      <c r="D4" s="11" t="s">
        <v>170</v>
      </c>
      <c r="E4" s="12" t="s">
        <v>142</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51.75" hidden="false" customHeight="true" outlineLevel="0" collapsed="false">
      <c r="A8" s="11" t="s">
        <v>179</v>
      </c>
      <c r="B8" s="12" t="s">
        <v>409</v>
      </c>
      <c r="D8" s="11" t="s">
        <v>181</v>
      </c>
      <c r="E8" s="12" t="s">
        <v>410</v>
      </c>
    </row>
    <row r="9" customFormat="false" ht="90.75" hidden="false" customHeight="true" outlineLevel="0" collapsed="false">
      <c r="A9" s="11" t="s">
        <v>183</v>
      </c>
      <c r="B9" s="12" t="s">
        <v>411</v>
      </c>
      <c r="D9" s="11" t="s">
        <v>184</v>
      </c>
      <c r="E9" s="12" t="s">
        <v>412</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413</v>
      </c>
      <c r="D11" s="11" t="s">
        <v>187</v>
      </c>
      <c r="E11" s="12" t="s">
        <v>413</v>
      </c>
    </row>
    <row r="12" customFormat="false" ht="21.75" hidden="false" customHeight="true" outlineLevel="0" collapsed="false">
      <c r="A12" s="11" t="s">
        <v>189</v>
      </c>
      <c r="B12" s="12" t="s">
        <v>70</v>
      </c>
      <c r="D12" s="11" t="s">
        <v>190</v>
      </c>
      <c r="E12" s="12" t="s">
        <v>70</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414</v>
      </c>
      <c r="B1" s="9"/>
      <c r="D1" s="9" t="s">
        <v>415</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73</v>
      </c>
      <c r="D3" s="11" t="s">
        <v>168</v>
      </c>
      <c r="E3" s="12" t="s">
        <v>73</v>
      </c>
    </row>
    <row r="4" customFormat="false" ht="21.75" hidden="false" customHeight="true" outlineLevel="0" collapsed="false">
      <c r="A4" s="11" t="s">
        <v>169</v>
      </c>
      <c r="B4" s="12" t="s">
        <v>74</v>
      </c>
      <c r="D4" s="11" t="s">
        <v>170</v>
      </c>
      <c r="E4" s="12" t="s">
        <v>143</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117" hidden="false" customHeight="true" outlineLevel="0" collapsed="false">
      <c r="A8" s="11" t="s">
        <v>179</v>
      </c>
      <c r="B8" s="12" t="s">
        <v>416</v>
      </c>
      <c r="D8" s="11" t="s">
        <v>181</v>
      </c>
      <c r="E8" s="12" t="s">
        <v>417</v>
      </c>
    </row>
    <row r="9" customFormat="false" ht="220.5" hidden="false" customHeight="true" outlineLevel="0" collapsed="false">
      <c r="A9" s="11" t="s">
        <v>183</v>
      </c>
      <c r="B9" s="12" t="s">
        <v>418</v>
      </c>
      <c r="D9" s="11" t="s">
        <v>184</v>
      </c>
      <c r="E9" s="12" t="s">
        <v>419</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420</v>
      </c>
      <c r="D11" s="11" t="s">
        <v>187</v>
      </c>
      <c r="E11" s="12" t="s">
        <v>420</v>
      </c>
    </row>
    <row r="12" customFormat="false" ht="21.75" hidden="false" customHeight="true" outlineLevel="0" collapsed="false">
      <c r="A12" s="11" t="s">
        <v>189</v>
      </c>
      <c r="B12" s="12" t="s">
        <v>73</v>
      </c>
      <c r="D12" s="11" t="s">
        <v>190</v>
      </c>
      <c r="E12" s="12" t="s">
        <v>73</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421</v>
      </c>
      <c r="B1" s="9"/>
      <c r="D1" s="9" t="s">
        <v>422</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75</v>
      </c>
      <c r="D3" s="11" t="s">
        <v>168</v>
      </c>
      <c r="E3" s="12" t="s">
        <v>75</v>
      </c>
    </row>
    <row r="4" customFormat="false" ht="21.75" hidden="false" customHeight="true" outlineLevel="0" collapsed="false">
      <c r="A4" s="11" t="s">
        <v>169</v>
      </c>
      <c r="B4" s="12" t="s">
        <v>74</v>
      </c>
      <c r="D4" s="11" t="s">
        <v>170</v>
      </c>
      <c r="E4" s="12" t="s">
        <v>143</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64.5" hidden="false" customHeight="true" outlineLevel="0" collapsed="false">
      <c r="A8" s="11" t="s">
        <v>179</v>
      </c>
      <c r="B8" s="12" t="s">
        <v>423</v>
      </c>
      <c r="D8" s="11" t="s">
        <v>181</v>
      </c>
      <c r="E8" s="12" t="s">
        <v>424</v>
      </c>
    </row>
    <row r="9" customFormat="false" ht="45" hidden="false" customHeight="true" outlineLevel="0" collapsed="false">
      <c r="A9" s="11" t="s">
        <v>183</v>
      </c>
      <c r="B9" s="12" t="s">
        <v>425</v>
      </c>
      <c r="D9" s="11" t="s">
        <v>184</v>
      </c>
      <c r="E9" s="12" t="s">
        <v>426</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427</v>
      </c>
      <c r="D11" s="11" t="s">
        <v>187</v>
      </c>
      <c r="E11" s="12" t="s">
        <v>427</v>
      </c>
    </row>
    <row r="12" customFormat="false" ht="21.75" hidden="false" customHeight="true" outlineLevel="0" collapsed="false">
      <c r="A12" s="11" t="s">
        <v>189</v>
      </c>
      <c r="B12" s="12" t="s">
        <v>75</v>
      </c>
      <c r="D12" s="11" t="s">
        <v>190</v>
      </c>
      <c r="E12" s="12" t="s">
        <v>75</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428</v>
      </c>
      <c r="B1" s="9"/>
      <c r="D1" s="9" t="s">
        <v>429</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77</v>
      </c>
      <c r="D3" s="11" t="s">
        <v>168</v>
      </c>
      <c r="E3" s="12" t="s">
        <v>77</v>
      </c>
    </row>
    <row r="4" customFormat="false" ht="21.75" hidden="false" customHeight="true" outlineLevel="0" collapsed="false">
      <c r="A4" s="11" t="s">
        <v>169</v>
      </c>
      <c r="B4" s="12" t="s">
        <v>78</v>
      </c>
      <c r="D4" s="11" t="s">
        <v>170</v>
      </c>
      <c r="E4" s="12" t="s">
        <v>144</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103.5" hidden="false" customHeight="true" outlineLevel="0" collapsed="false">
      <c r="A8" s="11" t="s">
        <v>179</v>
      </c>
      <c r="B8" s="12" t="s">
        <v>430</v>
      </c>
      <c r="D8" s="11" t="s">
        <v>181</v>
      </c>
      <c r="E8" s="12" t="s">
        <v>431</v>
      </c>
    </row>
    <row r="9" customFormat="false" ht="234" hidden="false" customHeight="true" outlineLevel="0" collapsed="false">
      <c r="A9" s="11" t="s">
        <v>183</v>
      </c>
      <c r="B9" s="12" t="s">
        <v>432</v>
      </c>
      <c r="D9" s="11" t="s">
        <v>184</v>
      </c>
      <c r="E9" s="12" t="s">
        <v>433</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434</v>
      </c>
      <c r="D11" s="11" t="s">
        <v>187</v>
      </c>
      <c r="E11" s="12" t="s">
        <v>434</v>
      </c>
    </row>
    <row r="12" customFormat="false" ht="21.75" hidden="false" customHeight="true" outlineLevel="0" collapsed="false">
      <c r="A12" s="11" t="s">
        <v>189</v>
      </c>
      <c r="B12" s="12" t="s">
        <v>77</v>
      </c>
      <c r="D12" s="11" t="s">
        <v>190</v>
      </c>
      <c r="E12" s="12" t="s">
        <v>77</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435</v>
      </c>
      <c r="B1" s="9"/>
      <c r="D1" s="9" t="s">
        <v>436</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80</v>
      </c>
      <c r="D3" s="11" t="s">
        <v>168</v>
      </c>
      <c r="E3" s="12" t="s">
        <v>80</v>
      </c>
    </row>
    <row r="4" customFormat="false" ht="21.75" hidden="false" customHeight="true" outlineLevel="0" collapsed="false">
      <c r="A4" s="11" t="s">
        <v>169</v>
      </c>
      <c r="B4" s="12" t="s">
        <v>81</v>
      </c>
      <c r="D4" s="11" t="s">
        <v>170</v>
      </c>
      <c r="E4" s="12" t="s">
        <v>145</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64.5" hidden="false" customHeight="true" outlineLevel="0" collapsed="false">
      <c r="A8" s="11" t="s">
        <v>179</v>
      </c>
      <c r="B8" s="12" t="s">
        <v>437</v>
      </c>
      <c r="D8" s="11" t="s">
        <v>181</v>
      </c>
      <c r="E8" s="12" t="s">
        <v>438</v>
      </c>
    </row>
    <row r="9" customFormat="false" ht="234" hidden="false" customHeight="true" outlineLevel="0" collapsed="false">
      <c r="A9" s="11" t="s">
        <v>183</v>
      </c>
      <c r="B9" s="12" t="s">
        <v>439</v>
      </c>
      <c r="D9" s="11" t="s">
        <v>184</v>
      </c>
      <c r="E9" s="12" t="s">
        <v>440</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441</v>
      </c>
      <c r="D11" s="11" t="s">
        <v>187</v>
      </c>
      <c r="E11" s="12" t="s">
        <v>441</v>
      </c>
    </row>
    <row r="12" customFormat="false" ht="21.75" hidden="false" customHeight="true" outlineLevel="0" collapsed="false">
      <c r="A12" s="11" t="s">
        <v>189</v>
      </c>
      <c r="B12" s="12" t="s">
        <v>80</v>
      </c>
      <c r="D12" s="11" t="s">
        <v>190</v>
      </c>
      <c r="E12" s="12" t="s">
        <v>80</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442</v>
      </c>
      <c r="B1" s="9"/>
      <c r="D1" s="9" t="s">
        <v>443</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83</v>
      </c>
      <c r="D3" s="11" t="s">
        <v>168</v>
      </c>
      <c r="E3" s="12" t="s">
        <v>83</v>
      </c>
    </row>
    <row r="4" customFormat="false" ht="21.75" hidden="false" customHeight="true" outlineLevel="0" collapsed="false">
      <c r="A4" s="11" t="s">
        <v>169</v>
      </c>
      <c r="B4" s="12" t="s">
        <v>81</v>
      </c>
      <c r="D4" s="11" t="s">
        <v>170</v>
      </c>
      <c r="E4" s="12" t="s">
        <v>145</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64.5" hidden="false" customHeight="true" outlineLevel="0" collapsed="false">
      <c r="A8" s="11" t="s">
        <v>179</v>
      </c>
      <c r="B8" s="12" t="s">
        <v>444</v>
      </c>
      <c r="D8" s="11" t="s">
        <v>181</v>
      </c>
      <c r="E8" s="12" t="s">
        <v>445</v>
      </c>
    </row>
    <row r="9" customFormat="false" ht="246.75" hidden="false" customHeight="true" outlineLevel="0" collapsed="false">
      <c r="A9" s="11" t="s">
        <v>183</v>
      </c>
      <c r="B9" s="12" t="s">
        <v>446</v>
      </c>
      <c r="D9" s="11" t="s">
        <v>184</v>
      </c>
      <c r="E9" s="12" t="s">
        <v>447</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448</v>
      </c>
      <c r="D11" s="11" t="s">
        <v>187</v>
      </c>
      <c r="E11" s="12" t="s">
        <v>448</v>
      </c>
    </row>
    <row r="12" customFormat="false" ht="21.75" hidden="false" customHeight="true" outlineLevel="0" collapsed="false">
      <c r="A12" s="11" t="s">
        <v>189</v>
      </c>
      <c r="B12" s="12" t="s">
        <v>83</v>
      </c>
      <c r="D12" s="11" t="s">
        <v>190</v>
      </c>
      <c r="E12" s="12" t="s">
        <v>83</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449</v>
      </c>
      <c r="B1" s="9"/>
      <c r="D1" s="9" t="s">
        <v>450</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85</v>
      </c>
      <c r="D3" s="11" t="s">
        <v>168</v>
      </c>
      <c r="E3" s="12" t="s">
        <v>85</v>
      </c>
    </row>
    <row r="4" customFormat="false" ht="21.75" hidden="false" customHeight="true" outlineLevel="0" collapsed="false">
      <c r="A4" s="11" t="s">
        <v>169</v>
      </c>
      <c r="B4" s="12" t="s">
        <v>86</v>
      </c>
      <c r="D4" s="11" t="s">
        <v>170</v>
      </c>
      <c r="E4" s="12" t="s">
        <v>146</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117" hidden="false" customHeight="true" outlineLevel="0" collapsed="false">
      <c r="A8" s="11" t="s">
        <v>179</v>
      </c>
      <c r="B8" s="12" t="s">
        <v>451</v>
      </c>
      <c r="D8" s="11" t="s">
        <v>181</v>
      </c>
      <c r="E8" s="12" t="s">
        <v>452</v>
      </c>
    </row>
    <row r="9" customFormat="false" ht="285.75" hidden="false" customHeight="true" outlineLevel="0" collapsed="false">
      <c r="A9" s="11" t="s">
        <v>183</v>
      </c>
      <c r="B9" s="12" t="s">
        <v>453</v>
      </c>
      <c r="D9" s="11" t="s">
        <v>184</v>
      </c>
      <c r="E9" s="12" t="s">
        <v>454</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455</v>
      </c>
      <c r="D11" s="11" t="s">
        <v>187</v>
      </c>
      <c r="E11" s="12" t="s">
        <v>455</v>
      </c>
    </row>
    <row r="12" customFormat="false" ht="21.75" hidden="false" customHeight="true" outlineLevel="0" collapsed="false">
      <c r="A12" s="11" t="s">
        <v>189</v>
      </c>
      <c r="B12" s="12" t="s">
        <v>85</v>
      </c>
      <c r="D12" s="11" t="s">
        <v>190</v>
      </c>
      <c r="E12" s="12" t="s">
        <v>85</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456</v>
      </c>
      <c r="B1" s="9"/>
      <c r="D1" s="9" t="s">
        <v>457</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87</v>
      </c>
      <c r="D3" s="11" t="s">
        <v>168</v>
      </c>
      <c r="E3" s="12" t="s">
        <v>87</v>
      </c>
    </row>
    <row r="4" customFormat="false" ht="21.75" hidden="false" customHeight="true" outlineLevel="0" collapsed="false">
      <c r="A4" s="11" t="s">
        <v>169</v>
      </c>
      <c r="B4" s="12" t="s">
        <v>88</v>
      </c>
      <c r="D4" s="11" t="s">
        <v>170</v>
      </c>
      <c r="E4" s="12" t="s">
        <v>147</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78" hidden="false" customHeight="true" outlineLevel="0" collapsed="false">
      <c r="A8" s="11" t="s">
        <v>179</v>
      </c>
      <c r="B8" s="12" t="s">
        <v>458</v>
      </c>
      <c r="D8" s="11" t="s">
        <v>181</v>
      </c>
      <c r="E8" s="12" t="s">
        <v>459</v>
      </c>
    </row>
    <row r="9" customFormat="false" ht="168.75" hidden="false" customHeight="true" outlineLevel="0" collapsed="false">
      <c r="A9" s="11" t="s">
        <v>183</v>
      </c>
      <c r="B9" s="12" t="s">
        <v>460</v>
      </c>
      <c r="D9" s="11" t="s">
        <v>184</v>
      </c>
      <c r="E9" s="12" t="s">
        <v>461</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462</v>
      </c>
      <c r="D11" s="11" t="s">
        <v>187</v>
      </c>
      <c r="E11" s="12" t="s">
        <v>462</v>
      </c>
    </row>
    <row r="12" customFormat="false" ht="21.75" hidden="false" customHeight="true" outlineLevel="0" collapsed="false">
      <c r="A12" s="11" t="s">
        <v>189</v>
      </c>
      <c r="B12" s="12" t="s">
        <v>87</v>
      </c>
      <c r="D12" s="11" t="s">
        <v>190</v>
      </c>
      <c r="E12" s="12" t="s">
        <v>87</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463</v>
      </c>
      <c r="B1" s="9"/>
      <c r="D1" s="9" t="s">
        <v>464</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89</v>
      </c>
      <c r="D3" s="11" t="s">
        <v>168</v>
      </c>
      <c r="E3" s="12" t="s">
        <v>89</v>
      </c>
    </row>
    <row r="4" customFormat="false" ht="21.75" hidden="false" customHeight="true" outlineLevel="0" collapsed="false">
      <c r="A4" s="11" t="s">
        <v>169</v>
      </c>
      <c r="B4" s="12" t="s">
        <v>90</v>
      </c>
      <c r="D4" s="11" t="s">
        <v>170</v>
      </c>
      <c r="E4" s="12" t="s">
        <v>148</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300" hidden="false" customHeight="true" outlineLevel="0" collapsed="false">
      <c r="A8" s="11" t="s">
        <v>179</v>
      </c>
      <c r="B8" s="12" t="s">
        <v>465</v>
      </c>
      <c r="D8" s="11" t="s">
        <v>181</v>
      </c>
      <c r="E8" s="12" t="s">
        <v>466</v>
      </c>
    </row>
    <row r="9" customFormat="false" ht="300" hidden="false" customHeight="true" outlineLevel="0" collapsed="false">
      <c r="A9" s="11" t="s">
        <v>183</v>
      </c>
      <c r="B9" s="12" t="s">
        <v>467</v>
      </c>
      <c r="D9" s="11" t="s">
        <v>184</v>
      </c>
      <c r="E9" s="12" t="s">
        <v>468</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469</v>
      </c>
      <c r="D11" s="11" t="s">
        <v>187</v>
      </c>
      <c r="E11" s="12" t="s">
        <v>469</v>
      </c>
    </row>
    <row r="12" customFormat="false" ht="21.75" hidden="false" customHeight="true" outlineLevel="0" collapsed="false">
      <c r="A12" s="11" t="s">
        <v>189</v>
      </c>
      <c r="B12" s="12" t="s">
        <v>89</v>
      </c>
      <c r="D12" s="11" t="s">
        <v>190</v>
      </c>
      <c r="E12" s="12" t="s">
        <v>89</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470</v>
      </c>
      <c r="B1" s="9"/>
      <c r="D1" s="9" t="s">
        <v>471</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91</v>
      </c>
      <c r="D3" s="11" t="s">
        <v>168</v>
      </c>
      <c r="E3" s="12" t="s">
        <v>91</v>
      </c>
    </row>
    <row r="4" customFormat="false" ht="21.75" hidden="false" customHeight="true" outlineLevel="0" collapsed="false">
      <c r="A4" s="11" t="s">
        <v>169</v>
      </c>
      <c r="B4" s="12" t="s">
        <v>90</v>
      </c>
      <c r="D4" s="11" t="s">
        <v>170</v>
      </c>
      <c r="E4" s="12" t="s">
        <v>148</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51.75" hidden="false" customHeight="true" outlineLevel="0" collapsed="false">
      <c r="A8" s="11" t="s">
        <v>179</v>
      </c>
      <c r="B8" s="12" t="s">
        <v>472</v>
      </c>
      <c r="D8" s="11" t="s">
        <v>181</v>
      </c>
      <c r="E8" s="12" t="s">
        <v>473</v>
      </c>
    </row>
    <row r="9" customFormat="false" ht="45" hidden="false" customHeight="true" outlineLevel="0" collapsed="false">
      <c r="A9" s="11" t="s">
        <v>183</v>
      </c>
      <c r="B9" s="12"/>
      <c r="D9" s="11" t="s">
        <v>184</v>
      </c>
      <c r="E9" s="12"/>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474</v>
      </c>
      <c r="D11" s="11" t="s">
        <v>187</v>
      </c>
      <c r="E11" s="12" t="s">
        <v>474</v>
      </c>
    </row>
    <row r="12" customFormat="false" ht="21.75" hidden="false" customHeight="true" outlineLevel="0" collapsed="false">
      <c r="A12" s="11" t="s">
        <v>189</v>
      </c>
      <c r="B12" s="12" t="s">
        <v>91</v>
      </c>
      <c r="D12" s="11" t="s">
        <v>190</v>
      </c>
      <c r="E12" s="12" t="s">
        <v>91</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475</v>
      </c>
      <c r="B1" s="9"/>
      <c r="D1" s="9" t="s">
        <v>476</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93</v>
      </c>
      <c r="D3" s="11" t="s">
        <v>168</v>
      </c>
      <c r="E3" s="12" t="s">
        <v>93</v>
      </c>
    </row>
    <row r="4" customFormat="false" ht="21.75" hidden="false" customHeight="true" outlineLevel="0" collapsed="false">
      <c r="A4" s="11" t="s">
        <v>169</v>
      </c>
      <c r="B4" s="12" t="s">
        <v>90</v>
      </c>
      <c r="D4" s="11" t="s">
        <v>170</v>
      </c>
      <c r="E4" s="12" t="s">
        <v>148</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45" hidden="false" customHeight="true" outlineLevel="0" collapsed="false">
      <c r="A8" s="11" t="s">
        <v>179</v>
      </c>
      <c r="B8" s="12" t="s">
        <v>477</v>
      </c>
      <c r="D8" s="11" t="s">
        <v>181</v>
      </c>
      <c r="E8" s="12" t="s">
        <v>478</v>
      </c>
    </row>
    <row r="9" customFormat="false" ht="78" hidden="false" customHeight="true" outlineLevel="0" collapsed="false">
      <c r="A9" s="11" t="s">
        <v>183</v>
      </c>
      <c r="B9" s="12" t="s">
        <v>479</v>
      </c>
      <c r="D9" s="11" t="s">
        <v>184</v>
      </c>
      <c r="E9" s="12" t="s">
        <v>480</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481</v>
      </c>
      <c r="D11" s="11" t="s">
        <v>187</v>
      </c>
      <c r="E11" s="12" t="s">
        <v>481</v>
      </c>
    </row>
    <row r="12" customFormat="false" ht="21.75" hidden="false" customHeight="true" outlineLevel="0" collapsed="false">
      <c r="A12" s="11" t="s">
        <v>189</v>
      </c>
      <c r="B12" s="12" t="s">
        <v>93</v>
      </c>
      <c r="D12" s="11" t="s">
        <v>190</v>
      </c>
      <c r="E12" s="12" t="s">
        <v>93</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482</v>
      </c>
      <c r="B1" s="9"/>
      <c r="D1" s="9" t="s">
        <v>483</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95</v>
      </c>
      <c r="D3" s="11" t="s">
        <v>168</v>
      </c>
      <c r="E3" s="12" t="s">
        <v>95</v>
      </c>
    </row>
    <row r="4" customFormat="false" ht="21.75" hidden="false" customHeight="true" outlineLevel="0" collapsed="false">
      <c r="A4" s="11" t="s">
        <v>169</v>
      </c>
      <c r="B4" s="12" t="s">
        <v>90</v>
      </c>
      <c r="D4" s="11" t="s">
        <v>170</v>
      </c>
      <c r="E4" s="12" t="s">
        <v>148</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51.75" hidden="false" customHeight="true" outlineLevel="0" collapsed="false">
      <c r="A8" s="11" t="s">
        <v>179</v>
      </c>
      <c r="B8" s="12" t="s">
        <v>484</v>
      </c>
      <c r="D8" s="11" t="s">
        <v>181</v>
      </c>
      <c r="E8" s="12" t="s">
        <v>485</v>
      </c>
    </row>
    <row r="9" customFormat="false" ht="117" hidden="false" customHeight="true" outlineLevel="0" collapsed="false">
      <c r="A9" s="11" t="s">
        <v>183</v>
      </c>
      <c r="B9" s="12" t="s">
        <v>486</v>
      </c>
      <c r="D9" s="11" t="s">
        <v>184</v>
      </c>
      <c r="E9" s="12" t="s">
        <v>487</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488</v>
      </c>
      <c r="D11" s="11" t="s">
        <v>187</v>
      </c>
      <c r="E11" s="12" t="s">
        <v>488</v>
      </c>
    </row>
    <row r="12" customFormat="false" ht="21.75" hidden="false" customHeight="true" outlineLevel="0" collapsed="false">
      <c r="A12" s="11" t="s">
        <v>189</v>
      </c>
      <c r="B12" s="12" t="s">
        <v>95</v>
      </c>
      <c r="D12" s="11" t="s">
        <v>190</v>
      </c>
      <c r="E12" s="12" t="s">
        <v>95</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489</v>
      </c>
      <c r="B1" s="9"/>
      <c r="D1" s="9" t="s">
        <v>490</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97</v>
      </c>
      <c r="D3" s="11" t="s">
        <v>168</v>
      </c>
      <c r="E3" s="12" t="s">
        <v>97</v>
      </c>
    </row>
    <row r="4" customFormat="false" ht="21.75" hidden="false" customHeight="true" outlineLevel="0" collapsed="false">
      <c r="A4" s="11" t="s">
        <v>169</v>
      </c>
      <c r="B4" s="12" t="s">
        <v>90</v>
      </c>
      <c r="D4" s="11" t="s">
        <v>170</v>
      </c>
      <c r="E4" s="12" t="s">
        <v>148</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64.5" hidden="false" customHeight="true" outlineLevel="0" collapsed="false">
      <c r="A8" s="11" t="s">
        <v>179</v>
      </c>
      <c r="B8" s="12" t="s">
        <v>491</v>
      </c>
      <c r="D8" s="11" t="s">
        <v>181</v>
      </c>
      <c r="E8" s="12" t="s">
        <v>492</v>
      </c>
    </row>
    <row r="9" customFormat="false" ht="142.5" hidden="false" customHeight="true" outlineLevel="0" collapsed="false">
      <c r="A9" s="11" t="s">
        <v>183</v>
      </c>
      <c r="B9" s="12" t="s">
        <v>493</v>
      </c>
      <c r="D9" s="11" t="s">
        <v>184</v>
      </c>
      <c r="E9" s="12" t="s">
        <v>494</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495</v>
      </c>
      <c r="D11" s="11" t="s">
        <v>187</v>
      </c>
      <c r="E11" s="12" t="s">
        <v>495</v>
      </c>
    </row>
    <row r="12" customFormat="false" ht="21.75" hidden="false" customHeight="true" outlineLevel="0" collapsed="false">
      <c r="A12" s="11" t="s">
        <v>189</v>
      </c>
      <c r="B12" s="12" t="s">
        <v>97</v>
      </c>
      <c r="D12" s="11" t="s">
        <v>190</v>
      </c>
      <c r="E12" s="12" t="s">
        <v>97</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496</v>
      </c>
      <c r="B1" s="9"/>
      <c r="D1" s="9" t="s">
        <v>497</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99</v>
      </c>
      <c r="D3" s="11" t="s">
        <v>168</v>
      </c>
      <c r="E3" s="12" t="s">
        <v>99</v>
      </c>
    </row>
    <row r="4" customFormat="false" ht="21.75" hidden="false" customHeight="true" outlineLevel="0" collapsed="false">
      <c r="A4" s="11" t="s">
        <v>169</v>
      </c>
      <c r="B4" s="12" t="s">
        <v>90</v>
      </c>
      <c r="D4" s="11" t="s">
        <v>170</v>
      </c>
      <c r="E4" s="12" t="s">
        <v>148</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64.5" hidden="false" customHeight="true" outlineLevel="0" collapsed="false">
      <c r="A8" s="11" t="s">
        <v>179</v>
      </c>
      <c r="B8" s="12" t="s">
        <v>498</v>
      </c>
      <c r="D8" s="11" t="s">
        <v>181</v>
      </c>
      <c r="E8" s="12" t="s">
        <v>499</v>
      </c>
    </row>
    <row r="9" customFormat="false" ht="64.5" hidden="false" customHeight="true" outlineLevel="0" collapsed="false">
      <c r="A9" s="11" t="s">
        <v>183</v>
      </c>
      <c r="B9" s="12" t="s">
        <v>500</v>
      </c>
      <c r="D9" s="11" t="s">
        <v>184</v>
      </c>
      <c r="E9" s="12" t="s">
        <v>501</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502</v>
      </c>
      <c r="D11" s="11" t="s">
        <v>187</v>
      </c>
      <c r="E11" s="12" t="s">
        <v>502</v>
      </c>
    </row>
    <row r="12" customFormat="false" ht="21.75" hidden="false" customHeight="true" outlineLevel="0" collapsed="false">
      <c r="A12" s="11" t="s">
        <v>189</v>
      </c>
      <c r="B12" s="12" t="s">
        <v>99</v>
      </c>
      <c r="D12" s="11" t="s">
        <v>190</v>
      </c>
      <c r="E12" s="12" t="s">
        <v>99</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503</v>
      </c>
      <c r="B1" s="9"/>
      <c r="D1" s="9" t="s">
        <v>504</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101</v>
      </c>
      <c r="D3" s="11" t="s">
        <v>168</v>
      </c>
      <c r="E3" s="12" t="s">
        <v>101</v>
      </c>
    </row>
    <row r="4" customFormat="false" ht="21.75" hidden="false" customHeight="true" outlineLevel="0" collapsed="false">
      <c r="A4" s="11" t="s">
        <v>169</v>
      </c>
      <c r="B4" s="12" t="s">
        <v>102</v>
      </c>
      <c r="D4" s="11" t="s">
        <v>170</v>
      </c>
      <c r="E4" s="12" t="s">
        <v>149</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142.5" hidden="false" customHeight="true" outlineLevel="0" collapsed="false">
      <c r="A8" s="11" t="s">
        <v>179</v>
      </c>
      <c r="B8" s="12" t="s">
        <v>505</v>
      </c>
      <c r="D8" s="11" t="s">
        <v>181</v>
      </c>
      <c r="E8" s="12" t="s">
        <v>506</v>
      </c>
    </row>
    <row r="9" customFormat="false" ht="90.75" hidden="false" customHeight="true" outlineLevel="0" collapsed="false">
      <c r="A9" s="11" t="s">
        <v>183</v>
      </c>
      <c r="B9" s="12" t="s">
        <v>507</v>
      </c>
      <c r="D9" s="11" t="s">
        <v>184</v>
      </c>
      <c r="E9" s="12" t="s">
        <v>508</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509</v>
      </c>
      <c r="D11" s="11" t="s">
        <v>187</v>
      </c>
      <c r="E11" s="12" t="s">
        <v>509</v>
      </c>
    </row>
    <row r="12" customFormat="false" ht="21.75" hidden="false" customHeight="true" outlineLevel="0" collapsed="false">
      <c r="A12" s="11" t="s">
        <v>189</v>
      </c>
      <c r="B12" s="12" t="s">
        <v>101</v>
      </c>
      <c r="D12" s="11" t="s">
        <v>190</v>
      </c>
      <c r="E12" s="12" t="s">
        <v>101</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510</v>
      </c>
      <c r="B1" s="9"/>
      <c r="D1" s="9" t="s">
        <v>511</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103</v>
      </c>
      <c r="D3" s="11" t="s">
        <v>168</v>
      </c>
      <c r="E3" s="12" t="s">
        <v>103</v>
      </c>
    </row>
    <row r="4" customFormat="false" ht="21.75" hidden="false" customHeight="true" outlineLevel="0" collapsed="false">
      <c r="A4" s="11" t="s">
        <v>169</v>
      </c>
      <c r="B4" s="12" t="s">
        <v>104</v>
      </c>
      <c r="D4" s="11" t="s">
        <v>170</v>
      </c>
      <c r="E4" s="12" t="s">
        <v>150</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64.5" hidden="false" customHeight="true" outlineLevel="0" collapsed="false">
      <c r="A8" s="11" t="s">
        <v>179</v>
      </c>
      <c r="B8" s="12" t="s">
        <v>512</v>
      </c>
      <c r="D8" s="11" t="s">
        <v>181</v>
      </c>
      <c r="E8" s="12" t="s">
        <v>513</v>
      </c>
    </row>
    <row r="9" customFormat="false" ht="117" hidden="false" customHeight="true" outlineLevel="0" collapsed="false">
      <c r="A9" s="11" t="s">
        <v>183</v>
      </c>
      <c r="B9" s="12" t="s">
        <v>514</v>
      </c>
      <c r="D9" s="11" t="s">
        <v>184</v>
      </c>
      <c r="E9" s="12" t="s">
        <v>515</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516</v>
      </c>
      <c r="D11" s="11" t="s">
        <v>187</v>
      </c>
      <c r="E11" s="12" t="s">
        <v>516</v>
      </c>
    </row>
    <row r="12" customFormat="false" ht="21.75" hidden="false" customHeight="true" outlineLevel="0" collapsed="false">
      <c r="A12" s="11" t="s">
        <v>189</v>
      </c>
      <c r="B12" s="12" t="s">
        <v>103</v>
      </c>
      <c r="D12" s="11" t="s">
        <v>190</v>
      </c>
      <c r="E12" s="12" t="s">
        <v>103</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517</v>
      </c>
      <c r="B1" s="9"/>
      <c r="D1" s="9" t="s">
        <v>518</v>
      </c>
      <c r="E1" s="9"/>
    </row>
    <row r="2" customFormat="false" ht="19.5" hidden="false" customHeight="true" outlineLevel="0" collapsed="false">
      <c r="A2" s="10" t="s">
        <v>165</v>
      </c>
      <c r="B2" s="10"/>
      <c r="D2" s="10" t="s">
        <v>166</v>
      </c>
      <c r="E2" s="10"/>
    </row>
    <row r="3" customFormat="false" ht="21.75" hidden="false" customHeight="true" outlineLevel="0" collapsed="false">
      <c r="A3" s="11" t="s">
        <v>167</v>
      </c>
      <c r="B3" s="12" t="s">
        <v>106</v>
      </c>
      <c r="D3" s="11" t="s">
        <v>168</v>
      </c>
      <c r="E3" s="12" t="s">
        <v>106</v>
      </c>
    </row>
    <row r="4" customFormat="false" ht="21.75" hidden="false" customHeight="true" outlineLevel="0" collapsed="false">
      <c r="A4" s="11" t="s">
        <v>169</v>
      </c>
      <c r="B4" s="12" t="s">
        <v>107</v>
      </c>
      <c r="D4" s="11" t="s">
        <v>170</v>
      </c>
      <c r="E4" s="12" t="s">
        <v>151</v>
      </c>
    </row>
    <row r="5" customFormat="false" ht="21.75" hidden="false" customHeight="true" outlineLevel="0" collapsed="false">
      <c r="A5" s="11" t="s">
        <v>171</v>
      </c>
      <c r="B5" s="12" t="s">
        <v>172</v>
      </c>
      <c r="D5" s="11" t="s">
        <v>173</v>
      </c>
      <c r="E5" s="12" t="s">
        <v>174</v>
      </c>
    </row>
    <row r="6" customFormat="false" ht="21.75" hidden="false" customHeight="true" outlineLevel="0" collapsed="false">
      <c r="A6" s="11" t="s">
        <v>175</v>
      </c>
      <c r="B6" s="12"/>
      <c r="D6" s="11" t="s">
        <v>176</v>
      </c>
      <c r="E6" s="12"/>
    </row>
    <row r="7" customFormat="false" ht="21.75" hidden="false" customHeight="true" outlineLevel="0" collapsed="false">
      <c r="A7" s="11" t="s">
        <v>177</v>
      </c>
      <c r="B7" s="12"/>
      <c r="D7" s="11" t="s">
        <v>178</v>
      </c>
      <c r="E7" s="12"/>
    </row>
    <row r="8" customFormat="false" ht="64.5" hidden="false" customHeight="true" outlineLevel="0" collapsed="false">
      <c r="A8" s="11" t="s">
        <v>179</v>
      </c>
      <c r="B8" s="12" t="s">
        <v>519</v>
      </c>
      <c r="D8" s="11" t="s">
        <v>181</v>
      </c>
      <c r="E8" s="12" t="s">
        <v>520</v>
      </c>
    </row>
    <row r="9" customFormat="false" ht="168.75" hidden="false" customHeight="true" outlineLevel="0" collapsed="false">
      <c r="A9" s="11" t="s">
        <v>183</v>
      </c>
      <c r="B9" s="12" t="s">
        <v>521</v>
      </c>
      <c r="D9" s="11" t="s">
        <v>184</v>
      </c>
      <c r="E9" s="12" t="s">
        <v>522</v>
      </c>
    </row>
    <row r="10" customFormat="false" ht="19.5" hidden="false" customHeight="true" outlineLevel="0" collapsed="false">
      <c r="A10" s="10" t="s">
        <v>185</v>
      </c>
      <c r="B10" s="10"/>
      <c r="D10" s="10" t="s">
        <v>186</v>
      </c>
      <c r="E10" s="10"/>
    </row>
    <row r="11" customFormat="false" ht="21.75" hidden="false" customHeight="true" outlineLevel="0" collapsed="false">
      <c r="A11" s="11" t="s">
        <v>187</v>
      </c>
      <c r="B11" s="12" t="s">
        <v>523</v>
      </c>
      <c r="D11" s="11" t="s">
        <v>187</v>
      </c>
      <c r="E11" s="12" t="s">
        <v>523</v>
      </c>
    </row>
    <row r="12" customFormat="false" ht="21.75" hidden="false" customHeight="true" outlineLevel="0" collapsed="false">
      <c r="A12" s="11" t="s">
        <v>189</v>
      </c>
      <c r="B12" s="12" t="s">
        <v>106</v>
      </c>
      <c r="D12" s="11" t="s">
        <v>190</v>
      </c>
      <c r="E12" s="12" t="s">
        <v>106</v>
      </c>
    </row>
    <row r="13" customFormat="false" ht="21.75" hidden="false" customHeight="true" outlineLevel="0" collapsed="false">
      <c r="A13" s="11" t="s">
        <v>191</v>
      </c>
      <c r="B13" s="12"/>
      <c r="D13" s="11" t="s">
        <v>192</v>
      </c>
      <c r="E13" s="12"/>
    </row>
    <row r="14" customFormat="false" ht="54.75" hidden="false" customHeight="true" outlineLevel="0" collapsed="false">
      <c r="A14" s="11" t="s">
        <v>193</v>
      </c>
      <c r="B14" s="12"/>
      <c r="D14" s="11" t="s">
        <v>194</v>
      </c>
      <c r="E14" s="12"/>
    </row>
    <row r="15" customFormat="false" ht="54.75" hidden="false" customHeight="true" outlineLevel="0" collapsed="false">
      <c r="A15" s="11" t="s">
        <v>195</v>
      </c>
      <c r="B15" s="12"/>
      <c r="D15" s="11" t="s">
        <v>196</v>
      </c>
      <c r="E15" s="12"/>
    </row>
    <row r="16" customFormat="false" ht="54.75" hidden="false" customHeight="true" outlineLevel="0" collapsed="false">
      <c r="A16" s="11" t="s">
        <v>112</v>
      </c>
      <c r="B16" s="12"/>
      <c r="D16" s="11" t="s">
        <v>156</v>
      </c>
      <c r="E16" s="12"/>
    </row>
    <row r="17" customFormat="false" ht="24.75" hidden="false" customHeight="true" outlineLevel="0" collapsed="false">
      <c r="A17" s="11" t="s">
        <v>197</v>
      </c>
      <c r="B17" s="12"/>
      <c r="D17" s="11" t="s">
        <v>198</v>
      </c>
      <c r="E17" s="12"/>
    </row>
    <row r="18" customFormat="false" ht="24.75" hidden="false" customHeight="true" outlineLevel="0" collapsed="false">
      <c r="A18" s="11" t="s">
        <v>199</v>
      </c>
      <c r="B18" s="12"/>
      <c r="D18" s="11" t="s">
        <v>200</v>
      </c>
      <c r="E18" s="12"/>
    </row>
    <row r="19" customFormat="false" ht="24.75" hidden="false" customHeight="true" outlineLevel="0" collapsed="false">
      <c r="A19" s="11" t="s">
        <v>201</v>
      </c>
      <c r="B19" s="12"/>
      <c r="D19" s="11" t="s">
        <v>202</v>
      </c>
      <c r="E19" s="12"/>
    </row>
    <row r="20" customFormat="false" ht="21.75" hidden="false" customHeight="true" outlineLevel="0" collapsed="false">
      <c r="A20" s="11" t="s">
        <v>5</v>
      </c>
      <c r="B20" s="12" t="s">
        <v>110</v>
      </c>
      <c r="D20" s="11" t="s">
        <v>124</v>
      </c>
      <c r="E20" s="12" t="s">
        <v>203</v>
      </c>
    </row>
    <row r="21" customFormat="false" ht="54.75" hidden="false" customHeight="true" outlineLevel="0" collapsed="false">
      <c r="A21" s="11" t="s">
        <v>204</v>
      </c>
      <c r="B21" s="12"/>
      <c r="D21" s="11" t="s">
        <v>205</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2026-05-29T18:33:53Z</dcterms:created>
  <dc:creator>openpyxl</dc:creator>
  <dc:description/>
  <dc:language>en-US</dc:language>
  <cp:lastModifiedBy/>
  <dcterms:modified xsi:type="dcterms:W3CDTF">2026-05-29T18:33:54Z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