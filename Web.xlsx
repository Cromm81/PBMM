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U-2" sheetId="3" state="visible" r:id="rId5"/>
    <sheet name="AU-3" sheetId="4" state="visible" r:id="rId6"/>
    <sheet name="AU-3-1" sheetId="5" state="visible" r:id="rId7"/>
    <sheet name="AU-9-2" sheetId="6" state="visible" r:id="rId8"/>
    <sheet name="AU-12" sheetId="7" state="visible" r:id="rId9"/>
    <sheet name="CA-3-5" sheetId="8" state="visible" r:id="rId10"/>
    <sheet name="CA-9" sheetId="9" state="visible" r:id="rId11"/>
    <sheet name="CM-6" sheetId="10" state="visible" r:id="rId12"/>
    <sheet name="CM-7" sheetId="11" state="visible" r:id="rId13"/>
    <sheet name="CM-7-1" sheetId="12" state="visible" r:id="rId14"/>
    <sheet name="CP-7" sheetId="13" state="visible" r:id="rId15"/>
    <sheet name="CP-7-4" sheetId="14" state="visible" r:id="rId16"/>
    <sheet name="CP-10" sheetId="15" state="visible" r:id="rId17"/>
    <sheet name="CP-10-4" sheetId="16" state="visible" r:id="rId18"/>
    <sheet name="IA-5-7" sheetId="17" state="visible" r:id="rId19"/>
    <sheet name="SA-9-5" sheetId="18" state="visible" r:id="rId20"/>
    <sheet name="SC-8" sheetId="19" state="visible" r:id="rId21"/>
    <sheet name="SC-8-1" sheetId="20" state="visible" r:id="rId22"/>
    <sheet name="SC-10" sheetId="21" state="visible" r:id="rId23"/>
    <sheet name="SC-13" sheetId="22" state="visible" r:id="rId24"/>
    <sheet name="SC-18" sheetId="23" state="visible" r:id="rId25"/>
    <sheet name="SC-23" sheetId="24" state="visible" r:id="rId26"/>
    <sheet name="SC-23-1" sheetId="25" state="visible" r:id="rId27"/>
    <sheet name="SI-4-2" sheetId="26" state="visible" r:id="rId28"/>
    <sheet name="SI-6" sheetId="27" state="visible" r:id="rId2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<sst xmlns="http://schemas.openxmlformats.org/spreadsheetml/2006/main" count="1634" uniqueCount="321">
  <si>
    <t xml:space="preserve">DASHBOARD — PBMM Evidence: Web</t>
  </si>
  <si>
    <t xml:space="preserve">Control ID</t>
  </si>
  <si>
    <t xml:space="preserve">Control Name</t>
  </si>
  <si>
    <t xml:space="preserve">Primary Tool</t>
  </si>
  <si>
    <t xml:space="preserve">Tab</t>
  </si>
  <si>
    <t xml:space="preserve">Status</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</si>
  <si>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</si>
  <si>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</si>
  <si>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</si>
  <si>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</si>
  <si>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</si>
  <si>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</si>
  <si>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</si>
  <si>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</si>
  <si>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</si>
  <si>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</si>
  <si>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</si>
  <si>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CA-3(5)</t>
  </si>
  <si>
    <t xml:space="preserve">Information System Connections</t>
  </si>
  <si>
    <t xml:space="preserve">CA-3-5</t>
  </si>
  <si>
    <t xml:space="preserve">CA-9</t>
  </si>
  <si>
    <t xml:space="preserve">Internal System Connections</t>
  </si>
  <si>
    <t xml:space="preserve">CM-6</t>
  </si>
  <si>
    <t xml:space="preserve">Configuration Settings</t>
  </si>
  <si>
    <t xml:space="preserve">CM-7</t>
  </si>
  <si>
    <t xml:space="preserve">Least Functionality</t>
  </si>
  <si>
    <t xml:space="preserve">CM-7(1)</t>
  </si>
  <si>
    <t xml:space="preserve">CM-7-1</t>
  </si>
  <si>
    <t xml:space="preserve">CP-7</t>
  </si>
  <si>
    <t xml:space="preserve">Alternate Processing Site</t>
  </si>
  <si>
    <t xml:space="preserve">CP-7(4)</t>
  </si>
  <si>
    <t xml:space="preserve">CP-7-4</t>
  </si>
  <si>
    <t xml:space="preserve">CP-10</t>
  </si>
  <si>
    <t xml:space="preserve">Information System Recovery and Reconstitution</t>
  </si>
  <si>
    <t xml:space="preserve">CP-10(4)</t>
  </si>
  <si>
    <t xml:space="preserve">CP-10-4</t>
  </si>
  <si>
    <t xml:space="preserve">IA-5(7)</t>
  </si>
  <si>
    <t xml:space="preserve">Authenticator Management</t>
  </si>
  <si>
    <t xml:space="preserve">IA-5-7</t>
  </si>
  <si>
    <t xml:space="preserve">SA-9(5)</t>
  </si>
  <si>
    <t xml:space="preserve">External Information System Services</t>
  </si>
  <si>
    <t xml:space="preserve">SA-9-5</t>
  </si>
  <si>
    <t xml:space="preserve">SC-8</t>
  </si>
  <si>
    <t xml:space="preserve">Transmission Confidentiality and Integrity</t>
  </si>
  <si>
    <t xml:space="preserve">SC-8(1)</t>
  </si>
  <si>
    <t xml:space="preserve">SC-8-1</t>
  </si>
  <si>
    <t xml:space="preserve">SC-10</t>
  </si>
  <si>
    <t xml:space="preserve">Network Disconnect</t>
  </si>
  <si>
    <t xml:space="preserve">SC-13</t>
  </si>
  <si>
    <t xml:space="preserve">Cryptographic Protection</t>
  </si>
  <si>
    <t xml:space="preserve">SC-18</t>
  </si>
  <si>
    <t xml:space="preserve">Mobile Code</t>
  </si>
  <si>
    <t xml:space="preserve">SC-23</t>
  </si>
  <si>
    <t xml:space="preserve">Session Authenticity</t>
  </si>
  <si>
    <t xml:space="preserve">SC-23(1)</t>
  </si>
  <si>
    <t xml:space="preserve">SC-23-1</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</si>
  <si>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</si>
  <si>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</si>
  <si>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</si>
  <si>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</si>
  <si>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</si>
  <si>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</si>
  <si>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</si>
  <si>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</si>
  <si>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</si>
  <si>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</si>
  <si>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</si>
  <si>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</si>
  <si>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</si>
  <si>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</si>
  <si>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</si>
  <si>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</si>
  <si>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Web</t>
  </si>
  <si>
    <t xml:space="preserve">ID Contrôle</t>
  </si>
  <si>
    <t xml:space="preserve">Nom du contrôle</t>
  </si>
  <si>
    <t xml:space="preserve">Outil principal</t>
  </si>
  <si>
    <t xml:space="preserve">Onglet</t>
  </si>
  <si>
    <t xml:space="preserve">Statut</t>
  </si>
  <si>
    <t xml:space="preserve">Événements vérifiables</t>
  </si>
  <si>
    <t xml:space="preserve">Contenu des enregistrements de vérification</t>
  </si>
  <si>
    <t xml:space="preserve">Protection des renseignements de vérification</t>
  </si>
  <si>
    <t xml:space="preserve">Génération des vérifications</t>
  </si>
  <si>
    <t xml:space="preserve">Connexions aux systèmes d’information</t>
  </si>
  <si>
    <t xml:space="preserve">Connexions internes au système</t>
  </si>
  <si>
    <t xml:space="preserve">Paramètres de configuration</t>
  </si>
  <si>
    <t xml:space="preserve">Moindre fonctionnalité</t>
  </si>
  <si>
    <t xml:space="preserve">Site de traitement auxiliaire</t>
  </si>
  <si>
    <t xml:space="preserve">Reprise et reconstitution du système d’information</t>
  </si>
  <si>
    <t xml:space="preserve">Gestion des authentifiants</t>
  </si>
  <si>
    <t xml:space="preserve">Services de systèmes d’information externes</t>
  </si>
  <si>
    <t xml:space="preserve">Confidentialité et intégrité des transmissions</t>
  </si>
  <si>
    <t xml:space="preserve">Débranchement du réseau</t>
  </si>
  <si>
    <t xml:space="preserve">Protection cryptographique</t>
  </si>
  <si>
    <t xml:space="preserve">Code mobile</t>
  </si>
  <si>
    <t xml:space="preserve">Authenticité des sessions</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</si>
  <si>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</si>
  <si>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</si>
  <si>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</si>
  <si>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</si>
  <si>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</si>
  <si>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</si>
  <si>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</si>
  <si>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</si>
  <si>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</si>
  <si>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</si>
  <si>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</si>
  <si>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</si>
  <si>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</si>
  <si>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AU-2 — Evidence Tracking</t>
  </si>
  <si>
    <t xml:space="preserve">Contrôle AU-2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</si>
  <si>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</si>
  <si>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</si>
  <si>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</si>
  <si>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</si>
  <si>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</si>
  <si>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</si>
  <si>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</si>
  <si>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</si>
  <si>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</si>
  <si>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</si>
  <si>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</si>
  <si>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</si>
  <si>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</si>
  <si>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</si>
  <si>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</si>
  <si>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</si>
  <si>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Description du contrôle</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</si>
  <si>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</si>
  <si>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Supplemental Guidance</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</si>
  <si>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</si>
  <si>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Directives supplémentaires</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</si>
  <si>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</si>
  <si>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 Case</t>
  </si>
  <si>
    <t xml:space="preserve">Cas de test</t>
  </si>
  <si>
    <t xml:space="preserve">Test</t>
  </si>
  <si>
    <t xml:space="preserve">TEST-AU-2</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</si>
  <si>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</si>
  <si>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</si>
  <si>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</si>
  <si>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</si>
  <si>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</si>
  <si>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</si>
  <si>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</si>
  <si>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</si>
  <si>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</si>
  <si>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</si>
  <si>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</si>
  <si>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</si>
  <si>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</si>
  <si>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</si>
  <si>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</si>
  <si>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</si>
  <si>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</si>
  <si>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</si>
  <si>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</si>
  <si>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</si>
  <si>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</si>
  <si>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</si>
  <si>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</si>
  <si>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</si>
  <si>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</si>
  <si>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</si>
  <si>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</si>
  <si>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</si>
  <si>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</si>
  <si>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</si>
  <si>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</si>
  <si>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</si>
  <si>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</si>
  <si>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</si>
  <si>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</si>
  <si>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</si>
  <si>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</si>
  <si>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</si>
  <si>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</si>
  <si>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</si>
  <si>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</si>
  <si>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</si>
  <si>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</si>
  <si>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</si>
  <si>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</si>
  <si>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CA-3(5) — Evidence Tracking</t>
  </si>
  <si>
    <t xml:space="preserve">Contrôle CA-3(5) — Suivi des preuves</t>
  </si>
  <si>
    <t xml:space="preserve">SYSTEM INTERCONNECTIONS | RESTRICTIONS ON EXTERNAL SYSTEM CONNECTIONS
The organization employs allow-all, deny-by-exception; deny-all policy for allowing any systems to connect to external information systems.</t>
  </si>
  <si>
    <t xml:space="preserve">INTERCONNEXIONS DES SYSTÈMES | RESTRICTIONS SUR LES CONNEXIONS AUX RÉSEAUX EXTERNES
L’organisation a recours à la méthode « permettre tout, refuser par exception, refuser tout » pour permettre aux systèmes de se connecter à des systèmes d’information externes.</t>
  </si>
  <si>
    <t xml:space="preserve">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</si>
  <si>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 xml:space="preserve">Les organisations peuvent limiter la connectivité des systèmes d’information à des domaines externes (p. ex., sites Web) en utilisant l’une des deux politiques relatives à cette connectivité : (i) permettre tout, refuser par exception, aussi appelée liste noire (la plus faible des deux politiques); ou (ii) refuser tout, permettre par exception, aussi appelée liste blanche (la plus forte des deux politiques). Pour l’une ou l’autre politique, les organisations déterminent les exceptions applicables, le cas échéant. Contrôle connexe : CM-7.</t>
  </si>
  <si>
    <t xml:space="preserve">TEST-CA-3(5)</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</si>
  <si>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</si>
  <si>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</si>
  <si>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</si>
  <si>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</si>
  <si>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</si>
  <si>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</si>
  <si>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</si>
  <si>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</si>
  <si>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</si>
  <si>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</si>
  <si>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</si>
  <si>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</si>
  <si>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</si>
  <si>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</si>
  <si>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</si>
  <si>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</si>
  <si>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</si>
  <si>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</si>
  <si>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</si>
  <si>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</si>
  <si>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</si>
  <si>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</si>
  <si>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</si>
  <si>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</si>
  <si>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</si>
  <si>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</si>
  <si>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</si>
  <si>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</si>
  <si>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</si>
  <si>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</si>
  <si>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</si>
  <si>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</si>
  <si>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</si>
  <si>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</si>
  <si>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</si>
  <si>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</si>
  <si>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</si>
  <si>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</si>
  <si>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</si>
  <si>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</si>
  <si>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</si>
  <si>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</si>
  <si>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</si>
  <si>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</si>
  <si>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</si>
  <si>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</si>
  <si>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</si>
  <si>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</si>
  <si>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</si>
  <si>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</si>
  <si>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</si>
  <si>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</si>
  <si>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</si>
  <si>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</si>
  <si>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</si>
  <si>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</si>
  <si>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</si>
  <si>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</si>
  <si>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</si>
  <si>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</si>
  <si>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</si>
  <si>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</si>
  <si>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</si>
  <si>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</si>
  <si>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</si>
  <si>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</si>
  <si>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</si>
  <si>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</si>
  <si>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</si>
  <si>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</si>
  <si>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SC-8 — Evidence Tracking</t>
  </si>
  <si>
    <t xml:space="preserve">Contrôle SC-8 — Suivi des preuves</t>
  </si>
  <si>
    <t xml:space="preserve">(A)
The information system protects the confidentiality and integrity of transmitted information.</t>
  </si>
  <si>
    <t xml:space="preserve">(A) Le système d’information protège la confidentialité et l’intégrité de l’information transmise.</t>
  </si>
  <si>
    <t xml:space="preserve">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</si>
  <si>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 xml:space="preserve">Ce contrôle s’applique aux réseaux internes et externes et à tous les types de composants du système d’information à partir desquels de l’information peut être transmise (p. ex., serveurs, appareils mobiles, ordinateurs portatifs, imprimantes, photocopieurs, numériseurs, télécopieurs). Les voies de communication à l’extérieur de la protection physique d’une frontière contrôlée sont exposées à des risques d’interception et de modification. La protection de la confidentialité ou de l’intégrité de l’information organisationnelle peut se faire par des moyens physiques (p. ex., en utilisant des systèmes de distribution protégés) ou logiques (p. ex., en utilisant des techniques de chiffrement). Les organisations qui comptent sur des fournisseurs commerciaux offrant des services de transmission à titre de services de base plutôt que de services entièrement dédiés (c.-à-d. des services qui peuvent être hautement spécialisés pour répondre aux besoins de clients individuels), peuvent avoir de la difficulté à obtenir les assurances nécessaires concernant la mise en œuvre des contrôles de sécurité nécessaires pour la confidentialité et l’intégrité des transmissions. Dans de telles situations, les organisations déterminent les types de services de confidentialité et d’intégrité disponibles dans les forfaits de services de télécommunications commerciaux standard. S’il n’est pas pratique ou s’il est impossible d’obtenir les contrôles de sécurité nécessaires et l’assurance de l’efficacité des contrôles au moyen des mécanismes de passation de marchés appropriés, les organisations mettent en œuvre des contrôles de sécurité compensatoires appropriés ou acceptent explicitement le risque supplémentaire. Contrôles connexes : AC-17, PE-4</t>
  </si>
  <si>
    <t xml:space="preserve">TEST-SC-8</t>
  </si>
  <si>
    <t xml:space="preserve">Control SC-8(1) — Evidence Tracking</t>
  </si>
  <si>
    <t xml:space="preserve">Contrôle SC-8(1) — Suivi des preuves</t>
  </si>
  <si>
    <t xml:space="preserve">TRANSMISSION CONFIDENTIALITY AND INTEGRITY | CRYPTOGRAPHIC OR ALTERNATE PHYSICAL PROTECTION
The information system implements cryptographic mechanisms to prevent unauthorized disclosure of information and detect changes to information during transmission unless otherwise protected by physical security safeguards applied in applied in accordance with, or uses an adequate risk-based approach aligned with the practices specified in TBS and RCMP physical security standards and any related provisions of the Industrial Security Program. The cryptography must be compliant with the requirements of control SC-13.</t>
  </si>
  <si>
    <t xml:space="preserve">CONFIDENTIALITÉ ET INTÉGRITÉ DES TRANSMISSIONS | PROTECTION CRYPTOGRAPHIQUE OU AUTRE PROTECTION PHYSIQUE
Le système d’information déploie des mécanismes cryptographiques pour prévenir la divulgation non autorisée d’information et détecter les modifications de l’information durant la transmission, à moins d’être autrement protégé par des mesures de sécurité physiques appliquées selon une approche adéquate en fonction du risque qui s’harmonise avec les pratiques spécifiées dans les normes de sécurité physique du SCT et de la GRC et les dispositions connexes du Programme de sécurité industrielle. La cryptographie doit être conforme aux exigences du contrôle SC-13.</t>
  </si>
  <si>
    <t xml:space="preserve">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</si>
  <si>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 xml:space="preserve">Le chiffrement de l’information pour la transmission protège l’information contre la divulgation et la modification non autorisées. Les mécanismes cryptographiques mis en œuvre pour protéger l’intégrité de l’information comprennent, par exemple, les fonctions de hachage cryptographique qui ont une application commune dans les signatures numériques, les sommes de contrôle et les codes d’authentification des messages. Les autres mesures de sécurité physiques comprennent, par exemple, les réseaux de distribution protégés. Contrôle connexe : SC-13.</t>
  </si>
  <si>
    <t xml:space="preserve">TEST-SC-8(1)</t>
  </si>
  <si>
    <t xml:space="preserve">Control SC-10 — Evidence Tracking</t>
  </si>
  <si>
    <t xml:space="preserve">Contrôle SC-10 — Suivi des preuves</t>
  </si>
  <si>
    <t xml:space="preserve">(A)
The information system terminates the network connection associated with a communications session at the end of the session or after no longer than 30 minutes for RAS-based sessions or no longer than 60 minutes for non-interactive user sessions of inactivity.</t>
  </si>
  <si>
    <t xml:space="preserve">(A) Le système d’information met fin à la connexion réseau associée à une session de communication à la fin de la séance ou après un maximum de 30 minutes pour les sessions basées sur le service d’accès à distance (SAD) ou de 60 minutes d’inactivité pour les sessions d’utilisateur non interactives.</t>
  </si>
  <si>
    <t xml:space="preserve">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</si>
  <si>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 xml:space="preserve">Ce contrôle s’applique aux réseaux internes et externes. La fin des connexions réseau associées aux sessions de communication comprend, par exemple, la désattribution des paires d’adresses/ports TCP/IP associées au niveau du système d’exploitation, ou la désattribution des tâches de réseautique au niveau de l’application si plusieurs sessions d’application utilisent une seule connexion réseau au niveau du système d’exploitation. Des périodes d’inactivité peuvent être établies par les organisations et comprendre, par exemple, des périodes par type d’accès au réseau ou pour des accès réseau particuliers.</t>
  </si>
  <si>
    <t xml:space="preserve">TEST-SC-10</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</si>
  <si>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</si>
  <si>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</si>
  <si>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</si>
  <si>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</si>
  <si>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</si>
  <si>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</si>
  <si>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</si>
  <si>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</si>
  <si>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</si>
  <si>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</si>
  <si>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</si>
  <si>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</si>
  <si>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</si>
  <si>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</si>
  <si>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SC-23 — Evidence Tracking</t>
  </si>
  <si>
    <t xml:space="preserve">Contrôle SC-23 — Suivi des preuves</t>
  </si>
  <si>
    <t xml:space="preserve">(A)
The information system protects the authenticity of communications sessions.</t>
  </si>
  <si>
    <t xml:space="preserve">(A) Le système d’information protège l’authenticité des sessions de communication.</t>
  </si>
  <si>
    <t xml:space="preserve">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</si>
  <si>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 xml:space="preserve">Ce contrôle porte sur la protection des communications au niveau des sessions plutôt qu’au niveau des paquets (p. ex., les sessions dans les architectures orientées service fournissant des services Web) et établit des motifs de confiance, aux deux extrémités des sessions de communication, dans les identités continues des autres parties et dans la validité de l’information transmise. La protection de l’authenticité comprend, par exemple, la protection contre les attaques de l’intercepteur ou les détournements de sessions et l’insertion de faux renseignements dans les sessions. Contrôles connexes : SC-8, SC-10, SC-11</t>
  </si>
  <si>
    <t xml:space="preserve">TEST-SC-23</t>
  </si>
  <si>
    <t xml:space="preserve">Control SC-23(1) — Evidence Tracking</t>
  </si>
  <si>
    <t xml:space="preserve">Contrôle SC-23(1) — Suivi des preuves</t>
  </si>
  <si>
    <t xml:space="preserve">SESSION AUTHENTICITY | INVALIDATE SESSION IDENTIFIERS AT LOGOUT
The information system invalidates session identifiers upon user logout or other session termination.</t>
  </si>
  <si>
    <t xml:space="preserve">AUTHENTICITÉ DES SESSIONS | INVALIDATION DES IDENTIFIANTS DE SESSION DÈS LA FERMETURE DE SESSION
Le système d’information invalide les identifiants de session dès la fermeture de session par l’utilisateur ou à toute autre fin de session.</t>
  </si>
  <si>
    <t xml:space="preserve">This control enhancement curtails the ability of adversaries from capturing and continuing to employ previously valid session IDs.</t>
  </si>
  <si>
    <t xml:space="preserve">Cette amélioration du contrôle empêche les adversaires de saisir et de continuer d’utiliser des ID de session valides.</t>
  </si>
  <si>
    <t xml:space="preserve">TEST-SC-23(1)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</si>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</sst>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'AU-2'!B20</f>
        <v>Not Started</v>
      </c>
    </row>
    <row r="4" customFormat="false" ht="18" hidden="false" customHeight="true" outlineLevel="0" collapsed="false">
      <c r="A4" s="3" t="s">
        <v>8</v>
      </c>
      <c r="B4" s="4" t="s">
        <v>9</v>
      </c>
      <c r="C4" s="4"/>
      <c r="D4" s="3" t="s">
        <v>8</v>
      </c>
      <c r="E4" s="3" t="str">
        <f aca="false">'AU-3'!B20</f>
        <v>Not Started</v>
      </c>
    </row>
    <row r="5" customFormat="false" ht="18" hidden="false" customHeight="true" outlineLevel="0" collapsed="false">
      <c r="A5" s="3" t="s">
        <v>10</v>
      </c>
      <c r="B5" s="4" t="s">
        <v>9</v>
      </c>
      <c r="C5" s="4"/>
      <c r="D5" s="3" t="s">
        <v>11</v>
      </c>
      <c r="E5" s="3" t="str">
        <f aca="false">'AU-3-1'!B20</f>
        <v>Not Started</v>
      </c>
    </row>
    <row r="6" customFormat="false" ht="18" hidden="false" customHeight="true" outlineLevel="0" collapsed="false">
      <c r="A6" s="3" t="s">
        <v>12</v>
      </c>
      <c r="B6" s="4" t="s">
        <v>13</v>
      </c>
      <c r="C6" s="4"/>
      <c r="D6" s="3" t="s">
        <v>14</v>
      </c>
      <c r="E6" s="3" t="str">
        <f aca="false">'AU-9-2'!B20</f>
        <v>Not Started</v>
      </c>
    </row>
    <row r="7" customFormat="false" ht="18" hidden="false" customHeight="true" outlineLevel="0" collapsed="false">
      <c r="A7" s="3" t="s">
        <v>15</v>
      </c>
      <c r="B7" s="4" t="s">
        <v>16</v>
      </c>
      <c r="C7" s="4"/>
      <c r="D7" s="3" t="s">
        <v>15</v>
      </c>
      <c r="E7" s="3" t="str">
        <f aca="false">'AU-12'!B20</f>
        <v>Not Started</v>
      </c>
    </row>
    <row r="8" customFormat="false" ht="18" hidden="false" customHeight="true" outlineLevel="0" collapsed="false">
      <c r="A8" s="3" t="s">
        <v>17</v>
      </c>
      <c r="B8" s="4" t="s">
        <v>18</v>
      </c>
      <c r="C8" s="4"/>
      <c r="D8" s="3" t="s">
        <v>19</v>
      </c>
      <c r="E8" s="3" t="str">
        <f aca="false">'CA-3-5'!B20</f>
        <v>Not Started</v>
      </c>
    </row>
    <row r="9" customFormat="false" ht="18" hidden="false" customHeight="true" outlineLevel="0" collapsed="false">
      <c r="A9" s="3" t="s">
        <v>20</v>
      </c>
      <c r="B9" s="4" t="s">
        <v>21</v>
      </c>
      <c r="C9" s="4"/>
      <c r="D9" s="3" t="s">
        <v>20</v>
      </c>
      <c r="E9" s="3" t="str">
        <f aca="false">'CA-9'!B20</f>
        <v>Not Started</v>
      </c>
    </row>
    <row r="10" customFormat="false" ht="18" hidden="false" customHeight="true" outlineLevel="0" collapsed="false">
      <c r="A10" s="3" t="s">
        <v>22</v>
      </c>
      <c r="B10" s="4" t="s">
        <v>23</v>
      </c>
      <c r="C10" s="4"/>
      <c r="D10" s="3" t="s">
        <v>22</v>
      </c>
      <c r="E10" s="3" t="str">
        <f aca="false">'CM-6'!B20</f>
        <v>Not Started</v>
      </c>
    </row>
    <row r="11" customFormat="false" ht="18" hidden="false" customHeight="true" outlineLevel="0" collapsed="false">
      <c r="A11" s="3" t="s">
        <v>24</v>
      </c>
      <c r="B11" s="4" t="s">
        <v>25</v>
      </c>
      <c r="C11" s="4"/>
      <c r="D11" s="3" t="s">
        <v>24</v>
      </c>
      <c r="E11" s="3" t="str">
        <f aca="false">'CM-7'!B20</f>
        <v>Not Started</v>
      </c>
    </row>
    <row r="12" customFormat="false" ht="18" hidden="false" customHeight="true" outlineLevel="0" collapsed="false">
      <c r="A12" s="3" t="s">
        <v>26</v>
      </c>
      <c r="B12" s="4" t="s">
        <v>25</v>
      </c>
      <c r="C12" s="4"/>
      <c r="D12" s="3" t="s">
        <v>27</v>
      </c>
      <c r="E12" s="3" t="str">
        <f aca="false">'CM-7-1'!B20</f>
        <v>Not Started</v>
      </c>
    </row>
    <row r="13" customFormat="false" ht="18" hidden="false" customHeight="true" outlineLevel="0" collapsed="false">
      <c r="A13" s="3" t="s">
        <v>28</v>
      </c>
      <c r="B13" s="4" t="s">
        <v>29</v>
      </c>
      <c r="C13" s="4"/>
      <c r="D13" s="3" t="s">
        <v>28</v>
      </c>
      <c r="E13" s="3" t="str">
        <f aca="false">'CP-7'!B20</f>
        <v>Not Started</v>
      </c>
    </row>
    <row r="14" customFormat="false" ht="18" hidden="false" customHeight="true" outlineLevel="0" collapsed="false">
      <c r="A14" s="3" t="s">
        <v>30</v>
      </c>
      <c r="B14" s="4" t="s">
        <v>29</v>
      </c>
      <c r="C14" s="4"/>
      <c r="D14" s="3" t="s">
        <v>31</v>
      </c>
      <c r="E14" s="3" t="str">
        <f aca="false">'CP-7-4'!B20</f>
        <v>Not Started</v>
      </c>
    </row>
    <row r="15" customFormat="false" ht="18" hidden="false" customHeight="true" outlineLevel="0" collapsed="false">
      <c r="A15" s="3" t="s">
        <v>32</v>
      </c>
      <c r="B15" s="4" t="s">
        <v>33</v>
      </c>
      <c r="C15" s="4"/>
      <c r="D15" s="3" t="s">
        <v>32</v>
      </c>
      <c r="E15" s="3" t="str">
        <f aca="false">'CP-10'!B20</f>
        <v>Not Started</v>
      </c>
    </row>
    <row r="16" customFormat="false" ht="18" hidden="false" customHeight="true" outlineLevel="0" collapsed="false">
      <c r="A16" s="3" t="s">
        <v>34</v>
      </c>
      <c r="B16" s="4" t="s">
        <v>33</v>
      </c>
      <c r="C16" s="4"/>
      <c r="D16" s="3" t="s">
        <v>35</v>
      </c>
      <c r="E16" s="3" t="str">
        <f aca="false">'CP-10-4'!B20</f>
        <v>Not Started</v>
      </c>
    </row>
    <row r="17" customFormat="false" ht="18" hidden="false" customHeight="true" outlineLevel="0" collapsed="false">
      <c r="A17" s="3" t="s">
        <v>36</v>
      </c>
      <c r="B17" s="4" t="s">
        <v>37</v>
      </c>
      <c r="C17" s="4"/>
      <c r="D17" s="3" t="s">
        <v>38</v>
      </c>
      <c r="E17" s="3" t="str">
        <f aca="false">'IA-5-7'!B20</f>
        <v>Not Started</v>
      </c>
    </row>
    <row r="18" customFormat="false" ht="18" hidden="false" customHeight="true" outlineLevel="0" collapsed="false">
      <c r="A18" s="3" t="s">
        <v>39</v>
      </c>
      <c r="B18" s="4" t="s">
        <v>40</v>
      </c>
      <c r="C18" s="4"/>
      <c r="D18" s="3" t="s">
        <v>41</v>
      </c>
      <c r="E18" s="3" t="str">
        <f aca="false">'SA-9-5'!B20</f>
        <v>Not Started</v>
      </c>
    </row>
    <row r="19" customFormat="false" ht="18" hidden="false" customHeight="true" outlineLevel="0" collapsed="false">
      <c r="A19" s="3" t="s">
        <v>42</v>
      </c>
      <c r="B19" s="4" t="s">
        <v>43</v>
      </c>
      <c r="C19" s="4"/>
      <c r="D19" s="3" t="s">
        <v>42</v>
      </c>
      <c r="E19" s="3" t="str">
        <f aca="false">'SC-8'!B20</f>
        <v>Not Started</v>
      </c>
    </row>
    <row r="20" customFormat="false" ht="18" hidden="false" customHeight="true" outlineLevel="0" collapsed="false">
      <c r="A20" s="3" t="s">
        <v>44</v>
      </c>
      <c r="B20" s="4" t="s">
        <v>43</v>
      </c>
      <c r="C20" s="4"/>
      <c r="D20" s="3" t="s">
        <v>45</v>
      </c>
      <c r="E20" s="3" t="str">
        <f aca="false">'SC-8-1'!B20</f>
        <v>Not Started</v>
      </c>
    </row>
    <row r="21" customFormat="false" ht="18" hidden="false" customHeight="true" outlineLevel="0" collapsed="false">
      <c r="A21" s="3" t="s">
        <v>46</v>
      </c>
      <c r="B21" s="4" t="s">
        <v>47</v>
      </c>
      <c r="C21" s="4"/>
      <c r="D21" s="3" t="s">
        <v>46</v>
      </c>
      <c r="E21" s="3" t="str">
        <f aca="false">'SC-10'!B20</f>
        <v>Not Started</v>
      </c>
    </row>
    <row r="22" customFormat="false" ht="18" hidden="false" customHeight="true" outlineLevel="0" collapsed="false">
      <c r="A22" s="3" t="s">
        <v>48</v>
      </c>
      <c r="B22" s="4" t="s">
        <v>49</v>
      </c>
      <c r="C22" s="4"/>
      <c r="D22" s="3" t="s">
        <v>48</v>
      </c>
      <c r="E22" s="3" t="str">
        <f aca="false">'SC-13'!B20</f>
        <v>Not Started</v>
      </c>
    </row>
    <row r="23" customFormat="false" ht="18" hidden="false" customHeight="true" outlineLevel="0" collapsed="false">
      <c r="A23" s="3" t="s">
        <v>50</v>
      </c>
      <c r="B23" s="4" t="s">
        <v>51</v>
      </c>
      <c r="C23" s="4"/>
      <c r="D23" s="3" t="s">
        <v>50</v>
      </c>
      <c r="E23" s="3" t="str">
        <f aca="false">'SC-18'!B20</f>
        <v>Not Started</v>
      </c>
    </row>
    <row r="24" customFormat="false" ht="18" hidden="false" customHeight="true" outlineLevel="0" collapsed="false">
      <c r="A24" s="3" t="s">
        <v>52</v>
      </c>
      <c r="B24" s="4" t="s">
        <v>53</v>
      </c>
      <c r="C24" s="4"/>
      <c r="D24" s="3" t="s">
        <v>52</v>
      </c>
      <c r="E24" s="3" t="str">
        <f aca="false">'SC-23'!B20</f>
        <v>Not Started</v>
      </c>
    </row>
    <row r="25" customFormat="false" ht="18" hidden="false" customHeight="true" outlineLevel="0" collapsed="false">
      <c r="A25" s="3" t="s">
        <v>54</v>
      </c>
      <c r="B25" s="4" t="s">
        <v>53</v>
      </c>
      <c r="C25" s="4"/>
      <c r="D25" s="3" t="s">
        <v>55</v>
      </c>
      <c r="E25" s="3" t="str">
        <f aca="false">'SC-23-1'!B20</f>
        <v>Not Started</v>
      </c>
    </row>
    <row r="26" customFormat="false" ht="18" hidden="false" customHeight="true" outlineLevel="0" collapsed="false">
      <c r="A26" s="3" t="s">
        <v>56</v>
      </c>
      <c r="B26" s="4" t="s">
        <v>57</v>
      </c>
      <c r="C26" s="4"/>
      <c r="D26" s="3" t="s">
        <v>58</v>
      </c>
      <c r="E26" s="3" t="str">
        <f aca="false">'SI-4-2'!B20</f>
        <v>Not Started</v>
      </c>
    </row>
    <row r="27" customFormat="false" ht="18" hidden="false" customHeight="true" outlineLevel="0" collapsed="false">
      <c r="A27" s="3" t="s">
        <v>59</v>
      </c>
      <c r="B27" s="4" t="s">
        <v>60</v>
      </c>
      <c r="C27" s="4"/>
      <c r="D27" s="3" t="s">
        <v>59</v>
      </c>
      <c r="E27" s="3" t="str">
        <f aca="false">'SI-6'!B20</f>
        <v>Not Started</v>
      </c>
    </row>
    <row r="29" customFormat="false" ht="21.75" hidden="false" customHeight="true" outlineLevel="0" collapsed="false">
      <c r="A29" s="5" t="s">
        <v>61</v>
      </c>
      <c r="B29" s="5"/>
      <c r="C29" s="5"/>
      <c r="D29" s="5"/>
      <c r="E29" s="5"/>
    </row>
    <row r="30" customFormat="false" ht="19.5" hidden="false" customHeight="true" outlineLevel="0" collapsed="false">
      <c r="A30" s="6" t="s">
        <v>62</v>
      </c>
      <c r="B30" s="6"/>
      <c r="C30" s="6"/>
      <c r="D30" s="6"/>
      <c r="E30" s="7" t="n">
        <f aca="false">25</f>
        <v>25</v>
      </c>
    </row>
    <row r="31" customFormat="false" ht="19.5" hidden="false" customHeight="true" outlineLevel="0" collapsed="false">
      <c r="A31" s="6" t="s">
        <v>63</v>
      </c>
      <c r="B31" s="6"/>
      <c r="C31" s="6"/>
      <c r="D31" s="6"/>
      <c r="E31" s="7" t="n">
        <f aca="false">COUNTIF(E3:E27,"Not Started")</f>
        <v>25</v>
      </c>
    </row>
    <row r="32" customFormat="false" ht="19.5" hidden="false" customHeight="true" outlineLevel="0" collapsed="false">
      <c r="A32" s="6" t="s">
        <v>64</v>
      </c>
      <c r="B32" s="6"/>
      <c r="C32" s="6"/>
      <c r="D32" s="6"/>
      <c r="E32" s="7" t="n">
        <f aca="false">COUNTIF(E3:E27,"In Progress")</f>
        <v>0</v>
      </c>
    </row>
    <row r="33" customFormat="false" ht="19.5" hidden="false" customHeight="true" outlineLevel="0" collapsed="false">
      <c r="A33" s="6" t="s">
        <v>65</v>
      </c>
      <c r="B33" s="6"/>
      <c r="C33" s="6"/>
      <c r="D33" s="6"/>
      <c r="E33" s="7" t="n">
        <f aca="false">COUNTIF(E3:E27,"Evidence Provided")</f>
        <v>0</v>
      </c>
    </row>
    <row r="34" customFormat="false" ht="19.5" hidden="false" customHeight="true" outlineLevel="0" collapsed="false">
      <c r="A34" s="6" t="s">
        <v>66</v>
      </c>
      <c r="B34" s="6"/>
      <c r="C34" s="6"/>
      <c r="D34" s="6"/>
      <c r="E34" s="7" t="n">
        <f aca="false">COUNTIF(E3:E27,"Under Review")</f>
        <v>0</v>
      </c>
    </row>
    <row r="35" customFormat="false" ht="19.5" hidden="false" customHeight="true" outlineLevel="0" collapsed="false">
      <c r="A35" s="6" t="s">
        <v>67</v>
      </c>
      <c r="B35" s="6"/>
      <c r="C35" s="6"/>
      <c r="D35" s="6"/>
      <c r="E35" s="7" t="n">
        <f aca="false">COUNTIF(E3:E27,"Passed")</f>
        <v>0</v>
      </c>
    </row>
    <row r="36" customFormat="false" ht="19.5" hidden="false" customHeight="true" outlineLevel="0" collapsed="false">
      <c r="A36" s="6" t="s">
        <v>68</v>
      </c>
      <c r="B36" s="6"/>
      <c r="C36" s="6"/>
      <c r="D36" s="6"/>
      <c r="E36" s="7" t="n">
        <f aca="false">COUNTIF(E3:E27,"Failed")</f>
        <v>0</v>
      </c>
    </row>
    <row r="37" customFormat="false" ht="19.5" hidden="false" customHeight="true" outlineLevel="0" collapsed="false">
      <c r="A37" s="6" t="s">
        <v>69</v>
      </c>
      <c r="B37" s="6"/>
      <c r="C37" s="6"/>
      <c r="D37" s="6"/>
      <c r="E37" s="7" t="n">
        <f aca="false">COUNTIF(E3:E27,"Accepted Exception")</f>
        <v>0</v>
      </c>
    </row>
    <row r="38" customFormat="false" ht="19.5" hidden="false" customHeight="true" outlineLevel="0" collapsed="false">
      <c r="A38" s="6" t="s">
        <v>70</v>
      </c>
      <c r="B38" s="6"/>
      <c r="C38" s="6"/>
      <c r="D38" s="6"/>
      <c r="E38" s="8" t="n">
        <f aca="false">IFERROR(COUNTIF(E3:E27,"Passed")/25,0)</f>
        <v>0</v>
      </c>
    </row>
    <row r="39" customFormat="false" ht="19.5" hidden="false" customHeight="true" outlineLevel="0" collapsed="false">
      <c r="A39" s="6" t="s">
        <v>71</v>
      </c>
      <c r="B39" s="6"/>
      <c r="C39" s="6"/>
      <c r="D39" s="6"/>
      <c r="E39" s="8" t="n">
        <f aca="false">IFERROR(COUNTIF(E3:E27,"Not Started")/25,0)</f>
        <v>1</v>
      </c>
    </row>
  </sheetData>
  <mergeCells count="12">
    <mergeCell ref="A1:E1"/>
    <mergeCell ref="A29:E29"/>
    <mergeCell ref="A30:D30"/>
    <mergeCell ref="A31:D31"/>
    <mergeCell ref="A32:D32"/>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72</v>
      </c>
      <c r="B1" s="1"/>
      <c r="C1" s="1"/>
      <c r="D1" s="1"/>
      <c r="E1" s="1"/>
    </row>
    <row r="2" customFormat="false" ht="21.75" hidden="false" customHeight="true" outlineLevel="0" collapsed="false">
      <c r="A2" s="2" t="s">
        <v>73</v>
      </c>
      <c r="B2" s="2" t="s">
        <v>74</v>
      </c>
      <c r="C2" s="2" t="s">
        <v>75</v>
      </c>
      <c r="D2" s="2" t="s">
        <v>76</v>
      </c>
      <c r="E2" s="2" t="s">
        <v>77</v>
      </c>
    </row>
    <row r="3" customFormat="false" ht="18" hidden="false" customHeight="true" outlineLevel="0" collapsed="false">
      <c r="A3" s="3" t="s">
        <v>6</v>
      </c>
      <c r="B3" s="4" t="s">
        <v>78</v>
      </c>
      <c r="C3" s="4"/>
      <c r="D3" s="3" t="s">
        <v>6</v>
      </c>
      <c r="E3" s="3" t="str">
        <f aca="false">'AU-2'!E20</f>
        <v>Non commencé</v>
      </c>
    </row>
    <row r="4" customFormat="false" ht="18" hidden="false" customHeight="true" outlineLevel="0" collapsed="false">
      <c r="A4" s="3" t="s">
        <v>8</v>
      </c>
      <c r="B4" s="4" t="s">
        <v>79</v>
      </c>
      <c r="C4" s="4"/>
      <c r="D4" s="3" t="s">
        <v>8</v>
      </c>
      <c r="E4" s="3" t="str">
        <f aca="false">'AU-3'!E20</f>
        <v>Non commencé</v>
      </c>
    </row>
    <row r="5" customFormat="false" ht="18" hidden="false" customHeight="true" outlineLevel="0" collapsed="false">
      <c r="A5" s="3" t="s">
        <v>10</v>
      </c>
      <c r="B5" s="4" t="s">
        <v>79</v>
      </c>
      <c r="C5" s="4"/>
      <c r="D5" s="3" t="s">
        <v>11</v>
      </c>
      <c r="E5" s="3" t="str">
        <f aca="false">'AU-3-1'!E20</f>
        <v>Non commencé</v>
      </c>
    </row>
    <row r="6" customFormat="false" ht="18" hidden="false" customHeight="true" outlineLevel="0" collapsed="false">
      <c r="A6" s="3" t="s">
        <v>12</v>
      </c>
      <c r="B6" s="4" t="s">
        <v>80</v>
      </c>
      <c r="C6" s="4"/>
      <c r="D6" s="3" t="s">
        <v>14</v>
      </c>
      <c r="E6" s="3" t="str">
        <f aca="false">'AU-9-2'!E20</f>
        <v>Non commencé</v>
      </c>
    </row>
    <row r="7" customFormat="false" ht="18" hidden="false" customHeight="true" outlineLevel="0" collapsed="false">
      <c r="A7" s="3" t="s">
        <v>15</v>
      </c>
      <c r="B7" s="4" t="s">
        <v>81</v>
      </c>
      <c r="C7" s="4"/>
      <c r="D7" s="3" t="s">
        <v>15</v>
      </c>
      <c r="E7" s="3" t="str">
        <f aca="false">'AU-12'!E20</f>
        <v>Non commencé</v>
      </c>
    </row>
    <row r="8" customFormat="false" ht="18" hidden="false" customHeight="true" outlineLevel="0" collapsed="false">
      <c r="A8" s="3" t="s">
        <v>17</v>
      </c>
      <c r="B8" s="4" t="s">
        <v>82</v>
      </c>
      <c r="C8" s="4"/>
      <c r="D8" s="3" t="s">
        <v>19</v>
      </c>
      <c r="E8" s="3" t="str">
        <f aca="false">'CA-3-5'!E20</f>
        <v>Non commencé</v>
      </c>
    </row>
    <row r="9" customFormat="false" ht="18" hidden="false" customHeight="true" outlineLevel="0" collapsed="false">
      <c r="A9" s="3" t="s">
        <v>20</v>
      </c>
      <c r="B9" s="4" t="s">
        <v>83</v>
      </c>
      <c r="C9" s="4"/>
      <c r="D9" s="3" t="s">
        <v>20</v>
      </c>
      <c r="E9" s="3" t="str">
        <f aca="false">'CA-9'!E20</f>
        <v>Non commencé</v>
      </c>
    </row>
    <row r="10" customFormat="false" ht="18" hidden="false" customHeight="true" outlineLevel="0" collapsed="false">
      <c r="A10" s="3" t="s">
        <v>22</v>
      </c>
      <c r="B10" s="4" t="s">
        <v>84</v>
      </c>
      <c r="C10" s="4"/>
      <c r="D10" s="3" t="s">
        <v>22</v>
      </c>
      <c r="E10" s="3" t="str">
        <f aca="false">'CM-6'!E20</f>
        <v>Non commencé</v>
      </c>
    </row>
    <row r="11" customFormat="false" ht="18" hidden="false" customHeight="true" outlineLevel="0" collapsed="false">
      <c r="A11" s="3" t="s">
        <v>24</v>
      </c>
      <c r="B11" s="4" t="s">
        <v>85</v>
      </c>
      <c r="C11" s="4"/>
      <c r="D11" s="3" t="s">
        <v>24</v>
      </c>
      <c r="E11" s="3" t="str">
        <f aca="false">'CM-7'!E20</f>
        <v>Non commencé</v>
      </c>
    </row>
    <row r="12" customFormat="false" ht="18" hidden="false" customHeight="true" outlineLevel="0" collapsed="false">
      <c r="A12" s="3" t="s">
        <v>26</v>
      </c>
      <c r="B12" s="4" t="s">
        <v>85</v>
      </c>
      <c r="C12" s="4"/>
      <c r="D12" s="3" t="s">
        <v>27</v>
      </c>
      <c r="E12" s="3" t="str">
        <f aca="false">'CM-7-1'!E20</f>
        <v>Non commencé</v>
      </c>
    </row>
    <row r="13" customFormat="false" ht="18" hidden="false" customHeight="true" outlineLevel="0" collapsed="false">
      <c r="A13" s="3" t="s">
        <v>28</v>
      </c>
      <c r="B13" s="4" t="s">
        <v>86</v>
      </c>
      <c r="C13" s="4"/>
      <c r="D13" s="3" t="s">
        <v>28</v>
      </c>
      <c r="E13" s="3" t="str">
        <f aca="false">'CP-7'!E20</f>
        <v>Non commencé</v>
      </c>
    </row>
    <row r="14" customFormat="false" ht="18" hidden="false" customHeight="true" outlineLevel="0" collapsed="false">
      <c r="A14" s="3" t="s">
        <v>30</v>
      </c>
      <c r="B14" s="4" t="s">
        <v>86</v>
      </c>
      <c r="C14" s="4"/>
      <c r="D14" s="3" t="s">
        <v>31</v>
      </c>
      <c r="E14" s="3" t="str">
        <f aca="false">'CP-7-4'!E20</f>
        <v>Non commencé</v>
      </c>
    </row>
    <row r="15" customFormat="false" ht="18" hidden="false" customHeight="true" outlineLevel="0" collapsed="false">
      <c r="A15" s="3" t="s">
        <v>32</v>
      </c>
      <c r="B15" s="4" t="s">
        <v>87</v>
      </c>
      <c r="C15" s="4"/>
      <c r="D15" s="3" t="s">
        <v>32</v>
      </c>
      <c r="E15" s="3" t="str">
        <f aca="false">'CP-10'!E20</f>
        <v>Non commencé</v>
      </c>
    </row>
    <row r="16" customFormat="false" ht="18" hidden="false" customHeight="true" outlineLevel="0" collapsed="false">
      <c r="A16" s="3" t="s">
        <v>34</v>
      </c>
      <c r="B16" s="4" t="s">
        <v>87</v>
      </c>
      <c r="C16" s="4"/>
      <c r="D16" s="3" t="s">
        <v>35</v>
      </c>
      <c r="E16" s="3" t="str">
        <f aca="false">'CP-10-4'!E20</f>
        <v>Non commencé</v>
      </c>
    </row>
    <row r="17" customFormat="false" ht="18" hidden="false" customHeight="true" outlineLevel="0" collapsed="false">
      <c r="A17" s="3" t="s">
        <v>36</v>
      </c>
      <c r="B17" s="4" t="s">
        <v>88</v>
      </c>
      <c r="C17" s="4"/>
      <c r="D17" s="3" t="s">
        <v>38</v>
      </c>
      <c r="E17" s="3" t="str">
        <f aca="false">'IA-5-7'!E20</f>
        <v>Non commencé</v>
      </c>
    </row>
    <row r="18" customFormat="false" ht="18" hidden="false" customHeight="true" outlineLevel="0" collapsed="false">
      <c r="A18" s="3" t="s">
        <v>39</v>
      </c>
      <c r="B18" s="4" t="s">
        <v>89</v>
      </c>
      <c r="C18" s="4"/>
      <c r="D18" s="3" t="s">
        <v>41</v>
      </c>
      <c r="E18" s="3" t="str">
        <f aca="false">'SA-9-5'!E20</f>
        <v>Non commencé</v>
      </c>
    </row>
    <row r="19" customFormat="false" ht="18" hidden="false" customHeight="true" outlineLevel="0" collapsed="false">
      <c r="A19" s="3" t="s">
        <v>42</v>
      </c>
      <c r="B19" s="4" t="s">
        <v>90</v>
      </c>
      <c r="C19" s="4"/>
      <c r="D19" s="3" t="s">
        <v>42</v>
      </c>
      <c r="E19" s="3" t="str">
        <f aca="false">'SC-8'!E20</f>
        <v>Non commencé</v>
      </c>
    </row>
    <row r="20" customFormat="false" ht="18" hidden="false" customHeight="true" outlineLevel="0" collapsed="false">
      <c r="A20" s="3" t="s">
        <v>44</v>
      </c>
      <c r="B20" s="4" t="s">
        <v>90</v>
      </c>
      <c r="C20" s="4"/>
      <c r="D20" s="3" t="s">
        <v>45</v>
      </c>
      <c r="E20" s="3" t="str">
        <f aca="false">'SC-8-1'!E20</f>
        <v>Non commencé</v>
      </c>
    </row>
    <row r="21" customFormat="false" ht="18" hidden="false" customHeight="true" outlineLevel="0" collapsed="false">
      <c r="A21" s="3" t="s">
        <v>46</v>
      </c>
      <c r="B21" s="4" t="s">
        <v>91</v>
      </c>
      <c r="C21" s="4"/>
      <c r="D21" s="3" t="s">
        <v>46</v>
      </c>
      <c r="E21" s="3" t="str">
        <f aca="false">'SC-10'!E20</f>
        <v>Non commencé</v>
      </c>
    </row>
    <row r="22" customFormat="false" ht="18" hidden="false" customHeight="true" outlineLevel="0" collapsed="false">
      <c r="A22" s="3" t="s">
        <v>48</v>
      </c>
      <c r="B22" s="4" t="s">
        <v>92</v>
      </c>
      <c r="C22" s="4"/>
      <c r="D22" s="3" t="s">
        <v>48</v>
      </c>
      <c r="E22" s="3" t="str">
        <f aca="false">'SC-13'!E20</f>
        <v>Non commencé</v>
      </c>
    </row>
    <row r="23" customFormat="false" ht="18" hidden="false" customHeight="true" outlineLevel="0" collapsed="false">
      <c r="A23" s="3" t="s">
        <v>50</v>
      </c>
      <c r="B23" s="4" t="s">
        <v>93</v>
      </c>
      <c r="C23" s="4"/>
      <c r="D23" s="3" t="s">
        <v>50</v>
      </c>
      <c r="E23" s="3" t="str">
        <f aca="false">'SC-18'!E20</f>
        <v>Non commencé</v>
      </c>
    </row>
    <row r="24" customFormat="false" ht="18" hidden="false" customHeight="true" outlineLevel="0" collapsed="false">
      <c r="A24" s="3" t="s">
        <v>52</v>
      </c>
      <c r="B24" s="4" t="s">
        <v>94</v>
      </c>
      <c r="C24" s="4"/>
      <c r="D24" s="3" t="s">
        <v>52</v>
      </c>
      <c r="E24" s="3" t="str">
        <f aca="false">'SC-23'!E20</f>
        <v>Non commencé</v>
      </c>
    </row>
    <row r="25" customFormat="false" ht="18" hidden="false" customHeight="true" outlineLevel="0" collapsed="false">
      <c r="A25" s="3" t="s">
        <v>54</v>
      </c>
      <c r="B25" s="4" t="s">
        <v>94</v>
      </c>
      <c r="C25" s="4"/>
      <c r="D25" s="3" t="s">
        <v>55</v>
      </c>
      <c r="E25" s="3" t="str">
        <f aca="false">'SC-23-1'!E20</f>
        <v>Non commencé</v>
      </c>
    </row>
    <row r="26" customFormat="false" ht="18" hidden="false" customHeight="true" outlineLevel="0" collapsed="false">
      <c r="A26" s="3" t="s">
        <v>56</v>
      </c>
      <c r="B26" s="4" t="s">
        <v>95</v>
      </c>
      <c r="C26" s="4"/>
      <c r="D26" s="3" t="s">
        <v>58</v>
      </c>
      <c r="E26" s="3" t="str">
        <f aca="false">'SI-4-2'!E20</f>
        <v>Non commencé</v>
      </c>
    </row>
    <row r="27" customFormat="false" ht="18" hidden="false" customHeight="true" outlineLevel="0" collapsed="false">
      <c r="A27" s="3" t="s">
        <v>59</v>
      </c>
      <c r="B27" s="4" t="s">
        <v>96</v>
      </c>
      <c r="C27" s="4"/>
      <c r="D27" s="3" t="s">
        <v>59</v>
      </c>
      <c r="E27" s="3" t="str">
        <f aca="false">'SI-6'!E20</f>
        <v>Non commencé</v>
      </c>
    </row>
    <row r="29" customFormat="false" ht="21.75" hidden="false" customHeight="true" outlineLevel="0" collapsed="false">
      <c r="A29" s="5" t="s">
        <v>97</v>
      </c>
      <c r="B29" s="5"/>
      <c r="C29" s="5"/>
      <c r="D29" s="5"/>
      <c r="E29" s="5"/>
    </row>
    <row r="30" customFormat="false" ht="19.5" hidden="false" customHeight="true" outlineLevel="0" collapsed="false">
      <c r="A30" s="6" t="s">
        <v>98</v>
      </c>
      <c r="B30" s="6"/>
      <c r="C30" s="6"/>
      <c r="D30" s="6"/>
      <c r="E30" s="7" t="n">
        <f aca="false">25</f>
        <v>25</v>
      </c>
    </row>
    <row r="31" customFormat="false" ht="19.5" hidden="false" customHeight="true" outlineLevel="0" collapsed="false">
      <c r="A31" s="6" t="s">
        <v>99</v>
      </c>
      <c r="B31" s="6"/>
      <c r="C31" s="6"/>
      <c r="D31" s="6"/>
      <c r="E31" s="7" t="n">
        <f aca="false">COUNTIF(E3:E27,"Non commencé")</f>
        <v>25</v>
      </c>
    </row>
    <row r="32" customFormat="false" ht="19.5" hidden="false" customHeight="true" outlineLevel="0" collapsed="false">
      <c r="A32" s="6" t="s">
        <v>100</v>
      </c>
      <c r="B32" s="6"/>
      <c r="C32" s="6"/>
      <c r="D32" s="6"/>
      <c r="E32" s="7" t="n">
        <f aca="false">COUNTIF(E3:E27,"En cours")</f>
        <v>0</v>
      </c>
    </row>
    <row r="33" customFormat="false" ht="19.5" hidden="false" customHeight="true" outlineLevel="0" collapsed="false">
      <c r="A33" s="6" t="s">
        <v>101</v>
      </c>
      <c r="B33" s="6"/>
      <c r="C33" s="6"/>
      <c r="D33" s="6"/>
      <c r="E33" s="7" t="n">
        <f aca="false">COUNTIF(E3:E27,"Preuve fournie")</f>
        <v>0</v>
      </c>
    </row>
    <row r="34" customFormat="false" ht="19.5" hidden="false" customHeight="true" outlineLevel="0" collapsed="false">
      <c r="A34" s="6" t="s">
        <v>102</v>
      </c>
      <c r="B34" s="6"/>
      <c r="C34" s="6"/>
      <c r="D34" s="6"/>
      <c r="E34" s="7" t="n">
        <f aca="false">COUNTIF(E3:E27,"En révision")</f>
        <v>0</v>
      </c>
    </row>
    <row r="35" customFormat="false" ht="19.5" hidden="false" customHeight="true" outlineLevel="0" collapsed="false">
      <c r="A35" s="6" t="s">
        <v>103</v>
      </c>
      <c r="B35" s="6"/>
      <c r="C35" s="6"/>
      <c r="D35" s="6"/>
      <c r="E35" s="7" t="n">
        <f aca="false">COUNTIF(E3:E27,"Réussi")</f>
        <v>0</v>
      </c>
    </row>
    <row r="36" customFormat="false" ht="19.5" hidden="false" customHeight="true" outlineLevel="0" collapsed="false">
      <c r="A36" s="6" t="s">
        <v>104</v>
      </c>
      <c r="B36" s="6"/>
      <c r="C36" s="6"/>
      <c r="D36" s="6"/>
      <c r="E36" s="7" t="n">
        <f aca="false">COUNTIF(E3:E27,"Échec")</f>
        <v>0</v>
      </c>
    </row>
    <row r="37" customFormat="false" ht="19.5" hidden="false" customHeight="true" outlineLevel="0" collapsed="false">
      <c r="A37" s="6" t="s">
        <v>105</v>
      </c>
      <c r="B37" s="6"/>
      <c r="C37" s="6"/>
      <c r="D37" s="6"/>
      <c r="E37" s="7" t="n">
        <f aca="false">COUNTIF(E3:E27,"Exception acceptée")</f>
        <v>0</v>
      </c>
    </row>
    <row r="38" customFormat="false" ht="19.5" hidden="false" customHeight="true" outlineLevel="0" collapsed="false">
      <c r="A38" s="6" t="s">
        <v>106</v>
      </c>
      <c r="B38" s="6"/>
      <c r="C38" s="6"/>
      <c r="D38" s="6"/>
      <c r="E38" s="8" t="n">
        <f aca="false">IFERROR(COUNTIF(E3:E27,"Réussi")/25,0)</f>
        <v>0</v>
      </c>
    </row>
    <row r="39" customFormat="false" ht="19.5" hidden="false" customHeight="true" outlineLevel="0" collapsed="false">
      <c r="A39" s="6" t="s">
        <v>107</v>
      </c>
      <c r="B39" s="6"/>
      <c r="C39" s="6"/>
      <c r="D39" s="6"/>
      <c r="E39" s="8" t="n">
        <f aca="false">IFERROR(COUNTIF(E3:E27,"Non commencé")/25,0)</f>
        <v>1</v>
      </c>
    </row>
  </sheetData>
  <mergeCells count="12">
    <mergeCell ref="A1:E1"/>
    <mergeCell ref="A29:E29"/>
    <mergeCell ref="A30:D30"/>
    <mergeCell ref="A31:D31"/>
    <mergeCell ref="A32:D32"/>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108</v>
      </c>
      <c r="B1" s="9"/>
      <c r="D1" s="9" t="s">
        <v>109</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6</v>
      </c>
      <c r="D3" s="11" t="s">
        <v>113</v>
      </c>
      <c r="E3" s="12" t="s">
        <v>6</v>
      </c>
    </row>
    <row r="4" customFormat="false" ht="21.75" hidden="false" customHeight="true" outlineLevel="0" collapsed="false">
      <c r="A4" s="11" t="s">
        <v>114</v>
      </c>
      <c r="B4" s="12" t="s">
        <v>7</v>
      </c>
      <c r="D4" s="11" t="s">
        <v>115</v>
      </c>
      <c r="E4" s="12" t="s">
        <v>78</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234" hidden="false" customHeight="true" outlineLevel="0" collapsed="false">
      <c r="A8" s="11" t="s">
        <v>124</v>
      </c>
      <c r="B8" s="12" t="s">
        <v>125</v>
      </c>
      <c r="D8" s="11" t="s">
        <v>126</v>
      </c>
      <c r="E8" s="12" t="s">
        <v>127</v>
      </c>
    </row>
    <row r="9" customFormat="false" ht="300" hidden="false" customHeight="true" outlineLevel="0" collapsed="false">
      <c r="A9" s="11" t="s">
        <v>128</v>
      </c>
      <c r="B9" s="12" t="s">
        <v>129</v>
      </c>
      <c r="D9" s="11" t="s">
        <v>130</v>
      </c>
      <c r="E9" s="12" t="s">
        <v>131</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135</v>
      </c>
      <c r="D11" s="11" t="s">
        <v>134</v>
      </c>
      <c r="E11" s="12" t="s">
        <v>135</v>
      </c>
    </row>
    <row r="12" customFormat="false" ht="21.75" hidden="false" customHeight="true" outlineLevel="0" collapsed="false">
      <c r="A12" s="11" t="s">
        <v>136</v>
      </c>
      <c r="B12" s="12" t="s">
        <v>6</v>
      </c>
      <c r="D12" s="11" t="s">
        <v>137</v>
      </c>
      <c r="E12" s="12" t="s">
        <v>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153</v>
      </c>
      <c r="B1" s="9"/>
      <c r="D1" s="9" t="s">
        <v>154</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8</v>
      </c>
      <c r="D3" s="11" t="s">
        <v>113</v>
      </c>
      <c r="E3" s="12" t="s">
        <v>8</v>
      </c>
    </row>
    <row r="4" customFormat="false" ht="21.75" hidden="false" customHeight="true" outlineLevel="0" collapsed="false">
      <c r="A4" s="11" t="s">
        <v>114</v>
      </c>
      <c r="B4" s="12" t="s">
        <v>9</v>
      </c>
      <c r="D4" s="11" t="s">
        <v>115</v>
      </c>
      <c r="E4" s="12" t="s">
        <v>79</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155</v>
      </c>
      <c r="D8" s="11" t="s">
        <v>126</v>
      </c>
      <c r="E8" s="12" t="s">
        <v>156</v>
      </c>
    </row>
    <row r="9" customFormat="false" ht="129.75" hidden="false" customHeight="true" outlineLevel="0" collapsed="false">
      <c r="A9" s="11" t="s">
        <v>128</v>
      </c>
      <c r="B9" s="12" t="s">
        <v>157</v>
      </c>
      <c r="D9" s="11" t="s">
        <v>130</v>
      </c>
      <c r="E9" s="12" t="s">
        <v>158</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159</v>
      </c>
      <c r="D11" s="11" t="s">
        <v>134</v>
      </c>
      <c r="E11" s="12" t="s">
        <v>159</v>
      </c>
    </row>
    <row r="12" customFormat="false" ht="21.75" hidden="false" customHeight="true" outlineLevel="0" collapsed="false">
      <c r="A12" s="11" t="s">
        <v>136</v>
      </c>
      <c r="B12" s="12" t="s">
        <v>8</v>
      </c>
      <c r="D12" s="11" t="s">
        <v>137</v>
      </c>
      <c r="E12" s="12" t="s">
        <v>8</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160</v>
      </c>
      <c r="B1" s="9"/>
      <c r="D1" s="9" t="s">
        <v>161</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10</v>
      </c>
      <c r="D3" s="11" t="s">
        <v>113</v>
      </c>
      <c r="E3" s="12" t="s">
        <v>10</v>
      </c>
    </row>
    <row r="4" customFormat="false" ht="21.75" hidden="false" customHeight="true" outlineLevel="0" collapsed="false">
      <c r="A4" s="11" t="s">
        <v>114</v>
      </c>
      <c r="B4" s="12" t="s">
        <v>9</v>
      </c>
      <c r="D4" s="11" t="s">
        <v>115</v>
      </c>
      <c r="E4" s="12" t="s">
        <v>79</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03.5" hidden="false" customHeight="true" outlineLevel="0" collapsed="false">
      <c r="A8" s="11" t="s">
        <v>124</v>
      </c>
      <c r="B8" s="12" t="s">
        <v>162</v>
      </c>
      <c r="D8" s="11" t="s">
        <v>126</v>
      </c>
      <c r="E8" s="12" t="s">
        <v>163</v>
      </c>
    </row>
    <row r="9" customFormat="false" ht="181.5" hidden="false" customHeight="true" outlineLevel="0" collapsed="false">
      <c r="A9" s="11" t="s">
        <v>128</v>
      </c>
      <c r="B9" s="12" t="s">
        <v>164</v>
      </c>
      <c r="D9" s="11" t="s">
        <v>130</v>
      </c>
      <c r="E9" s="12" t="s">
        <v>165</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166</v>
      </c>
      <c r="D11" s="11" t="s">
        <v>134</v>
      </c>
      <c r="E11" s="12" t="s">
        <v>166</v>
      </c>
    </row>
    <row r="12" customFormat="false" ht="21.75" hidden="false" customHeight="true" outlineLevel="0" collapsed="false">
      <c r="A12" s="11" t="s">
        <v>136</v>
      </c>
      <c r="B12" s="12" t="s">
        <v>10</v>
      </c>
      <c r="D12" s="11" t="s">
        <v>137</v>
      </c>
      <c r="E12" s="12" t="s">
        <v>10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167</v>
      </c>
      <c r="B1" s="9"/>
      <c r="D1" s="9" t="s">
        <v>168</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12</v>
      </c>
      <c r="D3" s="11" t="s">
        <v>113</v>
      </c>
      <c r="E3" s="12" t="s">
        <v>12</v>
      </c>
    </row>
    <row r="4" customFormat="false" ht="21.75" hidden="false" customHeight="true" outlineLevel="0" collapsed="false">
      <c r="A4" s="11" t="s">
        <v>114</v>
      </c>
      <c r="B4" s="12" t="s">
        <v>13</v>
      </c>
      <c r="D4" s="11" t="s">
        <v>115</v>
      </c>
      <c r="E4" s="12" t="s">
        <v>80</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169</v>
      </c>
      <c r="D8" s="11" t="s">
        <v>126</v>
      </c>
      <c r="E8" s="12" t="s">
        <v>170</v>
      </c>
    </row>
    <row r="9" customFormat="false" ht="51.75" hidden="false" customHeight="true" outlineLevel="0" collapsed="false">
      <c r="A9" s="11" t="s">
        <v>128</v>
      </c>
      <c r="B9" s="12" t="s">
        <v>171</v>
      </c>
      <c r="D9" s="11" t="s">
        <v>130</v>
      </c>
      <c r="E9" s="12" t="s">
        <v>172</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173</v>
      </c>
      <c r="D11" s="11" t="s">
        <v>134</v>
      </c>
      <c r="E11" s="12" t="s">
        <v>173</v>
      </c>
    </row>
    <row r="12" customFormat="false" ht="21.75" hidden="false" customHeight="true" outlineLevel="0" collapsed="false">
      <c r="A12" s="11" t="s">
        <v>136</v>
      </c>
      <c r="B12" s="12" t="s">
        <v>12</v>
      </c>
      <c r="D12" s="11" t="s">
        <v>137</v>
      </c>
      <c r="E12" s="12" t="s">
        <v>12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174</v>
      </c>
      <c r="B1" s="9"/>
      <c r="D1" s="9" t="s">
        <v>175</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15</v>
      </c>
      <c r="D3" s="11" t="s">
        <v>113</v>
      </c>
      <c r="E3" s="12" t="s">
        <v>15</v>
      </c>
    </row>
    <row r="4" customFormat="false" ht="21.75" hidden="false" customHeight="true" outlineLevel="0" collapsed="false">
      <c r="A4" s="11" t="s">
        <v>114</v>
      </c>
      <c r="B4" s="12" t="s">
        <v>16</v>
      </c>
      <c r="D4" s="11" t="s">
        <v>115</v>
      </c>
      <c r="E4" s="12" t="s">
        <v>81</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17" hidden="false" customHeight="true" outlineLevel="0" collapsed="false">
      <c r="A8" s="11" t="s">
        <v>124</v>
      </c>
      <c r="B8" s="12" t="s">
        <v>176</v>
      </c>
      <c r="D8" s="11" t="s">
        <v>126</v>
      </c>
      <c r="E8" s="12" t="s">
        <v>177</v>
      </c>
    </row>
    <row r="9" customFormat="false" ht="90.75" hidden="false" customHeight="true" outlineLevel="0" collapsed="false">
      <c r="A9" s="11" t="s">
        <v>128</v>
      </c>
      <c r="B9" s="12" t="s">
        <v>178</v>
      </c>
      <c r="D9" s="11" t="s">
        <v>130</v>
      </c>
      <c r="E9" s="12" t="s">
        <v>179</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180</v>
      </c>
      <c r="D11" s="11" t="s">
        <v>134</v>
      </c>
      <c r="E11" s="12" t="s">
        <v>180</v>
      </c>
    </row>
    <row r="12" customFormat="false" ht="21.75" hidden="false" customHeight="true" outlineLevel="0" collapsed="false">
      <c r="A12" s="11" t="s">
        <v>136</v>
      </c>
      <c r="B12" s="12" t="s">
        <v>15</v>
      </c>
      <c r="D12" s="11" t="s">
        <v>137</v>
      </c>
      <c r="E12" s="12" t="s">
        <v>15</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181</v>
      </c>
      <c r="B1" s="9"/>
      <c r="D1" s="9" t="s">
        <v>182</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17</v>
      </c>
      <c r="D3" s="11" t="s">
        <v>113</v>
      </c>
      <c r="E3" s="12" t="s">
        <v>17</v>
      </c>
    </row>
    <row r="4" customFormat="false" ht="21.75" hidden="false" customHeight="true" outlineLevel="0" collapsed="false">
      <c r="A4" s="11" t="s">
        <v>114</v>
      </c>
      <c r="B4" s="12" t="s">
        <v>18</v>
      </c>
      <c r="D4" s="11" t="s">
        <v>115</v>
      </c>
      <c r="E4" s="12" t="s">
        <v>82</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183</v>
      </c>
      <c r="D8" s="11" t="s">
        <v>126</v>
      </c>
      <c r="E8" s="12" t="s">
        <v>184</v>
      </c>
    </row>
    <row r="9" customFormat="false" ht="103.5" hidden="false" customHeight="true" outlineLevel="0" collapsed="false">
      <c r="A9" s="11" t="s">
        <v>128</v>
      </c>
      <c r="B9" s="12" t="s">
        <v>185</v>
      </c>
      <c r="D9" s="11" t="s">
        <v>130</v>
      </c>
      <c r="E9" s="12" t="s">
        <v>186</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187</v>
      </c>
      <c r="D11" s="11" t="s">
        <v>134</v>
      </c>
      <c r="E11" s="12" t="s">
        <v>187</v>
      </c>
    </row>
    <row r="12" customFormat="false" ht="21.75" hidden="false" customHeight="true" outlineLevel="0" collapsed="false">
      <c r="A12" s="11" t="s">
        <v>136</v>
      </c>
      <c r="B12" s="12" t="s">
        <v>17</v>
      </c>
      <c r="D12" s="11" t="s">
        <v>137</v>
      </c>
      <c r="E12" s="12" t="s">
        <v>17</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188</v>
      </c>
      <c r="B1" s="9"/>
      <c r="D1" s="9" t="s">
        <v>189</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20</v>
      </c>
      <c r="D3" s="11" t="s">
        <v>113</v>
      </c>
      <c r="E3" s="12" t="s">
        <v>20</v>
      </c>
    </row>
    <row r="4" customFormat="false" ht="21.75" hidden="false" customHeight="true" outlineLevel="0" collapsed="false">
      <c r="A4" s="11" t="s">
        <v>114</v>
      </c>
      <c r="B4" s="12" t="s">
        <v>21</v>
      </c>
      <c r="D4" s="11" t="s">
        <v>115</v>
      </c>
      <c r="E4" s="12" t="s">
        <v>83</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190</v>
      </c>
      <c r="D8" s="11" t="s">
        <v>126</v>
      </c>
      <c r="E8" s="12" t="s">
        <v>191</v>
      </c>
    </row>
    <row r="9" customFormat="false" ht="181.5" hidden="false" customHeight="true" outlineLevel="0" collapsed="false">
      <c r="A9" s="11" t="s">
        <v>128</v>
      </c>
      <c r="B9" s="12" t="s">
        <v>192</v>
      </c>
      <c r="D9" s="11" t="s">
        <v>130</v>
      </c>
      <c r="E9" s="12" t="s">
        <v>193</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194</v>
      </c>
      <c r="D11" s="11" t="s">
        <v>134</v>
      </c>
      <c r="E11" s="12" t="s">
        <v>194</v>
      </c>
    </row>
    <row r="12" customFormat="false" ht="21.75" hidden="false" customHeight="true" outlineLevel="0" collapsed="false">
      <c r="A12" s="11" t="s">
        <v>136</v>
      </c>
      <c r="B12" s="12" t="s">
        <v>20</v>
      </c>
      <c r="D12" s="11" t="s">
        <v>137</v>
      </c>
      <c r="E12" s="12" t="s">
        <v>20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195</v>
      </c>
      <c r="B1" s="9"/>
      <c r="D1" s="9" t="s">
        <v>196</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22</v>
      </c>
      <c r="D3" s="11" t="s">
        <v>113</v>
      </c>
      <c r="E3" s="12" t="s">
        <v>22</v>
      </c>
    </row>
    <row r="4" customFormat="false" ht="21.75" hidden="false" customHeight="true" outlineLevel="0" collapsed="false">
      <c r="A4" s="11" t="s">
        <v>114</v>
      </c>
      <c r="B4" s="12" t="s">
        <v>23</v>
      </c>
      <c r="D4" s="11" t="s">
        <v>115</v>
      </c>
      <c r="E4" s="12" t="s">
        <v>84</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68.75" hidden="false" customHeight="true" outlineLevel="0" collapsed="false">
      <c r="A8" s="11" t="s">
        <v>124</v>
      </c>
      <c r="B8" s="12" t="s">
        <v>197</v>
      </c>
      <c r="D8" s="11" t="s">
        <v>126</v>
      </c>
      <c r="E8" s="12" t="s">
        <v>198</v>
      </c>
    </row>
    <row r="9" customFormat="false" ht="300" hidden="false" customHeight="true" outlineLevel="0" collapsed="false">
      <c r="A9" s="11" t="s">
        <v>128</v>
      </c>
      <c r="B9" s="12" t="s">
        <v>199</v>
      </c>
      <c r="D9" s="11" t="s">
        <v>130</v>
      </c>
      <c r="E9" s="12" t="s">
        <v>200</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201</v>
      </c>
      <c r="D11" s="11" t="s">
        <v>134</v>
      </c>
      <c r="E11" s="12" t="s">
        <v>201</v>
      </c>
    </row>
    <row r="12" customFormat="false" ht="21.75" hidden="false" customHeight="true" outlineLevel="0" collapsed="false">
      <c r="A12" s="11" t="s">
        <v>136</v>
      </c>
      <c r="B12" s="12" t="s">
        <v>22</v>
      </c>
      <c r="D12" s="11" t="s">
        <v>137</v>
      </c>
      <c r="E12" s="12" t="s">
        <v>22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202</v>
      </c>
      <c r="B1" s="9"/>
      <c r="D1" s="9" t="s">
        <v>203</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24</v>
      </c>
      <c r="D3" s="11" t="s">
        <v>113</v>
      </c>
      <c r="E3" s="12" t="s">
        <v>24</v>
      </c>
    </row>
    <row r="4" customFormat="false" ht="21.75" hidden="false" customHeight="true" outlineLevel="0" collapsed="false">
      <c r="A4" s="11" t="s">
        <v>114</v>
      </c>
      <c r="B4" s="12" t="s">
        <v>25</v>
      </c>
      <c r="D4" s="11" t="s">
        <v>115</v>
      </c>
      <c r="E4" s="12" t="s">
        <v>85</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204</v>
      </c>
      <c r="D8" s="11" t="s">
        <v>126</v>
      </c>
      <c r="E8" s="12" t="s">
        <v>205</v>
      </c>
    </row>
    <row r="9" customFormat="false" ht="300" hidden="false" customHeight="true" outlineLevel="0" collapsed="false">
      <c r="A9" s="11" t="s">
        <v>128</v>
      </c>
      <c r="B9" s="12" t="s">
        <v>206</v>
      </c>
      <c r="D9" s="11" t="s">
        <v>130</v>
      </c>
      <c r="E9" s="12" t="s">
        <v>207</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208</v>
      </c>
      <c r="D11" s="11" t="s">
        <v>134</v>
      </c>
      <c r="E11" s="12" t="s">
        <v>208</v>
      </c>
    </row>
    <row r="12" customFormat="false" ht="21.75" hidden="false" customHeight="true" outlineLevel="0" collapsed="false">
      <c r="A12" s="11" t="s">
        <v>136</v>
      </c>
      <c r="B12" s="12" t="s">
        <v>24</v>
      </c>
      <c r="D12" s="11" t="s">
        <v>137</v>
      </c>
      <c r="E12" s="12" t="s">
        <v>24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209</v>
      </c>
      <c r="B1" s="9"/>
      <c r="D1" s="9" t="s">
        <v>210</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26</v>
      </c>
      <c r="D3" s="11" t="s">
        <v>113</v>
      </c>
      <c r="E3" s="12" t="s">
        <v>26</v>
      </c>
    </row>
    <row r="4" customFormat="false" ht="21.75" hidden="false" customHeight="true" outlineLevel="0" collapsed="false">
      <c r="A4" s="11" t="s">
        <v>114</v>
      </c>
      <c r="B4" s="12" t="s">
        <v>25</v>
      </c>
      <c r="D4" s="11" t="s">
        <v>115</v>
      </c>
      <c r="E4" s="12" t="s">
        <v>85</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211</v>
      </c>
      <c r="D8" s="11" t="s">
        <v>126</v>
      </c>
      <c r="E8" s="12" t="s">
        <v>212</v>
      </c>
    </row>
    <row r="9" customFormat="false" ht="64.5" hidden="false" customHeight="true" outlineLevel="0" collapsed="false">
      <c r="A9" s="11" t="s">
        <v>128</v>
      </c>
      <c r="B9" s="12" t="s">
        <v>213</v>
      </c>
      <c r="D9" s="11" t="s">
        <v>130</v>
      </c>
      <c r="E9" s="12" t="s">
        <v>214</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215</v>
      </c>
      <c r="D11" s="11" t="s">
        <v>134</v>
      </c>
      <c r="E11" s="12" t="s">
        <v>215</v>
      </c>
    </row>
    <row r="12" customFormat="false" ht="21.75" hidden="false" customHeight="true" outlineLevel="0" collapsed="false">
      <c r="A12" s="11" t="s">
        <v>136</v>
      </c>
      <c r="B12" s="12" t="s">
        <v>26</v>
      </c>
      <c r="D12" s="11" t="s">
        <v>137</v>
      </c>
      <c r="E12" s="12" t="s">
        <v>26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216</v>
      </c>
      <c r="B1" s="9"/>
      <c r="D1" s="9" t="s">
        <v>217</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28</v>
      </c>
      <c r="D3" s="11" t="s">
        <v>113</v>
      </c>
      <c r="E3" s="12" t="s">
        <v>28</v>
      </c>
    </row>
    <row r="4" customFormat="false" ht="21.75" hidden="false" customHeight="true" outlineLevel="0" collapsed="false">
      <c r="A4" s="11" t="s">
        <v>114</v>
      </c>
      <c r="B4" s="12" t="s">
        <v>29</v>
      </c>
      <c r="D4" s="11" t="s">
        <v>115</v>
      </c>
      <c r="E4" s="12" t="s">
        <v>86</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81.5" hidden="false" customHeight="true" outlineLevel="0" collapsed="false">
      <c r="A8" s="11" t="s">
        <v>124</v>
      </c>
      <c r="B8" s="12" t="s">
        <v>218</v>
      </c>
      <c r="D8" s="11" t="s">
        <v>126</v>
      </c>
      <c r="E8" s="12" t="s">
        <v>219</v>
      </c>
    </row>
    <row r="9" customFormat="false" ht="168.75" hidden="false" customHeight="true" outlineLevel="0" collapsed="false">
      <c r="A9" s="11" t="s">
        <v>128</v>
      </c>
      <c r="B9" s="12" t="s">
        <v>220</v>
      </c>
      <c r="D9" s="11" t="s">
        <v>130</v>
      </c>
      <c r="E9" s="12" t="s">
        <v>221</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222</v>
      </c>
      <c r="D11" s="11" t="s">
        <v>134</v>
      </c>
      <c r="E11" s="12" t="s">
        <v>222</v>
      </c>
    </row>
    <row r="12" customFormat="false" ht="21.75" hidden="false" customHeight="true" outlineLevel="0" collapsed="false">
      <c r="A12" s="11" t="s">
        <v>136</v>
      </c>
      <c r="B12" s="12" t="s">
        <v>28</v>
      </c>
      <c r="D12" s="11" t="s">
        <v>137</v>
      </c>
      <c r="E12" s="12" t="s">
        <v>28</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223</v>
      </c>
      <c r="B1" s="9"/>
      <c r="D1" s="9" t="s">
        <v>224</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30</v>
      </c>
      <c r="D3" s="11" t="s">
        <v>113</v>
      </c>
      <c r="E3" s="12" t="s">
        <v>30</v>
      </c>
    </row>
    <row r="4" customFormat="false" ht="21.75" hidden="false" customHeight="true" outlineLevel="0" collapsed="false">
      <c r="A4" s="11" t="s">
        <v>114</v>
      </c>
      <c r="B4" s="12" t="s">
        <v>29</v>
      </c>
      <c r="D4" s="11" t="s">
        <v>115</v>
      </c>
      <c r="E4" s="12" t="s">
        <v>86</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225</v>
      </c>
      <c r="D8" s="11" t="s">
        <v>126</v>
      </c>
      <c r="E8" s="12" t="s">
        <v>226</v>
      </c>
    </row>
    <row r="9" customFormat="false" ht="78" hidden="false" customHeight="true" outlineLevel="0" collapsed="false">
      <c r="A9" s="11" t="s">
        <v>128</v>
      </c>
      <c r="B9" s="12" t="s">
        <v>227</v>
      </c>
      <c r="D9" s="11" t="s">
        <v>130</v>
      </c>
      <c r="E9" s="12" t="s">
        <v>228</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229</v>
      </c>
      <c r="D11" s="11" t="s">
        <v>134</v>
      </c>
      <c r="E11" s="12" t="s">
        <v>229</v>
      </c>
    </row>
    <row r="12" customFormat="false" ht="21.75" hidden="false" customHeight="true" outlineLevel="0" collapsed="false">
      <c r="A12" s="11" t="s">
        <v>136</v>
      </c>
      <c r="B12" s="12" t="s">
        <v>30</v>
      </c>
      <c r="D12" s="11" t="s">
        <v>137</v>
      </c>
      <c r="E12" s="12" t="s">
        <v>30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230</v>
      </c>
      <c r="B1" s="9"/>
      <c r="D1" s="9" t="s">
        <v>231</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32</v>
      </c>
      <c r="D3" s="11" t="s">
        <v>113</v>
      </c>
      <c r="E3" s="12" t="s">
        <v>32</v>
      </c>
    </row>
    <row r="4" customFormat="false" ht="21.75" hidden="false" customHeight="true" outlineLevel="0" collapsed="false">
      <c r="A4" s="11" t="s">
        <v>114</v>
      </c>
      <c r="B4" s="12" t="s">
        <v>33</v>
      </c>
      <c r="D4" s="11" t="s">
        <v>115</v>
      </c>
      <c r="E4" s="12" t="s">
        <v>87</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232</v>
      </c>
      <c r="D8" s="11" t="s">
        <v>126</v>
      </c>
      <c r="E8" s="12" t="s">
        <v>233</v>
      </c>
    </row>
    <row r="9" customFormat="false" ht="246.75" hidden="false" customHeight="true" outlineLevel="0" collapsed="false">
      <c r="A9" s="11" t="s">
        <v>128</v>
      </c>
      <c r="B9" s="12" t="s">
        <v>234</v>
      </c>
      <c r="D9" s="11" t="s">
        <v>130</v>
      </c>
      <c r="E9" s="12" t="s">
        <v>235</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236</v>
      </c>
      <c r="D11" s="11" t="s">
        <v>134</v>
      </c>
      <c r="E11" s="12" t="s">
        <v>236</v>
      </c>
    </row>
    <row r="12" customFormat="false" ht="21.75" hidden="false" customHeight="true" outlineLevel="0" collapsed="false">
      <c r="A12" s="11" t="s">
        <v>136</v>
      </c>
      <c r="B12" s="12" t="s">
        <v>32</v>
      </c>
      <c r="D12" s="11" t="s">
        <v>137</v>
      </c>
      <c r="E12" s="12" t="s">
        <v>32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237</v>
      </c>
      <c r="B1" s="9"/>
      <c r="D1" s="9" t="s">
        <v>238</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34</v>
      </c>
      <c r="D3" s="11" t="s">
        <v>113</v>
      </c>
      <c r="E3" s="12" t="s">
        <v>34</v>
      </c>
    </row>
    <row r="4" customFormat="false" ht="21.75" hidden="false" customHeight="true" outlineLevel="0" collapsed="false">
      <c r="A4" s="11" t="s">
        <v>114</v>
      </c>
      <c r="B4" s="12" t="s">
        <v>33</v>
      </c>
      <c r="D4" s="11" t="s">
        <v>115</v>
      </c>
      <c r="E4" s="12" t="s">
        <v>87</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239</v>
      </c>
      <c r="D8" s="11" t="s">
        <v>126</v>
      </c>
      <c r="E8" s="12" t="s">
        <v>240</v>
      </c>
    </row>
    <row r="9" customFormat="false" ht="45" hidden="false" customHeight="true" outlineLevel="0" collapsed="false">
      <c r="A9" s="11" t="s">
        <v>128</v>
      </c>
      <c r="B9" s="12" t="s">
        <v>241</v>
      </c>
      <c r="D9" s="11" t="s">
        <v>130</v>
      </c>
      <c r="E9" s="12" t="s">
        <v>242</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243</v>
      </c>
      <c r="D11" s="11" t="s">
        <v>134</v>
      </c>
      <c r="E11" s="12" t="s">
        <v>243</v>
      </c>
    </row>
    <row r="12" customFormat="false" ht="21.75" hidden="false" customHeight="true" outlineLevel="0" collapsed="false">
      <c r="A12" s="11" t="s">
        <v>136</v>
      </c>
      <c r="B12" s="12" t="s">
        <v>34</v>
      </c>
      <c r="D12" s="11" t="s">
        <v>137</v>
      </c>
      <c r="E12" s="12" t="s">
        <v>34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244</v>
      </c>
      <c r="B1" s="9"/>
      <c r="D1" s="9" t="s">
        <v>245</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36</v>
      </c>
      <c r="D3" s="11" t="s">
        <v>113</v>
      </c>
      <c r="E3" s="12" t="s">
        <v>36</v>
      </c>
    </row>
    <row r="4" customFormat="false" ht="21.75" hidden="false" customHeight="true" outlineLevel="0" collapsed="false">
      <c r="A4" s="11" t="s">
        <v>114</v>
      </c>
      <c r="B4" s="12" t="s">
        <v>37</v>
      </c>
      <c r="D4" s="11" t="s">
        <v>115</v>
      </c>
      <c r="E4" s="12" t="s">
        <v>88</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246</v>
      </c>
      <c r="D8" s="11" t="s">
        <v>126</v>
      </c>
      <c r="E8" s="12" t="s">
        <v>247</v>
      </c>
    </row>
    <row r="9" customFormat="false" ht="90.75" hidden="false" customHeight="true" outlineLevel="0" collapsed="false">
      <c r="A9" s="11" t="s">
        <v>128</v>
      </c>
      <c r="B9" s="12" t="s">
        <v>248</v>
      </c>
      <c r="D9" s="11" t="s">
        <v>130</v>
      </c>
      <c r="E9" s="12" t="s">
        <v>249</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250</v>
      </c>
      <c r="D11" s="11" t="s">
        <v>134</v>
      </c>
      <c r="E11" s="12" t="s">
        <v>250</v>
      </c>
    </row>
    <row r="12" customFormat="false" ht="21.75" hidden="false" customHeight="true" outlineLevel="0" collapsed="false">
      <c r="A12" s="11" t="s">
        <v>136</v>
      </c>
      <c r="B12" s="12" t="s">
        <v>36</v>
      </c>
      <c r="D12" s="11" t="s">
        <v>137</v>
      </c>
      <c r="E12" s="12" t="s">
        <v>36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251</v>
      </c>
      <c r="B1" s="9"/>
      <c r="D1" s="9" t="s">
        <v>252</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39</v>
      </c>
      <c r="D3" s="11" t="s">
        <v>113</v>
      </c>
      <c r="E3" s="12" t="s">
        <v>39</v>
      </c>
    </row>
    <row r="4" customFormat="false" ht="21.75" hidden="false" customHeight="true" outlineLevel="0" collapsed="false">
      <c r="A4" s="11" t="s">
        <v>114</v>
      </c>
      <c r="B4" s="12" t="s">
        <v>40</v>
      </c>
      <c r="D4" s="11" t="s">
        <v>115</v>
      </c>
      <c r="E4" s="12" t="s">
        <v>89</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03.5" hidden="false" customHeight="true" outlineLevel="0" collapsed="false">
      <c r="A8" s="11" t="s">
        <v>124</v>
      </c>
      <c r="B8" s="12" t="s">
        <v>253</v>
      </c>
      <c r="D8" s="11" t="s">
        <v>126</v>
      </c>
      <c r="E8" s="12" t="s">
        <v>254</v>
      </c>
    </row>
    <row r="9" customFormat="false" ht="234" hidden="false" customHeight="true" outlineLevel="0" collapsed="false">
      <c r="A9" s="11" t="s">
        <v>128</v>
      </c>
      <c r="B9" s="12" t="s">
        <v>255</v>
      </c>
      <c r="D9" s="11" t="s">
        <v>130</v>
      </c>
      <c r="E9" s="12" t="s">
        <v>256</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257</v>
      </c>
      <c r="D11" s="11" t="s">
        <v>134</v>
      </c>
      <c r="E11" s="12" t="s">
        <v>257</v>
      </c>
    </row>
    <row r="12" customFormat="false" ht="21.75" hidden="false" customHeight="true" outlineLevel="0" collapsed="false">
      <c r="A12" s="11" t="s">
        <v>136</v>
      </c>
      <c r="B12" s="12" t="s">
        <v>39</v>
      </c>
      <c r="D12" s="11" t="s">
        <v>137</v>
      </c>
      <c r="E12" s="12" t="s">
        <v>39</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258</v>
      </c>
      <c r="B1" s="9"/>
      <c r="D1" s="9" t="s">
        <v>259</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42</v>
      </c>
      <c r="D3" s="11" t="s">
        <v>113</v>
      </c>
      <c r="E3" s="12" t="s">
        <v>42</v>
      </c>
    </row>
    <row r="4" customFormat="false" ht="21.75" hidden="false" customHeight="true" outlineLevel="0" collapsed="false">
      <c r="A4" s="11" t="s">
        <v>114</v>
      </c>
      <c r="B4" s="12" t="s">
        <v>43</v>
      </c>
      <c r="D4" s="11" t="s">
        <v>115</v>
      </c>
      <c r="E4" s="12" t="s">
        <v>90</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260</v>
      </c>
      <c r="D8" s="11" t="s">
        <v>126</v>
      </c>
      <c r="E8" s="12" t="s">
        <v>261</v>
      </c>
    </row>
    <row r="9" customFormat="false" ht="300" hidden="false" customHeight="true" outlineLevel="0" collapsed="false">
      <c r="A9" s="11" t="s">
        <v>128</v>
      </c>
      <c r="B9" s="12" t="s">
        <v>262</v>
      </c>
      <c r="D9" s="11" t="s">
        <v>130</v>
      </c>
      <c r="E9" s="12" t="s">
        <v>263</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264</v>
      </c>
      <c r="D11" s="11" t="s">
        <v>134</v>
      </c>
      <c r="E11" s="12" t="s">
        <v>264</v>
      </c>
    </row>
    <row r="12" customFormat="false" ht="21.75" hidden="false" customHeight="true" outlineLevel="0" collapsed="false">
      <c r="A12" s="11" t="s">
        <v>136</v>
      </c>
      <c r="B12" s="12" t="s">
        <v>42</v>
      </c>
      <c r="D12" s="11" t="s">
        <v>137</v>
      </c>
      <c r="E12" s="12" t="s">
        <v>42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265</v>
      </c>
      <c r="B1" s="9"/>
      <c r="D1" s="9" t="s">
        <v>266</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44</v>
      </c>
      <c r="D3" s="11" t="s">
        <v>113</v>
      </c>
      <c r="E3" s="12" t="s">
        <v>44</v>
      </c>
    </row>
    <row r="4" customFormat="false" ht="21.75" hidden="false" customHeight="true" outlineLevel="0" collapsed="false">
      <c r="A4" s="11" t="s">
        <v>114</v>
      </c>
      <c r="B4" s="12" t="s">
        <v>43</v>
      </c>
      <c r="D4" s="11" t="s">
        <v>115</v>
      </c>
      <c r="E4" s="12" t="s">
        <v>90</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29.75" hidden="false" customHeight="true" outlineLevel="0" collapsed="false">
      <c r="A8" s="11" t="s">
        <v>124</v>
      </c>
      <c r="B8" s="12" t="s">
        <v>267</v>
      </c>
      <c r="D8" s="11" t="s">
        <v>126</v>
      </c>
      <c r="E8" s="12" t="s">
        <v>268</v>
      </c>
    </row>
    <row r="9" customFormat="false" ht="103.5" hidden="false" customHeight="true" outlineLevel="0" collapsed="false">
      <c r="A9" s="11" t="s">
        <v>128</v>
      </c>
      <c r="B9" s="12" t="s">
        <v>269</v>
      </c>
      <c r="D9" s="11" t="s">
        <v>130</v>
      </c>
      <c r="E9" s="12" t="s">
        <v>270</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271</v>
      </c>
      <c r="D11" s="11" t="s">
        <v>134</v>
      </c>
      <c r="E11" s="12" t="s">
        <v>271</v>
      </c>
    </row>
    <row r="12" customFormat="false" ht="21.75" hidden="false" customHeight="true" outlineLevel="0" collapsed="false">
      <c r="A12" s="11" t="s">
        <v>136</v>
      </c>
      <c r="B12" s="12" t="s">
        <v>44</v>
      </c>
      <c r="D12" s="11" t="s">
        <v>137</v>
      </c>
      <c r="E12" s="12" t="s">
        <v>44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272</v>
      </c>
      <c r="B1" s="9"/>
      <c r="D1" s="9" t="s">
        <v>273</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46</v>
      </c>
      <c r="D3" s="11" t="s">
        <v>113</v>
      </c>
      <c r="E3" s="12" t="s">
        <v>46</v>
      </c>
    </row>
    <row r="4" customFormat="false" ht="21.75" hidden="false" customHeight="true" outlineLevel="0" collapsed="false">
      <c r="A4" s="11" t="s">
        <v>114</v>
      </c>
      <c r="B4" s="12" t="s">
        <v>47</v>
      </c>
      <c r="D4" s="11" t="s">
        <v>115</v>
      </c>
      <c r="E4" s="12" t="s">
        <v>91</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274</v>
      </c>
      <c r="D8" s="11" t="s">
        <v>126</v>
      </c>
      <c r="E8" s="12" t="s">
        <v>275</v>
      </c>
    </row>
    <row r="9" customFormat="false" ht="117" hidden="false" customHeight="true" outlineLevel="0" collapsed="false">
      <c r="A9" s="11" t="s">
        <v>128</v>
      </c>
      <c r="B9" s="12" t="s">
        <v>276</v>
      </c>
      <c r="D9" s="11" t="s">
        <v>130</v>
      </c>
      <c r="E9" s="12" t="s">
        <v>277</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278</v>
      </c>
      <c r="D11" s="11" t="s">
        <v>134</v>
      </c>
      <c r="E11" s="12" t="s">
        <v>278</v>
      </c>
    </row>
    <row r="12" customFormat="false" ht="21.75" hidden="false" customHeight="true" outlineLevel="0" collapsed="false">
      <c r="A12" s="11" t="s">
        <v>136</v>
      </c>
      <c r="B12" s="12" t="s">
        <v>46</v>
      </c>
      <c r="D12" s="11" t="s">
        <v>137</v>
      </c>
      <c r="E12" s="12" t="s">
        <v>46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279</v>
      </c>
      <c r="B1" s="9"/>
      <c r="D1" s="9" t="s">
        <v>280</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48</v>
      </c>
      <c r="D3" s="11" t="s">
        <v>113</v>
      </c>
      <c r="E3" s="12" t="s">
        <v>48</v>
      </c>
    </row>
    <row r="4" customFormat="false" ht="21.75" hidden="false" customHeight="true" outlineLevel="0" collapsed="false">
      <c r="A4" s="11" t="s">
        <v>114</v>
      </c>
      <c r="B4" s="12" t="s">
        <v>49</v>
      </c>
      <c r="D4" s="11" t="s">
        <v>115</v>
      </c>
      <c r="E4" s="12" t="s">
        <v>92</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281</v>
      </c>
      <c r="D8" s="11" t="s">
        <v>126</v>
      </c>
      <c r="E8" s="12" t="s">
        <v>282</v>
      </c>
    </row>
    <row r="9" customFormat="false" ht="234" hidden="false" customHeight="true" outlineLevel="0" collapsed="false">
      <c r="A9" s="11" t="s">
        <v>128</v>
      </c>
      <c r="B9" s="12" t="s">
        <v>283</v>
      </c>
      <c r="D9" s="11" t="s">
        <v>130</v>
      </c>
      <c r="E9" s="12" t="s">
        <v>284</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285</v>
      </c>
      <c r="D11" s="11" t="s">
        <v>134</v>
      </c>
      <c r="E11" s="12" t="s">
        <v>285</v>
      </c>
    </row>
    <row r="12" customFormat="false" ht="21.75" hidden="false" customHeight="true" outlineLevel="0" collapsed="false">
      <c r="A12" s="11" t="s">
        <v>136</v>
      </c>
      <c r="B12" s="12" t="s">
        <v>48</v>
      </c>
      <c r="D12" s="11" t="s">
        <v>137</v>
      </c>
      <c r="E12" s="12" t="s">
        <v>48</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286</v>
      </c>
      <c r="B1" s="9"/>
      <c r="D1" s="9" t="s">
        <v>287</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50</v>
      </c>
      <c r="D3" s="11" t="s">
        <v>113</v>
      </c>
      <c r="E3" s="12" t="s">
        <v>50</v>
      </c>
    </row>
    <row r="4" customFormat="false" ht="21.75" hidden="false" customHeight="true" outlineLevel="0" collapsed="false">
      <c r="A4" s="11" t="s">
        <v>114</v>
      </c>
      <c r="B4" s="12" t="s">
        <v>51</v>
      </c>
      <c r="D4" s="11" t="s">
        <v>115</v>
      </c>
      <c r="E4" s="12" t="s">
        <v>93</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288</v>
      </c>
      <c r="D8" s="11" t="s">
        <v>126</v>
      </c>
      <c r="E8" s="12" t="s">
        <v>289</v>
      </c>
    </row>
    <row r="9" customFormat="false" ht="168.75" hidden="false" customHeight="true" outlineLevel="0" collapsed="false">
      <c r="A9" s="11" t="s">
        <v>128</v>
      </c>
      <c r="B9" s="12" t="s">
        <v>290</v>
      </c>
      <c r="D9" s="11" t="s">
        <v>130</v>
      </c>
      <c r="E9" s="12" t="s">
        <v>291</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292</v>
      </c>
      <c r="D11" s="11" t="s">
        <v>134</v>
      </c>
      <c r="E11" s="12" t="s">
        <v>292</v>
      </c>
    </row>
    <row r="12" customFormat="false" ht="21.75" hidden="false" customHeight="true" outlineLevel="0" collapsed="false">
      <c r="A12" s="11" t="s">
        <v>136</v>
      </c>
      <c r="B12" s="12" t="s">
        <v>50</v>
      </c>
      <c r="D12" s="11" t="s">
        <v>137</v>
      </c>
      <c r="E12" s="12" t="s">
        <v>50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293</v>
      </c>
      <c r="B1" s="9"/>
      <c r="D1" s="9" t="s">
        <v>294</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52</v>
      </c>
      <c r="D3" s="11" t="s">
        <v>113</v>
      </c>
      <c r="E3" s="12" t="s">
        <v>52</v>
      </c>
    </row>
    <row r="4" customFormat="false" ht="21.75" hidden="false" customHeight="true" outlineLevel="0" collapsed="false">
      <c r="A4" s="11" t="s">
        <v>114</v>
      </c>
      <c r="B4" s="12" t="s">
        <v>53</v>
      </c>
      <c r="D4" s="11" t="s">
        <v>115</v>
      </c>
      <c r="E4" s="12" t="s">
        <v>94</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295</v>
      </c>
      <c r="D8" s="11" t="s">
        <v>126</v>
      </c>
      <c r="E8" s="12" t="s">
        <v>296</v>
      </c>
    </row>
    <row r="9" customFormat="false" ht="117" hidden="false" customHeight="true" outlineLevel="0" collapsed="false">
      <c r="A9" s="11" t="s">
        <v>128</v>
      </c>
      <c r="B9" s="12" t="s">
        <v>297</v>
      </c>
      <c r="D9" s="11" t="s">
        <v>130</v>
      </c>
      <c r="E9" s="12" t="s">
        <v>298</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299</v>
      </c>
      <c r="D11" s="11" t="s">
        <v>134</v>
      </c>
      <c r="E11" s="12" t="s">
        <v>299</v>
      </c>
    </row>
    <row r="12" customFormat="false" ht="21.75" hidden="false" customHeight="true" outlineLevel="0" collapsed="false">
      <c r="A12" s="11" t="s">
        <v>136</v>
      </c>
      <c r="B12" s="12" t="s">
        <v>52</v>
      </c>
      <c r="D12" s="11" t="s">
        <v>137</v>
      </c>
      <c r="E12" s="12" t="s">
        <v>52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300</v>
      </c>
      <c r="B1" s="9"/>
      <c r="D1" s="9" t="s">
        <v>301</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54</v>
      </c>
      <c r="D3" s="11" t="s">
        <v>113</v>
      </c>
      <c r="E3" s="12" t="s">
        <v>54</v>
      </c>
    </row>
    <row r="4" customFormat="false" ht="21.75" hidden="false" customHeight="true" outlineLevel="0" collapsed="false">
      <c r="A4" s="11" t="s">
        <v>114</v>
      </c>
      <c r="B4" s="12" t="s">
        <v>53</v>
      </c>
      <c r="D4" s="11" t="s">
        <v>115</v>
      </c>
      <c r="E4" s="12" t="s">
        <v>94</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302</v>
      </c>
      <c r="D8" s="11" t="s">
        <v>126</v>
      </c>
      <c r="E8" s="12" t="s">
        <v>303</v>
      </c>
    </row>
    <row r="9" customFormat="false" ht="45" hidden="false" customHeight="true" outlineLevel="0" collapsed="false">
      <c r="A9" s="11" t="s">
        <v>128</v>
      </c>
      <c r="B9" s="12" t="s">
        <v>304</v>
      </c>
      <c r="D9" s="11" t="s">
        <v>130</v>
      </c>
      <c r="E9" s="12" t="s">
        <v>305</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306</v>
      </c>
      <c r="D11" s="11" t="s">
        <v>134</v>
      </c>
      <c r="E11" s="12" t="s">
        <v>306</v>
      </c>
    </row>
    <row r="12" customFormat="false" ht="21.75" hidden="false" customHeight="true" outlineLevel="0" collapsed="false">
      <c r="A12" s="11" t="s">
        <v>136</v>
      </c>
      <c r="B12" s="12" t="s">
        <v>54</v>
      </c>
      <c r="D12" s="11" t="s">
        <v>137</v>
      </c>
      <c r="E12" s="12" t="s">
        <v>54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307</v>
      </c>
      <c r="B1" s="9"/>
      <c r="D1" s="9" t="s">
        <v>308</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56</v>
      </c>
      <c r="D3" s="11" t="s">
        <v>113</v>
      </c>
      <c r="E3" s="12" t="s">
        <v>56</v>
      </c>
    </row>
    <row r="4" customFormat="false" ht="21.75" hidden="false" customHeight="true" outlineLevel="0" collapsed="false">
      <c r="A4" s="11" t="s">
        <v>114</v>
      </c>
      <c r="B4" s="12" t="s">
        <v>57</v>
      </c>
      <c r="D4" s="11" t="s">
        <v>115</v>
      </c>
      <c r="E4" s="12" t="s">
        <v>95</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309</v>
      </c>
      <c r="D8" s="11" t="s">
        <v>126</v>
      </c>
      <c r="E8" s="12" t="s">
        <v>310</v>
      </c>
    </row>
    <row r="9" customFormat="false" ht="78" hidden="false" customHeight="true" outlineLevel="0" collapsed="false">
      <c r="A9" s="11" t="s">
        <v>128</v>
      </c>
      <c r="B9" s="12" t="s">
        <v>311</v>
      </c>
      <c r="D9" s="11" t="s">
        <v>130</v>
      </c>
      <c r="E9" s="12" t="s">
        <v>312</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313</v>
      </c>
      <c r="D11" s="11" t="s">
        <v>134</v>
      </c>
      <c r="E11" s="12" t="s">
        <v>313</v>
      </c>
    </row>
    <row r="12" customFormat="false" ht="21.75" hidden="false" customHeight="true" outlineLevel="0" collapsed="false">
      <c r="A12" s="11" t="s">
        <v>136</v>
      </c>
      <c r="B12" s="12" t="s">
        <v>56</v>
      </c>
      <c r="D12" s="11" t="s">
        <v>137</v>
      </c>
      <c r="E12" s="12" t="s">
        <v>56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314</v>
      </c>
      <c r="B1" s="9"/>
      <c r="D1" s="9" t="s">
        <v>315</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59</v>
      </c>
      <c r="D3" s="11" t="s">
        <v>113</v>
      </c>
      <c r="E3" s="12" t="s">
        <v>59</v>
      </c>
    </row>
    <row r="4" customFormat="false" ht="21.75" hidden="false" customHeight="true" outlineLevel="0" collapsed="false">
      <c r="A4" s="11" t="s">
        <v>114</v>
      </c>
      <c r="B4" s="12" t="s">
        <v>60</v>
      </c>
      <c r="D4" s="11" t="s">
        <v>115</v>
      </c>
      <c r="E4" s="12" t="s">
        <v>96</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42.5" hidden="false" customHeight="true" outlineLevel="0" collapsed="false">
      <c r="A8" s="11" t="s">
        <v>124</v>
      </c>
      <c r="B8" s="12" t="s">
        <v>316</v>
      </c>
      <c r="D8" s="11" t="s">
        <v>126</v>
      </c>
      <c r="E8" s="12" t="s">
        <v>317</v>
      </c>
    </row>
    <row r="9" customFormat="false" ht="90.75" hidden="false" customHeight="true" outlineLevel="0" collapsed="false">
      <c r="A9" s="11" t="s">
        <v>128</v>
      </c>
      <c r="B9" s="12" t="s">
        <v>318</v>
      </c>
      <c r="D9" s="11" t="s">
        <v>130</v>
      </c>
      <c r="E9" s="12" t="s">
        <v>319</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320</v>
      </c>
      <c r="D11" s="11" t="s">
        <v>134</v>
      </c>
      <c r="E11" s="12" t="s">
        <v>320</v>
      </c>
    </row>
    <row r="12" customFormat="false" ht="21.75" hidden="false" customHeight="true" outlineLevel="0" collapsed="false">
      <c r="A12" s="11" t="s">
        <v>136</v>
      </c>
      <c r="B12" s="12" t="s">
        <v>59</v>
      </c>
      <c r="D12" s="11" t="s">
        <v>137</v>
      </c>
      <c r="E12" s="12" t="s">
        <v>59</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2026-05-29T18:34:05Z</dcterms:created>
  <dc:creator>openpyxl</dc:creator>
  <dc:description/>
  <dc:language>en-US</dc:language>
  <cp:lastModifiedBy/>
  <dcterms:modified xsi:type="dcterms:W3CDTF">2026-05-29T18:34:06Z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