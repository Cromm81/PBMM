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6" sheetId="3" state="visible" r:id="rId5"/>
    <sheet name="AC-6-1" sheetId="4" state="visible" r:id="rId6"/>
    <sheet name="AU-2" sheetId="5" state="visible" r:id="rId7"/>
    <sheet name="AU-3" sheetId="6" state="visible" r:id="rId8"/>
    <sheet name="AU-3-1" sheetId="7" state="visible" r:id="rId9"/>
    <sheet name="AU-9-2" sheetId="8" state="visible" r:id="rId10"/>
    <sheet name="AU-12" sheetId="9" state="visible" r:id="rId11"/>
    <sheet name="CM-5-6" sheetId="10" state="visible" r:id="rId12"/>
    <sheet name="CM-6" sheetId="11" state="visible" r:id="rId13"/>
    <sheet name="CM-7" sheetId="12" state="visible" r:id="rId14"/>
    <sheet name="CM-7-1" sheetId="13" state="visible" r:id="rId15"/>
    <sheet name="CP-10" sheetId="14" state="visible" r:id="rId16"/>
    <sheet name="CP-10-4" sheetId="15" state="visible" r:id="rId17"/>
    <sheet name="IA-5-7" sheetId="16" state="visible" r:id="rId18"/>
    <sheet name="SA-9-5" sheetId="17" state="visible" r:id="rId19"/>
    <sheet name="SA-11-1" sheetId="18" state="visible" r:id="rId20"/>
    <sheet name="SA-11-8" sheetId="19" state="visible" r:id="rId21"/>
    <sheet name="SI-4-2" sheetId="20" state="visible" r:id="rId22"/>
    <sheet name="SI-6"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<sst xmlns="http://schemas.openxmlformats.org/spreadsheetml/2006/main" count="1250" uniqueCount="263">
  <si>
    <t xml:space="preserve">DASHBOARD — PBMM Evidence: Developer Tools</t>
  </si>
  <si>
    <t xml:space="preserve">Control ID</t>
  </si>
  <si>
    <t xml:space="preserve">Control Name</t>
  </si>
  <si>
    <t xml:space="preserve">Primary Tool</t>
  </si>
  <si>
    <t xml:space="preserve">Tab</t>
  </si>
  <si>
    <t xml:space="preserve">Status</t>
  </si>
  <si>
    <t xml:space="preserve">AC-6</t>
  </si>
  <si>
    <t xml:space="preserve">Least Privilege</t>
  </si>
  <si>
    <t xml:space="preserve">AC-6(1)</t>
  </si>
  <si>
    <t xml:space="preserve">AC-6-1</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</si>
  <si>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</si>
  <si>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</si>
  <si>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</si>
  <si>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</si>
  <si>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</si>
  <si>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</si>
  <si>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</si>
  <si>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</si>
  <si>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</si>
  <si>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</si>
  <si>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</si>
  <si>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CM-5(6)</t>
  </si>
  <si>
    <t xml:space="preserve">Access Restrictions for Change</t>
  </si>
  <si>
    <t xml:space="preserve">CM-5-6</t>
  </si>
  <si>
    <t xml:space="preserve">CM-6</t>
  </si>
  <si>
    <t xml:space="preserve">Configuration Settings</t>
  </si>
  <si>
    <t xml:space="preserve">CM-7</t>
  </si>
  <si>
    <t xml:space="preserve">Least Functionality</t>
  </si>
  <si>
    <t xml:space="preserve">CM-7(1)</t>
  </si>
  <si>
    <t xml:space="preserve">CM-7-1</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</si>
  <si>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</si>
  <si>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</si>
  <si>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</si>
  <si>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</si>
  <si>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</si>
  <si>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</si>
  <si>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</si>
  <si>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SA-9(5)</t>
  </si>
  <si>
    <t xml:space="preserve">External Information System Services</t>
  </si>
  <si>
    <t xml:space="preserve">SA-9-5</t>
  </si>
  <si>
    <t xml:space="preserve">SA-11(1)</t>
  </si>
  <si>
    <t xml:space="preserve">Developer Security Testing</t>
  </si>
  <si>
    <t xml:space="preserve">SA-11-1</t>
  </si>
  <si>
    <t xml:space="preserve">SA-11(8)</t>
  </si>
  <si>
    <t xml:space="preserve">SA-11-8</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</si>
  <si>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</si>
  <si>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</si>
  <si>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</si>
  <si>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</si>
  <si>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</si>
  <si>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</si>
  <si>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</si>
  <si>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</si>
  <si>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</si>
  <si>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</si>
  <si>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</si>
  <si>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</si>
  <si>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</si>
  <si>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</si>
  <si>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</si>
  <si>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</si>
  <si>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Developer Tools</t>
  </si>
  <si>
    <t xml:space="preserve">ID Contrôle</t>
  </si>
  <si>
    <t xml:space="preserve">Nom du contrôle</t>
  </si>
  <si>
    <t xml:space="preserve">Outil principal</t>
  </si>
  <si>
    <t xml:space="preserve">Onglet</t>
  </si>
  <si>
    <t xml:space="preserve">Statut</t>
  </si>
  <si>
    <t xml:space="preserve">Moindre privilège</t>
  </si>
  <si>
    <t xml:space="preserve">Événements vérifiables</t>
  </si>
  <si>
    <t xml:space="preserve">Contenu des enregistrements de vérification</t>
  </si>
  <si>
    <t xml:space="preserve">Protection des renseignements de vérification</t>
  </si>
  <si>
    <t xml:space="preserve">Génération des vérifications</t>
  </si>
  <si>
    <t xml:space="preserve">Restrictions d’accès pour les changements</t>
  </si>
  <si>
    <t xml:space="preserve">Paramètres de configuration</t>
  </si>
  <si>
    <t xml:space="preserve">Moindre fonctionnalité</t>
  </si>
  <si>
    <t xml:space="preserve">Reprise et reconstitution du système d’information</t>
  </si>
  <si>
    <t xml:space="preserve">Gestion des authentifiants</t>
  </si>
  <si>
    <t xml:space="preserve">Services de systèmes d’information externes</t>
  </si>
  <si>
    <t xml:space="preserve">Essais de sécurité du développeur</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</si>
  <si>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</si>
  <si>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</si>
  <si>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</si>
  <si>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</si>
  <si>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</si>
  <si>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</si>
  <si>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</si>
  <si>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</si>
  <si>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</si>
  <si>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</si>
  <si>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</si>
  <si>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</si>
  <si>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</si>
  <si>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AC-6 — Evidence Tracking</t>
  </si>
  <si>
    <t xml:space="preserve">Contrôle AC-6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</si>
  <si>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</si>
  <si>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</si>
  <si>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</si>
  <si>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</si>
  <si>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</si>
  <si>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</si>
  <si>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</si>
  <si>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</si>
  <si>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</si>
  <si>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</si>
  <si>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</si>
  <si>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</si>
  <si>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</si>
  <si>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</si>
  <si>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</si>
  <si>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</si>
  <si>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Description du contrôle</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</si>
  <si>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</si>
  <si>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Supplemental Guidance</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</si>
  <si>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</si>
  <si>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Directives supplémentaires</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</si>
  <si>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</si>
  <si>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 Case</t>
  </si>
  <si>
    <t xml:space="preserve">Cas de test</t>
  </si>
  <si>
    <t xml:space="preserve">Test</t>
  </si>
  <si>
    <t xml:space="preserve">TEST-AC-6</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</si>
  <si>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</si>
  <si>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</si>
  <si>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</si>
  <si>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</si>
  <si>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</si>
  <si>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</si>
  <si>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</si>
  <si>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</si>
  <si>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</si>
  <si>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</si>
  <si>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</si>
  <si>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</si>
  <si>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</si>
  <si>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</si>
  <si>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</si>
  <si>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</si>
  <si>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</si>
  <si>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</si>
  <si>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</si>
  <si>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</si>
  <si>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</si>
  <si>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</si>
  <si>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</si>
  <si>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</si>
  <si>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</si>
  <si>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</si>
  <si>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</si>
  <si>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</si>
  <si>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</si>
  <si>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</si>
  <si>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</si>
  <si>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</si>
  <si>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</si>
  <si>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</si>
  <si>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</si>
  <si>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</si>
  <si>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</si>
  <si>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</si>
  <si>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</si>
  <si>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</si>
  <si>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</si>
  <si>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</si>
  <si>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</si>
  <si>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</si>
  <si>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</si>
  <si>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</si>
  <si>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</si>
  <si>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</si>
  <si>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</si>
  <si>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</si>
  <si>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</si>
  <si>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</si>
  <si>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</si>
  <si>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</si>
  <si>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</si>
  <si>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</si>
  <si>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</si>
  <si>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</si>
  <si>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</si>
  <si>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CM-5(6) — Evidence Tracking</t>
  </si>
  <si>
    <t xml:space="preserve">Contrôle CM-5(6) — Suivi des preuves</t>
  </si>
  <si>
    <t xml:space="preserve">ACCESS RESTRICTIONS FOR CHANGE | LIMIT LIBRARY PRIVILEGES
The organization limits privileges to change software resident within software libraries.</t>
  </si>
  <si>
    <t xml:space="preserve">RESTRICTIONS D’ACCÈS POUR LES CHANGEMENTS | LIMITER LES PRIVILÈGES RELATIFS AUX BIBLIOTHÈQUES
L’organisation limite les privilèges relatifs aux modifications du logiciel résidant dans les bibliothèques de logiciels.</t>
  </si>
  <si>
    <t xml:space="preserve">Software libraries include privileged programs. Related control: AC-2.</t>
  </si>
  <si>
    <t xml:space="preserve">Les bibliothèques de logiciels comprennent des programmes privilégiés. Contrôle connexe : AC-2.</t>
  </si>
  <si>
    <t xml:space="preserve">TEST-CM-5(6)</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</si>
  <si>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</si>
  <si>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</si>
  <si>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</si>
  <si>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</si>
  <si>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</si>
  <si>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</si>
  <si>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</si>
  <si>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</si>
  <si>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</si>
  <si>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</si>
  <si>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</si>
  <si>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</si>
  <si>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</si>
  <si>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</si>
  <si>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</si>
  <si>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</si>
  <si>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</si>
  <si>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</si>
  <si>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</si>
  <si>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</si>
  <si>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</si>
  <si>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</si>
  <si>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</si>
  <si>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</si>
  <si>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</si>
  <si>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</si>
  <si>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</si>
  <si>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</si>
  <si>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</si>
  <si>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</si>
  <si>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</si>
  <si>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</si>
  <si>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</si>
  <si>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</si>
  <si>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</si>
  <si>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</si>
  <si>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</si>
  <si>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</si>
  <si>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</si>
  <si>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</si>
  <si>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</si>
  <si>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</si>
  <si>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</si>
  <si>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</si>
  <si>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</si>
  <si>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</si>
  <si>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</si>
  <si>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</si>
  <si>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</si>
  <si>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SA-11(1) — Evidence Tracking</t>
  </si>
  <si>
    <t xml:space="preserve">Contrôle SA-11(1) — Suivi des preuves</t>
  </si>
  <si>
    <t xml:space="preserve">DEVELOPER SECURITY TESTING AND EVALUATION | STATIC CODE ANALYSIS
The organization requires the developer of the information system, system component, or information system service to employ static code analysis tools to identify common flaws and document the results of the analysis.</t>
  </si>
  <si>
    <t xml:space="preserve">ESSAIS ET ÉVALUATION DE LA SÉCURITÉ PAR LE DÉVELOPPEUR | ANALYSE DU CODE STATIQUE
L’organisation exige que le développeur du système d’information, du composant du système ou du service du système d’information utilise des outils d’analyse du code statique pour repérer les défauts courants et documenter les résultats de l’analyse.</t>
  </si>
  <si>
    <t xml:space="preserve">Static code analysis provides a technology and methodology for security reviews. Such analysis can be used to identify security vulnerabilities and enforce security coding practices. Static code analysis is most effective when used early in the development process, when each code change can be automatically scanned for potential weaknesses. Static analysis can provide clear remediation guidance along with defects to enable developers to fix such defects. Evidence of correct implementation of static analysis can include, for example, aggregate defect density for critical defect types, evidence that defects were inspected by developers or security professionals, and evidence that defects were fixed. An excessively high density of ignored findings (commonly referred to as ignored or false positives) indicates a potential problem with the analysis process or tool. In such cases, organizations weigh the validity of the evidence against evidence from other sources.</t>
  </si>
  <si>
    <t xml:space="preserve">L’analyse du code statique fournit une technologie et une méthodologie pour les examens de sécurité. Une telle analyse peut servir à déterminer les vulnérabilités en matière de sécurité et à appliquer les pratiques de codage de sécurité. L’analyse du code statique sera plus efficace si elle est utilisée tôt dans le processus de développement, alors que chaque changement de code peut automatiquement être soumis à un balayage permettant de déceler les faiblesses potentielles. L’analyse statique peut fournir des directives claires sur les mesures correctives ainsi que sur les défauts afin de permettre aux développeurs de corriger ces défauts. Les preuves de la mise en œuvre correcte de l’analyse statique peuvent comprendre, par exemple, la densité globale des défauts pour les types de défauts critiques, des preuves que les défauts ont été inspectés par des développeurs ou des professionnels de la sécurité, et des preuves que les défauts ont été corrigés. Une densité excessivement élevée de résultats ignorés (communément appelés faux positifs) indique un problème potentiel avec le processus ou l’outil d’analyse. Dans de tels cas, les organisations évaluent la validité de la preuve par rapport à celle d’autres sources.</t>
  </si>
  <si>
    <t xml:space="preserve">TEST-SA-11(1)</t>
  </si>
  <si>
    <t xml:space="preserve">Control SA-11(8) — Evidence Tracking</t>
  </si>
  <si>
    <t xml:space="preserve">Contrôle SA-11(8) — Suivi des preuves</t>
  </si>
  <si>
    <t xml:space="preserve">DEVELOPER SECURITY TESTING AND EVALUATION | DYNAMIC CODE ANALYSIS
The organization requires the developer of the information system, system component, or information system service to employ dynamic code analysis tools to identify common flaws and document the results of the analysis.</t>
  </si>
  <si>
    <t xml:space="preserve">ESSAIS ET ÉVALUATION DE LA SÉCURITÉ PAR LE DÉVELOPPEUR | ANALYSE DU CODE DYNAMIQUE
L’organisation exige que le développeur du système d’information, du composant du système ou du service du système d’information utilise des outils d’analyse du code dynamique pour repérer les vulnérabilités courantes et documenter les résultats de l’analyse.</t>
  </si>
  <si>
    <t xml:space="preserve">Dynamic code analysis provides run-time verification of software programs, using tools capable of monitoring programs for memory corruption, user privilege issues, and other potential security problems. Dynamic code analysis employs run-time tools to help to ensure that security functionality performs in the manner in which it was designed. A specialized type of dynamic analysis, known as fuzz testing, induces program failures by deliberately introducing malformed or random data into software programs. Fuzz testing strategies derive from the intended use of applications and the functional and design specifications for the applications. To understand the scope of dynamic code analysis and hence the assurance provided, organizations may also consider conducting code coverage analysis (checking the degree to which the code has been tested using metrics such as percent of subroutines tested or percent of program statements called during execution of the test suite) and/or concordance analysis.</t>
  </si>
  <si>
    <t xml:space="preserve">L’analyse du code dynamique permet de vérifier le temps d’exécution des programmes logiciels à l’aide d’outils capables de surveiller les programmes en ce qui a trait à la corruption de la mémoire, aux problèmes liés aux privilèges d’utilisateur et à d’autres problèmes de sécurité potentiels. L’analyse dynamique du code fait appel à des outils à l’exécution pour s’assurer que les fonctionnalités de sécurité fonctionnent de la façon dont elles ont été conçues. Un type spécialisé d’analyse dynamique, connu sous le nom de test à données aléatoires (fuzz testing), induit des échecs du programme en introduisant délibérément des données erronées ou aléatoires dans des programmes logiciels. Les stratégies de test à données aléatoires déployées dépendent de l’utilisation prévue des applications et des spécifications fonctionnelles et de conception pour les applications. Pour comprendre la portée de l’analyse dynamique du code et, par conséquent, l’assurance fournie, les organisations peuvent également envisager d’effectuer une analyse de la couverture du code (en vérifiant la mesure dans laquelle le code a été mis à l’essai à l’aide de paramètres comme le pourcentage des sous-programmes testés ou le pourcentage des instructions du programme appelées pendant l’exécution de la série d’essais) ou une analyse de concordance.</t>
  </si>
  <si>
    <t xml:space="preserve">TEST-SA-11(8)</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</si>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</sst>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'AC-6'!B20</f>
        <v>Not Started</v>
      </c>
    </row>
    <row r="4" customFormat="false" ht="18" hidden="false" customHeight="true" outlineLevel="0" collapsed="false">
      <c r="A4" s="3" t="s">
        <v>8</v>
      </c>
      <c r="B4" s="4" t="s">
        <v>7</v>
      </c>
      <c r="C4" s="4"/>
      <c r="D4" s="3" t="s">
        <v>9</v>
      </c>
      <c r="E4" s="3" t="str">
        <f aca="false">'AC-6-1'!B20</f>
        <v>Not Started</v>
      </c>
    </row>
    <row r="5" customFormat="false" ht="18" hidden="false" customHeight="true" outlineLevel="0" collapsed="false">
      <c r="A5" s="3" t="s">
        <v>10</v>
      </c>
      <c r="B5" s="4" t="s">
        <v>11</v>
      </c>
      <c r="C5" s="4"/>
      <c r="D5" s="3" t="s">
        <v>10</v>
      </c>
      <c r="E5" s="3" t="str">
        <f aca="false">'AU-2'!B20</f>
        <v>Not Started</v>
      </c>
    </row>
    <row r="6" customFormat="false" ht="18" hidden="false" customHeight="true" outlineLevel="0" collapsed="false">
      <c r="A6" s="3" t="s">
        <v>12</v>
      </c>
      <c r="B6" s="4" t="s">
        <v>13</v>
      </c>
      <c r="C6" s="4"/>
      <c r="D6" s="3" t="s">
        <v>12</v>
      </c>
      <c r="E6" s="3" t="str">
        <f aca="false">'AU-3'!B20</f>
        <v>Not Started</v>
      </c>
    </row>
    <row r="7" customFormat="false" ht="18" hidden="false" customHeight="true" outlineLevel="0" collapsed="false">
      <c r="A7" s="3" t="s">
        <v>14</v>
      </c>
      <c r="B7" s="4" t="s">
        <v>13</v>
      </c>
      <c r="C7" s="4"/>
      <c r="D7" s="3" t="s">
        <v>15</v>
      </c>
      <c r="E7" s="3" t="str">
        <f aca="false">'AU-3-1'!B20</f>
        <v>Not Started</v>
      </c>
    </row>
    <row r="8" customFormat="false" ht="18" hidden="false" customHeight="true" outlineLevel="0" collapsed="false">
      <c r="A8" s="3" t="s">
        <v>16</v>
      </c>
      <c r="B8" s="4" t="s">
        <v>17</v>
      </c>
      <c r="C8" s="4"/>
      <c r="D8" s="3" t="s">
        <v>18</v>
      </c>
      <c r="E8" s="3" t="str">
        <f aca="false">'AU-9-2'!B20</f>
        <v>Not Started</v>
      </c>
    </row>
    <row r="9" customFormat="false" ht="18" hidden="false" customHeight="true" outlineLevel="0" collapsed="false">
      <c r="A9" s="3" t="s">
        <v>19</v>
      </c>
      <c r="B9" s="4" t="s">
        <v>20</v>
      </c>
      <c r="C9" s="4"/>
      <c r="D9" s="3" t="s">
        <v>19</v>
      </c>
      <c r="E9" s="3" t="str">
        <f aca="false">'AU-12'!B20</f>
        <v>Not Started</v>
      </c>
    </row>
    <row r="10" customFormat="false" ht="18" hidden="false" customHeight="true" outlineLevel="0" collapsed="false">
      <c r="A10" s="3" t="s">
        <v>21</v>
      </c>
      <c r="B10" s="4" t="s">
        <v>22</v>
      </c>
      <c r="C10" s="4"/>
      <c r="D10" s="3" t="s">
        <v>23</v>
      </c>
      <c r="E10" s="3" t="str">
        <f aca="false">'CM-5-6'!B20</f>
        <v>Not Started</v>
      </c>
    </row>
    <row r="11" customFormat="false" ht="18" hidden="false" customHeight="true" outlineLevel="0" collapsed="false">
      <c r="A11" s="3" t="s">
        <v>24</v>
      </c>
      <c r="B11" s="4" t="s">
        <v>25</v>
      </c>
      <c r="C11" s="4"/>
      <c r="D11" s="3" t="s">
        <v>24</v>
      </c>
      <c r="E11" s="3" t="str">
        <f aca="false">'CM-6'!B20</f>
        <v>Not Started</v>
      </c>
    </row>
    <row r="12" customFormat="false" ht="18" hidden="false" customHeight="true" outlineLevel="0" collapsed="false">
      <c r="A12" s="3" t="s">
        <v>26</v>
      </c>
      <c r="B12" s="4" t="s">
        <v>27</v>
      </c>
      <c r="C12" s="4"/>
      <c r="D12" s="3" t="s">
        <v>26</v>
      </c>
      <c r="E12" s="3" t="str">
        <f aca="false">'CM-7'!B20</f>
        <v>Not Started</v>
      </c>
    </row>
    <row r="13" customFormat="false" ht="18" hidden="false" customHeight="true" outlineLevel="0" collapsed="false">
      <c r="A13" s="3" t="s">
        <v>28</v>
      </c>
      <c r="B13" s="4" t="s">
        <v>27</v>
      </c>
      <c r="C13" s="4"/>
      <c r="D13" s="3" t="s">
        <v>29</v>
      </c>
      <c r="E13" s="3" t="str">
        <f aca="false">'CM-7-1'!B20</f>
        <v>Not Started</v>
      </c>
    </row>
    <row r="14" customFormat="false" ht="18" hidden="false" customHeight="true" outlineLevel="0" collapsed="false">
      <c r="A14" s="3" t="s">
        <v>30</v>
      </c>
      <c r="B14" s="4" t="s">
        <v>31</v>
      </c>
      <c r="C14" s="4"/>
      <c r="D14" s="3" t="s">
        <v>30</v>
      </c>
      <c r="E14" s="3" t="str">
        <f aca="false">'CP-10'!B20</f>
        <v>Not Started</v>
      </c>
    </row>
    <row r="15" customFormat="false" ht="18" hidden="false" customHeight="true" outlineLevel="0" collapsed="false">
      <c r="A15" s="3" t="s">
        <v>32</v>
      </c>
      <c r="B15" s="4" t="s">
        <v>31</v>
      </c>
      <c r="C15" s="4"/>
      <c r="D15" s="3" t="s">
        <v>33</v>
      </c>
      <c r="E15" s="3" t="str">
        <f aca="false">'CP-10-4'!B20</f>
        <v>Not Started</v>
      </c>
    </row>
    <row r="16" customFormat="false" ht="18" hidden="false" customHeight="true" outlineLevel="0" collapsed="false">
      <c r="A16" s="3" t="s">
        <v>34</v>
      </c>
      <c r="B16" s="4" t="s">
        <v>35</v>
      </c>
      <c r="C16" s="4"/>
      <c r="D16" s="3" t="s">
        <v>36</v>
      </c>
      <c r="E16" s="3" t="str">
        <f aca="false">'IA-5-7'!B20</f>
        <v>Not Started</v>
      </c>
    </row>
    <row r="17" customFormat="false" ht="18" hidden="false" customHeight="true" outlineLevel="0" collapsed="false">
      <c r="A17" s="3" t="s">
        <v>37</v>
      </c>
      <c r="B17" s="4" t="s">
        <v>38</v>
      </c>
      <c r="C17" s="4"/>
      <c r="D17" s="3" t="s">
        <v>39</v>
      </c>
      <c r="E17" s="3" t="str">
        <f aca="false">'SA-9-5'!B20</f>
        <v>Not Started</v>
      </c>
    </row>
    <row r="18" customFormat="false" ht="18" hidden="false" customHeight="true" outlineLevel="0" collapsed="false">
      <c r="A18" s="3" t="s">
        <v>40</v>
      </c>
      <c r="B18" s="4" t="s">
        <v>41</v>
      </c>
      <c r="C18" s="4"/>
      <c r="D18" s="3" t="s">
        <v>42</v>
      </c>
      <c r="E18" s="3" t="str">
        <f aca="false">'SA-11-1'!B20</f>
        <v>Not Started</v>
      </c>
    </row>
    <row r="19" customFormat="false" ht="18" hidden="false" customHeight="true" outlineLevel="0" collapsed="false">
      <c r="A19" s="3" t="s">
        <v>43</v>
      </c>
      <c r="B19" s="4" t="s">
        <v>41</v>
      </c>
      <c r="C19" s="4"/>
      <c r="D19" s="3" t="s">
        <v>44</v>
      </c>
      <c r="E19" s="3" t="str">
        <f aca="false">'SA-11-8'!B20</f>
        <v>Not Started</v>
      </c>
    </row>
    <row r="20" customFormat="false" ht="18" hidden="false" customHeight="true" outlineLevel="0" collapsed="false">
      <c r="A20" s="3" t="s">
        <v>45</v>
      </c>
      <c r="B20" s="4" t="s">
        <v>46</v>
      </c>
      <c r="C20" s="4"/>
      <c r="D20" s="3" t="s">
        <v>47</v>
      </c>
      <c r="E20" s="3" t="str">
        <f aca="false">'SI-4-2'!B20</f>
        <v>Not Started</v>
      </c>
    </row>
    <row r="21" customFormat="false" ht="18" hidden="false" customHeight="true" outlineLevel="0" collapsed="false">
      <c r="A21" s="3" t="s">
        <v>48</v>
      </c>
      <c r="B21" s="4" t="s">
        <v>49</v>
      </c>
      <c r="C21" s="4"/>
      <c r="D21" s="3" t="s">
        <v>48</v>
      </c>
      <c r="E21" s="3" t="str">
        <f aca="false">'SI-6'!B20</f>
        <v>Not Started</v>
      </c>
    </row>
    <row r="23" customFormat="false" ht="21.75" hidden="false" customHeight="true" outlineLevel="0" collapsed="false">
      <c r="A23" s="5" t="s">
        <v>50</v>
      </c>
      <c r="B23" s="5"/>
      <c r="C23" s="5"/>
      <c r="D23" s="5"/>
      <c r="E23" s="5"/>
    </row>
    <row r="24" customFormat="false" ht="19.5" hidden="false" customHeight="true" outlineLevel="0" collapsed="false">
      <c r="A24" s="6" t="s">
        <v>51</v>
      </c>
      <c r="B24" s="6"/>
      <c r="C24" s="6"/>
      <c r="D24" s="6"/>
      <c r="E24" s="7" t="n">
        <f aca="false">19</f>
        <v>19</v>
      </c>
    </row>
    <row r="25" customFormat="false" ht="19.5" hidden="false" customHeight="true" outlineLevel="0" collapsed="false">
      <c r="A25" s="6" t="s">
        <v>52</v>
      </c>
      <c r="B25" s="6"/>
      <c r="C25" s="6"/>
      <c r="D25" s="6"/>
      <c r="E25" s="7" t="n">
        <f aca="false">COUNTIF(E3:E21,"Not Started")</f>
        <v>19</v>
      </c>
    </row>
    <row r="26" customFormat="false" ht="19.5" hidden="false" customHeight="true" outlineLevel="0" collapsed="false">
      <c r="A26" s="6" t="s">
        <v>53</v>
      </c>
      <c r="B26" s="6"/>
      <c r="C26" s="6"/>
      <c r="D26" s="6"/>
      <c r="E26" s="7" t="n">
        <f aca="false">COUNTIF(E3:E21,"In Progress")</f>
        <v>0</v>
      </c>
    </row>
    <row r="27" customFormat="false" ht="19.5" hidden="false" customHeight="true" outlineLevel="0" collapsed="false">
      <c r="A27" s="6" t="s">
        <v>54</v>
      </c>
      <c r="B27" s="6"/>
      <c r="C27" s="6"/>
      <c r="D27" s="6"/>
      <c r="E27" s="7" t="n">
        <f aca="false">COUNTIF(E3:E21,"Evidence Provided")</f>
        <v>0</v>
      </c>
    </row>
    <row r="28" customFormat="false" ht="19.5" hidden="false" customHeight="true" outlineLevel="0" collapsed="false">
      <c r="A28" s="6" t="s">
        <v>55</v>
      </c>
      <c r="B28" s="6"/>
      <c r="C28" s="6"/>
      <c r="D28" s="6"/>
      <c r="E28" s="7" t="n">
        <f aca="false">COUNTIF(E3:E21,"Under Review")</f>
        <v>0</v>
      </c>
    </row>
    <row r="29" customFormat="false" ht="19.5" hidden="false" customHeight="true" outlineLevel="0" collapsed="false">
      <c r="A29" s="6" t="s">
        <v>56</v>
      </c>
      <c r="B29" s="6"/>
      <c r="C29" s="6"/>
      <c r="D29" s="6"/>
      <c r="E29" s="7" t="n">
        <f aca="false">COUNTIF(E3:E21,"Passed")</f>
        <v>0</v>
      </c>
    </row>
    <row r="30" customFormat="false" ht="19.5" hidden="false" customHeight="true" outlineLevel="0" collapsed="false">
      <c r="A30" s="6" t="s">
        <v>57</v>
      </c>
      <c r="B30" s="6"/>
      <c r="C30" s="6"/>
      <c r="D30" s="6"/>
      <c r="E30" s="7" t="n">
        <f aca="false">COUNTIF(E3:E21,"Failed")</f>
        <v>0</v>
      </c>
    </row>
    <row r="31" customFormat="false" ht="19.5" hidden="false" customHeight="true" outlineLevel="0" collapsed="false">
      <c r="A31" s="6" t="s">
        <v>58</v>
      </c>
      <c r="B31" s="6"/>
      <c r="C31" s="6"/>
      <c r="D31" s="6"/>
      <c r="E31" s="7" t="n">
        <f aca="false">COUNTIF(E3:E21,"Accepted Exception")</f>
        <v>0</v>
      </c>
    </row>
    <row r="32" customFormat="false" ht="19.5" hidden="false" customHeight="true" outlineLevel="0" collapsed="false">
      <c r="A32" s="6" t="s">
        <v>59</v>
      </c>
      <c r="B32" s="6"/>
      <c r="C32" s="6"/>
      <c r="D32" s="6"/>
      <c r="E32" s="8" t="n">
        <f aca="false">IFERROR(COUNTIF(E3:E21,"Passed")/19,0)</f>
        <v>0</v>
      </c>
    </row>
    <row r="33" customFormat="false" ht="19.5" hidden="false" customHeight="true" outlineLevel="0" collapsed="false">
      <c r="A33" s="6" t="s">
        <v>60</v>
      </c>
      <c r="B33" s="6"/>
      <c r="C33" s="6"/>
      <c r="D33" s="6"/>
      <c r="E33" s="8" t="n">
        <f aca="false">IFERROR(COUNTIF(E3:E21,"Not Started")/19,0)</f>
        <v>1</v>
      </c>
    </row>
  </sheetData>
  <mergeCells count="12">
    <mergeCell ref="A1:E1"/>
    <mergeCell ref="A23:E23"/>
    <mergeCell ref="A24:D24"/>
    <mergeCell ref="A25:D25"/>
    <mergeCell ref="A26:D26"/>
    <mergeCell ref="A27:D27"/>
    <mergeCell ref="A28:D28"/>
    <mergeCell ref="A29:D29"/>
    <mergeCell ref="A30:D30"/>
    <mergeCell ref="A31:D31"/>
    <mergeCell ref="A32:D32"/>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61</v>
      </c>
      <c r="B1" s="1"/>
      <c r="C1" s="1"/>
      <c r="D1" s="1"/>
      <c r="E1" s="1"/>
    </row>
    <row r="2" customFormat="false" ht="21.75" hidden="false" customHeight="true" outlineLevel="0" collapsed="false">
      <c r="A2" s="2" t="s">
        <v>62</v>
      </c>
      <c r="B2" s="2" t="s">
        <v>63</v>
      </c>
      <c r="C2" s="2" t="s">
        <v>64</v>
      </c>
      <c r="D2" s="2" t="s">
        <v>65</v>
      </c>
      <c r="E2" s="2" t="s">
        <v>66</v>
      </c>
    </row>
    <row r="3" customFormat="false" ht="18" hidden="false" customHeight="true" outlineLevel="0" collapsed="false">
      <c r="A3" s="3" t="s">
        <v>6</v>
      </c>
      <c r="B3" s="4" t="s">
        <v>67</v>
      </c>
      <c r="C3" s="4"/>
      <c r="D3" s="3" t="s">
        <v>6</v>
      </c>
      <c r="E3" s="3" t="str">
        <f aca="false">'AC-6'!E20</f>
        <v>Non commencé</v>
      </c>
    </row>
    <row r="4" customFormat="false" ht="18" hidden="false" customHeight="true" outlineLevel="0" collapsed="false">
      <c r="A4" s="3" t="s">
        <v>8</v>
      </c>
      <c r="B4" s="4" t="s">
        <v>67</v>
      </c>
      <c r="C4" s="4"/>
      <c r="D4" s="3" t="s">
        <v>9</v>
      </c>
      <c r="E4" s="3" t="str">
        <f aca="false">'AC-6-1'!E20</f>
        <v>Non commencé</v>
      </c>
    </row>
    <row r="5" customFormat="false" ht="18" hidden="false" customHeight="true" outlineLevel="0" collapsed="false">
      <c r="A5" s="3" t="s">
        <v>10</v>
      </c>
      <c r="B5" s="4" t="s">
        <v>68</v>
      </c>
      <c r="C5" s="4"/>
      <c r="D5" s="3" t="s">
        <v>10</v>
      </c>
      <c r="E5" s="3" t="str">
        <f aca="false">'AU-2'!E20</f>
        <v>Non commencé</v>
      </c>
    </row>
    <row r="6" customFormat="false" ht="18" hidden="false" customHeight="true" outlineLevel="0" collapsed="false">
      <c r="A6" s="3" t="s">
        <v>12</v>
      </c>
      <c r="B6" s="4" t="s">
        <v>69</v>
      </c>
      <c r="C6" s="4"/>
      <c r="D6" s="3" t="s">
        <v>12</v>
      </c>
      <c r="E6" s="3" t="str">
        <f aca="false">'AU-3'!E20</f>
        <v>Non commencé</v>
      </c>
    </row>
    <row r="7" customFormat="false" ht="18" hidden="false" customHeight="true" outlineLevel="0" collapsed="false">
      <c r="A7" s="3" t="s">
        <v>14</v>
      </c>
      <c r="B7" s="4" t="s">
        <v>69</v>
      </c>
      <c r="C7" s="4"/>
      <c r="D7" s="3" t="s">
        <v>15</v>
      </c>
      <c r="E7" s="3" t="str">
        <f aca="false">'AU-3-1'!E20</f>
        <v>Non commencé</v>
      </c>
    </row>
    <row r="8" customFormat="false" ht="18" hidden="false" customHeight="true" outlineLevel="0" collapsed="false">
      <c r="A8" s="3" t="s">
        <v>16</v>
      </c>
      <c r="B8" s="4" t="s">
        <v>70</v>
      </c>
      <c r="C8" s="4"/>
      <c r="D8" s="3" t="s">
        <v>18</v>
      </c>
      <c r="E8" s="3" t="str">
        <f aca="false">'AU-9-2'!E20</f>
        <v>Non commencé</v>
      </c>
    </row>
    <row r="9" customFormat="false" ht="18" hidden="false" customHeight="true" outlineLevel="0" collapsed="false">
      <c r="A9" s="3" t="s">
        <v>19</v>
      </c>
      <c r="B9" s="4" t="s">
        <v>71</v>
      </c>
      <c r="C9" s="4"/>
      <c r="D9" s="3" t="s">
        <v>19</v>
      </c>
      <c r="E9" s="3" t="str">
        <f aca="false">'AU-12'!E20</f>
        <v>Non commencé</v>
      </c>
    </row>
    <row r="10" customFormat="false" ht="18" hidden="false" customHeight="true" outlineLevel="0" collapsed="false">
      <c r="A10" s="3" t="s">
        <v>21</v>
      </c>
      <c r="B10" s="4" t="s">
        <v>72</v>
      </c>
      <c r="C10" s="4"/>
      <c r="D10" s="3" t="s">
        <v>23</v>
      </c>
      <c r="E10" s="3" t="str">
        <f aca="false">'CM-5-6'!E20</f>
        <v>Non commencé</v>
      </c>
    </row>
    <row r="11" customFormat="false" ht="18" hidden="false" customHeight="true" outlineLevel="0" collapsed="false">
      <c r="A11" s="3" t="s">
        <v>24</v>
      </c>
      <c r="B11" s="4" t="s">
        <v>73</v>
      </c>
      <c r="C11" s="4"/>
      <c r="D11" s="3" t="s">
        <v>24</v>
      </c>
      <c r="E11" s="3" t="str">
        <f aca="false">'CM-6'!E20</f>
        <v>Non commencé</v>
      </c>
    </row>
    <row r="12" customFormat="false" ht="18" hidden="false" customHeight="true" outlineLevel="0" collapsed="false">
      <c r="A12" s="3" t="s">
        <v>26</v>
      </c>
      <c r="B12" s="4" t="s">
        <v>74</v>
      </c>
      <c r="C12" s="4"/>
      <c r="D12" s="3" t="s">
        <v>26</v>
      </c>
      <c r="E12" s="3" t="str">
        <f aca="false">'CM-7'!E20</f>
        <v>Non commencé</v>
      </c>
    </row>
    <row r="13" customFormat="false" ht="18" hidden="false" customHeight="true" outlineLevel="0" collapsed="false">
      <c r="A13" s="3" t="s">
        <v>28</v>
      </c>
      <c r="B13" s="4" t="s">
        <v>74</v>
      </c>
      <c r="C13" s="4"/>
      <c r="D13" s="3" t="s">
        <v>29</v>
      </c>
      <c r="E13" s="3" t="str">
        <f aca="false">'CM-7-1'!E20</f>
        <v>Non commencé</v>
      </c>
    </row>
    <row r="14" customFormat="false" ht="18" hidden="false" customHeight="true" outlineLevel="0" collapsed="false">
      <c r="A14" s="3" t="s">
        <v>30</v>
      </c>
      <c r="B14" s="4" t="s">
        <v>75</v>
      </c>
      <c r="C14" s="4"/>
      <c r="D14" s="3" t="s">
        <v>30</v>
      </c>
      <c r="E14" s="3" t="str">
        <f aca="false">'CP-10'!E20</f>
        <v>Non commencé</v>
      </c>
    </row>
    <row r="15" customFormat="false" ht="18" hidden="false" customHeight="true" outlineLevel="0" collapsed="false">
      <c r="A15" s="3" t="s">
        <v>32</v>
      </c>
      <c r="B15" s="4" t="s">
        <v>75</v>
      </c>
      <c r="C15" s="4"/>
      <c r="D15" s="3" t="s">
        <v>33</v>
      </c>
      <c r="E15" s="3" t="str">
        <f aca="false">'CP-10-4'!E20</f>
        <v>Non commencé</v>
      </c>
    </row>
    <row r="16" customFormat="false" ht="18" hidden="false" customHeight="true" outlineLevel="0" collapsed="false">
      <c r="A16" s="3" t="s">
        <v>34</v>
      </c>
      <c r="B16" s="4" t="s">
        <v>76</v>
      </c>
      <c r="C16" s="4"/>
      <c r="D16" s="3" t="s">
        <v>36</v>
      </c>
      <c r="E16" s="3" t="str">
        <f aca="false">'IA-5-7'!E20</f>
        <v>Non commencé</v>
      </c>
    </row>
    <row r="17" customFormat="false" ht="18" hidden="false" customHeight="true" outlineLevel="0" collapsed="false">
      <c r="A17" s="3" t="s">
        <v>37</v>
      </c>
      <c r="B17" s="4" t="s">
        <v>77</v>
      </c>
      <c r="C17" s="4"/>
      <c r="D17" s="3" t="s">
        <v>39</v>
      </c>
      <c r="E17" s="3" t="str">
        <f aca="false">'SA-9-5'!E20</f>
        <v>Non commencé</v>
      </c>
    </row>
    <row r="18" customFormat="false" ht="18" hidden="false" customHeight="true" outlineLevel="0" collapsed="false">
      <c r="A18" s="3" t="s">
        <v>40</v>
      </c>
      <c r="B18" s="4" t="s">
        <v>78</v>
      </c>
      <c r="C18" s="4"/>
      <c r="D18" s="3" t="s">
        <v>42</v>
      </c>
      <c r="E18" s="3" t="str">
        <f aca="false">'SA-11-1'!E20</f>
        <v>Non commencé</v>
      </c>
    </row>
    <row r="19" customFormat="false" ht="18" hidden="false" customHeight="true" outlineLevel="0" collapsed="false">
      <c r="A19" s="3" t="s">
        <v>43</v>
      </c>
      <c r="B19" s="4" t="s">
        <v>78</v>
      </c>
      <c r="C19" s="4"/>
      <c r="D19" s="3" t="s">
        <v>44</v>
      </c>
      <c r="E19" s="3" t="str">
        <f aca="false">'SA-11-8'!E20</f>
        <v>Non commencé</v>
      </c>
    </row>
    <row r="20" customFormat="false" ht="18" hidden="false" customHeight="true" outlineLevel="0" collapsed="false">
      <c r="A20" s="3" t="s">
        <v>45</v>
      </c>
      <c r="B20" s="4" t="s">
        <v>79</v>
      </c>
      <c r="C20" s="4"/>
      <c r="D20" s="3" t="s">
        <v>47</v>
      </c>
      <c r="E20" s="3" t="str">
        <f aca="false">'SI-4-2'!E20</f>
        <v>Non commencé</v>
      </c>
    </row>
    <row r="21" customFormat="false" ht="18" hidden="false" customHeight="true" outlineLevel="0" collapsed="false">
      <c r="A21" s="3" t="s">
        <v>48</v>
      </c>
      <c r="B21" s="4" t="s">
        <v>80</v>
      </c>
      <c r="C21" s="4"/>
      <c r="D21" s="3" t="s">
        <v>48</v>
      </c>
      <c r="E21" s="3" t="str">
        <f aca="false">'SI-6'!E20</f>
        <v>Non commencé</v>
      </c>
    </row>
    <row r="23" customFormat="false" ht="21.75" hidden="false" customHeight="true" outlineLevel="0" collapsed="false">
      <c r="A23" s="5" t="s">
        <v>81</v>
      </c>
      <c r="B23" s="5"/>
      <c r="C23" s="5"/>
      <c r="D23" s="5"/>
      <c r="E23" s="5"/>
    </row>
    <row r="24" customFormat="false" ht="19.5" hidden="false" customHeight="true" outlineLevel="0" collapsed="false">
      <c r="A24" s="6" t="s">
        <v>82</v>
      </c>
      <c r="B24" s="6"/>
      <c r="C24" s="6"/>
      <c r="D24" s="6"/>
      <c r="E24" s="7" t="n">
        <f aca="false">19</f>
        <v>19</v>
      </c>
    </row>
    <row r="25" customFormat="false" ht="19.5" hidden="false" customHeight="true" outlineLevel="0" collapsed="false">
      <c r="A25" s="6" t="s">
        <v>83</v>
      </c>
      <c r="B25" s="6"/>
      <c r="C25" s="6"/>
      <c r="D25" s="6"/>
      <c r="E25" s="7" t="n">
        <f aca="false">COUNTIF(E3:E21,"Non commencé")</f>
        <v>19</v>
      </c>
    </row>
    <row r="26" customFormat="false" ht="19.5" hidden="false" customHeight="true" outlineLevel="0" collapsed="false">
      <c r="A26" s="6" t="s">
        <v>84</v>
      </c>
      <c r="B26" s="6"/>
      <c r="C26" s="6"/>
      <c r="D26" s="6"/>
      <c r="E26" s="7" t="n">
        <f aca="false">COUNTIF(E3:E21,"En cours")</f>
        <v>0</v>
      </c>
    </row>
    <row r="27" customFormat="false" ht="19.5" hidden="false" customHeight="true" outlineLevel="0" collapsed="false">
      <c r="A27" s="6" t="s">
        <v>85</v>
      </c>
      <c r="B27" s="6"/>
      <c r="C27" s="6"/>
      <c r="D27" s="6"/>
      <c r="E27" s="7" t="n">
        <f aca="false">COUNTIF(E3:E21,"Preuve fournie")</f>
        <v>0</v>
      </c>
    </row>
    <row r="28" customFormat="false" ht="19.5" hidden="false" customHeight="true" outlineLevel="0" collapsed="false">
      <c r="A28" s="6" t="s">
        <v>86</v>
      </c>
      <c r="B28" s="6"/>
      <c r="C28" s="6"/>
      <c r="D28" s="6"/>
      <c r="E28" s="7" t="n">
        <f aca="false">COUNTIF(E3:E21,"En révision")</f>
        <v>0</v>
      </c>
    </row>
    <row r="29" customFormat="false" ht="19.5" hidden="false" customHeight="true" outlineLevel="0" collapsed="false">
      <c r="A29" s="6" t="s">
        <v>87</v>
      </c>
      <c r="B29" s="6"/>
      <c r="C29" s="6"/>
      <c r="D29" s="6"/>
      <c r="E29" s="7" t="n">
        <f aca="false">COUNTIF(E3:E21,"Réussi")</f>
        <v>0</v>
      </c>
    </row>
    <row r="30" customFormat="false" ht="19.5" hidden="false" customHeight="true" outlineLevel="0" collapsed="false">
      <c r="A30" s="6" t="s">
        <v>88</v>
      </c>
      <c r="B30" s="6"/>
      <c r="C30" s="6"/>
      <c r="D30" s="6"/>
      <c r="E30" s="7" t="n">
        <f aca="false">COUNTIF(E3:E21,"Échec")</f>
        <v>0</v>
      </c>
    </row>
    <row r="31" customFormat="false" ht="19.5" hidden="false" customHeight="true" outlineLevel="0" collapsed="false">
      <c r="A31" s="6" t="s">
        <v>89</v>
      </c>
      <c r="B31" s="6"/>
      <c r="C31" s="6"/>
      <c r="D31" s="6"/>
      <c r="E31" s="7" t="n">
        <f aca="false">COUNTIF(E3:E21,"Exception acceptée")</f>
        <v>0</v>
      </c>
    </row>
    <row r="32" customFormat="false" ht="19.5" hidden="false" customHeight="true" outlineLevel="0" collapsed="false">
      <c r="A32" s="6" t="s">
        <v>90</v>
      </c>
      <c r="B32" s="6"/>
      <c r="C32" s="6"/>
      <c r="D32" s="6"/>
      <c r="E32" s="8" t="n">
        <f aca="false">IFERROR(COUNTIF(E3:E21,"Réussi")/19,0)</f>
        <v>0</v>
      </c>
    </row>
    <row r="33" customFormat="false" ht="19.5" hidden="false" customHeight="true" outlineLevel="0" collapsed="false">
      <c r="A33" s="6" t="s">
        <v>91</v>
      </c>
      <c r="B33" s="6"/>
      <c r="C33" s="6"/>
      <c r="D33" s="6"/>
      <c r="E33" s="8" t="n">
        <f aca="false">IFERROR(COUNTIF(E3:E21,"Non commencé")/19,0)</f>
        <v>1</v>
      </c>
    </row>
  </sheetData>
  <mergeCells count="12">
    <mergeCell ref="A1:E1"/>
    <mergeCell ref="A23:E23"/>
    <mergeCell ref="A24:D24"/>
    <mergeCell ref="A25:D25"/>
    <mergeCell ref="A26:D26"/>
    <mergeCell ref="A27:D27"/>
    <mergeCell ref="A28:D28"/>
    <mergeCell ref="A29:D29"/>
    <mergeCell ref="A30:D30"/>
    <mergeCell ref="A31:D31"/>
    <mergeCell ref="A32:D32"/>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92</v>
      </c>
      <c r="B1" s="9"/>
      <c r="D1" s="9" t="s">
        <v>93</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6</v>
      </c>
      <c r="D3" s="11" t="s">
        <v>97</v>
      </c>
      <c r="E3" s="12" t="s">
        <v>6</v>
      </c>
    </row>
    <row r="4" customFormat="false" ht="21.75" hidden="false" customHeight="true" outlineLevel="0" collapsed="false">
      <c r="A4" s="11" t="s">
        <v>98</v>
      </c>
      <c r="B4" s="12" t="s">
        <v>7</v>
      </c>
      <c r="D4" s="11" t="s">
        <v>99</v>
      </c>
      <c r="E4" s="12" t="s">
        <v>67</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64.5" hidden="false" customHeight="true" outlineLevel="0" collapsed="false">
      <c r="A8" s="11" t="s">
        <v>108</v>
      </c>
      <c r="B8" s="12" t="s">
        <v>109</v>
      </c>
      <c r="D8" s="11" t="s">
        <v>110</v>
      </c>
      <c r="E8" s="12" t="s">
        <v>111</v>
      </c>
    </row>
    <row r="9" customFormat="false" ht="156" hidden="false" customHeight="true" outlineLevel="0" collapsed="false">
      <c r="A9" s="11" t="s">
        <v>112</v>
      </c>
      <c r="B9" s="12" t="s">
        <v>113</v>
      </c>
      <c r="D9" s="11" t="s">
        <v>114</v>
      </c>
      <c r="E9" s="12" t="s">
        <v>115</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119</v>
      </c>
      <c r="D11" s="11" t="s">
        <v>118</v>
      </c>
      <c r="E11" s="12" t="s">
        <v>119</v>
      </c>
    </row>
    <row r="12" customFormat="false" ht="21.75" hidden="false" customHeight="true" outlineLevel="0" collapsed="false">
      <c r="A12" s="11" t="s">
        <v>120</v>
      </c>
      <c r="B12" s="12" t="s">
        <v>6</v>
      </c>
      <c r="D12" s="11" t="s">
        <v>121</v>
      </c>
      <c r="E12" s="12" t="s">
        <v>6</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137</v>
      </c>
      <c r="B1" s="9"/>
      <c r="D1" s="9" t="s">
        <v>138</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8</v>
      </c>
      <c r="D3" s="11" t="s">
        <v>97</v>
      </c>
      <c r="E3" s="12" t="s">
        <v>8</v>
      </c>
    </row>
    <row r="4" customFormat="false" ht="21.75" hidden="false" customHeight="true" outlineLevel="0" collapsed="false">
      <c r="A4" s="11" t="s">
        <v>98</v>
      </c>
      <c r="B4" s="12" t="s">
        <v>7</v>
      </c>
      <c r="D4" s="11" t="s">
        <v>99</v>
      </c>
      <c r="E4" s="12" t="s">
        <v>67</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51.75" hidden="false" customHeight="true" outlineLevel="0" collapsed="false">
      <c r="A8" s="11" t="s">
        <v>108</v>
      </c>
      <c r="B8" s="12" t="s">
        <v>139</v>
      </c>
      <c r="D8" s="11" t="s">
        <v>110</v>
      </c>
      <c r="E8" s="12" t="s">
        <v>140</v>
      </c>
    </row>
    <row r="9" customFormat="false" ht="168.75" hidden="false" customHeight="true" outlineLevel="0" collapsed="false">
      <c r="A9" s="11" t="s">
        <v>112</v>
      </c>
      <c r="B9" s="12" t="s">
        <v>141</v>
      </c>
      <c r="D9" s="11" t="s">
        <v>114</v>
      </c>
      <c r="E9" s="12" t="s">
        <v>142</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143</v>
      </c>
      <c r="D11" s="11" t="s">
        <v>118</v>
      </c>
      <c r="E11" s="12" t="s">
        <v>143</v>
      </c>
    </row>
    <row r="12" customFormat="false" ht="21.75" hidden="false" customHeight="true" outlineLevel="0" collapsed="false">
      <c r="A12" s="11" t="s">
        <v>120</v>
      </c>
      <c r="B12" s="12" t="s">
        <v>8</v>
      </c>
      <c r="D12" s="11" t="s">
        <v>121</v>
      </c>
      <c r="E12" s="12" t="s">
        <v>8</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144</v>
      </c>
      <c r="B1" s="9"/>
      <c r="D1" s="9" t="s">
        <v>145</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10</v>
      </c>
      <c r="D3" s="11" t="s">
        <v>97</v>
      </c>
      <c r="E3" s="12" t="s">
        <v>10</v>
      </c>
    </row>
    <row r="4" customFormat="false" ht="21.75" hidden="false" customHeight="true" outlineLevel="0" collapsed="false">
      <c r="A4" s="11" t="s">
        <v>98</v>
      </c>
      <c r="B4" s="12" t="s">
        <v>11</v>
      </c>
      <c r="D4" s="11" t="s">
        <v>99</v>
      </c>
      <c r="E4" s="12" t="s">
        <v>68</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234" hidden="false" customHeight="true" outlineLevel="0" collapsed="false">
      <c r="A8" s="11" t="s">
        <v>108</v>
      </c>
      <c r="B8" s="12" t="s">
        <v>146</v>
      </c>
      <c r="D8" s="11" t="s">
        <v>110</v>
      </c>
      <c r="E8" s="12" t="s">
        <v>147</v>
      </c>
    </row>
    <row r="9" customFormat="false" ht="300" hidden="false" customHeight="true" outlineLevel="0" collapsed="false">
      <c r="A9" s="11" t="s">
        <v>112</v>
      </c>
      <c r="B9" s="12" t="s">
        <v>148</v>
      </c>
      <c r="D9" s="11" t="s">
        <v>114</v>
      </c>
      <c r="E9" s="12" t="s">
        <v>149</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150</v>
      </c>
      <c r="D11" s="11" t="s">
        <v>118</v>
      </c>
      <c r="E11" s="12" t="s">
        <v>150</v>
      </c>
    </row>
    <row r="12" customFormat="false" ht="21.75" hidden="false" customHeight="true" outlineLevel="0" collapsed="false">
      <c r="A12" s="11" t="s">
        <v>120</v>
      </c>
      <c r="B12" s="12" t="s">
        <v>10</v>
      </c>
      <c r="D12" s="11" t="s">
        <v>121</v>
      </c>
      <c r="E12" s="12" t="s">
        <v>10</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151</v>
      </c>
      <c r="B1" s="9"/>
      <c r="D1" s="9" t="s">
        <v>152</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12</v>
      </c>
      <c r="D3" s="11" t="s">
        <v>97</v>
      </c>
      <c r="E3" s="12" t="s">
        <v>12</v>
      </c>
    </row>
    <row r="4" customFormat="false" ht="21.75" hidden="false" customHeight="true" outlineLevel="0" collapsed="false">
      <c r="A4" s="11" t="s">
        <v>98</v>
      </c>
      <c r="B4" s="12" t="s">
        <v>13</v>
      </c>
      <c r="D4" s="11" t="s">
        <v>99</v>
      </c>
      <c r="E4" s="12" t="s">
        <v>69</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64.5" hidden="false" customHeight="true" outlineLevel="0" collapsed="false">
      <c r="A8" s="11" t="s">
        <v>108</v>
      </c>
      <c r="B8" s="12" t="s">
        <v>153</v>
      </c>
      <c r="D8" s="11" t="s">
        <v>110</v>
      </c>
      <c r="E8" s="12" t="s">
        <v>154</v>
      </c>
    </row>
    <row r="9" customFormat="false" ht="129.75" hidden="false" customHeight="true" outlineLevel="0" collapsed="false">
      <c r="A9" s="11" t="s">
        <v>112</v>
      </c>
      <c r="B9" s="12" t="s">
        <v>155</v>
      </c>
      <c r="D9" s="11" t="s">
        <v>114</v>
      </c>
      <c r="E9" s="12" t="s">
        <v>156</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157</v>
      </c>
      <c r="D11" s="11" t="s">
        <v>118</v>
      </c>
      <c r="E11" s="12" t="s">
        <v>157</v>
      </c>
    </row>
    <row r="12" customFormat="false" ht="21.75" hidden="false" customHeight="true" outlineLevel="0" collapsed="false">
      <c r="A12" s="11" t="s">
        <v>120</v>
      </c>
      <c r="B12" s="12" t="s">
        <v>12</v>
      </c>
      <c r="D12" s="11" t="s">
        <v>121</v>
      </c>
      <c r="E12" s="12" t="s">
        <v>12</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158</v>
      </c>
      <c r="B1" s="9"/>
      <c r="D1" s="9" t="s">
        <v>159</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14</v>
      </c>
      <c r="D3" s="11" t="s">
        <v>97</v>
      </c>
      <c r="E3" s="12" t="s">
        <v>14</v>
      </c>
    </row>
    <row r="4" customFormat="false" ht="21.75" hidden="false" customHeight="true" outlineLevel="0" collapsed="false">
      <c r="A4" s="11" t="s">
        <v>98</v>
      </c>
      <c r="B4" s="12" t="s">
        <v>13</v>
      </c>
      <c r="D4" s="11" t="s">
        <v>99</v>
      </c>
      <c r="E4" s="12" t="s">
        <v>69</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103.5" hidden="false" customHeight="true" outlineLevel="0" collapsed="false">
      <c r="A8" s="11" t="s">
        <v>108</v>
      </c>
      <c r="B8" s="12" t="s">
        <v>160</v>
      </c>
      <c r="D8" s="11" t="s">
        <v>110</v>
      </c>
      <c r="E8" s="12" t="s">
        <v>161</v>
      </c>
    </row>
    <row r="9" customFormat="false" ht="181.5" hidden="false" customHeight="true" outlineLevel="0" collapsed="false">
      <c r="A9" s="11" t="s">
        <v>112</v>
      </c>
      <c r="B9" s="12" t="s">
        <v>162</v>
      </c>
      <c r="D9" s="11" t="s">
        <v>114</v>
      </c>
      <c r="E9" s="12" t="s">
        <v>163</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164</v>
      </c>
      <c r="D11" s="11" t="s">
        <v>118</v>
      </c>
      <c r="E11" s="12" t="s">
        <v>164</v>
      </c>
    </row>
    <row r="12" customFormat="false" ht="21.75" hidden="false" customHeight="true" outlineLevel="0" collapsed="false">
      <c r="A12" s="11" t="s">
        <v>120</v>
      </c>
      <c r="B12" s="12" t="s">
        <v>14</v>
      </c>
      <c r="D12" s="11" t="s">
        <v>121</v>
      </c>
      <c r="E12" s="12" t="s">
        <v>14</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165</v>
      </c>
      <c r="B1" s="9"/>
      <c r="D1" s="9" t="s">
        <v>166</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16</v>
      </c>
      <c r="D3" s="11" t="s">
        <v>97</v>
      </c>
      <c r="E3" s="12" t="s">
        <v>16</v>
      </c>
    </row>
    <row r="4" customFormat="false" ht="21.75" hidden="false" customHeight="true" outlineLevel="0" collapsed="false">
      <c r="A4" s="11" t="s">
        <v>98</v>
      </c>
      <c r="B4" s="12" t="s">
        <v>17</v>
      </c>
      <c r="D4" s="11" t="s">
        <v>99</v>
      </c>
      <c r="E4" s="12" t="s">
        <v>70</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64.5" hidden="false" customHeight="true" outlineLevel="0" collapsed="false">
      <c r="A8" s="11" t="s">
        <v>108</v>
      </c>
      <c r="B8" s="12" t="s">
        <v>167</v>
      </c>
      <c r="D8" s="11" t="s">
        <v>110</v>
      </c>
      <c r="E8" s="12" t="s">
        <v>168</v>
      </c>
    </row>
    <row r="9" customFormat="false" ht="51.75" hidden="false" customHeight="true" outlineLevel="0" collapsed="false">
      <c r="A9" s="11" t="s">
        <v>112</v>
      </c>
      <c r="B9" s="12" t="s">
        <v>169</v>
      </c>
      <c r="D9" s="11" t="s">
        <v>114</v>
      </c>
      <c r="E9" s="12" t="s">
        <v>170</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171</v>
      </c>
      <c r="D11" s="11" t="s">
        <v>118</v>
      </c>
      <c r="E11" s="12" t="s">
        <v>171</v>
      </c>
    </row>
    <row r="12" customFormat="false" ht="21.75" hidden="false" customHeight="true" outlineLevel="0" collapsed="false">
      <c r="A12" s="11" t="s">
        <v>120</v>
      </c>
      <c r="B12" s="12" t="s">
        <v>16</v>
      </c>
      <c r="D12" s="11" t="s">
        <v>121</v>
      </c>
      <c r="E12" s="12" t="s">
        <v>16</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172</v>
      </c>
      <c r="B1" s="9"/>
      <c r="D1" s="9" t="s">
        <v>173</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19</v>
      </c>
      <c r="D3" s="11" t="s">
        <v>97</v>
      </c>
      <c r="E3" s="12" t="s">
        <v>19</v>
      </c>
    </row>
    <row r="4" customFormat="false" ht="21.75" hidden="false" customHeight="true" outlineLevel="0" collapsed="false">
      <c r="A4" s="11" t="s">
        <v>98</v>
      </c>
      <c r="B4" s="12" t="s">
        <v>20</v>
      </c>
      <c r="D4" s="11" t="s">
        <v>99</v>
      </c>
      <c r="E4" s="12" t="s">
        <v>71</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117" hidden="false" customHeight="true" outlineLevel="0" collapsed="false">
      <c r="A8" s="11" t="s">
        <v>108</v>
      </c>
      <c r="B8" s="12" t="s">
        <v>174</v>
      </c>
      <c r="D8" s="11" t="s">
        <v>110</v>
      </c>
      <c r="E8" s="12" t="s">
        <v>175</v>
      </c>
    </row>
    <row r="9" customFormat="false" ht="90.75" hidden="false" customHeight="true" outlineLevel="0" collapsed="false">
      <c r="A9" s="11" t="s">
        <v>112</v>
      </c>
      <c r="B9" s="12" t="s">
        <v>176</v>
      </c>
      <c r="D9" s="11" t="s">
        <v>114</v>
      </c>
      <c r="E9" s="12" t="s">
        <v>177</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178</v>
      </c>
      <c r="D11" s="11" t="s">
        <v>118</v>
      </c>
      <c r="E11" s="12" t="s">
        <v>178</v>
      </c>
    </row>
    <row r="12" customFormat="false" ht="21.75" hidden="false" customHeight="true" outlineLevel="0" collapsed="false">
      <c r="A12" s="11" t="s">
        <v>120</v>
      </c>
      <c r="B12" s="12" t="s">
        <v>19</v>
      </c>
      <c r="D12" s="11" t="s">
        <v>121</v>
      </c>
      <c r="E12" s="12" t="s">
        <v>19</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179</v>
      </c>
      <c r="B1" s="9"/>
      <c r="D1" s="9" t="s">
        <v>180</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21</v>
      </c>
      <c r="D3" s="11" t="s">
        <v>97</v>
      </c>
      <c r="E3" s="12" t="s">
        <v>21</v>
      </c>
    </row>
    <row r="4" customFormat="false" ht="21.75" hidden="false" customHeight="true" outlineLevel="0" collapsed="false">
      <c r="A4" s="11" t="s">
        <v>98</v>
      </c>
      <c r="B4" s="12" t="s">
        <v>22</v>
      </c>
      <c r="D4" s="11" t="s">
        <v>99</v>
      </c>
      <c r="E4" s="12" t="s">
        <v>72</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51.75" hidden="false" customHeight="true" outlineLevel="0" collapsed="false">
      <c r="A8" s="11" t="s">
        <v>108</v>
      </c>
      <c r="B8" s="12" t="s">
        <v>181</v>
      </c>
      <c r="D8" s="11" t="s">
        <v>110</v>
      </c>
      <c r="E8" s="12" t="s">
        <v>182</v>
      </c>
    </row>
    <row r="9" customFormat="false" ht="45" hidden="false" customHeight="true" outlineLevel="0" collapsed="false">
      <c r="A9" s="11" t="s">
        <v>112</v>
      </c>
      <c r="B9" s="12" t="s">
        <v>183</v>
      </c>
      <c r="D9" s="11" t="s">
        <v>114</v>
      </c>
      <c r="E9" s="12" t="s">
        <v>184</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185</v>
      </c>
      <c r="D11" s="11" t="s">
        <v>118</v>
      </c>
      <c r="E11" s="12" t="s">
        <v>185</v>
      </c>
    </row>
    <row r="12" customFormat="false" ht="21.75" hidden="false" customHeight="true" outlineLevel="0" collapsed="false">
      <c r="A12" s="11" t="s">
        <v>120</v>
      </c>
      <c r="B12" s="12" t="s">
        <v>21</v>
      </c>
      <c r="D12" s="11" t="s">
        <v>121</v>
      </c>
      <c r="E12" s="12" t="s">
        <v>21</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186</v>
      </c>
      <c r="B1" s="9"/>
      <c r="D1" s="9" t="s">
        <v>187</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24</v>
      </c>
      <c r="D3" s="11" t="s">
        <v>97</v>
      </c>
      <c r="E3" s="12" t="s">
        <v>24</v>
      </c>
    </row>
    <row r="4" customFormat="false" ht="21.75" hidden="false" customHeight="true" outlineLevel="0" collapsed="false">
      <c r="A4" s="11" t="s">
        <v>98</v>
      </c>
      <c r="B4" s="12" t="s">
        <v>25</v>
      </c>
      <c r="D4" s="11" t="s">
        <v>99</v>
      </c>
      <c r="E4" s="12" t="s">
        <v>73</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168.75" hidden="false" customHeight="true" outlineLevel="0" collapsed="false">
      <c r="A8" s="11" t="s">
        <v>108</v>
      </c>
      <c r="B8" s="12" t="s">
        <v>188</v>
      </c>
      <c r="D8" s="11" t="s">
        <v>110</v>
      </c>
      <c r="E8" s="12" t="s">
        <v>189</v>
      </c>
    </row>
    <row r="9" customFormat="false" ht="300" hidden="false" customHeight="true" outlineLevel="0" collapsed="false">
      <c r="A9" s="11" t="s">
        <v>112</v>
      </c>
      <c r="B9" s="12" t="s">
        <v>190</v>
      </c>
      <c r="D9" s="11" t="s">
        <v>114</v>
      </c>
      <c r="E9" s="12" t="s">
        <v>191</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192</v>
      </c>
      <c r="D11" s="11" t="s">
        <v>118</v>
      </c>
      <c r="E11" s="12" t="s">
        <v>192</v>
      </c>
    </row>
    <row r="12" customFormat="false" ht="21.75" hidden="false" customHeight="true" outlineLevel="0" collapsed="false">
      <c r="A12" s="11" t="s">
        <v>120</v>
      </c>
      <c r="B12" s="12" t="s">
        <v>24</v>
      </c>
      <c r="D12" s="11" t="s">
        <v>121</v>
      </c>
      <c r="E12" s="12" t="s">
        <v>24</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193</v>
      </c>
      <c r="B1" s="9"/>
      <c r="D1" s="9" t="s">
        <v>194</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26</v>
      </c>
      <c r="D3" s="11" t="s">
        <v>97</v>
      </c>
      <c r="E3" s="12" t="s">
        <v>26</v>
      </c>
    </row>
    <row r="4" customFormat="false" ht="21.75" hidden="false" customHeight="true" outlineLevel="0" collapsed="false">
      <c r="A4" s="11" t="s">
        <v>98</v>
      </c>
      <c r="B4" s="12" t="s">
        <v>27</v>
      </c>
      <c r="D4" s="11" t="s">
        <v>99</v>
      </c>
      <c r="E4" s="12" t="s">
        <v>74</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78" hidden="false" customHeight="true" outlineLevel="0" collapsed="false">
      <c r="A8" s="11" t="s">
        <v>108</v>
      </c>
      <c r="B8" s="12" t="s">
        <v>195</v>
      </c>
      <c r="D8" s="11" t="s">
        <v>110</v>
      </c>
      <c r="E8" s="12" t="s">
        <v>196</v>
      </c>
    </row>
    <row r="9" customFormat="false" ht="300" hidden="false" customHeight="true" outlineLevel="0" collapsed="false">
      <c r="A9" s="11" t="s">
        <v>112</v>
      </c>
      <c r="B9" s="12" t="s">
        <v>197</v>
      </c>
      <c r="D9" s="11" t="s">
        <v>114</v>
      </c>
      <c r="E9" s="12" t="s">
        <v>198</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199</v>
      </c>
      <c r="D11" s="11" t="s">
        <v>118</v>
      </c>
      <c r="E11" s="12" t="s">
        <v>199</v>
      </c>
    </row>
    <row r="12" customFormat="false" ht="21.75" hidden="false" customHeight="true" outlineLevel="0" collapsed="false">
      <c r="A12" s="11" t="s">
        <v>120</v>
      </c>
      <c r="B12" s="12" t="s">
        <v>26</v>
      </c>
      <c r="D12" s="11" t="s">
        <v>121</v>
      </c>
      <c r="E12" s="12" t="s">
        <v>26</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200</v>
      </c>
      <c r="B1" s="9"/>
      <c r="D1" s="9" t="s">
        <v>201</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28</v>
      </c>
      <c r="D3" s="11" t="s">
        <v>97</v>
      </c>
      <c r="E3" s="12" t="s">
        <v>28</v>
      </c>
    </row>
    <row r="4" customFormat="false" ht="21.75" hidden="false" customHeight="true" outlineLevel="0" collapsed="false">
      <c r="A4" s="11" t="s">
        <v>98</v>
      </c>
      <c r="B4" s="12" t="s">
        <v>27</v>
      </c>
      <c r="D4" s="11" t="s">
        <v>99</v>
      </c>
      <c r="E4" s="12" t="s">
        <v>74</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78" hidden="false" customHeight="true" outlineLevel="0" collapsed="false">
      <c r="A8" s="11" t="s">
        <v>108</v>
      </c>
      <c r="B8" s="12" t="s">
        <v>202</v>
      </c>
      <c r="D8" s="11" t="s">
        <v>110</v>
      </c>
      <c r="E8" s="12" t="s">
        <v>203</v>
      </c>
    </row>
    <row r="9" customFormat="false" ht="64.5" hidden="false" customHeight="true" outlineLevel="0" collapsed="false">
      <c r="A9" s="11" t="s">
        <v>112</v>
      </c>
      <c r="B9" s="12" t="s">
        <v>204</v>
      </c>
      <c r="D9" s="11" t="s">
        <v>114</v>
      </c>
      <c r="E9" s="12" t="s">
        <v>205</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206</v>
      </c>
      <c r="D11" s="11" t="s">
        <v>118</v>
      </c>
      <c r="E11" s="12" t="s">
        <v>206</v>
      </c>
    </row>
    <row r="12" customFormat="false" ht="21.75" hidden="false" customHeight="true" outlineLevel="0" collapsed="false">
      <c r="A12" s="11" t="s">
        <v>120</v>
      </c>
      <c r="B12" s="12" t="s">
        <v>28</v>
      </c>
      <c r="D12" s="11" t="s">
        <v>121</v>
      </c>
      <c r="E12" s="12" t="s">
        <v>28</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207</v>
      </c>
      <c r="B1" s="9"/>
      <c r="D1" s="9" t="s">
        <v>208</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30</v>
      </c>
      <c r="D3" s="11" t="s">
        <v>97</v>
      </c>
      <c r="E3" s="12" t="s">
        <v>30</v>
      </c>
    </row>
    <row r="4" customFormat="false" ht="21.75" hidden="false" customHeight="true" outlineLevel="0" collapsed="false">
      <c r="A4" s="11" t="s">
        <v>98</v>
      </c>
      <c r="B4" s="12" t="s">
        <v>31</v>
      </c>
      <c r="D4" s="11" t="s">
        <v>99</v>
      </c>
      <c r="E4" s="12" t="s">
        <v>75</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45" hidden="false" customHeight="true" outlineLevel="0" collapsed="false">
      <c r="A8" s="11" t="s">
        <v>108</v>
      </c>
      <c r="B8" s="12" t="s">
        <v>209</v>
      </c>
      <c r="D8" s="11" t="s">
        <v>110</v>
      </c>
      <c r="E8" s="12" t="s">
        <v>210</v>
      </c>
    </row>
    <row r="9" customFormat="false" ht="246.75" hidden="false" customHeight="true" outlineLevel="0" collapsed="false">
      <c r="A9" s="11" t="s">
        <v>112</v>
      </c>
      <c r="B9" s="12" t="s">
        <v>211</v>
      </c>
      <c r="D9" s="11" t="s">
        <v>114</v>
      </c>
      <c r="E9" s="12" t="s">
        <v>212</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213</v>
      </c>
      <c r="D11" s="11" t="s">
        <v>118</v>
      </c>
      <c r="E11" s="12" t="s">
        <v>213</v>
      </c>
    </row>
    <row r="12" customFormat="false" ht="21.75" hidden="false" customHeight="true" outlineLevel="0" collapsed="false">
      <c r="A12" s="11" t="s">
        <v>120</v>
      </c>
      <c r="B12" s="12" t="s">
        <v>30</v>
      </c>
      <c r="D12" s="11" t="s">
        <v>121</v>
      </c>
      <c r="E12" s="12" t="s">
        <v>30</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214</v>
      </c>
      <c r="B1" s="9"/>
      <c r="D1" s="9" t="s">
        <v>215</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32</v>
      </c>
      <c r="D3" s="11" t="s">
        <v>97</v>
      </c>
      <c r="E3" s="12" t="s">
        <v>32</v>
      </c>
    </row>
    <row r="4" customFormat="false" ht="21.75" hidden="false" customHeight="true" outlineLevel="0" collapsed="false">
      <c r="A4" s="11" t="s">
        <v>98</v>
      </c>
      <c r="B4" s="12" t="s">
        <v>31</v>
      </c>
      <c r="D4" s="11" t="s">
        <v>99</v>
      </c>
      <c r="E4" s="12" t="s">
        <v>75</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78" hidden="false" customHeight="true" outlineLevel="0" collapsed="false">
      <c r="A8" s="11" t="s">
        <v>108</v>
      </c>
      <c r="B8" s="12" t="s">
        <v>216</v>
      </c>
      <c r="D8" s="11" t="s">
        <v>110</v>
      </c>
      <c r="E8" s="12" t="s">
        <v>217</v>
      </c>
    </row>
    <row r="9" customFormat="false" ht="45" hidden="false" customHeight="true" outlineLevel="0" collapsed="false">
      <c r="A9" s="11" t="s">
        <v>112</v>
      </c>
      <c r="B9" s="12" t="s">
        <v>218</v>
      </c>
      <c r="D9" s="11" t="s">
        <v>114</v>
      </c>
      <c r="E9" s="12" t="s">
        <v>219</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220</v>
      </c>
      <c r="D11" s="11" t="s">
        <v>118</v>
      </c>
      <c r="E11" s="12" t="s">
        <v>220</v>
      </c>
    </row>
    <row r="12" customFormat="false" ht="21.75" hidden="false" customHeight="true" outlineLevel="0" collapsed="false">
      <c r="A12" s="11" t="s">
        <v>120</v>
      </c>
      <c r="B12" s="12" t="s">
        <v>32</v>
      </c>
      <c r="D12" s="11" t="s">
        <v>121</v>
      </c>
      <c r="E12" s="12" t="s">
        <v>32</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221</v>
      </c>
      <c r="B1" s="9"/>
      <c r="D1" s="9" t="s">
        <v>222</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34</v>
      </c>
      <c r="D3" s="11" t="s">
        <v>97</v>
      </c>
      <c r="E3" s="12" t="s">
        <v>34</v>
      </c>
    </row>
    <row r="4" customFormat="false" ht="21.75" hidden="false" customHeight="true" outlineLevel="0" collapsed="false">
      <c r="A4" s="11" t="s">
        <v>98</v>
      </c>
      <c r="B4" s="12" t="s">
        <v>35</v>
      </c>
      <c r="D4" s="11" t="s">
        <v>99</v>
      </c>
      <c r="E4" s="12" t="s">
        <v>76</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51.75" hidden="false" customHeight="true" outlineLevel="0" collapsed="false">
      <c r="A8" s="11" t="s">
        <v>108</v>
      </c>
      <c r="B8" s="12" t="s">
        <v>223</v>
      </c>
      <c r="D8" s="11" t="s">
        <v>110</v>
      </c>
      <c r="E8" s="12" t="s">
        <v>224</v>
      </c>
    </row>
    <row r="9" customFormat="false" ht="90.75" hidden="false" customHeight="true" outlineLevel="0" collapsed="false">
      <c r="A9" s="11" t="s">
        <v>112</v>
      </c>
      <c r="B9" s="12" t="s">
        <v>225</v>
      </c>
      <c r="D9" s="11" t="s">
        <v>114</v>
      </c>
      <c r="E9" s="12" t="s">
        <v>226</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227</v>
      </c>
      <c r="D11" s="11" t="s">
        <v>118</v>
      </c>
      <c r="E11" s="12" t="s">
        <v>227</v>
      </c>
    </row>
    <row r="12" customFormat="false" ht="21.75" hidden="false" customHeight="true" outlineLevel="0" collapsed="false">
      <c r="A12" s="11" t="s">
        <v>120</v>
      </c>
      <c r="B12" s="12" t="s">
        <v>34</v>
      </c>
      <c r="D12" s="11" t="s">
        <v>121</v>
      </c>
      <c r="E12" s="12" t="s">
        <v>34</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228</v>
      </c>
      <c r="B1" s="9"/>
      <c r="D1" s="9" t="s">
        <v>229</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37</v>
      </c>
      <c r="D3" s="11" t="s">
        <v>97</v>
      </c>
      <c r="E3" s="12" t="s">
        <v>37</v>
      </c>
    </row>
    <row r="4" customFormat="false" ht="21.75" hidden="false" customHeight="true" outlineLevel="0" collapsed="false">
      <c r="A4" s="11" t="s">
        <v>98</v>
      </c>
      <c r="B4" s="12" t="s">
        <v>38</v>
      </c>
      <c r="D4" s="11" t="s">
        <v>99</v>
      </c>
      <c r="E4" s="12" t="s">
        <v>77</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103.5" hidden="false" customHeight="true" outlineLevel="0" collapsed="false">
      <c r="A8" s="11" t="s">
        <v>108</v>
      </c>
      <c r="B8" s="12" t="s">
        <v>230</v>
      </c>
      <c r="D8" s="11" t="s">
        <v>110</v>
      </c>
      <c r="E8" s="12" t="s">
        <v>231</v>
      </c>
    </row>
    <row r="9" customFormat="false" ht="234" hidden="false" customHeight="true" outlineLevel="0" collapsed="false">
      <c r="A9" s="11" t="s">
        <v>112</v>
      </c>
      <c r="B9" s="12" t="s">
        <v>232</v>
      </c>
      <c r="D9" s="11" t="s">
        <v>114</v>
      </c>
      <c r="E9" s="12" t="s">
        <v>233</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234</v>
      </c>
      <c r="D11" s="11" t="s">
        <v>118</v>
      </c>
      <c r="E11" s="12" t="s">
        <v>234</v>
      </c>
    </row>
    <row r="12" customFormat="false" ht="21.75" hidden="false" customHeight="true" outlineLevel="0" collapsed="false">
      <c r="A12" s="11" t="s">
        <v>120</v>
      </c>
      <c r="B12" s="12" t="s">
        <v>37</v>
      </c>
      <c r="D12" s="11" t="s">
        <v>121</v>
      </c>
      <c r="E12" s="12" t="s">
        <v>37</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235</v>
      </c>
      <c r="B1" s="9"/>
      <c r="D1" s="9" t="s">
        <v>236</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40</v>
      </c>
      <c r="D3" s="11" t="s">
        <v>97</v>
      </c>
      <c r="E3" s="12" t="s">
        <v>40</v>
      </c>
    </row>
    <row r="4" customFormat="false" ht="21.75" hidden="false" customHeight="true" outlineLevel="0" collapsed="false">
      <c r="A4" s="11" t="s">
        <v>98</v>
      </c>
      <c r="B4" s="12" t="s">
        <v>41</v>
      </c>
      <c r="D4" s="11" t="s">
        <v>99</v>
      </c>
      <c r="E4" s="12" t="s">
        <v>78</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64.5" hidden="false" customHeight="true" outlineLevel="0" collapsed="false">
      <c r="A8" s="11" t="s">
        <v>108</v>
      </c>
      <c r="B8" s="12" t="s">
        <v>237</v>
      </c>
      <c r="D8" s="11" t="s">
        <v>110</v>
      </c>
      <c r="E8" s="12" t="s">
        <v>238</v>
      </c>
    </row>
    <row r="9" customFormat="false" ht="234" hidden="false" customHeight="true" outlineLevel="0" collapsed="false">
      <c r="A9" s="11" t="s">
        <v>112</v>
      </c>
      <c r="B9" s="12" t="s">
        <v>239</v>
      </c>
      <c r="D9" s="11" t="s">
        <v>114</v>
      </c>
      <c r="E9" s="12" t="s">
        <v>240</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241</v>
      </c>
      <c r="D11" s="11" t="s">
        <v>118</v>
      </c>
      <c r="E11" s="12" t="s">
        <v>241</v>
      </c>
    </row>
    <row r="12" customFormat="false" ht="21.75" hidden="false" customHeight="true" outlineLevel="0" collapsed="false">
      <c r="A12" s="11" t="s">
        <v>120</v>
      </c>
      <c r="B12" s="12" t="s">
        <v>40</v>
      </c>
      <c r="D12" s="11" t="s">
        <v>121</v>
      </c>
      <c r="E12" s="12" t="s">
        <v>40</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242</v>
      </c>
      <c r="B1" s="9"/>
      <c r="D1" s="9" t="s">
        <v>243</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43</v>
      </c>
      <c r="D3" s="11" t="s">
        <v>97</v>
      </c>
      <c r="E3" s="12" t="s">
        <v>43</v>
      </c>
    </row>
    <row r="4" customFormat="false" ht="21.75" hidden="false" customHeight="true" outlineLevel="0" collapsed="false">
      <c r="A4" s="11" t="s">
        <v>98</v>
      </c>
      <c r="B4" s="12" t="s">
        <v>41</v>
      </c>
      <c r="D4" s="11" t="s">
        <v>99</v>
      </c>
      <c r="E4" s="12" t="s">
        <v>78</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64.5" hidden="false" customHeight="true" outlineLevel="0" collapsed="false">
      <c r="A8" s="11" t="s">
        <v>108</v>
      </c>
      <c r="B8" s="12" t="s">
        <v>244</v>
      </c>
      <c r="D8" s="11" t="s">
        <v>110</v>
      </c>
      <c r="E8" s="12" t="s">
        <v>245</v>
      </c>
    </row>
    <row r="9" customFormat="false" ht="246.75" hidden="false" customHeight="true" outlineLevel="0" collapsed="false">
      <c r="A9" s="11" t="s">
        <v>112</v>
      </c>
      <c r="B9" s="12" t="s">
        <v>246</v>
      </c>
      <c r="D9" s="11" t="s">
        <v>114</v>
      </c>
      <c r="E9" s="12" t="s">
        <v>247</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248</v>
      </c>
      <c r="D11" s="11" t="s">
        <v>118</v>
      </c>
      <c r="E11" s="12" t="s">
        <v>248</v>
      </c>
    </row>
    <row r="12" customFormat="false" ht="21.75" hidden="false" customHeight="true" outlineLevel="0" collapsed="false">
      <c r="A12" s="11" t="s">
        <v>120</v>
      </c>
      <c r="B12" s="12" t="s">
        <v>43</v>
      </c>
      <c r="D12" s="11" t="s">
        <v>121</v>
      </c>
      <c r="E12" s="12" t="s">
        <v>43</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249</v>
      </c>
      <c r="B1" s="9"/>
      <c r="D1" s="9" t="s">
        <v>250</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45</v>
      </c>
      <c r="D3" s="11" t="s">
        <v>97</v>
      </c>
      <c r="E3" s="12" t="s">
        <v>45</v>
      </c>
    </row>
    <row r="4" customFormat="false" ht="21.75" hidden="false" customHeight="true" outlineLevel="0" collapsed="false">
      <c r="A4" s="11" t="s">
        <v>98</v>
      </c>
      <c r="B4" s="12" t="s">
        <v>46</v>
      </c>
      <c r="D4" s="11" t="s">
        <v>99</v>
      </c>
      <c r="E4" s="12" t="s">
        <v>79</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45" hidden="false" customHeight="true" outlineLevel="0" collapsed="false">
      <c r="A8" s="11" t="s">
        <v>108</v>
      </c>
      <c r="B8" s="12" t="s">
        <v>251</v>
      </c>
      <c r="D8" s="11" t="s">
        <v>110</v>
      </c>
      <c r="E8" s="12" t="s">
        <v>252</v>
      </c>
    </row>
    <row r="9" customFormat="false" ht="78" hidden="false" customHeight="true" outlineLevel="0" collapsed="false">
      <c r="A9" s="11" t="s">
        <v>112</v>
      </c>
      <c r="B9" s="12" t="s">
        <v>253</v>
      </c>
      <c r="D9" s="11" t="s">
        <v>114</v>
      </c>
      <c r="E9" s="12" t="s">
        <v>254</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255</v>
      </c>
      <c r="D11" s="11" t="s">
        <v>118</v>
      </c>
      <c r="E11" s="12" t="s">
        <v>255</v>
      </c>
    </row>
    <row r="12" customFormat="false" ht="21.75" hidden="false" customHeight="true" outlineLevel="0" collapsed="false">
      <c r="A12" s="11" t="s">
        <v>120</v>
      </c>
      <c r="B12" s="12" t="s">
        <v>45</v>
      </c>
      <c r="D12" s="11" t="s">
        <v>121</v>
      </c>
      <c r="E12" s="12" t="s">
        <v>45</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256</v>
      </c>
      <c r="B1" s="9"/>
      <c r="D1" s="9" t="s">
        <v>257</v>
      </c>
      <c r="E1" s="9"/>
    </row>
    <row r="2" customFormat="false" ht="19.5" hidden="false" customHeight="true" outlineLevel="0" collapsed="false">
      <c r="A2" s="10" t="s">
        <v>94</v>
      </c>
      <c r="B2" s="10"/>
      <c r="D2" s="10" t="s">
        <v>95</v>
      </c>
      <c r="E2" s="10"/>
    </row>
    <row r="3" customFormat="false" ht="21.75" hidden="false" customHeight="true" outlineLevel="0" collapsed="false">
      <c r="A3" s="11" t="s">
        <v>96</v>
      </c>
      <c r="B3" s="12" t="s">
        <v>48</v>
      </c>
      <c r="D3" s="11" t="s">
        <v>97</v>
      </c>
      <c r="E3" s="12" t="s">
        <v>48</v>
      </c>
    </row>
    <row r="4" customFormat="false" ht="21.75" hidden="false" customHeight="true" outlineLevel="0" collapsed="false">
      <c r="A4" s="11" t="s">
        <v>98</v>
      </c>
      <c r="B4" s="12" t="s">
        <v>49</v>
      </c>
      <c r="D4" s="11" t="s">
        <v>99</v>
      </c>
      <c r="E4" s="12" t="s">
        <v>80</v>
      </c>
    </row>
    <row r="5" customFormat="false" ht="21.75" hidden="false" customHeight="true" outlineLevel="0" collapsed="false">
      <c r="A5" s="11" t="s">
        <v>100</v>
      </c>
      <c r="B5" s="12" t="s">
        <v>101</v>
      </c>
      <c r="D5" s="11" t="s">
        <v>102</v>
      </c>
      <c r="E5" s="12" t="s">
        <v>103</v>
      </c>
    </row>
    <row r="6" customFormat="false" ht="21.75" hidden="false" customHeight="true" outlineLevel="0" collapsed="false">
      <c r="A6" s="11" t="s">
        <v>104</v>
      </c>
      <c r="B6" s="12"/>
      <c r="D6" s="11" t="s">
        <v>105</v>
      </c>
      <c r="E6" s="12"/>
    </row>
    <row r="7" customFormat="false" ht="21.75" hidden="false" customHeight="true" outlineLevel="0" collapsed="false">
      <c r="A7" s="11" t="s">
        <v>106</v>
      </c>
      <c r="B7" s="12"/>
      <c r="D7" s="11" t="s">
        <v>107</v>
      </c>
      <c r="E7" s="12"/>
    </row>
    <row r="8" customFormat="false" ht="142.5" hidden="false" customHeight="true" outlineLevel="0" collapsed="false">
      <c r="A8" s="11" t="s">
        <v>108</v>
      </c>
      <c r="B8" s="12" t="s">
        <v>258</v>
      </c>
      <c r="D8" s="11" t="s">
        <v>110</v>
      </c>
      <c r="E8" s="12" t="s">
        <v>259</v>
      </c>
    </row>
    <row r="9" customFormat="false" ht="90.75" hidden="false" customHeight="true" outlineLevel="0" collapsed="false">
      <c r="A9" s="11" t="s">
        <v>112</v>
      </c>
      <c r="B9" s="12" t="s">
        <v>260</v>
      </c>
      <c r="D9" s="11" t="s">
        <v>114</v>
      </c>
      <c r="E9" s="12" t="s">
        <v>261</v>
      </c>
    </row>
    <row r="10" customFormat="false" ht="19.5" hidden="false" customHeight="true" outlineLevel="0" collapsed="false">
      <c r="A10" s="10" t="s">
        <v>116</v>
      </c>
      <c r="B10" s="10"/>
      <c r="D10" s="10" t="s">
        <v>117</v>
      </c>
      <c r="E10" s="10"/>
    </row>
    <row r="11" customFormat="false" ht="21.75" hidden="false" customHeight="true" outlineLevel="0" collapsed="false">
      <c r="A11" s="11" t="s">
        <v>118</v>
      </c>
      <c r="B11" s="12" t="s">
        <v>262</v>
      </c>
      <c r="D11" s="11" t="s">
        <v>118</v>
      </c>
      <c r="E11" s="12" t="s">
        <v>262</v>
      </c>
    </row>
    <row r="12" customFormat="false" ht="21.75" hidden="false" customHeight="true" outlineLevel="0" collapsed="false">
      <c r="A12" s="11" t="s">
        <v>120</v>
      </c>
      <c r="B12" s="12" t="s">
        <v>48</v>
      </c>
      <c r="D12" s="11" t="s">
        <v>121</v>
      </c>
      <c r="E12" s="12" t="s">
        <v>48</v>
      </c>
    </row>
    <row r="13" customFormat="false" ht="21.75" hidden="false" customHeight="true" outlineLevel="0" collapsed="false">
      <c r="A13" s="11" t="s">
        <v>122</v>
      </c>
      <c r="B13" s="12"/>
      <c r="D13" s="11" t="s">
        <v>123</v>
      </c>
      <c r="E13" s="12"/>
    </row>
    <row r="14" customFormat="false" ht="54.75" hidden="false" customHeight="true" outlineLevel="0" collapsed="false">
      <c r="A14" s="11" t="s">
        <v>124</v>
      </c>
      <c r="B14" s="12"/>
      <c r="D14" s="11" t="s">
        <v>125</v>
      </c>
      <c r="E14" s="12"/>
    </row>
    <row r="15" customFormat="false" ht="54.75" hidden="false" customHeight="true" outlineLevel="0" collapsed="false">
      <c r="A15" s="11" t="s">
        <v>126</v>
      </c>
      <c r="B15" s="12"/>
      <c r="D15" s="11" t="s">
        <v>127</v>
      </c>
      <c r="E15" s="12"/>
    </row>
    <row r="16" customFormat="false" ht="54.75" hidden="false" customHeight="true" outlineLevel="0" collapsed="false">
      <c r="A16" s="11" t="s">
        <v>54</v>
      </c>
      <c r="B16" s="12"/>
      <c r="D16" s="11" t="s">
        <v>85</v>
      </c>
      <c r="E16" s="12"/>
    </row>
    <row r="17" customFormat="false" ht="24.75" hidden="false" customHeight="true" outlineLevel="0" collapsed="false">
      <c r="A17" s="11" t="s">
        <v>128</v>
      </c>
      <c r="B17" s="12"/>
      <c r="D17" s="11" t="s">
        <v>129</v>
      </c>
      <c r="E17" s="12"/>
    </row>
    <row r="18" customFormat="false" ht="24.75" hidden="false" customHeight="true" outlineLevel="0" collapsed="false">
      <c r="A18" s="11" t="s">
        <v>130</v>
      </c>
      <c r="B18" s="12"/>
      <c r="D18" s="11" t="s">
        <v>131</v>
      </c>
      <c r="E18" s="12"/>
    </row>
    <row r="19" customFormat="false" ht="24.75" hidden="false" customHeight="true" outlineLevel="0" collapsed="false">
      <c r="A19" s="11" t="s">
        <v>132</v>
      </c>
      <c r="B19" s="12"/>
      <c r="D19" s="11" t="s">
        <v>133</v>
      </c>
      <c r="E19" s="12"/>
    </row>
    <row r="20" customFormat="false" ht="21.75" hidden="false" customHeight="true" outlineLevel="0" collapsed="false">
      <c r="A20" s="11" t="s">
        <v>5</v>
      </c>
      <c r="B20" s="12" t="s">
        <v>52</v>
      </c>
      <c r="D20" s="11" t="s">
        <v>66</v>
      </c>
      <c r="E20" s="12" t="s">
        <v>134</v>
      </c>
    </row>
    <row r="21" customFormat="false" ht="54.75" hidden="false" customHeight="true" outlineLevel="0" collapsed="false">
      <c r="A21" s="11" t="s">
        <v>135</v>
      </c>
      <c r="B21" s="12"/>
      <c r="D21" s="11" t="s">
        <v>136</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2026-05-29T18:33:53Z</dcterms:created>
  <dc:creator>openpyxl</dc:creator>
  <dc:description/>
  <dc:language>en-US</dc:language>
  <cp:lastModifiedBy/>
  <dcterms:modified xsi:type="dcterms:W3CDTF">2026-05-29T18:33:53Z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