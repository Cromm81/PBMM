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30.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62.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60.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61.xml" ContentType="application/vnd.openxmlformats-officedocument.spreadsheetml.worksheet+xml"/>
  <Override PartName="/xl/worksheets/sheet19.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59.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58.xml" ContentType="application/vnd.openxmlformats-officedocument.spreadsheetml.worksheet+xml"/>
  <Override PartName="/xl/worksheets/sheet57.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6" sheetId="3" state="visible" r:id="rId5"/>
    <sheet name="AC-6-1" sheetId="4" state="visible" r:id="rId6"/>
    <sheet name="AC-7" sheetId="5" state="visible" r:id="rId7"/>
    <sheet name="AC-8" sheetId="6" state="visible" r:id="rId8"/>
    <sheet name="AC-11" sheetId="7" state="visible" r:id="rId9"/>
    <sheet name="AC-11-1" sheetId="8" state="visible" r:id="rId10"/>
    <sheet name="AC-12" sheetId="9" state="visible" r:id="rId11"/>
    <sheet name="AC-17-1" sheetId="10" state="visible" r:id="rId12"/>
    <sheet name="AC-17-2" sheetId="11" state="visible" r:id="rId13"/>
    <sheet name="AC-17-100" sheetId="12" state="visible" r:id="rId14"/>
    <sheet name="AU-2" sheetId="13" state="visible" r:id="rId15"/>
    <sheet name="AU-3" sheetId="14" state="visible" r:id="rId16"/>
    <sheet name="AU-3-1" sheetId="15" state="visible" r:id="rId17"/>
    <sheet name="AU-9-2" sheetId="16" state="visible" r:id="rId18"/>
    <sheet name="AU-12" sheetId="17" state="visible" r:id="rId19"/>
    <sheet name="CA-3-5" sheetId="18" state="visible" r:id="rId20"/>
    <sheet name="CA-9" sheetId="19" state="visible" r:id="rId21"/>
    <sheet name="CM-6" sheetId="20" state="visible" r:id="rId22"/>
    <sheet name="CM-7" sheetId="21" state="visible" r:id="rId23"/>
    <sheet name="CM-7-1" sheetId="22" state="visible" r:id="rId24"/>
    <sheet name="CM-7-5" sheetId="23" state="visible" r:id="rId25"/>
    <sheet name="CM-11" sheetId="24" state="visible" r:id="rId26"/>
    <sheet name="CP-6" sheetId="25" state="visible" r:id="rId27"/>
    <sheet name="CP-6-2" sheetId="26" state="visible" r:id="rId28"/>
    <sheet name="CP-7" sheetId="27" state="visible" r:id="rId29"/>
    <sheet name="CP-7-4" sheetId="28" state="visible" r:id="rId30"/>
    <sheet name="CP-9" sheetId="29" state="visible" r:id="rId31"/>
    <sheet name="CP-9-1" sheetId="30" state="visible" r:id="rId32"/>
    <sheet name="CP-9-2" sheetId="31" state="visible" r:id="rId33"/>
    <sheet name="CP-9-5" sheetId="32" state="visible" r:id="rId34"/>
    <sheet name="CP-10" sheetId="33" state="visible" r:id="rId35"/>
    <sheet name="CP-10-4" sheetId="34" state="visible" r:id="rId36"/>
    <sheet name="IA-5-6" sheetId="35" state="visible" r:id="rId37"/>
    <sheet name="IA-5-7" sheetId="36" state="visible" r:id="rId38"/>
    <sheet name="SA-9-5" sheetId="37" state="visible" r:id="rId39"/>
    <sheet name="SA-10-1" sheetId="38" state="visible" r:id="rId40"/>
    <sheet name="SC-2" sheetId="39" state="visible" r:id="rId41"/>
    <sheet name="SC-6" sheetId="40" state="visible" r:id="rId42"/>
    <sheet name="SC-7-7" sheetId="41" state="visible" r:id="rId43"/>
    <sheet name="SC-7-12" sheetId="42" state="visible" r:id="rId44"/>
    <sheet name="SC-8" sheetId="43" state="visible" r:id="rId45"/>
    <sheet name="SC-8-1" sheetId="44" state="visible" r:id="rId46"/>
    <sheet name="SC-10" sheetId="45" state="visible" r:id="rId47"/>
    <sheet name="SC-13" sheetId="46" state="visible" r:id="rId48"/>
    <sheet name="SC-18" sheetId="47" state="visible" r:id="rId49"/>
    <sheet name="SC-18-3" sheetId="48" state="visible" r:id="rId50"/>
    <sheet name="SC-18-4" sheetId="49" state="visible" r:id="rId51"/>
    <sheet name="SC-23" sheetId="50" state="visible" r:id="rId52"/>
    <sheet name="SC-23-1" sheetId="51" state="visible" r:id="rId53"/>
    <sheet name="SC-28" sheetId="52" state="visible" r:id="rId54"/>
    <sheet name="SC-28-1" sheetId="53" state="visible" r:id="rId55"/>
    <sheet name="SC-39" sheetId="54" state="visible" r:id="rId56"/>
    <sheet name="SI-4-2" sheetId="55" state="visible" r:id="rId57"/>
    <sheet name="SI-4-4" sheetId="56" state="visible" r:id="rId58"/>
    <sheet name="SI-4-23" sheetId="57" state="visible" r:id="rId59"/>
    <sheet name="SI-6" sheetId="58" state="visible" r:id="rId60"/>
    <sheet name="SI-7" sheetId="59" state="visible" r:id="rId61"/>
    <sheet name="SI-7-1" sheetId="60" state="visible" r:id="rId62"/>
    <sheet name="SI-11" sheetId="61" state="visible" r:id="rId63"/>
    <sheet name="SI-16" sheetId="62" state="visible" r:id="rId6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<sst xmlns="http://schemas.openxmlformats.org/spreadsheetml/2006/main" count="3868" uniqueCount="649">
  <si>
    <t xml:space="preserve">DASHBOARD — PBMM Evidence: Compute</t>
  </si>
  <si>
    <t xml:space="preserve">Control ID</t>
  </si>
  <si>
    <t xml:space="preserve">Control Name</t>
  </si>
  <si>
    <t xml:space="preserve">Primary Tool</t>
  </si>
  <si>
    <t xml:space="preserve">Tab</t>
  </si>
  <si>
    <t xml:space="preserve">Status</t>
  </si>
  <si>
    <t xml:space="preserve">AC-6</t>
  </si>
  <si>
    <t xml:space="preserve">Least Privilege</t>
  </si>
  <si>
    <t xml:space="preserve">AC-6(1)</t>
  </si>
  <si>
    <t xml:space="preserve">AC-6-1</t>
  </si>
  <si>
    <t xml:space="preserve">AC-7</t>
  </si>
  <si>
    <t xml:space="preserve">Unsuccessful Login Attempts</t>
  </si>
  <si>
    <t xml:space="preserve">AC-8</t>
  </si>
  <si>
    <t xml:space="preserve">System Use Notification</t>
  </si>
  <si>
    <t xml:space="preserve">AC-11</t>
  </si>
  <si>
    <t xml:space="preserve">Session Lock</t>
  </si>
  <si>
    <t xml:space="preserve">AC-11(1)</t>
  </si>
  <si>
    <t xml:space="preserve">AC-11-1</t>
  </si>
  <si>
    <t xml:space="preserve">AC-12</t>
  </si>
  <si>
    <t xml:space="preserve">Session Termination</t>
  </si>
  <si>
    <t xml:space="preserve">AC-17(1)</t>
  </si>
  <si>
    <t xml:space="preserve">Remote Access</t>
  </si>
  <si>
    <t xml:space="preserve">AC-17-1</t>
  </si>
  <si>
    <t xml:space="preserve">AC-17(2)</t>
  </si>
  <si>
    <t xml:space="preserve">AC-17-2</t>
  </si>
  <si>
    <t xml:space="preserve">AC-17(100)</t>
  </si>
  <si>
    <t xml:space="preserve">AC-17-100</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</si>
  <si>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</si>
  <si>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</si>
  <si>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</si>
  <si>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</si>
  <si>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</si>
  <si>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</si>
  <si>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</si>
  <si>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</si>
  <si>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</si>
  <si>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AU-12</t>
  </si>
  <si>
    <t xml:space="preserve">Audit Generation</t>
  </si>
  <si>
    <t xml:space="preserve">CA-3(5)</t>
  </si>
  <si>
    <t xml:space="preserve">Information System Connections</t>
  </si>
  <si>
    <t xml:space="preserve">CA-3-5</t>
  </si>
  <si>
    <t xml:space="preserve">CA-9</t>
  </si>
  <si>
    <t xml:space="preserve">Internal System Connections</t>
  </si>
  <si>
    <t xml:space="preserve">CM-6</t>
  </si>
  <si>
    <t xml:space="preserve">Configuration Settings</t>
  </si>
  <si>
    <t xml:space="preserve">CM-7</t>
  </si>
  <si>
    <t xml:space="preserve">Least Functionality</t>
  </si>
  <si>
    <t xml:space="preserve">CM-7(1)</t>
  </si>
  <si>
    <t xml:space="preserve">CM-7-1</t>
  </si>
  <si>
    <t xml:space="preserve">CM-7(5)</t>
  </si>
  <si>
    <t xml:space="preserve">CM-7-5</t>
  </si>
  <si>
    <t xml:space="preserve">CM-11</t>
  </si>
  <si>
    <t xml:space="preserve">User Installed Software</t>
  </si>
  <si>
    <t xml:space="preserve">CP-6</t>
  </si>
  <si>
    <t xml:space="preserve">Alternate Storage Site</t>
  </si>
  <si>
    <t xml:space="preserve">CP-6(2)</t>
  </si>
  <si>
    <t xml:space="preserve">CP-6-2</t>
  </si>
  <si>
    <t xml:space="preserve">CP-7</t>
  </si>
  <si>
    <t xml:space="preserve">Alternate Processing Site</t>
  </si>
  <si>
    <t xml:space="preserve">CP-7(4)</t>
  </si>
  <si>
    <t xml:space="preserve">CP-7-4</t>
  </si>
  <si>
    <t xml:space="preserve">CP-9</t>
  </si>
  <si>
    <t xml:space="preserve">Information System Backup</t>
  </si>
  <si>
    <t xml:space="preserve">CP-9(1)</t>
  </si>
  <si>
    <t xml:space="preserve">CP-9-1</t>
  </si>
  <si>
    <t xml:space="preserve">CP-9(2)</t>
  </si>
  <si>
    <t xml:space="preserve">CP-9-2</t>
  </si>
  <si>
    <t xml:space="preserve">CP-9(5)</t>
  </si>
  <si>
    <t xml:space="preserve">CP-9-5</t>
  </si>
  <si>
    <t xml:space="preserve">CP-10</t>
  </si>
  <si>
    <t xml:space="preserve">Information System Recovery and Reconstitution</t>
  </si>
  <si>
    <t xml:space="preserve">CP-10(4)</t>
  </si>
  <si>
    <t xml:space="preserve">CP-10-4</t>
  </si>
  <si>
    <t xml:space="preserve">IA-5(6)</t>
  </si>
  <si>
    <t xml:space="preserve">Authenticator Management</t>
  </si>
  <si>
    <t xml:space="preserve">IA-5-6</t>
  </si>
  <si>
    <t xml:space="preserve">IA-5(7)</t>
  </si>
  <si>
    <t xml:space="preserve">IA-5-7</t>
  </si>
  <si>
    <t xml:space="preserve">SA-9(5)</t>
  </si>
  <si>
    <t xml:space="preserve">External Information System Services</t>
  </si>
  <si>
    <t xml:space="preserve">SA-9-5</t>
  </si>
  <si>
    <t xml:space="preserve">SA-10(1)</t>
  </si>
  <si>
    <t xml:space="preserve">Developer Configuration Management</t>
  </si>
  <si>
    <t xml:space="preserve">SA-10-1</t>
  </si>
  <si>
    <t xml:space="preserve">SC-2</t>
  </si>
  <si>
    <t xml:space="preserve">Application Partitioning</t>
  </si>
  <si>
    <t xml:space="preserve">SC-6</t>
  </si>
  <si>
    <t xml:space="preserve">Resource Availability</t>
  </si>
  <si>
    <t xml:space="preserve">SC-7(7)</t>
  </si>
  <si>
    <t xml:space="preserve">Boundary Protection</t>
  </si>
  <si>
    <t xml:space="preserve">SC-7-7</t>
  </si>
  <si>
    <t xml:space="preserve">SC-7(12)</t>
  </si>
  <si>
    <t xml:space="preserve">SC-7-12</t>
  </si>
  <si>
    <t xml:space="preserve">SC-8</t>
  </si>
  <si>
    <t xml:space="preserve">Transmission Confidentiality and Integrity</t>
  </si>
  <si>
    <t xml:space="preserve">SC-8(1)</t>
  </si>
  <si>
    <t xml:space="preserve">SC-8-1</t>
  </si>
  <si>
    <t xml:space="preserve">SC-10</t>
  </si>
  <si>
    <t xml:space="preserve">Network Disconnect</t>
  </si>
  <si>
    <t xml:space="preserve">SC-13</t>
  </si>
  <si>
    <t xml:space="preserve">Cryptographic Protection</t>
  </si>
  <si>
    <t xml:space="preserve">SC-18</t>
  </si>
  <si>
    <t xml:space="preserve">Mobile Code</t>
  </si>
  <si>
    <t xml:space="preserve">SC-18(3)</t>
  </si>
  <si>
    <t xml:space="preserve">SC-18-3</t>
  </si>
  <si>
    <t xml:space="preserve">SC-18(4)</t>
  </si>
  <si>
    <t xml:space="preserve">SC-18-4</t>
  </si>
  <si>
    <t xml:space="preserve">SC-23</t>
  </si>
  <si>
    <t xml:space="preserve">Session Authenticity</t>
  </si>
  <si>
    <t xml:space="preserve">SC-23(1)</t>
  </si>
  <si>
    <t xml:space="preserve">SC-23-1</t>
  </si>
  <si>
    <t xml:space="preserve">SC-28</t>
  </si>
  <si>
    <t xml:space="preserve">Protection of Information At Rest</t>
  </si>
  <si>
    <t xml:space="preserve">SC-28(1)</t>
  </si>
  <si>
    <t xml:space="preserve">SC-28-1</t>
  </si>
  <si>
    <t xml:space="preserve">SC-39</t>
  </si>
  <si>
    <t xml:space="preserve">Process Isolation</t>
  </si>
  <si>
    <t xml:space="preserve">SI-4(2)</t>
  </si>
  <si>
    <t xml:space="preserve">Information System Monitoring</t>
  </si>
  <si>
    <t xml:space="preserve">SI-4-2</t>
  </si>
  <si>
    <t xml:space="preserve">SI-4(4)</t>
  </si>
  <si>
    <t xml:space="preserve">SI-4-4</t>
  </si>
  <si>
    <t xml:space="preserve">SI-4(23)</t>
  </si>
  <si>
    <t xml:space="preserve">SI-4-23</t>
  </si>
  <si>
    <t xml:space="preserve">SI-6</t>
  </si>
  <si>
    <t xml:space="preserve">Security Functional Verification</t>
  </si>
  <si>
    <t xml:space="preserve">SI-7</t>
  </si>
  <si>
    <t xml:space="preserve">Software, Firmware, and Information Integrity</t>
  </si>
  <si>
    <t xml:space="preserve">SI-7(1)</t>
  </si>
  <si>
    <t xml:space="preserve">SI-7-1</t>
  </si>
  <si>
    <t xml:space="preserve">SI-11</t>
  </si>
  <si>
    <t xml:space="preserve">Error Handling</t>
  </si>
  <si>
    <t xml:space="preserve">SI-16</t>
  </si>
  <si>
    <t xml:space="preserve">Memory Protection</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</si>
  <si>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</si>
  <si>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</si>
  <si>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</si>
  <si>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</si>
  <si>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</si>
  <si>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</si>
  <si>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</si>
  <si>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</si>
  <si>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</si>
  <si>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</si>
  <si>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</si>
  <si>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Compute</t>
  </si>
  <si>
    <t xml:space="preserve">ID Contrôle</t>
  </si>
  <si>
    <t xml:space="preserve">Nom du contrôle</t>
  </si>
  <si>
    <t xml:space="preserve">Outil principal</t>
  </si>
  <si>
    <t xml:space="preserve">Onglet</t>
  </si>
  <si>
    <t xml:space="preserve">Statut</t>
  </si>
  <si>
    <t xml:space="preserve">Moindre privilège</t>
  </si>
  <si>
    <t xml:space="preserve">Tentatives infructueuses d’ouverture de session</t>
  </si>
  <si>
    <t xml:space="preserve">Avis d’utilisation du système</t>
  </si>
  <si>
    <t xml:space="preserve">Verrouillage de session</t>
  </si>
  <si>
    <t xml:space="preserve">Fermeture de session</t>
  </si>
  <si>
    <t xml:space="preserve">Accès à distance</t>
  </si>
  <si>
    <t xml:space="preserve">Événements vérifiables</t>
  </si>
  <si>
    <t xml:space="preserve">Contenu des enregistrements de vérification</t>
  </si>
  <si>
    <t xml:space="preserve">Protection des renseignements de vérification</t>
  </si>
  <si>
    <t xml:space="preserve">Génération des vérifications</t>
  </si>
  <si>
    <t xml:space="preserve">Connexions aux systèmes d’information</t>
  </si>
  <si>
    <t xml:space="preserve">Connexions internes au système</t>
  </si>
  <si>
    <t xml:space="preserve">Paramètres de configuration</t>
  </si>
  <si>
    <t xml:space="preserve">Moindre fonctionnalité</t>
  </si>
  <si>
    <t xml:space="preserve">Logiciel installé par l’utilisateur</t>
  </si>
  <si>
    <t xml:space="preserve">Site de stockage auxiliaire</t>
  </si>
  <si>
    <t xml:space="preserve">Site de traitement auxiliaire</t>
  </si>
  <si>
    <t xml:space="preserve">Sauvegarde du système d’information</t>
  </si>
  <si>
    <t xml:space="preserve">Reprise et reconstitution du système d’information</t>
  </si>
  <si>
    <t xml:space="preserve">Gestion des authentifiants</t>
  </si>
  <si>
    <t xml:space="preserve">Services de systèmes d’information externes</t>
  </si>
  <si>
    <t xml:space="preserve">Gestion de la configuration par le développeur</t>
  </si>
  <si>
    <t xml:space="preserve">Partitionnement des applications</t>
  </si>
  <si>
    <t xml:space="preserve">Disponibilité des ressources</t>
  </si>
  <si>
    <t xml:space="preserve">Protection des frontières</t>
  </si>
  <si>
    <t xml:space="preserve">Confidentialité et intégrité des transmissions</t>
  </si>
  <si>
    <t xml:space="preserve">Débranchement du réseau</t>
  </si>
  <si>
    <t xml:space="preserve">Protection cryptographique</t>
  </si>
  <si>
    <t xml:space="preserve">Code mobile</t>
  </si>
  <si>
    <t xml:space="preserve">Authenticité des sessions</t>
  </si>
  <si>
    <t xml:space="preserve">Protection de l’information inactive</t>
  </si>
  <si>
    <t xml:space="preserve">Isolement des processus</t>
  </si>
  <si>
    <t xml:space="preserve">Surveillance du système d’information</t>
  </si>
  <si>
    <t xml:space="preserve">Vérification fonctionnelle de la sécurité</t>
  </si>
  <si>
    <t xml:space="preserve">Logiciels, micrologiciels et intégrité de l’information</t>
  </si>
  <si>
    <t xml:space="preserve">Traitement des erreurs</t>
  </si>
  <si>
    <t xml:space="preserve">Protection de la mémoire</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</si>
  <si>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</si>
  <si>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</si>
  <si>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</si>
  <si>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</si>
  <si>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</si>
  <si>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</si>
  <si>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</si>
  <si>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</si>
  <si>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</si>
  <si>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</si>
  <si>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</si>
  <si>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AC-6 — Evidence Tracking</t>
  </si>
  <si>
    <t xml:space="preserve">Contrôle AC-6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</si>
  <si>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</si>
  <si>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</si>
  <si>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</si>
  <si>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</si>
  <si>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</si>
  <si>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</si>
  <si>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</si>
  <si>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</si>
  <si>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</si>
  <si>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</si>
  <si>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</si>
  <si>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</si>
  <si>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</si>
  <si>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</si>
  <si>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</si>
  <si>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employs the principle of least privilege, allowing only authorized accesses for users (or processes acting on behalf of users) which are necessary to accomplish assigned tasks in accordance with organizational missions and business functions.</t>
  </si>
  <si>
    <t xml:space="preserve">Description du contrôle</t>
  </si>
  <si>
    <t xml:space="preserve">(A) L’organisation utilise le principe du moindre privilège, qui permet seulement les accès autorisés aux utilisateurs (ou aux processus qui agissent pour le compte des utilisateurs) qui sont nécessaires pour accomplir les tâches assignées conformément aux missions et aux fonctions opérationnelles de l’organisation.</t>
  </si>
  <si>
    <t xml:space="preserve">Supplemental Guidance</t>
  </si>
  <si>
    <t xml:space="preserve">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</si>
  <si>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 xml:space="preserve">Directives supplémentaires</t>
  </si>
  <si>
    <t xml:space="preserve">Les organisations utilisent le moindre privilège pour certaines tâches et certains systèmes d’information. Le principe du moindre privilège s’applique également aux processus du système d’information, ce qui fait en sorte que les processus ne fonctionnent pas à des niveaux de privilège plus élevés que nécessaire pour accomplir les missions et les fonctions opérationnelles requises de l’organisation. Les organisations envisagent la création de processus, de rôles et de comptes de système d’information supplémentaires lorsque nécessaire, pour obtenir le moindre privilège. Les organisations appliquent également le moindre privilège au développement, à la mise en œuvre et à l’exploitation de leurs systèmes d’information. Contrôles connexes : AC-2, AC-3, AC-5, CM-6, CM-7, PL-2</t>
  </si>
  <si>
    <t xml:space="preserve">Test Case</t>
  </si>
  <si>
    <t xml:space="preserve">Cas de test</t>
  </si>
  <si>
    <t xml:space="preserve">Test</t>
  </si>
  <si>
    <t xml:space="preserve">TEST-AC-6</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</si>
  <si>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</si>
  <si>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</si>
  <si>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</si>
  <si>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</si>
  <si>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</si>
  <si>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</si>
  <si>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</si>
  <si>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</si>
  <si>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</si>
  <si>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</si>
  <si>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</si>
  <si>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</si>
  <si>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</si>
  <si>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</si>
  <si>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</si>
  <si>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</si>
  <si>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</si>
  <si>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AC-6(1) — Evidence Tracking</t>
  </si>
  <si>
    <t xml:space="preserve">Contrôle AC-6(1) — Suivi des preuves</t>
  </si>
  <si>
    <t xml:space="preserve">LEAST PRIVILEGE | AUTHORIZE ACCESS TO SECURITY FUNCTIONS
The organization explicitly authorizes access to all security functions not publicly accessible and all security-relevant information not publicly available.</t>
  </si>
  <si>
    <t xml:space="preserve">MOINDRE PRIVILÈGE | AUTORISATION D’ACCÈS AUX FONCTIONS DE SÉCURITÉ
L’organisation autorise explicitement l’accès à toutes les fonctions de sécurité qui ne sont pas accessibles au public et à toute l’information pertinente à la sécurité qui n’est pas accessible au public.</t>
  </si>
  <si>
    <t xml:space="preserve">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</si>
  <si>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 xml:space="preserve">Les fonctions de sécurité comprennent, par exemple, l’établissement des comptes système, la configuration des autorisations d’accès (c.-à-d. les permissions, les privilèges), le réglage des événements à vérifier, et l’établissement des paramètres de détection des intrusions. Les renseignements pertinents pour la sécurité comprennent, par exemple, les règles de filtrage pour les routeurs/pare-feu, l’information de gestion des clés cryptographiques, les paramètres de configuration pour les services de sécurité et les listes de contrôle d’accès. Le personnel explicitement autorisé comprend, par exemple, les administrateurs de la sécurité, les administrateurs de systèmes et de réseaux, les agents de sécurité des systèmes, le personnel de maintenance des systèmes, les programmeurs de systèmes et d’autres utilisateurs privilégiés. Contrôles connexes : AC-17, AC-18, AC-19.</t>
  </si>
  <si>
    <t xml:space="preserve">TEST-AC-6(1)</t>
  </si>
  <si>
    <t xml:space="preserve">Control AC-7 — Evidence Tracking</t>
  </si>
  <si>
    <t xml:space="preserve">Contrôle AC-7 — Suivi des preuves</t>
  </si>
  <si>
    <t xml:space="preserve">(A) The information system enforces a limit of not more than three consecutive invalid logon attempts by a user during a 15-minute time period.
(B) The information system automatically locks the account/node for a minimum of three (3) hours or until unlocked by an administrator.</t>
  </si>
  <si>
    <t xml:space="preserve">(A) Le système d’information impose une limite de trois tentatives invalides consécutives d’ouverture de session par un utilisateur pendant une période de 15 minutes.
(B) Le système d’information verrouille automatiquement le compte ou le nœud pendant au moins trois (3) heures ou jusqu’à ce qu’un administrateur le déverrouille.</t>
  </si>
  <si>
    <t xml:space="preserve">Due to the potential for denial of service, automatic lockouts initiated by the information system are usually temporary and automatically release after a predetermined time period established by the organization. If a delay algorithm is selected, the organization may choose to employ different algorithms for different information system components based on the capabilities of those components. Response to unsuccessful login attempts may be implemented at both the operating system and the application levels. This control applies to all accesses other than those accesses explicitly identified and documented by the organization in AC-14.
This security control/enhancement requires careful balance between usability and security. Care needs to be taken to ensure that the appropriate balance between the two seemingly conflicting requirements is achieved.
If possible, an increasing time-out period should be used to deter determined attackers. For example, an original time-out of 5 minutes can become 10 minutes after the next 3 unsuccessful attempts, then 20 minutes, then 40 minutes, etc.</t>
  </si>
  <si>
    <t xml:space="preserve">En raison de la possibilité de refus de service, les verrouillages automatiques déclenchés par le système d’information sont habituellement temporaires et automatiquement annulés après une période prédéterminée établie par l’organisation. Si un algorithme d’attente est sélectionné, l’organisation peut choisir d’utiliser différents algorithmes pour différents composants du système d’information en fonction des capacités de ces composants. La réponse aux tentatives d’ouverture de session infructueuses peut être mise en œuvre à la fois au niveau du système d’exploitation et de l’application. Ce contrôle s’applique à tous les accès autres que ceux explicitement identifiés et documentés par l’organisation dans AC-14.
Ce contrôle ou cette amélioration de sécurité exige un équilibre prudent entre la facilité d’utilisation et la sécurité. Il faut veiller à assurer l’équilibre approprié entre ces deux exigences apparemment contradictoires.
Dans la mesure du possible, une période de temporisation plus longue devrait être utilisée pour dissuader les attaquants déterminés. Par exemple, une temporisation initiale de 5 minutes peut devenir 10 minutes après les 3 tentatives infructueuses suivantes, puis 20 minutes, puis 40 minutes, etc.</t>
  </si>
  <si>
    <t xml:space="preserve">TEST-AC-7</t>
  </si>
  <si>
    <t xml:space="preserve">Control AC-8 — Evidence Tracking</t>
  </si>
  <si>
    <t xml:space="preserve">Contrôle AC-8 — Suivi des preuves</t>
  </si>
  <si>
    <t xml:space="preserve">(A)
The information system displays to users a organization-defined system use notification message or banner before granting access to the system that provides privacy and security notices in accordance with organization's network use policies.
(B)
The information system retains the notification message or banner on the screen until users acknowledge the usage conditions and take explicit actions to log on to or further access the information system.
(C)
The information system for publicly accessible systems:
(a)
Displays system use information before granting further access;
(b)
Displays references, if any, to monitoring, recording, or auditing that are consistent with privacy accommodations for such systems that generally prohibit those activities; and
(c)
Includes a description of the authorized uses of the system.</t>
  </si>
  <si>
    <t xml:space="preserve">(A) Le système d’information affiche aux utilisateurs une bannière ou un message d’utilisation du système, défini par l’organisation avant d’accorder l’accès au système, qui fournit des avis de confidentialité et de sécurité conformément aux politiques d’utilisation du réseau de l’organisation.
(B) Le système d’information maintient le message ou la bannière de notification à l’écran jusqu’à ce que les utilisateurs acceptent les conditions d’utilisation et prennent des mesures explicites pour ouvrir une session ou continuer d’accéder au système d’information.
(C) Le système d’information pour les systèmes accessibles au public :
(a) Affiche l’information sur l’utilisation du système avant d’accorder l’accès;
(b) Affiche les références, le cas échéant, à la surveillance, à l’enregistrement ou à la vérification qui sont conformes aux dispositions de protection de la vie privée pour de tels systèmes qui interdisent généralement ces activités;
(c) Comprend une description des utilisations autorisées du système.</t>
  </si>
  <si>
    <t xml:space="preserve">System use notifications can be implemented using messages or warning banners displayed before individuals log in to information systems. System use notifications are used only for access via logon interfaces with human users and are not required when such human interfaces do not exist. Organizations consider system use notification messages/banners displayed in multiple languages based on specific organizational needs and the demographics of information system users. Organizations should also consult with legal services for review and approval of warning banner content</t>
  </si>
  <si>
    <t xml:space="preserve">Les avis d’utilisation du système peuvent être mis en œuvre au moyen de bannières d’avertissement ou de messages affichés avant que les personnes n’ouvrent une session dans les systèmes d’information. Les avis d’utilisation du système sont utilisés uniquement pour l’accès par le biais d’interfaces d’ouverture de session avec des utilisateurs humains et ne sont pas nécessaires en l’absence de telles interfaces humaines. Les organisations envisageront d’utiliser des messages et des bannières d’avis d’utilisation du système affichés dans plusieurs langues en fonction des besoins particuliers de l’organisation et des caractéristiques démographiques des utilisateurs du système d’information. Les organisations doivent également consulter les services juridiques pour l’examen et l’approbation du contenu de la bannière d’avertissement.</t>
  </si>
  <si>
    <t xml:space="preserve">TEST-AC-8</t>
  </si>
  <si>
    <t xml:space="preserve">Control AC-11 — Evidence Tracking</t>
  </si>
  <si>
    <t xml:space="preserve">Contrôle AC-11 — Suivi des preuves</t>
  </si>
  <si>
    <t xml:space="preserve">(A)
The information system prevents further access to the system by initiating a session lock after 15 minutes of inactivity or upon receiving a request from a user.
(B)
The information system retains the session lock until the user re-establishes access using established identification and authentication procedures.</t>
  </si>
  <si>
    <t xml:space="preserve">(A) Le système d’information empêche tout accès supplémentaire au système en amorçant un verrouillage de session après 15 minutes d’inactivité ou après en avoir reçu la demande de la part d’un utilisateur.
(B) Le système d’information maintient le verrouillage de session jusqu’à ce que l’utilisateur rétablisse l’accès en utilisant les procédures d’identification et d’authentification établies.</t>
  </si>
  <si>
    <t xml:space="preserve">Session locks are temporary actions taken when users stop work and move away from the immediate vicinity of information systems but do not want to log out because of the temporary nature of their absences. Session locks are implemented where session activities can be determined. This is typically at the operating system level, but can also be at the application level. Session locks are not an acceptable substitute for logging out of information systems, for example, if organizations require users to log out at the end of workdays. Related control: AC-7</t>
  </si>
  <si>
    <t xml:space="preserve">Les verrouillages de session sont des mesures temporaires prises lorsque les utilisateurs arrêtent de travailler et s’éloignent du voisinage immédiat des systèmes d’information, mais ne veulent pas fermer leur session en raison de la nature temporaire de leur absence. Les verrouillages de session sont mis en œuvre là où les activités de session peuvent être déterminées. C’est habituellement au niveau du système d’exploitation, mais cela peut aussi être au niveau de l’application. Les verrouillages de session ne constituent pas un substitut acceptable à la déconnexion des systèmes d’information, par exemple, si les organisations demandent aux utilisateurs de fermer leur session à la fin des journées de travail. Contrôle connexe : AC-7</t>
  </si>
  <si>
    <t xml:space="preserve">TEST-AC-11</t>
  </si>
  <si>
    <t xml:space="preserve">Control AC-11(1) — Evidence Tracking</t>
  </si>
  <si>
    <t xml:space="preserve">Contrôle AC-11(1) — Suivi des preuves</t>
  </si>
  <si>
    <t xml:space="preserve">SESSION LOCK | PATTERN-HIDING DISPLAYS
The information system conceals, via the session lock, information previously visible on the display with a publicly viewable image.</t>
  </si>
  <si>
    <t xml:space="preserve">VERROUILLAGE DE SESSION | MASQUES D’ÉCRAN
Le système d’information masque, par l’intermédiaire du verrouillage de session, l’information précédemment visible sur l’écran au moyen d’une image visible publiquement.</t>
  </si>
  <si>
    <t xml:space="preserve">Publicly viewable images can include static or dynamic images, for example, patterns used with screen savers, photographic images, solid colors, clock, battery life indicator, or a blank screen, with the additional caveat that none of the images convey sensitive information.</t>
  </si>
  <si>
    <t xml:space="preserve">Les images accessibles au public peuvent comprendre des images statiques ou dynamiques, par exemple, des motifs utilisés avec des économiseurs d’écran, des images photographiques, des couleurs unies, une horloge, un indicateur de durée de vie de la batterie ou un écran vide, pourvu qu’aucune de ces images ne transmette d’information sensible.</t>
  </si>
  <si>
    <t xml:space="preserve">TEST-AC-11(1)</t>
  </si>
  <si>
    <t xml:space="preserve">Control AC-12 — Evidence Tracking</t>
  </si>
  <si>
    <t xml:space="preserve">Contrôle AC-12 — Suivi des preuves</t>
  </si>
  <si>
    <t xml:space="preserve">(A)
The information system automatically terminates a user session after a maximum of 24 hours of inactivity or upon request by the user.</t>
  </si>
  <si>
    <t xml:space="preserve">(A) Le système d’information met automatiquement fin à une session utilisateur après un maximum de 24 heures d’inactivité ou à la demande de l’utilisateur.</t>
  </si>
  <si>
    <t xml:space="preserve">This control addresses the termination of user-initiated logical sessions in contrast to SC-10 which addresses the termination of network connections that are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time-of-day restrictions on information system use. Related controls: SC-10, SC-23</t>
  </si>
  <si>
    <t xml:space="preserve">Ce contrôle traite de la fermeture des sessions logiques ouvertes par l’utilisateur, contrairement au SC-10, qui traite de l’interruption des connexions réseau associées aux sessions de communication (c.-à-d. déconnexion de réseau). Une session logique (pour l’accès local, réseau, et distant) est lancée chaque fois qu’un utilisateur (ou un processus agissant pour le compte d’un utilisateur) accède à un système d’information de l’organisation. Ces sessions d’utilisateur peuvent être interrompues (ce qui met fin à l’accès utilisateur) sans mettre fin aux sessions de réseau. La fermeture de session met fin à tous les processus associés à la session logique d’un utilisateur, à l’exception des processus créés spécifiquement par l’utilisateur (c.-à-d. le propriétaire de la session) pour se poursuivre après la fermeture de la session. Les conditions ou les événements déclencheurs exigeant une fermeture de session automatique peuvent comprendre, par exemple, les périodes d’inactivité définies par l’organisation, les réponses ciblées à certains types d’incidents, les restrictions d’utilisation du système d’information en fonction de l’heure du jour. Contrôles connexes : SC-10, SC-23</t>
  </si>
  <si>
    <t xml:space="preserve">TEST-AC-12</t>
  </si>
  <si>
    <t xml:space="preserve">Control AC-17(1) — Evidence Tracking</t>
  </si>
  <si>
    <t xml:space="preserve">Contrôle AC-17(1) — Suivi des preuves</t>
  </si>
  <si>
    <t xml:space="preserve">REMOTE ACCESS | AUTOMATED MONITORING / CONTROL
The information system monitors and controls remote access methods.</t>
  </si>
  <si>
    <t xml:space="preserve">ACCÈS À DISTANCE | SURVEILLANCE ET CONTRÔLE AUTOMATISÉS
Le système d’information surveille et contrôle les méthodes d’accès à distance.</t>
  </si>
  <si>
    <t xml:space="preserve">Automated monitoring and control of remote access sessions allows organizations to detect cyber-attacks and also ensure ongoing compliance with remote access policies by auditing connection activities of remote users on a variety of information system components (e.g., servers, workstations, notebook computers, smart phones, and tablets). Related controls: AU-2, AU-12.</t>
  </si>
  <si>
    <t xml:space="preserve">La surveillance et le contrôle automatisés des sessions avec accès à distance permettent aux organisations de détecter les cyberattaques et d’assurer la conformité continue aux politiques d’accès à distance en vérifiant les activités de connexion des utilisateurs distants sur une variété de composants du système d’information (p. ex., serveurs, postes de travail, ordinateurs portatifs, téléphones intelligents et tablettes). Contrôles connexes : AU-2, AU-12.</t>
  </si>
  <si>
    <t xml:space="preserve">TEST-AC-17(1)</t>
  </si>
  <si>
    <t xml:space="preserve">Control AC-17(2) — Evidence Tracking</t>
  </si>
  <si>
    <t xml:space="preserve">Contrôle AC-17(2) — Suivi des preuves</t>
  </si>
  <si>
    <t xml:space="preserve">REMOTE ACCESS | PROTECTION OF CONFIDENTIALITY / INTEGRITY USING ENCRYPTION
The information system implements cryptographic mechanisms to protect the confidentiality and integrity of remote access sessions. The cryptography must be compliant with the requirements of SC-13.</t>
  </si>
  <si>
    <t xml:space="preserve">ACCÈS À DISTANCE | PROTECTION DE LA CONFIDENTIALITÉ ET DE L’INTÉGRITÉ AU MOYEN DU CHIFFREMENT
Le système d’information met en œuvre des mécanismes cryptographiques pour protéger la confidentialité et l’intégrité des sessions d’accès à distance. La cryptographie doit être conforme aux exigences de SC-13.</t>
  </si>
  <si>
    <t xml:space="preserve">Guidance on the encryption strength of mechanism can be obtained from CSE upon request.</t>
  </si>
  <si>
    <t xml:space="preserve">Le CST peut, sur demande, conseiller l’organisation quant à la puissance de chiffrement du mécanisme.</t>
  </si>
  <si>
    <t xml:space="preserve">TEST-AC-17(2)</t>
  </si>
  <si>
    <t xml:space="preserve">Control AC-17(100) — Evidence Tracking</t>
  </si>
  <si>
    <t xml:space="preserve">Contrôle AC-17(100) — Suivi des preuves</t>
  </si>
  <si>
    <t xml:space="preserve">Remote access to privileged accounts is performed on dedicated management consoles governed entirely by the system’s security policies and used exclusively for this purpose (e.g. Internet access not allowed).</t>
  </si>
  <si>
    <t xml:space="preserve">L’accès à distance aux comptes privilégiés se fait sur des consoles de gestion dédiées entièrement régies par les politiques de sécurité du système et utilisées exclusivement à cette fin (p. ex., accès Internet interdit).</t>
  </si>
  <si>
    <t xml:space="preserve">TEST-AC-17(100)</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</si>
  <si>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</si>
  <si>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</si>
  <si>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</si>
  <si>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</si>
  <si>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</si>
  <si>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</si>
  <si>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</si>
  <si>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</si>
  <si>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</si>
  <si>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</si>
  <si>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</si>
  <si>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</si>
  <si>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</si>
  <si>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</si>
  <si>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</si>
  <si>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</si>
  <si>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</si>
  <si>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</si>
  <si>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</si>
  <si>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</si>
  <si>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</si>
  <si>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</si>
  <si>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</si>
  <si>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</si>
  <si>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</si>
  <si>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</si>
  <si>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</si>
  <si>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</si>
  <si>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</si>
  <si>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</si>
  <si>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</si>
  <si>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</si>
  <si>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</si>
  <si>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</si>
  <si>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</si>
  <si>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CA-3(5) — Evidence Tracking</t>
  </si>
  <si>
    <t xml:space="preserve">Contrôle CA-3(5) — Suivi des preuves</t>
  </si>
  <si>
    <t xml:space="preserve">SYSTEM INTERCONNECTIONS | RESTRICTIONS ON EXTERNAL SYSTEM CONNECTIONS
The organization employs allow-all, deny-by-exception; deny-all policy for allowing any systems to connect to external information systems.</t>
  </si>
  <si>
    <t xml:space="preserve">INTERCONNEXIONS DES SYSTÈMES | RESTRICTIONS SUR LES CONNEXIONS AUX RÉSEAUX EXTERNES
L’organisation a recours à la méthode « permettre tout, refuser par exception, refuser tout » pour permettre aux systèmes de se connecter à des systèmes d’information externes.</t>
  </si>
  <si>
    <t xml:space="preserve">Organizations can constrain information system connectivity to external domains (e.g., websites) by employing one of two policies with regard to such connectivity: (i) allow-all, deny by exception, also known as blacklisting (the weaker of the two policies); or (ii) deny-all, allow by exception, also known as whitelisting (the stronger of the two policies). For either policy, organizations determine what exceptions, if any, are acceptable. Related control: CM-7.</t>
  </si>
  <si>
    <t xml:space="preserve">Les organisations peuvent limiter la connectivité des systèmes d’information à des domaines externes (p. ex., sites Web) en utilisant l’une des deux politiques relatives à cette connectivité : (i) permettre tout, refuser par exception, aussi appelée liste noire (la plus faible des deux politiques); ou (ii) refuser tout, permettre par exception, aussi appelée liste blanche (la plus forte des deux politiques). Pour l’une ou l’autre politique, les organisations déterminent les exceptions applicables, le cas échéant. Contrôle connexe : CM-7.</t>
  </si>
  <si>
    <t xml:space="preserve">TEST-CA-3(5)</t>
  </si>
  <si>
    <t xml:space="preserve">Control CA-9 — Evidence Tracking</t>
  </si>
  <si>
    <t xml:space="preserve">Contrôle CA-9 — Suivi des preuves</t>
  </si>
  <si>
    <t xml:space="preserve">(A)
The organization authorizes internal connections of information system components or classes of components to the information system.
(B)
The organization documents, for each internal connection, the interface characteristics, security requirements, and the nature of the information communicated.</t>
  </si>
  <si>
    <t xml:space="preserve">(A) L’organisation autorise les connexions internes de composants du système d’information ou de catégories de composants au système d’information.
(B) L’organisation documente, pour chaque connexion interne, les caractéristiques de l’interface, les exigences de sécurité et la nature de l’information communiquée.</t>
  </si>
  <si>
    <t xml:space="preserve">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</si>
  <si>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 xml:space="preserve">Ce contrôle s’applique aux connexions entre les systèmes d’information organisationnels et les composants (distincts) des systèmes constituants (c.-à-d. les connexions intrasystème) y compris, par exemple, les connexions système avec les appareils mobiles, les ordinateurs portatifs/de bureau, les imprimantes, les photocopieurs, les télécopieurs, les numériseurs, les capteurs et les serveurs. Au lieu d’autoriser chaque connexion interne individuelle, les organisations peuvent autoriser les connexions internes pour une catégorie de composants ayant des caractéristiques ou des configurations communes, par exemple, toutes les imprimantes et tous les numériseurs et photocopieurs numériques ayant une capacité de traitement, de stockage et de transmission spécifiée ou tous les téléphones intelligents ayant une configuration de base spécifique. Contrôles connexes : AC-3, AC-4, AC-18, AC-19, AU-2, AU-12, CA-7, CM-2, IA-3, SC-7, SI-4</t>
  </si>
  <si>
    <t xml:space="preserve">TEST-CA-9</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</si>
  <si>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</si>
  <si>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</si>
  <si>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</si>
  <si>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</si>
  <si>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</si>
  <si>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</si>
  <si>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</si>
  <si>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</si>
  <si>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</si>
  <si>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</si>
  <si>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</si>
  <si>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</si>
  <si>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</si>
  <si>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</si>
  <si>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</si>
  <si>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</si>
  <si>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</si>
  <si>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</si>
  <si>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</si>
  <si>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</si>
  <si>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</si>
  <si>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CM-7(5) — Evidence Tracking</t>
  </si>
  <si>
    <t xml:space="preserve">Contrôle CM-7(5) — Suivi des preuves</t>
  </si>
  <si>
    <t xml:space="preserve">LEAST FUNCTIONALITY | AUTHORIZED SOFTWARE / WHITELISTING
(a)
The organization identifies authorized software programs in baseline configuration and information system component inventory;
(b)
The organization employs a deny-all, permit-by-exception policy to allow the execution of authorized software programs on the information system; and
(c)
The organization reviews and updates the list of authorized software programs at least annually or when there is a change.</t>
  </si>
  <si>
    <t xml:space="preserve">MOINDRE FONCTIONNALITÉ | LOGICIELS AUTORISÉS/LISTES BLANCHES
(a) L’organisation détermine les programmes logiciels autorisés dans la configuration de base et l’inventaire des composants du système d’information;
(b) L’organisation a recours à une politique « refuser tout, autoriser par exception » pour permettre l’exécution de programmes logiciels autorisés dans le système d’information;
(c) L’organisation revoit et met à jour la liste des logiciels autorisés au moins une fois par année ou lorsqu’il y a un changement.</t>
  </si>
  <si>
    <t xml:space="preserve">The process used to identify software programs that are authorized to execute on organizational information systems is commonly referred to as whitelisting. In addition to whitelisting, organizations consider verifying the integrity of white-listed software programs using, for example, cryptographic checksums, digital signatures, or hash functions. Verification of white-listed software can occur either prior to execution or at system start-up. Related controls: CM-2, CM-6, CM-8, SA-10, SC-34, SI-7</t>
  </si>
  <si>
    <t xml:space="preserve">Le processus utilisé pour déterminer les programmes logiciels dont l’exécution est autorisée sur les systèmes d’information organisationnels est communément appelé liste blanche. En plus de la liste blanche, les organisations envisagent de vérifier l’intégrité des logiciels qui figurent sur la liste blanche en utilisant, par exemple, des totaux de contrôle cryptographique, des signatures numériques ou des fonctions de hachage. La vérification des logiciels de la liste blanche peut avoir lieu avant l’exécution ou lors du démarrage du système. Contrôles connexes : CM-2, CM-6, CM-8, SA-10, SC-34, SI-7</t>
  </si>
  <si>
    <t xml:space="preserve">TEST-CM-7(5)</t>
  </si>
  <si>
    <t xml:space="preserve">Control CM-11 — Evidence Tracking</t>
  </si>
  <si>
    <t xml:space="preserve">Contrôle CM-11 — Suivi des preuves</t>
  </si>
  <si>
    <t xml:space="preserve">(A)
The organization establishes organization-defined policies governing the installation of software by users.
(B)
The organization enforces software installation policies through  organization-defined methods.
(C)
The organization monitors policy compliance continuously via 7(5).</t>
  </si>
  <si>
    <t xml:space="preserve">(A) L’organisation définit et établit des politiques régissant l’installation de logiciels par les utilisateurs.
(B) L’organisation applique les politiques d’installation de logiciels au moyen de méthodes définies par l’organisation.
(C) L’organisation surveille continuellement la conformité aux politiques au moyen du contrôle 7(5).</t>
  </si>
  <si>
    <t xml:space="preserve">If provided the necessary privileges, users have the ability to install software in organizational information systems. To maintain control over the types of software installed, organizations identify permitted and prohibited actions regarding software installation. Permitted software installations may include, for example, updates and security patches to existing software and downloading applications from organization-approved “app stores.” Prohibited software installations may include, for example, software with unknown or suspect pedigrees or software that organizations consider potentially malicious. The policies organizations select governing user-installed software may be organization-developed or provided by some external entity. Policy enforcement methods include procedural methods (e.g., periodic examination of user accounts), automated methods (e.g., configuration settings implemented on organizational information systems), or both. Related controls: AC-3, CM-2, CM-3, CM-5, CM-6, CM-7, PL-4</t>
  </si>
  <si>
    <t xml:space="preserve">Si on leur accorde les privilèges nécessaires, les utilisateurs peuvent installer des logiciels dans les systèmes d’information organisationnels. Pour garder le contrôle sur les types de logiciels installés, les organisations déterminent les actions permises et interdites relativement à l’installation de logiciels. Les installations logicielles autorisées peuvent comprendre, par exemple, des mises à jour et des correctifs de sécurité aux logiciels existants et le téléchargement d’applications à partir de « boutiques d’applications » approuvées par l’organisation. Les installations logicielles interdites peuvent comprendre, par exemple, les logiciels dont le contenu est inconnu ou suspect ou les logiciels que les organisations considèrent comme potentiellement malveillants. Les politiques choisies par les organisations pour régir les logiciels installés par les utilisateurs peuvent être élaborées par l’organisation même ou fournies par une entité externe. Les méthodes d’application des politiques comprennent les méthodes procédurales (p. ex., examen périodique des comptes des utilisateurs), les méthodes automatisées (p. ex., les paramètres de configuration mis en œuvre dans les systèmes d’information organisationnels), ou les deux. Contrôles connexes : AC-3, CM-2, CM-3, CM-5, CM-6, CM-7, PL-4</t>
  </si>
  <si>
    <t xml:space="preserve">TEST-CM-11</t>
  </si>
  <si>
    <t xml:space="preserve">Control CP-6 — Evidence Tracking</t>
  </si>
  <si>
    <t xml:space="preserve">Contrôle CP-6 — Suivi des preuves</t>
  </si>
  <si>
    <t xml:space="preserve">(A)
The organization establishes an alternate storage site including necessary agreements to permit the storage and retrieval of information system backup information.
(B)
The organization ensures that the alternate storage site provides information security safeguards equivalent to that of the primary site.</t>
  </si>
  <si>
    <t xml:space="preserve">(A) L’organisation établit un site de stockage auxiliaire, incluant les ententes nécessaires pour permettre le stockage et l’extraction de l’information de sauvegarde du système d’information.
(B) L’organisation veille à ce que le site de stockage auxiliaire offre des mesures de sécurité de l’information équivalentes à celles du site principal.</t>
  </si>
  <si>
    <t xml:space="preserve">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</si>
  <si>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 xml:space="preserve">Les sites de stockage auxiliaires sont des sites qui sont géographiquement séparés des sites de stockage principaux. Un site de stockage auxiliaire conserve des copies de l’information et des données advenant la non-disponibilité du site de stockage principal. Les éléments couverts par les accords sur les sites de stockage auxiliaires comprennent, par exemple, les conditions environnementales aux sites auxiliaires, les règles d’accès, les exigences en matière de protection physique et environnementale, et la coordination de la livraison/récupération des supports de sauvegarde. Les sites de stockage auxiliaires reflètent les exigences des plans d’urgence afin que les organisations puissent maintenir les fonctions opérationnelles et de mission essentielles malgré la perturbation, la compromission ou la défaillance des systèmes d’information organisationnels. Contrôles connexes : CP-2, CP-7, CP-9, CP-10, MP-4</t>
  </si>
  <si>
    <t xml:space="preserve">TEST-CP-6</t>
  </si>
  <si>
    <t xml:space="preserve">Control CP-6(2) — Evidence Tracking</t>
  </si>
  <si>
    <t xml:space="preserve">Contrôle CP-6(2) — Suivi des preuves</t>
  </si>
  <si>
    <t xml:space="preserve">ALTERNATE STORAGE SITE | RECOVERY TIME / POINT OBJECTIVES
The organization configures the alternate storage site to facilitate recovery operations in accordance with recovery time and recovery point objectives.</t>
  </si>
  <si>
    <t xml:space="preserve">SITE DE STOCKAGE AUXILIAIRE | OBJECTIFS EN MATIÈRE DE DÉLAIS/POINTS DE REPRISE
L’organisation configure le site de stockage auxiliaire de manière à faciliter les opérations de reprise conformément aux objectifs en matière de délais et de points de reprise.</t>
  </si>
  <si>
    <t xml:space="preserve">TEST-CP-6(2)</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</si>
  <si>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</si>
  <si>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</si>
  <si>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</si>
  <si>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</si>
  <si>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</si>
  <si>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</si>
  <si>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</si>
  <si>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</si>
  <si>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</si>
  <si>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</si>
  <si>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</si>
  <si>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</si>
  <si>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</si>
  <si>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</si>
  <si>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CP-9 — Evidence Tracking</t>
  </si>
  <si>
    <t xml:space="preserve">Contrôle CP-9 — Suivi des preuves</t>
  </si>
  <si>
    <t xml:space="preserve">(A)
The organization conducts backups of user-level information contained in the information system daily incremental; weekly full.
(B)
The organization conducts backups of system-level information contained in the information system daily incremental; weekly full.
(C)
The organization conducts backups of information system documentation including security-related documentation daily incremental; weekly full.
(D)
The organization protects the confidentiality, integrity, and availability of backup information at storage locations.
(AA)
The organization determines retention periods for essential business information and archived backups.</t>
  </si>
  <si>
    <t xml:space="preserve">(A) L’organisation effectue des sauvegardes incrémentielles quotidiennes et des sauvegardes hebdomadaires complètes de l’information au niveau de l’utilisateur qui est contenue dans le système d’information.
(B) L’organisation effectue des sauvegardes incrémentielles quotidiennes et des sauvegardes hebdomadaires complètes de l’information au niveau du système contenue dans le système d’information.
(C) L’organisation effectue des sauvegardes incrémentielles quotidiennes et des sauvegardes hebdomadaires complètes de la documentation relative au système d’information, y compris la documentation liée à la sécurité.
(D) L’organisation protège la confidentialité, l’intégrité et la disponibilité de l’information de sauvegarde aux emplacements de stockage.
(AA) L’organisation détermine les périodes de conservation des renseignements opérationnels essentiels et des sauvegardes archivées.</t>
  </si>
  <si>
    <t xml:space="preserve">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 Related controls: CP-2, CP-6, MP-4, MP-5, SC-13</t>
  </si>
  <si>
    <t xml:space="preserve">L’information au niveau du système comprend, par exemple, l’information sur l’état du système, le système d’exploitation, les logiciels d’application et les licences. L’information au niveau de l’utilisateur comprend toute information autre que l’information au niveau du système. Les mécanismes employés par les organisations pour protéger l’intégrité des sauvegardes du système d’information comprennent, par exemple, les signatures numériques et le hachage cryptographique. La protection de l’information de sauvegarde du système pendant le transport dépasse la portée de ce contrôle. Les sauvegardes du système d’information reflètent les exigences des plans d’urgence ainsi que d’autres exigences organisationnelles relatives à la sauvegarde de l’information. Contrôles connexes : CP-2, CP-6, MP-4, MP-5, SC-13</t>
  </si>
  <si>
    <t xml:space="preserve">TEST-CP-9</t>
  </si>
  <si>
    <t xml:space="preserve">Control CP-9(1) — Evidence Tracking</t>
  </si>
  <si>
    <t xml:space="preserve">Contrôle CP-9(1) — Suivi des preuves</t>
  </si>
  <si>
    <t xml:space="preserve">INFORMATION SYSTEM BACKUP | TESTING FOR RELIABILITY / INTEGRITY
The organization tests backup information at least annually to verify media reliability and information integrity.</t>
  </si>
  <si>
    <t xml:space="preserve">SAUVEGARDE DU SYSTÈME D’INFORMATION | VÉRIFICATION DE LA FIABILITÉ ET DE L’INTÉGRITÉ
L’organisation teste l’information de sauvegarde au moins une fois par année pour vérifier la fiabilité des supports et l’intégrité de l’information.</t>
  </si>
  <si>
    <t xml:space="preserve">Related control: CP-4.</t>
  </si>
  <si>
    <t xml:space="preserve">Contrôle connexe : CP-4.</t>
  </si>
  <si>
    <t xml:space="preserve">TEST-CP-9(1)</t>
  </si>
  <si>
    <t xml:space="preserve">Control CP-9(2) — Evidence Tracking</t>
  </si>
  <si>
    <t xml:space="preserve">Contrôle CP-9(2) — Suivi des preuves</t>
  </si>
  <si>
    <t xml:space="preserve">INFORMATION SYSTEM BACKUP | TEST RESTORATION USING SAMPLING
The organization uses a sample of backup information in the restoration of selected information system functions as part of contingency plan testing.</t>
  </si>
  <si>
    <t xml:space="preserve">SAUVEGARDE DU SYSTÈME D’INFORMATION | ESSAIS DE RESTAURATION AU MOYEN DE L’ÉCHANTILLONNAGE
L’organisation utilise un échantillon de l’information de sauvegarde pour restaurer certaines fonctions du système d’information dans le cadre de la mise à l’essai du plan d’urgence.</t>
  </si>
  <si>
    <t xml:space="preserve">TEST-CP-9(2)</t>
  </si>
  <si>
    <t xml:space="preserve">Control CP-9(5) — Evidence Tracking</t>
  </si>
  <si>
    <t xml:space="preserve">Contrôle CP-9(5) — Suivi des preuves</t>
  </si>
  <si>
    <t xml:space="preserve">INFORMATION SYSTEM BACKUP | TRANSFER TO ALTERNATE STORAGE SITE
The organization transfers information system backup information to the alternate storage site at organization-defined time period and transfer rate consistent with the recovery time and recovery point objectives.</t>
  </si>
  <si>
    <t xml:space="preserve">SAUVEGARDE DU SYSTÈME D’INFORMATION | TRANSFERT À UN SITE DE STOCKAGE AUXILIAIRE
L’organisation transfère l’information de sauvegarde du système d’information au site de stockage auxiliaire au moment et à la vitesse de transfert définis par l’organisation conformément aux objectifs en matière de délais et de points de reprise.</t>
  </si>
  <si>
    <t xml:space="preserve">Information system backup information can be transferred to alternate storage sites either electronically or by physical shipment of storage media.</t>
  </si>
  <si>
    <t xml:space="preserve">Les données de sauvegarde du système d’information peuvent être transférées à des sites de stockage auxiliaires par voie électronique ou par envoi physique de supports de stockage.</t>
  </si>
  <si>
    <t xml:space="preserve">TEST-CP-9(5)</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</si>
  <si>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</si>
  <si>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</si>
  <si>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</si>
  <si>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</si>
  <si>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</si>
  <si>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</si>
  <si>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</si>
  <si>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</si>
  <si>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</si>
  <si>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</si>
  <si>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</si>
  <si>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</si>
  <si>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</si>
  <si>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</si>
  <si>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IA-5(6) — Evidence Tracking</t>
  </si>
  <si>
    <t xml:space="preserve">Contrôle IA-5(6) — Suivi des preuves</t>
  </si>
  <si>
    <t xml:space="preserve">AUTHENTICATOR MANAGEMENT | PROTECTION OF AUTHENTICATORS
The organization protects authenticators commensurate with the security category of the information to which use of the authenticator permits access.</t>
  </si>
  <si>
    <t xml:space="preserve">GESTION DES AUTHENTIFIANTS | PROTECTION DES AUTHENTIFIANTS
L’organisation assure une protection des authentifiants qui est proportionnelle à la catégorie de sécurité de l’information à laquelle les authentifiants permettent l’accès.</t>
  </si>
  <si>
    <t xml:space="preserve">For information systems containing multiple security categories of information without reliable physical or logical separation between categories, authenticators used to grant access to the systems are protected commensurate with the highest security category of information on the systems.</t>
  </si>
  <si>
    <t xml:space="preserve">Dans le cas des systèmes d’information qui contiennent plusieurs catégories de sécurité de l’information sans séparation physique ou logique fiable entre les catégories, les authentifiants utilisés pour accorder l’accès aux systèmes sont protégés conformément à la catégorie de sécurité de l’information la plus élevée sur les systèmes.</t>
  </si>
  <si>
    <t xml:space="preserve">TEST-IA-5(6)</t>
  </si>
  <si>
    <t xml:space="preserve">Control IA-5(7) — Evidence Tracking</t>
  </si>
  <si>
    <t xml:space="preserve">Contrôle IA-5(7) — Suivi des preuves</t>
  </si>
  <si>
    <t xml:space="preserve">AUTHENTICATOR MANAGEMENT | NO EMBEDDED UNENCRYPTED STATIC AUTHENTICATORS
The organization ensures that unencrypted static authenticators are not embedded in applications or access scripts or stored on function keys.</t>
  </si>
  <si>
    <t xml:space="preserve">GESTION DES AUTHENTIFIANTS | AUCUN AUTHENTIFIANT STATIQUE INTÉGRÉ NON CHIFFRÉ
L’organisation veille à ce que les authentifiants statiques non chiffrés ne soient pas intégrés dans les applications ou les scripts d’accès ou stockés sur les clés de fonction.</t>
  </si>
  <si>
    <t xml:space="preserve">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</si>
  <si>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 xml:space="preserve">Les organisations usent de prudence lorsqu’il s’agit de déterminer si les authentifiants intégrés ou stockés sont chiffrés ou non chiffrés. Si les authentifiants sont utilisés sous leur forme stockée, ces représentations sont alors considérées comme étant des authentifiants non chiffrés. Cela n’a rien à voir avec le fait que cette représentation puisse être une version chiffrée de quelque chose d’autre (p. ex., un mot de passe).</t>
  </si>
  <si>
    <t xml:space="preserve">TEST-IA-5(7)</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</si>
  <si>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</si>
  <si>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</si>
  <si>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</si>
  <si>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</si>
  <si>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</si>
  <si>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</si>
  <si>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</si>
  <si>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SA-10(1) — Evidence Tracking</t>
  </si>
  <si>
    <t xml:space="preserve">Contrôle SA-10(1) — Suivi des preuves</t>
  </si>
  <si>
    <t xml:space="preserve">DEVELOPER CONFIGURATION MANAGEMENT | SOFTWARE / FIRMWARE INTEGRITY VERIFICATION
The organization requires the developer of the information system, system component, or information system service to enable integrity verification of software and firmware components.</t>
  </si>
  <si>
    <t xml:space="preserve">GESTION DE LA CONFIGURATION PAR LE DÉVELOPPEUR | VÉRIFICATION DE L’INTÉGRITÉ DES LOGICIELS ET DES MICROLOGICIELS
L’organisation exige que le développeur du système d’information, du composant de système ou du service de système d’information permette la vérification de l’intégrité des composants logiciels et micrologiciels.</t>
  </si>
  <si>
    <t xml:space="preserve">This control enhancement allows organizations to detect unauthorized changes to software and firmware components through the use of tools, techniques, and/or mechanisms provided by developers.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 Related control: SI-7.</t>
  </si>
  <si>
    <t xml:space="preserve">Cette amélioration du contrôle permet aux organisations de détecter les changements non autorisés aux composants logiciels et micrologiciels au moyen d’outils, de techniques ou de mécanismes fournis par les développeurs. Les mécanismes de vérification de l’intégrité peuvent également s’attaquer aux contrefaçons de composants logiciels et micrologiciels. Les organisations vérifient l’intégrité des composants logiciels et micrologiciels, par exemple, au moyen de hachages sécurisés à sens unique fournis par les développeurs. Les composants logiciels et micrologiciels fournis comprennent également toute mise à jour de ces composants. Contrôle connexe : SI-7.</t>
  </si>
  <si>
    <t xml:space="preserve">TEST-SA-10(1)</t>
  </si>
  <si>
    <t xml:space="preserve">Control SC-2 — Evidence Tracking</t>
  </si>
  <si>
    <t xml:space="preserve">Contrôle SC-2 — Suivi des preuves</t>
  </si>
  <si>
    <t xml:space="preserve">(A)
The information system separates user functionality (including user interface services) from information system management functionality.</t>
  </si>
  <si>
    <t xml:space="preserve">(A) Le système d’information sépare la fonctionnalité de l’utilisateur (y compris les services d’interface utilisateur) de la fonctionnalité de gestion du système d’information.</t>
  </si>
  <si>
    <t xml:space="preserve">Information system management functionality includes, for example, functions necessary to administer databases, network components, workstations, or servers, and typically requires privileged user access. The separation of user functionality from information system management functionality is either physical or logical. Organizations implement separation of system management-related functionality from user functionality by using different computers, different central processing units, different instances of operating systems, different network addresses, virtualization techniques, or combinations of these or other methods, as appropriate. This type of separation includes, for example, web administrative interfaces that use separate authentication methods (e.g., using a logical separation, web administrators would use 2-factor authentication and normal users of the web application would use username/password authentication). Separation of system and user functionality may include isolating administrative interfaces on different domains and with additional access controls. Related controls: SA-4, SA-8, SC-3</t>
  </si>
  <si>
    <t xml:space="preserve">La fonctionnalité de gestion du système d’information comprend, par exemple, les fonctions nécessaires à l’administration des bases de données, des composants de réseau, des postes de travail ou des serveurs, et exige habituellement un accès utilisateur privilégié. La séparation de la fonctionnalité de l’utilisateur de la fonctionnalité de gestion du système d’information est soit physique, soit logique. Les organisations mettent en œuvre la séparation de la fonctionnalité de gestion du système de la fonctionnalité de l’utilisateur en utilisant différents ordinateurs, différentes unités centrales de traitement, différentes instances de systèmes d’exploitation, différentes adresses réseau, des techniques de virtualisation ou des combinaisons de ces méthodes ou d’autres méthodes, selon le cas. Ce type de séparation comprend, par exemple, les interfaces administratives Web qui utilisent des méthodes d’authentification séparées (p. ex., en utilisant une séparation logique, les administrateurs Web utiliseraient l’authentification à deux facteurs et les utilisateurs habituels de l’application Web utiliseraient l’authentification par nom d’utilisateur/mot de passe). La séparation des fonctions du système et de l’utilisateur peut comprendre l’isolement des interfaces administratives dans différents domaines et avec des contrôles d’accès supplémentaires. Contrôles connexes : SA-4, SA-8, SC-3</t>
  </si>
  <si>
    <t xml:space="preserve">TEST-SC-2</t>
  </si>
  <si>
    <t xml:space="preserve">Control SC-6 — Evidence Tracking</t>
  </si>
  <si>
    <t xml:space="preserve">Contrôle SC-6 — Suivi des preuves</t>
  </si>
  <si>
    <t xml:space="preserve">(A)
The information system protects the availability of resources by allocating organization-defined resources by priority; quota, or organization-defined security safeguards.</t>
  </si>
  <si>
    <t xml:space="preserve">(A) Le système d’information préserve la disponibilité des ressources en répartissant les ressources définies par l’organisation en fonction de leur priorité, des quotas, ou des garanties de sécurité définies par l’organisation.</t>
  </si>
  <si>
    <t xml:space="preserve">Priority protection helps prevent lower-priority processes from delaying or interfering with the information system servicing any higher-priority processes. Quotas prevent users or processes from obtaining more than predetermined amounts of resources. This control does not apply to information system components for which there are only single users/roles</t>
  </si>
  <si>
    <t xml:space="preserve">La protection en fonction de la priorité aide à empêcher les processus moins prioritaires de retarder ou d’entraver la prise en charge des processus plus prioritaires par le système d’information. Les quotas empêchent les utilisateurs ou les processus d’obtenir plus de ressources que les quantités prédéterminées. Ce contrôle ne s’applique pas aux composants du système d’information pour lesquels il n’y a qu’un seul utilisateur/rôle.</t>
  </si>
  <si>
    <t xml:space="preserve">TEST-SC-6</t>
  </si>
  <si>
    <t xml:space="preserve">Control SC-7(7) — Evidence Tracking</t>
  </si>
  <si>
    <t xml:space="preserve">Contrôle SC-7(7) — Suivi des preuves</t>
  </si>
  <si>
    <t xml:space="preserve">BOUNDARY PROTECTION | PREVENT SPLIT TUNNELLING FOR REMOTE DEVICES
The information system, in conjunction with a remote device, prevents the device from simultaneously establishing non-remote connections with the system and communicating via some other connection to resources in external networks.</t>
  </si>
  <si>
    <t xml:space="preserve">PROTECTION DES FRONTIÈRES | EMPÊCHER LA TUNNELLISATION À DOUBLE CIRCUIT POUR LES DISPOSITIFS DISTANTS
Le système d’information, en conjonction avec un dispositif à distance, empêche le dispositif d’établir simultanément des connexions non distantes avec le système et de communiquer par une autre connexion à des ressources dans les réseaux externes.</t>
  </si>
  <si>
    <t xml:space="preserve">This control enhancement is implemented within remote devices (e.g., notebook computers) through configuration settings to disable split tunnelling in those devices, and by preventing those configuration settings from being readily configurable by users. This control enhancement is implemented within the information system by the detection of split tunnelling (or of configuration settings that allow split tunnelling) in the remote device, and by prohibiting the connection if the remote device is using split tunnelling. Split tunnelling might be desirable by remote users to communicate with local information system resources such as printers/file servers. However, split tunnelling would in effect allow unauthorized external connections, making the system more vulnerable to attack and to exfiltration of organizational information. The use of VPNs for remote connections, when adequately provisioned with appropriate security controls, may provide the organization with sufficient assurance that it can effectively treat such connections as non-remote connections from the confidentiality and integrity perspective. VPNs thus provide a means for allowing non-remote communications paths from remote devices. The use of an adequately provisioned VPN does not eliminate the need for preventing split tunnelling.</t>
  </si>
  <si>
    <t xml:space="preserve">Cette amélioration du contrôle est mise en œuvre dans les dispositifs distants (p. ex., les ordinateurs portatifs) au moyen des paramètres de configuration pour désactiver la tunnellisation à double effet de circuit dans ces dispositifs, et en empêchant que ces paramètres de configuration soient facilement configurables par les utilisateurs. Cette amélioration du contrôle est mise en œuvre dans le système d’information par la détection de la tunnellisation à double effet de circuit (ou des paramètres de configuration qui permettent la tunnellisation à double effet de circuit) dans le dispositif à distance, et par l’interdiction de la connexion si le dispositif distant utilise la tunnellisation à double effet de circuit. Les utilisateurs à distance pourraient souhaiter utiliser la tunnellisation à double effet de circuit pour communiquer avec les ressources du système d’information local, comme les imprimantes et les serveurs de fichiers. Toutefois, la tunnellisation à double effet de circuit permettrait en fait des connexions externes non autorisées, ce qui rendrait le système plus vulnérable aux attaques et à l’exfiltration d’information de l’organisation. L’utilisation de RPV pour les connexions à distance, lorsqu’ils sont dotés de contrôles de sécurité appropriés, peut donner à l’organisation l’assurance suffisante qu’elle peut traiter efficacement de telles connexions en tant que connexions distantes du point de vue de la confidentialité et de l’intégrité. Les RPV offrent donc un moyen de permettre des voies de communication locales à partir des dispositifs distants. L’utilisation d’un RPV adéquatement provisionné n’élimine pas la nécessité d’empêcher la tunnellisation à double effet de circuit.</t>
  </si>
  <si>
    <t xml:space="preserve">TEST-SC-7(7)</t>
  </si>
  <si>
    <t xml:space="preserve">Control SC-7(12) — Evidence Tracking</t>
  </si>
  <si>
    <t xml:space="preserve">Contrôle SC-7(12) — Suivi des preuves</t>
  </si>
  <si>
    <t xml:space="preserve">BOUNDARY PROTECTION | HOST-BASED PROTECTION
The organization implements organization-defined host-based boundary protection mechanisms at organization-defined information system components.</t>
  </si>
  <si>
    <t xml:space="preserve">PROTECTION DES FRONTIÈRES | PROTECTION BASÉE SUR L’HÔTE
L’organisation met en œuvre des mécanismes de protection des frontières définis par l’organisation pour les composants de système d’information définis par l’organisation.</t>
  </si>
  <si>
    <t xml:space="preserve">Host-based boundary protection mechanisms include, for example, host-based firewalls. Information system components employing host-based boundary protection mechanisms include, for example, servers, workstations, and mobile devices.</t>
  </si>
  <si>
    <t xml:space="preserve">Les mécanismes de protection des frontières basée sur l’hôte comprennent, par exemple, des pare-feu basés sur l’hôte. Les composants du système d’information qui utilisent des mécanismes de protection des frontières basée sur l’hôte comprennent, par exemple, les serveurs, les postes de travail et les appareils mobiles.</t>
  </si>
  <si>
    <t xml:space="preserve">TEST-SC-7(12)</t>
  </si>
  <si>
    <t xml:space="preserve">Control SC-8 — Evidence Tracking</t>
  </si>
  <si>
    <t xml:space="preserve">Contrôle SC-8 — Suivi des preuves</t>
  </si>
  <si>
    <t xml:space="preserve">(A)
The information system protects the confidentiality and integrity of transmitted information.</t>
  </si>
  <si>
    <t xml:space="preserve">(A) Le système d’information protège la confidentialité et l’intégrité de l’information transmise.</t>
  </si>
  <si>
    <t xml:space="preserve">This control applies to both internal and external networks and all types of information system components from which information can be transmitted (e.g., servers, mobile devices, notebook computers, printers, copiers, scanners, facsimile machines). Communication paths outside the physical protection of a controlled boundary are exposed to the possibility of interception and modification. Protecting the confidentiality and/or integrity of organizational information can be accomplished by physical means (e.g., by employing protected distribution systems) or by logical means (e.g., employing encryption techniques).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needed security controls for transmission confidentiality/integrity. In such situations, organizations determine what types of confidentiality/integrity services are available in standard, commercial telecommunication service packages. If it is infeasible or impractical to obtain the necessary security controls and assurances of control effectiveness through appropriate contracting vehicles, organizations implement appropriate compensating security controls or explicitly accept the additional risk. Related controls: AC-17, PE-4</t>
  </si>
  <si>
    <t xml:space="preserve">Ce contrôle s’applique aux réseaux internes et externes et à tous les types de composants du système d’information à partir desquels de l’information peut être transmise (p. ex., serveurs, appareils mobiles, ordinateurs portatifs, imprimantes, photocopieurs, numériseurs, télécopieurs). Les voies de communication à l’extérieur de la protection physique d’une frontière contrôlée sont exposées à des risques d’interception et de modification. La protection de la confidentialité ou de l’intégrité de l’information organisationnelle peut se faire par des moyens physiques (p. ex., en utilisant des systèmes de distribution protégés) ou logiques (p. ex., en utilisant des techniques de chiffrement). Les organisations qui comptent sur des fournisseurs commerciaux offrant des services de transmission à titre de services de base plutôt que de services entièrement dédiés (c.-à-d. des services qui peuvent être hautement spécialisés pour répondre aux besoins de clients individuels), peuvent avoir de la difficulté à obtenir les assurances nécessaires concernant la mise en œuvre des contrôles de sécurité nécessaires pour la confidentialité et l’intégrité des transmissions. Dans de telles situations, les organisations déterminent les types de services de confidentialité et d’intégrité disponibles dans les forfaits de services de télécommunications commerciaux standard. S’il n’est pas pratique ou s’il est impossible d’obtenir les contrôles de sécurité nécessaires et l’assurance de l’efficacité des contrôles au moyen des mécanismes de passation de marchés appropriés, les organisations mettent en œuvre des contrôles de sécurité compensatoires appropriés ou acceptent explicitement le risque supplémentaire. Contrôles connexes : AC-17, PE-4</t>
  </si>
  <si>
    <t xml:space="preserve">TEST-SC-8</t>
  </si>
  <si>
    <t xml:space="preserve">Control SC-8(1) — Evidence Tracking</t>
  </si>
  <si>
    <t xml:space="preserve">Contrôle SC-8(1) — Suivi des preuves</t>
  </si>
  <si>
    <t xml:space="preserve">TRANSMISSION CONFIDENTIALITY AND INTEGRITY | CRYPTOGRAPHIC OR ALTERNATE PHYSICAL PROTECTION
The information system implements cryptographic mechanisms to prevent unauthorized disclosure of information and detect changes to information during transmission unless otherwise protected by physical security safeguards applied in applied in accordance with, or uses an adequate risk-based approach aligned with the practices specified in TBS and RCMP physical security standards and any related provisions of the Industrial Security Program. The cryptography must be compliant with the requirements of control SC-13.</t>
  </si>
  <si>
    <t xml:space="preserve">CONFIDENTIALITÉ ET INTÉGRITÉ DES TRANSMISSIONS | PROTECTION CRYPTOGRAPHIQUE OU AUTRE PROTECTION PHYSIQUE
Le système d’information déploie des mécanismes cryptographiques pour prévenir la divulgation non autorisée d’information et détecter les modifications de l’information durant la transmission, à moins d’être autrement protégé par des mesures de sécurité physiques appliquées selon une approche adéquate en fonction du risque qui s’harmonise avec les pratiques spécifiées dans les normes de sécurité physique du SCT et de la GRC et les dispositions connexes du Programme de sécurité industrielle. La cryptographie doit être conforme aux exigences du contrôle SC-13.</t>
  </si>
  <si>
    <t xml:space="preserve">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Alternative physical security safeguards include, for example, protected distribution systems. Related control: SC-13.</t>
  </si>
  <si>
    <t xml:space="preserve">Le chiffrement de l’information pour la transmission protège l’information contre la divulgation et la modification non autorisées. Les mécanismes cryptographiques mis en œuvre pour protéger l’intégrité de l’information comprennent, par exemple, les fonctions de hachage cryptographique qui ont une application commune dans les signatures numériques, les sommes de contrôle et les codes d’authentification des messages. Les autres mesures de sécurité physiques comprennent, par exemple, les réseaux de distribution protégés. Contrôle connexe : SC-13.</t>
  </si>
  <si>
    <t xml:space="preserve">TEST-SC-8(1)</t>
  </si>
  <si>
    <t xml:space="preserve">Control SC-10 — Evidence Tracking</t>
  </si>
  <si>
    <t xml:space="preserve">Contrôle SC-10 — Suivi des preuves</t>
  </si>
  <si>
    <t xml:space="preserve">(A)
The information system terminates the network connection associated with a communications session at the end of the session or after no longer than 30 minutes for RAS-based sessions or no longer than 60 minutes for non-interactive user sessions of inactivity.</t>
  </si>
  <si>
    <t xml:space="preserve">(A) Le système d’information met fin à la connexion réseau associée à une session de communication à la fin de la séance ou après un maximum de 30 minutes pour les sessions basées sur le service d’accès à distance (SAD) ou de 60 minutes d’inactivité pour les sessions d’utilisateur non interactives.</t>
  </si>
  <si>
    <t xml:space="preserve">This control applies to both internal and external networks. Terminating network connections associated with communications sessions include, for example, de-allocating associated TCP/IP address/port pairs at the operating system level, or de-allocating networking assignments at the application level if multiple application sessions are using a single, operating system-level network connection. Time periods of inactivity may be established by organizations and include, for example, time periods by type of network access or for specific network accesses</t>
  </si>
  <si>
    <t xml:space="preserve">Ce contrôle s’applique aux réseaux internes et externes. La fin des connexions réseau associées aux sessions de communication comprend, par exemple, la désattribution des paires d’adresses/ports TCP/IP associées au niveau du système d’exploitation, ou la désattribution des tâches de réseautique au niveau de l’application si plusieurs sessions d’application utilisent une seule connexion réseau au niveau du système d’exploitation. Des périodes d’inactivité peuvent être établies par les organisations et comprendre, par exemple, des périodes par type d’accès au réseau ou pour des accès réseau particuliers.</t>
  </si>
  <si>
    <t xml:space="preserve">TEST-SC-10</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</si>
  <si>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</si>
  <si>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</si>
  <si>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</si>
  <si>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</si>
  <si>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</si>
  <si>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</si>
  <si>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</si>
  <si>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SC-18 — Evidence Tracking</t>
  </si>
  <si>
    <t xml:space="preserve">Contrôle SC-18 — Suivi des preuves</t>
  </si>
  <si>
    <t xml:space="preserve">(A)
The organization defines acceptable and unacceptable mobile code and mobile code technologies.
(B)
The organization establishes usage restrictions and implementation guidance for acceptable mobile code and mobile code technologies.
(C)
The organization authorizes, monitors, and controls the use of mobile code within the information system.</t>
  </si>
  <si>
    <t xml:space="preserve">(A) L’organisation définit les codes mobiles et les technologies de codes mobiles acceptables et inacceptables.
(B) L’organisation établit des restrictions d’utilisation et des directives de mise en œuvre pour le code mobile et les technologies de code mobile acceptables.
(C) L’organisation autorise, surveille et contrôle l’utilisation du code mobile dans le système d’information.</t>
  </si>
  <si>
    <t xml:space="preserve">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</si>
  <si>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 xml:space="preserve">Les décisions concernant l’utilisation du code mobile dans les systèmes d’information de l’organisation sont basées sur le potentiel de dommages causés aux systèmes si le code est utilisé de façon malveillante. Les technologies de code mobile comprennent, par exemple, Java, JavaScript, ActiveX, Postcript, PDF, les films Shockwave, les animations Flash et VBScript. Les restrictions d’utilisation et les directives de mise en œuvre s’appliquent à la fois à la sélection et à l’utilisation du code mobile installé sur les serveurs et du code mobile téléchargé et exécuté sur des postes de travail et des appareils individuels (p. ex., téléphones intelligents). La politique et les procédures relatives au code mobile visent à prévenir l’élaboration, l’acquisition ou l’introduction de code mobile inacceptable dans les systèmes d’information de l’organisation. Contrôles connexes : AU-2, AU-12, CM-2, CM-6, SI-3</t>
  </si>
  <si>
    <t xml:space="preserve">TEST-SC-18</t>
  </si>
  <si>
    <t xml:space="preserve">Control SC-18(3) — Evidence Tracking</t>
  </si>
  <si>
    <t xml:space="preserve">Contrôle SC-18(3) — Suivi des preuves</t>
  </si>
  <si>
    <t xml:space="preserve">MOBILE CODE | PREVENT DOWNLOADING / EXECUTION
The information system prevents the download and execution of all unacceptable mobile code and mobile code technologies defined under SC-18.</t>
  </si>
  <si>
    <t xml:space="preserve">CODE MOBILE | EMPÊCHER LE TÉLÉCHARGEMENT ET L’EXÉCUTION
Le système d’information empêche le téléchargement et l’exécution de tout code mobile et de toute technologie de code mobile inacceptables définis dans SC-18.</t>
  </si>
  <si>
    <t xml:space="preserve">TEST-SC-18(3)</t>
  </si>
  <si>
    <t xml:space="preserve">Control SC-18(4) — Evidence Tracking</t>
  </si>
  <si>
    <t xml:space="preserve">Contrôle SC-18(4) — Suivi des preuves</t>
  </si>
  <si>
    <t xml:space="preserve">MOBILE CODE | PREVENT AUTOMATIC EXECUTION
The information system prevents the automatic execution of mobile code in software applications and such as but not limited to email, scriptable document/file editing applications that support documents with embedded code (e.g., MS Office applications/documents), etc. and prompts the user for permission. and enforces organization-defined actions prior to executing the code.</t>
  </si>
  <si>
    <t xml:space="preserve">CODE MOBILE | PRÉVENIR L’EXÉCUTION AUTOMATIQUE
Le système d’information empêche l’exécution automatique du code mobile dans les applications logicielles, par exemple, sans s’y limiter, le courriel, les applications de modification de documents ou de fichiers scriptibles qui prennent en charge les documents avec un code intégré (p. ex., applications/documents MS Office), etc., et demande l’autorisation de l’utilisateur, et applique les mesures définies par l’organisation avant d’exécuter le code.</t>
  </si>
  <si>
    <t xml:space="preserve">Actions enforced before executing mobile code, include, for example, prompting users prior to opening electronic mail attachments. Preventing automatic execution of mobile code includes, for example, disabling auto execute features on information system components employing portable storage devices such as Compact Disks (CDs), Digital Video Disks (DVDs), and Universal Serial Bus (USB) devices.</t>
  </si>
  <si>
    <t xml:space="preserve">Les mesures appliquées avant l’exécution du code mobile comprennent, par exemple, le fait d’inviter les utilisateurs à confirmer avant d’ouvrir les pièces jointes au courrier électronique. La prévention de l’exécution automatique du code mobile comprend, par exemple, la désactivation des fonctions d’exécution automatique sur les composants du système d’information utilisant des dispositifs de stockage portatifs comme les disques compacts (CD), les vidéodisques numériques (DVD) et les dispositifs de bus série universel (USB).</t>
  </si>
  <si>
    <t xml:space="preserve">TEST-SC-18(4)</t>
  </si>
  <si>
    <t xml:space="preserve">Control SC-23 — Evidence Tracking</t>
  </si>
  <si>
    <t xml:space="preserve">Contrôle SC-23 — Suivi des preuves</t>
  </si>
  <si>
    <t xml:space="preserve">(A)
The information system protects the authenticity of communications sessions.</t>
  </si>
  <si>
    <t xml:space="preserve">(A) Le système d’information protège l’authenticité des sessions de communication.</t>
  </si>
  <si>
    <t xml:space="preserve">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Authenticity protection includes, for example, protecting against man-in-the-middle attacks/session hijacking and the insertion of false information into sessions. Related controls: SC-8, SC-10, SC-11</t>
  </si>
  <si>
    <t xml:space="preserve">Ce contrôle porte sur la protection des communications au niveau des sessions plutôt qu’au niveau des paquets (p. ex., les sessions dans les architectures orientées service fournissant des services Web) et établit des motifs de confiance, aux deux extrémités des sessions de communication, dans les identités continues des autres parties et dans la validité de l’information transmise. La protection de l’authenticité comprend, par exemple, la protection contre les attaques de l’intercepteur ou les détournements de sessions et l’insertion de faux renseignements dans les sessions. Contrôles connexes : SC-8, SC-10, SC-11</t>
  </si>
  <si>
    <t xml:space="preserve">TEST-SC-23</t>
  </si>
  <si>
    <t xml:space="preserve">Control SC-23(1) — Evidence Tracking</t>
  </si>
  <si>
    <t xml:space="preserve">Contrôle SC-23(1) — Suivi des preuves</t>
  </si>
  <si>
    <t xml:space="preserve">SESSION AUTHENTICITY | INVALIDATE SESSION IDENTIFIERS AT LOGOUT
The information system invalidates session identifiers upon user logout or other session termination.</t>
  </si>
  <si>
    <t xml:space="preserve">AUTHENTICITÉ DES SESSIONS | INVALIDATION DES IDENTIFIANTS DE SESSION DÈS LA FERMETURE DE SESSION
Le système d’information invalide les identifiants de session dès la fermeture de session par l’utilisateur ou à toute autre fin de session.</t>
  </si>
  <si>
    <t xml:space="preserve">This control enhancement curtails the ability of adversaries from capturing and continuing to employ previously valid session IDs.</t>
  </si>
  <si>
    <t xml:space="preserve">Cette amélioration du contrôle empêche les adversaires de saisir et de continuer d’utiliser des ID de session valides.</t>
  </si>
  <si>
    <t xml:space="preserve">TEST-SC-23(1)</t>
  </si>
  <si>
    <t xml:space="preserve">Control SC-28 — Evidence Tracking</t>
  </si>
  <si>
    <t xml:space="preserve">Contrôle SC-28 — Suivi des preuves</t>
  </si>
  <si>
    <t xml:space="preserve">(A)
The information system protects the confidentiality and integrity of all information not cleared for public release and all data with a higher than low integrity requirement.</t>
  </si>
  <si>
    <t xml:space="preserve">(A) Le système d’information protège la confidentialité et l’intégrité de tous les renseignements dont la diffusion publique n’est pas autorisée et de toutes les données pour lesquelles les exigences d’intégrité ne sont pas faibles.</t>
  </si>
  <si>
    <t xml:space="preserve">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</si>
  <si>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 xml:space="preserve">Ce contrôle porte sur la confidentialité et l’intégrité de l’information inactive et couvre l’information sur les utilisateurs et le système. L’information inactive fait référence à l’état de l’information lorsqu’elle se trouve sur des dispositifs de stockage en tant que composants particuliers des systèmes d’information. Les renseignements relatifs au système qui nécessitent une protection comprennent, par exemple, les configurations ou les ensembles de règles pour les pare-feu, les passerelles, les systèmes de détection et de prévention des intrusions, les routeurs de filtrage et le contenu des authentifiants. Les organisations peuvent utiliser différents mécanismes pour assurer la protection de la confidentialité et de l’intégrité, y compris les mécanismes cryptographiques et le balayage des fichiers partagés. La protection de l’intégrité peut être assurée, par exemple, en mettant en œuvre des technologies qui rendent les supports non réinscriptibles. Les organisations peuvent également utiliser d’autres contrôles de sécurité, y compris, par exemple, le stockage hors ligne sécurisé au lieu du stockage en ligne lorsque la protection de l’information inactive ne peut être assurée autrement, ou la surveillance continue pour repérer du code malveillant inactif. Contrôles connexes : AC-3, AC-6, CA-7, CM-3, CM-5, CM-6, PE-3, SC-8, SC-13, SI-3, SI-7</t>
  </si>
  <si>
    <t xml:space="preserve">TEST-SC-28</t>
  </si>
  <si>
    <t xml:space="preserve">Control SC-28(1) — Evidence Tracking</t>
  </si>
  <si>
    <t xml:space="preserve">Contrôle SC-28(1) — Suivi des preuves</t>
  </si>
  <si>
    <t xml:space="preserve">PROTECTION OF INFORMATION AT REST | CRYPTOGRAPHIC PROTECTION
The information system implements cryptographic mechanisms to prevent unauthorized disclosure and modification of all information not cleared for public release and all data with a higher than low integrity requirements.</t>
  </si>
  <si>
    <t xml:space="preserve">PROTECTION DE L’INFORMATION INACTIVE | PROTECTION CRYPTOGRAPHIQUE
Le système d’information met en œuvre des mécanismes cryptographiques pour prévenir la divulgation et la modification non autorisées de tous les renseignements dont la diffusion publique n’est pas autorisée et de toutes les données pour lesquelles les exigences d’intégrité ne sont pas faibles.</t>
  </si>
  <si>
    <t xml:space="preserve">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</si>
  <si>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 xml:space="preserve">Le choix des mécanismes cryptographiques est fonction du besoin de protection de la confidentialité et de l’intégrité de l’information de l’organisation. La force du mécanisme est proportionnelle à la catégorie de sécurité ou à la classification de l’information. Cette amélioration du contrôle s’applique aux concentrations importantes de supports numériques dans les zones de l’organisation qui sont désignées pour le stockage des supports, et également aux quantités limitées de supports généralement associés aux composants de systèmes d’information dans les environnements opérationnels (p. ex., dispositifs de stockage portatifs, appareils mobiles). Les organisations ont la possibilité de chiffrer toute l’information sur les dispositifs de stockage (c.-à-d. le chiffrement complet du disque) ou de chiffrer des structures de données particulières (p. ex., fichiers, enregistrements ou champs). Les organisations qui utilisent des mécanismes cryptographiques pour protéger l’information inactive envisagent également des solutions de gestion des clés cryptographiques. Contrôles connexes : AC-19, SC-12.</t>
  </si>
  <si>
    <t xml:space="preserve">TEST-SC-28(1)</t>
  </si>
  <si>
    <t xml:space="preserve">Control SC-39 — Evidence Tracking</t>
  </si>
  <si>
    <t xml:space="preserve">Contrôle SC-39 — Suivi des preuves</t>
  </si>
  <si>
    <t xml:space="preserve">(A)
The information system maintains a separate execution domain for each executing process.</t>
  </si>
  <si>
    <t xml:space="preserve">(A) Le système d’information maintient un domaine d’exécution séparé pour chaque processus d’exécution.</t>
  </si>
  <si>
    <t xml:space="preserve">Information systems can maintain separate execution domains for each executing process by assigning each process a separate address space. Each information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This capability is available in most commercial operating systems that employ multi-state processor technologies. Related controls: AC-3, AC-4, AC-6, SA-4, SA-5, SA-8, SC-2, SC-3</t>
  </si>
  <si>
    <t xml:space="preserve">Les systèmes d’information peuvent maintenir des domaines d’exécution séparés pour chaque processus d’exécution en attribuant à chaque processus un espace d’adresse séparé. Chaque processus du système d’information a un espace d’adresse distinct, de sorte que la communication entre les processus est effectuée d’une manière contrôlée par les fonctions de sécurité, et qu’un processus ne peut pas modifier le code d’exécution d’un autre processus. Le maintien de domaines d’exécution séparés pour l’exécution des processus peut être réalisé, par exemple, en mettant en œuvre des espaces d’adresse séparés. Cette capacité est disponible dans la plupart des systèmes d’exploitation commerciaux qui utilisent des technologies de processeurs multi-états. Contrôles connexes : AC-3, AC-4, AC-6, SA-4, SA-5, SA-8, SC-2, SC-3</t>
  </si>
  <si>
    <t xml:space="preserve">TEST-SC-39</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</si>
  <si>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</si>
  <si>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</si>
  <si>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</si>
  <si>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</si>
  <si>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</si>
  <si>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</si>
  <si>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</si>
  <si>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SI-4(4) — Evidence Tracking</t>
  </si>
  <si>
    <t xml:space="preserve">Contrôle SI-4(4) — Suivi des preuves</t>
  </si>
  <si>
    <t xml:space="preserve">INFORMATION SYSTEM MONITORING | INBOUND AND OUTBOUND COMMUNICATIONS TRAFFIC
The information system monitors inbound and outbound communications traffic continously for unusual or unauthorized activities or conditions.</t>
  </si>
  <si>
    <t xml:space="preserve">SURVEILLANCE DU SYSTÈME D’INFORMATION | COMMUNICATIONS ENTRANTES ET SORTANTES
Le système d’information surveille les communications entrantes et sortantes de façon continue pour détecter les activités ou les conditions inhabituelles ou non autorisées.</t>
  </si>
  <si>
    <t xml:space="preserve">Unusual/unauthorized activities or conditions related to information system inbound and outbound communications traffic include, for example, internal traffic that indicates the presence of malicious code within organizational information systems or propagating among system components, the unauthorized exporting of information, or signalling to external information systems. Evidence of malicious code is used to identify potentially compromised information systems or information system components.</t>
  </si>
  <si>
    <t xml:space="preserve">Les activités ou les conditions inhabituelles ou non autorisées liées aux communications entrantes et sortantes du système d’information comprennent, par exemple, le trafic interne indiquant la présence de code malveillant dans les systèmes d’information de l’organisation ou se propageant dans les composants du système, l’exportation non autorisée d’information ou la signalisation vers des systèmes d’information externes. Les preuves de la présence du code malveillant sont utilisées pour identifier les systèmes d’information ou les composants de systèmes d’information potentiellement compromis.</t>
  </si>
  <si>
    <t xml:space="preserve">TEST-SI-4(4)</t>
  </si>
  <si>
    <t xml:space="preserve">Control SI-4(23) — Evidence Tracking</t>
  </si>
  <si>
    <t xml:space="preserve">Contrôle SI-4(23) — Suivi des preuves</t>
  </si>
  <si>
    <t xml:space="preserve">INFORMATION SYSTEM MONITORING | HOST-BASED DEVICES
The organization implements system logging tools at components running general purpose operating systems.</t>
  </si>
  <si>
    <t xml:space="preserve">SURVEILLANCE DU SYSTÈME D’INFORMATION | DISPOSITIFS BASÉS SUR L’HÔTE
L’organisation met en œuvre des outils de journalisation du système aux composants qui exécutent des systèmes d’exploitation généraux.</t>
  </si>
  <si>
    <t xml:space="preserve">Information system components where host-based monitoring can be implemented include, for example, servers, workstations, and mobile devices. Organizations consider employing host-based monitoring mechanisms from multiple information technology product developers.</t>
  </si>
  <si>
    <t xml:space="preserve">Les composants du système d’information pour lesquels une surveillance basée sur l’hôte peut être mise en œuvre comprennent, par exemple, les serveurs, les postes de travail et les appareils mobiles. Les organisations envisagent le recours à des mécanismes de surveillance basés sur l’hôte provenant de multiples développeurs de produits de technologie de l’information.</t>
  </si>
  <si>
    <t xml:space="preserve">TEST-SI-4(23)</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</si>
  <si>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</si>
  <si>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</si>
  <si>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</si>
  <si>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</si>
  <si>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</si>
  <si>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</si>
  <si>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</si>
  <si>
    <t xml:space="preserve">Control SI-7 — Evidence Tracking</t>
  </si>
  <si>
    <t xml:space="preserve">Contrôle SI-7 — Suivi des preuves</t>
  </si>
  <si>
    <t xml:space="preserve">(A)
The organization employs integrity verification tools to detect unauthorized changes to software, firmware, and information on production systems as a minimum.</t>
  </si>
  <si>
    <t xml:space="preserve">(A) L’organisation utilise au minimum des outils de contrôle d’intégrité pour détecter les changements non autorisés aux logiciels, aux micrologiciels et à l’information sur les systèmes de production.</t>
  </si>
  <si>
    <t xml:space="preserve">Unauthorized changes to software, firmware, and information can occur due to errors or malicious activity (e.g., tampering). Software includes, for example, operating systems (with key internal components such as kernels, drivers), middleware, and applications. Firmware includes, for example, the Basic Input Output System (BIOS). Information includes metadata such as security attributes associated with information. State-of-the-practice integrity-checking mechanisms (e.g., parity checks, cyclical redundancy checks, cryptographic hashes) and associated tools can automatically monitor the integrity of information systems and hosted applications. Related controls: SA-12, SC-8, SC-13, SI-3</t>
  </si>
  <si>
    <t xml:space="preserve">Des changements non autorisés aux logiciels, aux micrologiciels et à l’information peuvent survenir en raison d’erreurs ou d’activités malveillantes (p. ex., altération). Les logiciels comprennent, par exemple, les systèmes d’exploitation (avec les composants internes clés comme les noyaux, les pilotes), les intergiciels et les applications. Les micrologiciels comprennent, par exemple, le système d’entrée-sortie de base (BIOS). L’information comprend des métadonnées comme les attributs de sécurité associés à l’information. Dans la pratique actuelle, les mécanismes de vérification de l’intégrité (p. ex., contrôles de parité, contrôles de redondance cycliques, hachages cryptographiques) et les outils connexes peuvent surveiller automatiquement l’intégrité des systèmes d’information et des applications hébergées. Contrôles connexes : SA-12, SC-8, SC-13, SI-3</t>
  </si>
  <si>
    <t xml:space="preserve">TEST-SI-7</t>
  </si>
  <si>
    <t xml:space="preserve">Control SI-7(1) — Evidence Tracking</t>
  </si>
  <si>
    <t xml:space="preserve">Contrôle SI-7(1) — Suivi des preuves</t>
  </si>
  <si>
    <t xml:space="preserve">SOFTWARE, FIRMWARE, AND INFORMATION INTEGRITY | INTEGRITY CHECKS
The information system performs an integrity check of organization-defined software, firmware, and information at start-up and at least every 30 days.</t>
  </si>
  <si>
    <t xml:space="preserve">LOGICIELS, MICROLOGICIELS ET INTÉGRITÉ DE L’INFORMATION | CONTRÔLES D’INTÉGRITÉ
Le système d’information effectue un contrôle d’intégrité des logiciels, des micrologiciels et des renseignements définis par l’organisation lors du démarrage et au moins tous les 30 jours.</t>
  </si>
  <si>
    <t xml:space="preserve">Security-relevant events include, for example, the identification of a new threat to which organizational information systems are susceptible, and the installation of new hardware, software, or firmware. Transitional states include, for example, system start-up, restart, shutdown, and abort.</t>
  </si>
  <si>
    <t xml:space="preserve">Les événements pertinents pour la sécurité comprennent, par exemple, l’identification d’une nouvelle menace à laquelle les systèmes d’information organisationnels sont vulnérables, et l’installation de nouveau matériel, logiciel ou micrologiciel. Les phases de transition comprennent, par exemple, le démarrage, le redémarrage, l’arrêt et l’interruption du système.</t>
  </si>
  <si>
    <t xml:space="preserve">TEST-SI-7(1)</t>
  </si>
  <si>
    <t xml:space="preserve">Control SI-11 — Evidence Tracking</t>
  </si>
  <si>
    <t xml:space="preserve">Contrôle SI-11 — Suivi des preuves</t>
  </si>
  <si>
    <t xml:space="preserve">(A)
The information system generates error messages that provide information necessary for corrective actions without revealing information that could be exploited by adversaries.
(B)
The information system reveals error messages only to organization-defined personnel or roles.</t>
  </si>
  <si>
    <t xml:space="preserve">(A) Le système d’information génère des messages d’erreur qui fournissent l’information nécessaire aux mesures correctives sans révéler l’information qui pourrait être exploitée par des adversaires.
(B) Le système d’information ne révèle les messages d’erreur qu’au personnel ou aux rôles définis par l’organisation.</t>
  </si>
  <si>
    <t xml:space="preserve">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 In addition, error messages may provide a covert channel for transmitting information. Related controls: AU-2, AU-3, SC-31</t>
  </si>
  <si>
    <t xml:space="preserve">Les organisations examinent attentivement la structure et le contenu des messages d’erreur. La mesure dans laquelle les systèmes d’information peuvent déterminer et gérer les conditions d’erreur est fonction des politiques et des exigences opérationnelles de l’organisation. Les renseignements qui pourraient être exploités par des adversaires comprennent, par exemple, les tentatives d’ouverture de session erronées avec des mots de passe entrés par erreur en tant que nom d’utilisateur, des renseignements sur la mission ou les opérations qui peuvent être déduits de (voire être explicitement indiqués par) l’information saisie, et des renseignements personnels comme des numéros de compte, des numéros de sécurité sociale et des numéros de carte de crédit. De plus, les messages d’erreur peuvent servir de voie secrète pour transmettre de l’information. Contrôles connexes : AU-2, AU-3, SC-31</t>
  </si>
  <si>
    <t xml:space="preserve">TEST-SI-11</t>
  </si>
  <si>
    <t xml:space="preserve">Control SI-16 — Evidence Tracking</t>
  </si>
  <si>
    <t xml:space="preserve">Contrôle SI-16 — Suivi des preuves</t>
  </si>
  <si>
    <t xml:space="preserve">(A)
The information system implements organization-defined security safeguards to protect its memory from unauthorized code execution.</t>
  </si>
  <si>
    <t xml:space="preserve">(A) Le système d’information applique des mesures de sécurité définies par l’organisation pour protéger sa mémoire contre l’exécution de code non autorisé.</t>
  </si>
  <si>
    <t xml:space="preserve">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Related controls: AC-25, SC-3</t>
  </si>
  <si>
    <t xml:space="preserve">Certains adversaires lancent des attaques dans l’intention d’exécuter du code dans les régions non exécutables de la mémoire ou dans des emplacements de mémoire qui sont interdits. Les mesures de sécurité utilisées pour protéger la mémoire comprennent, par exemple, la prévention de l’exécution des données et la distribution aléatoire de l’espace d’adressage. Les mesures de prévention de l’exécution des données peuvent être appliquées par du matériel ou par des logiciels, le matériel fournissant la plus grande force du mécanisme. Contrôles connexes : AC-25, SC-3</t>
  </si>
  <si>
    <t xml:space="preserve">TEST-SI-16</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</si>
</sst>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'AC-6'!B20</f>
        <v>Not Started</v>
      </c>
    </row>
    <row r="4" customFormat="false" ht="18" hidden="false" customHeight="true" outlineLevel="0" collapsed="false">
      <c r="A4" s="3" t="s">
        <v>8</v>
      </c>
      <c r="B4" s="4" t="s">
        <v>7</v>
      </c>
      <c r="C4" s="4"/>
      <c r="D4" s="3" t="s">
        <v>9</v>
      </c>
      <c r="E4" s="3" t="str">
        <f aca="false">'AC-6-1'!B20</f>
        <v>Not Started</v>
      </c>
    </row>
    <row r="5" customFormat="false" ht="18" hidden="false" customHeight="true" outlineLevel="0" collapsed="false">
      <c r="A5" s="3" t="s">
        <v>10</v>
      </c>
      <c r="B5" s="4" t="s">
        <v>11</v>
      </c>
      <c r="C5" s="4"/>
      <c r="D5" s="3" t="s">
        <v>10</v>
      </c>
      <c r="E5" s="3" t="str">
        <f aca="false">'AC-7'!B20</f>
        <v>Not Started</v>
      </c>
    </row>
    <row r="6" customFormat="false" ht="18" hidden="false" customHeight="true" outlineLevel="0" collapsed="false">
      <c r="A6" s="3" t="s">
        <v>12</v>
      </c>
      <c r="B6" s="4" t="s">
        <v>13</v>
      </c>
      <c r="C6" s="4"/>
      <c r="D6" s="3" t="s">
        <v>12</v>
      </c>
      <c r="E6" s="3" t="str">
        <f aca="false">'AC-8'!B20</f>
        <v>Not Started</v>
      </c>
    </row>
    <row r="7" customFormat="false" ht="18" hidden="false" customHeight="true" outlineLevel="0" collapsed="false">
      <c r="A7" s="3" t="s">
        <v>14</v>
      </c>
      <c r="B7" s="4" t="s">
        <v>15</v>
      </c>
      <c r="C7" s="4"/>
      <c r="D7" s="3" t="s">
        <v>14</v>
      </c>
      <c r="E7" s="3" t="str">
        <f aca="false">'AC-11'!B20</f>
        <v>Not Started</v>
      </c>
    </row>
    <row r="8" customFormat="false" ht="18" hidden="false" customHeight="true" outlineLevel="0" collapsed="false">
      <c r="A8" s="3" t="s">
        <v>16</v>
      </c>
      <c r="B8" s="4" t="s">
        <v>15</v>
      </c>
      <c r="C8" s="4"/>
      <c r="D8" s="3" t="s">
        <v>17</v>
      </c>
      <c r="E8" s="3" t="str">
        <f aca="false">'AC-11-1'!B20</f>
        <v>Not Started</v>
      </c>
    </row>
    <row r="9" customFormat="false" ht="18" hidden="false" customHeight="true" outlineLevel="0" collapsed="false">
      <c r="A9" s="3" t="s">
        <v>18</v>
      </c>
      <c r="B9" s="4" t="s">
        <v>19</v>
      </c>
      <c r="C9" s="4"/>
      <c r="D9" s="3" t="s">
        <v>18</v>
      </c>
      <c r="E9" s="3" t="str">
        <f aca="false">'AC-12'!B20</f>
        <v>Not Started</v>
      </c>
    </row>
    <row r="10" customFormat="false" ht="18" hidden="false" customHeight="true" outlineLevel="0" collapsed="false">
      <c r="A10" s="3" t="s">
        <v>20</v>
      </c>
      <c r="B10" s="4" t="s">
        <v>21</v>
      </c>
      <c r="C10" s="4"/>
      <c r="D10" s="3" t="s">
        <v>22</v>
      </c>
      <c r="E10" s="3" t="str">
        <f aca="false">'AC-17-1'!B20</f>
        <v>Not Started</v>
      </c>
    </row>
    <row r="11" customFormat="false" ht="18" hidden="false" customHeight="true" outlineLevel="0" collapsed="false">
      <c r="A11" s="3" t="s">
        <v>23</v>
      </c>
      <c r="B11" s="4" t="s">
        <v>21</v>
      </c>
      <c r="C11" s="4"/>
      <c r="D11" s="3" t="s">
        <v>24</v>
      </c>
      <c r="E11" s="3" t="str">
        <f aca="false">'AC-17-2'!B20</f>
        <v>Not Started</v>
      </c>
    </row>
    <row r="12" customFormat="false" ht="18" hidden="false" customHeight="true" outlineLevel="0" collapsed="false">
      <c r="A12" s="3" t="s">
        <v>25</v>
      </c>
      <c r="B12" s="4" t="s">
        <v>21</v>
      </c>
      <c r="C12" s="4"/>
      <c r="D12" s="3" t="s">
        <v>26</v>
      </c>
      <c r="E12" s="3" t="str">
        <f aca="false">'AC-17-100'!B20</f>
        <v>Not Started</v>
      </c>
    </row>
    <row r="13" customFormat="false" ht="18" hidden="false" customHeight="true" outlineLevel="0" collapsed="false">
      <c r="A13" s="3" t="s">
        <v>27</v>
      </c>
      <c r="B13" s="4" t="s">
        <v>28</v>
      </c>
      <c r="C13" s="4"/>
      <c r="D13" s="3" t="s">
        <v>27</v>
      </c>
      <c r="E13" s="3" t="str">
        <f aca="false">'AU-2'!B20</f>
        <v>Not Started</v>
      </c>
    </row>
    <row r="14" customFormat="false" ht="18" hidden="false" customHeight="true" outlineLevel="0" collapsed="false">
      <c r="A14" s="3" t="s">
        <v>29</v>
      </c>
      <c r="B14" s="4" t="s">
        <v>30</v>
      </c>
      <c r="C14" s="4"/>
      <c r="D14" s="3" t="s">
        <v>29</v>
      </c>
      <c r="E14" s="3" t="str">
        <f aca="false">'AU-3'!B20</f>
        <v>Not Started</v>
      </c>
    </row>
    <row r="15" customFormat="false" ht="18" hidden="false" customHeight="true" outlineLevel="0" collapsed="false">
      <c r="A15" s="3" t="s">
        <v>31</v>
      </c>
      <c r="B15" s="4" t="s">
        <v>30</v>
      </c>
      <c r="C15" s="4"/>
      <c r="D15" s="3" t="s">
        <v>32</v>
      </c>
      <c r="E15" s="3" t="str">
        <f aca="false">'AU-3-1'!B20</f>
        <v>Not Started</v>
      </c>
    </row>
    <row r="16" customFormat="false" ht="18" hidden="false" customHeight="true" outlineLevel="0" collapsed="false">
      <c r="A16" s="3" t="s">
        <v>33</v>
      </c>
      <c r="B16" s="4" t="s">
        <v>34</v>
      </c>
      <c r="C16" s="4"/>
      <c r="D16" s="3" t="s">
        <v>35</v>
      </c>
      <c r="E16" s="3" t="str">
        <f aca="false">'AU-9-2'!B20</f>
        <v>Not Started</v>
      </c>
    </row>
    <row r="17" customFormat="false" ht="18" hidden="false" customHeight="true" outlineLevel="0" collapsed="false">
      <c r="A17" s="3" t="s">
        <v>36</v>
      </c>
      <c r="B17" s="4" t="s">
        <v>37</v>
      </c>
      <c r="C17" s="4"/>
      <c r="D17" s="3" t="s">
        <v>36</v>
      </c>
      <c r="E17" s="3" t="str">
        <f aca="false">'AU-12'!B20</f>
        <v>Not Started</v>
      </c>
    </row>
    <row r="18" customFormat="false" ht="18" hidden="false" customHeight="true" outlineLevel="0" collapsed="false">
      <c r="A18" s="3" t="s">
        <v>38</v>
      </c>
      <c r="B18" s="4" t="s">
        <v>39</v>
      </c>
      <c r="C18" s="4"/>
      <c r="D18" s="3" t="s">
        <v>40</v>
      </c>
      <c r="E18" s="3" t="str">
        <f aca="false">'CA-3-5'!B20</f>
        <v>Not Started</v>
      </c>
    </row>
    <row r="19" customFormat="false" ht="18" hidden="false" customHeight="true" outlineLevel="0" collapsed="false">
      <c r="A19" s="3" t="s">
        <v>41</v>
      </c>
      <c r="B19" s="4" t="s">
        <v>42</v>
      </c>
      <c r="C19" s="4"/>
      <c r="D19" s="3" t="s">
        <v>41</v>
      </c>
      <c r="E19" s="3" t="str">
        <f aca="false">'CA-9'!B20</f>
        <v>Not Started</v>
      </c>
    </row>
    <row r="20" customFormat="false" ht="18" hidden="false" customHeight="true" outlineLevel="0" collapsed="false">
      <c r="A20" s="3" t="s">
        <v>43</v>
      </c>
      <c r="B20" s="4" t="s">
        <v>44</v>
      </c>
      <c r="C20" s="4"/>
      <c r="D20" s="3" t="s">
        <v>43</v>
      </c>
      <c r="E20" s="3" t="str">
        <f aca="false">'CM-6'!B20</f>
        <v>Not Started</v>
      </c>
    </row>
    <row r="21" customFormat="false" ht="18" hidden="false" customHeight="true" outlineLevel="0" collapsed="false">
      <c r="A21" s="3" t="s">
        <v>45</v>
      </c>
      <c r="B21" s="4" t="s">
        <v>46</v>
      </c>
      <c r="C21" s="4"/>
      <c r="D21" s="3" t="s">
        <v>45</v>
      </c>
      <c r="E21" s="3" t="str">
        <f aca="false">'CM-7'!B20</f>
        <v>Not Started</v>
      </c>
    </row>
    <row r="22" customFormat="false" ht="18" hidden="false" customHeight="true" outlineLevel="0" collapsed="false">
      <c r="A22" s="3" t="s">
        <v>47</v>
      </c>
      <c r="B22" s="4" t="s">
        <v>46</v>
      </c>
      <c r="C22" s="4"/>
      <c r="D22" s="3" t="s">
        <v>48</v>
      </c>
      <c r="E22" s="3" t="str">
        <f aca="false">'CM-7-1'!B20</f>
        <v>Not Started</v>
      </c>
    </row>
    <row r="23" customFormat="false" ht="18" hidden="false" customHeight="true" outlineLevel="0" collapsed="false">
      <c r="A23" s="3" t="s">
        <v>49</v>
      </c>
      <c r="B23" s="4" t="s">
        <v>46</v>
      </c>
      <c r="C23" s="4"/>
      <c r="D23" s="3" t="s">
        <v>50</v>
      </c>
      <c r="E23" s="3" t="str">
        <f aca="false">'CM-7-5'!B20</f>
        <v>Not Started</v>
      </c>
    </row>
    <row r="24" customFormat="false" ht="18" hidden="false" customHeight="true" outlineLevel="0" collapsed="false">
      <c r="A24" s="3" t="s">
        <v>51</v>
      </c>
      <c r="B24" s="4" t="s">
        <v>52</v>
      </c>
      <c r="C24" s="4"/>
      <c r="D24" s="3" t="s">
        <v>51</v>
      </c>
      <c r="E24" s="3" t="str">
        <f aca="false">'CM-11'!B20</f>
        <v>Not Started</v>
      </c>
    </row>
    <row r="25" customFormat="false" ht="18" hidden="false" customHeight="true" outlineLevel="0" collapsed="false">
      <c r="A25" s="3" t="s">
        <v>53</v>
      </c>
      <c r="B25" s="4" t="s">
        <v>54</v>
      </c>
      <c r="C25" s="4"/>
      <c r="D25" s="3" t="s">
        <v>53</v>
      </c>
      <c r="E25" s="3" t="str">
        <f aca="false">'CP-6'!B20</f>
        <v>Not Started</v>
      </c>
    </row>
    <row r="26" customFormat="false" ht="18" hidden="false" customHeight="true" outlineLevel="0" collapsed="false">
      <c r="A26" s="3" t="s">
        <v>55</v>
      </c>
      <c r="B26" s="4" t="s">
        <v>54</v>
      </c>
      <c r="C26" s="4"/>
      <c r="D26" s="3" t="s">
        <v>56</v>
      </c>
      <c r="E26" s="3" t="str">
        <f aca="false">'CP-6-2'!B20</f>
        <v>Not Started</v>
      </c>
    </row>
    <row r="27" customFormat="false" ht="18" hidden="false" customHeight="true" outlineLevel="0" collapsed="false">
      <c r="A27" s="3" t="s">
        <v>57</v>
      </c>
      <c r="B27" s="4" t="s">
        <v>58</v>
      </c>
      <c r="C27" s="4"/>
      <c r="D27" s="3" t="s">
        <v>57</v>
      </c>
      <c r="E27" s="3" t="str">
        <f aca="false">'CP-7'!B20</f>
        <v>Not Started</v>
      </c>
    </row>
    <row r="28" customFormat="false" ht="18" hidden="false" customHeight="true" outlineLevel="0" collapsed="false">
      <c r="A28" s="3" t="s">
        <v>59</v>
      </c>
      <c r="B28" s="4" t="s">
        <v>58</v>
      </c>
      <c r="C28" s="4"/>
      <c r="D28" s="3" t="s">
        <v>60</v>
      </c>
      <c r="E28" s="3" t="str">
        <f aca="false">'CP-7-4'!B20</f>
        <v>Not Started</v>
      </c>
    </row>
    <row r="29" customFormat="false" ht="18" hidden="false" customHeight="true" outlineLevel="0" collapsed="false">
      <c r="A29" s="3" t="s">
        <v>61</v>
      </c>
      <c r="B29" s="4" t="s">
        <v>62</v>
      </c>
      <c r="C29" s="4"/>
      <c r="D29" s="3" t="s">
        <v>61</v>
      </c>
      <c r="E29" s="3" t="str">
        <f aca="false">'CP-9'!B20</f>
        <v>Not Started</v>
      </c>
    </row>
    <row r="30" customFormat="false" ht="18" hidden="false" customHeight="true" outlineLevel="0" collapsed="false">
      <c r="A30" s="3" t="s">
        <v>63</v>
      </c>
      <c r="B30" s="4" t="s">
        <v>62</v>
      </c>
      <c r="C30" s="4"/>
      <c r="D30" s="3" t="s">
        <v>64</v>
      </c>
      <c r="E30" s="3" t="str">
        <f aca="false">'CP-9-1'!B20</f>
        <v>Not Started</v>
      </c>
    </row>
    <row r="31" customFormat="false" ht="18" hidden="false" customHeight="true" outlineLevel="0" collapsed="false">
      <c r="A31" s="3" t="s">
        <v>65</v>
      </c>
      <c r="B31" s="4" t="s">
        <v>62</v>
      </c>
      <c r="C31" s="4"/>
      <c r="D31" s="3" t="s">
        <v>66</v>
      </c>
      <c r="E31" s="3" t="str">
        <f aca="false">'CP-9-2'!B20</f>
        <v>Not Started</v>
      </c>
    </row>
    <row r="32" customFormat="false" ht="18" hidden="false" customHeight="true" outlineLevel="0" collapsed="false">
      <c r="A32" s="3" t="s">
        <v>67</v>
      </c>
      <c r="B32" s="4" t="s">
        <v>62</v>
      </c>
      <c r="C32" s="4"/>
      <c r="D32" s="3" t="s">
        <v>68</v>
      </c>
      <c r="E32" s="3" t="str">
        <f aca="false">'CP-9-5'!B20</f>
        <v>Not Started</v>
      </c>
    </row>
    <row r="33" customFormat="false" ht="18" hidden="false" customHeight="true" outlineLevel="0" collapsed="false">
      <c r="A33" s="3" t="s">
        <v>69</v>
      </c>
      <c r="B33" s="4" t="s">
        <v>70</v>
      </c>
      <c r="C33" s="4"/>
      <c r="D33" s="3" t="s">
        <v>69</v>
      </c>
      <c r="E33" s="3" t="str">
        <f aca="false">'CP-10'!B20</f>
        <v>Not Started</v>
      </c>
    </row>
    <row r="34" customFormat="false" ht="18" hidden="false" customHeight="true" outlineLevel="0" collapsed="false">
      <c r="A34" s="3" t="s">
        <v>71</v>
      </c>
      <c r="B34" s="4" t="s">
        <v>70</v>
      </c>
      <c r="C34" s="4"/>
      <c r="D34" s="3" t="s">
        <v>72</v>
      </c>
      <c r="E34" s="3" t="str">
        <f aca="false">'CP-10-4'!B20</f>
        <v>Not Started</v>
      </c>
    </row>
    <row r="35" customFormat="false" ht="18" hidden="false" customHeight="true" outlineLevel="0" collapsed="false">
      <c r="A35" s="3" t="s">
        <v>73</v>
      </c>
      <c r="B35" s="4" t="s">
        <v>74</v>
      </c>
      <c r="C35" s="4"/>
      <c r="D35" s="3" t="s">
        <v>75</v>
      </c>
      <c r="E35" s="3" t="str">
        <f aca="false">'IA-5-6'!B20</f>
        <v>Not Started</v>
      </c>
    </row>
    <row r="36" customFormat="false" ht="18" hidden="false" customHeight="true" outlineLevel="0" collapsed="false">
      <c r="A36" s="3" t="s">
        <v>76</v>
      </c>
      <c r="B36" s="4" t="s">
        <v>74</v>
      </c>
      <c r="C36" s="4"/>
      <c r="D36" s="3" t="s">
        <v>77</v>
      </c>
      <c r="E36" s="3" t="str">
        <f aca="false">'IA-5-7'!B20</f>
        <v>Not Started</v>
      </c>
    </row>
    <row r="37" customFormat="false" ht="18" hidden="false" customHeight="true" outlineLevel="0" collapsed="false">
      <c r="A37" s="3" t="s">
        <v>78</v>
      </c>
      <c r="B37" s="4" t="s">
        <v>79</v>
      </c>
      <c r="C37" s="4"/>
      <c r="D37" s="3" t="s">
        <v>80</v>
      </c>
      <c r="E37" s="3" t="str">
        <f aca="false">'SA-9-5'!B20</f>
        <v>Not Started</v>
      </c>
    </row>
    <row r="38" customFormat="false" ht="18" hidden="false" customHeight="true" outlineLevel="0" collapsed="false">
      <c r="A38" s="3" t="s">
        <v>81</v>
      </c>
      <c r="B38" s="4" t="s">
        <v>82</v>
      </c>
      <c r="C38" s="4"/>
      <c r="D38" s="3" t="s">
        <v>83</v>
      </c>
      <c r="E38" s="3" t="str">
        <f aca="false">'SA-10-1'!B20</f>
        <v>Not Started</v>
      </c>
    </row>
    <row r="39" customFormat="false" ht="18" hidden="false" customHeight="true" outlineLevel="0" collapsed="false">
      <c r="A39" s="3" t="s">
        <v>84</v>
      </c>
      <c r="B39" s="4" t="s">
        <v>85</v>
      </c>
      <c r="C39" s="4"/>
      <c r="D39" s="3" t="s">
        <v>84</v>
      </c>
      <c r="E39" s="3" t="str">
        <f aca="false">'SC-2'!B20</f>
        <v>Not Started</v>
      </c>
    </row>
    <row r="40" customFormat="false" ht="18" hidden="false" customHeight="true" outlineLevel="0" collapsed="false">
      <c r="A40" s="3" t="s">
        <v>86</v>
      </c>
      <c r="B40" s="4" t="s">
        <v>87</v>
      </c>
      <c r="C40" s="4"/>
      <c r="D40" s="3" t="s">
        <v>86</v>
      </c>
      <c r="E40" s="3" t="str">
        <f aca="false">'SC-6'!B20</f>
        <v>Not Started</v>
      </c>
    </row>
    <row r="41" customFormat="false" ht="18" hidden="false" customHeight="true" outlineLevel="0" collapsed="false">
      <c r="A41" s="3" t="s">
        <v>88</v>
      </c>
      <c r="B41" s="4" t="s">
        <v>89</v>
      </c>
      <c r="C41" s="4"/>
      <c r="D41" s="3" t="s">
        <v>90</v>
      </c>
      <c r="E41" s="3" t="str">
        <f aca="false">'SC-7-7'!B20</f>
        <v>Not Started</v>
      </c>
    </row>
    <row r="42" customFormat="false" ht="18" hidden="false" customHeight="true" outlineLevel="0" collapsed="false">
      <c r="A42" s="3" t="s">
        <v>91</v>
      </c>
      <c r="B42" s="4" t="s">
        <v>89</v>
      </c>
      <c r="C42" s="4"/>
      <c r="D42" s="3" t="s">
        <v>92</v>
      </c>
      <c r="E42" s="3" t="str">
        <f aca="false">'SC-7-12'!B20</f>
        <v>Not Started</v>
      </c>
    </row>
    <row r="43" customFormat="false" ht="18" hidden="false" customHeight="true" outlineLevel="0" collapsed="false">
      <c r="A43" s="3" t="s">
        <v>93</v>
      </c>
      <c r="B43" s="4" t="s">
        <v>94</v>
      </c>
      <c r="C43" s="4"/>
      <c r="D43" s="3" t="s">
        <v>93</v>
      </c>
      <c r="E43" s="3" t="str">
        <f aca="false">'SC-8'!B20</f>
        <v>Not Started</v>
      </c>
    </row>
    <row r="44" customFormat="false" ht="18" hidden="false" customHeight="true" outlineLevel="0" collapsed="false">
      <c r="A44" s="3" t="s">
        <v>95</v>
      </c>
      <c r="B44" s="4" t="s">
        <v>94</v>
      </c>
      <c r="C44" s="4"/>
      <c r="D44" s="3" t="s">
        <v>96</v>
      </c>
      <c r="E44" s="3" t="str">
        <f aca="false">'SC-8-1'!B20</f>
        <v>Not Started</v>
      </c>
    </row>
    <row r="45" customFormat="false" ht="18" hidden="false" customHeight="true" outlineLevel="0" collapsed="false">
      <c r="A45" s="3" t="s">
        <v>97</v>
      </c>
      <c r="B45" s="4" t="s">
        <v>98</v>
      </c>
      <c r="C45" s="4"/>
      <c r="D45" s="3" t="s">
        <v>97</v>
      </c>
      <c r="E45" s="3" t="str">
        <f aca="false">'SC-10'!B20</f>
        <v>Not Started</v>
      </c>
    </row>
    <row r="46" customFormat="false" ht="18" hidden="false" customHeight="true" outlineLevel="0" collapsed="false">
      <c r="A46" s="3" t="s">
        <v>99</v>
      </c>
      <c r="B46" s="4" t="s">
        <v>100</v>
      </c>
      <c r="C46" s="4"/>
      <c r="D46" s="3" t="s">
        <v>99</v>
      </c>
      <c r="E46" s="3" t="str">
        <f aca="false">'SC-13'!B20</f>
        <v>Not Started</v>
      </c>
    </row>
    <row r="47" customFormat="false" ht="18" hidden="false" customHeight="true" outlineLevel="0" collapsed="false">
      <c r="A47" s="3" t="s">
        <v>101</v>
      </c>
      <c r="B47" s="4" t="s">
        <v>102</v>
      </c>
      <c r="C47" s="4"/>
      <c r="D47" s="3" t="s">
        <v>101</v>
      </c>
      <c r="E47" s="3" t="str">
        <f aca="false">'SC-18'!B20</f>
        <v>Not Started</v>
      </c>
    </row>
    <row r="48" customFormat="false" ht="18" hidden="false" customHeight="true" outlineLevel="0" collapsed="false">
      <c r="A48" s="3" t="s">
        <v>103</v>
      </c>
      <c r="B48" s="4" t="s">
        <v>102</v>
      </c>
      <c r="C48" s="4"/>
      <c r="D48" s="3" t="s">
        <v>104</v>
      </c>
      <c r="E48" s="3" t="str">
        <f aca="false">'SC-18-3'!B20</f>
        <v>Not Started</v>
      </c>
    </row>
    <row r="49" customFormat="false" ht="18" hidden="false" customHeight="true" outlineLevel="0" collapsed="false">
      <c r="A49" s="3" t="s">
        <v>105</v>
      </c>
      <c r="B49" s="4" t="s">
        <v>102</v>
      </c>
      <c r="C49" s="4"/>
      <c r="D49" s="3" t="s">
        <v>106</v>
      </c>
      <c r="E49" s="3" t="str">
        <f aca="false">'SC-18-4'!B20</f>
        <v>Not Started</v>
      </c>
    </row>
    <row r="50" customFormat="false" ht="18" hidden="false" customHeight="true" outlineLevel="0" collapsed="false">
      <c r="A50" s="3" t="s">
        <v>107</v>
      </c>
      <c r="B50" s="4" t="s">
        <v>108</v>
      </c>
      <c r="C50" s="4"/>
      <c r="D50" s="3" t="s">
        <v>107</v>
      </c>
      <c r="E50" s="3" t="str">
        <f aca="false">'SC-23'!B20</f>
        <v>Not Started</v>
      </c>
    </row>
    <row r="51" customFormat="false" ht="18" hidden="false" customHeight="true" outlineLevel="0" collapsed="false">
      <c r="A51" s="3" t="s">
        <v>109</v>
      </c>
      <c r="B51" s="4" t="s">
        <v>108</v>
      </c>
      <c r="C51" s="4"/>
      <c r="D51" s="3" t="s">
        <v>110</v>
      </c>
      <c r="E51" s="3" t="str">
        <f aca="false">'SC-23-1'!B20</f>
        <v>Not Started</v>
      </c>
    </row>
    <row r="52" customFormat="false" ht="18" hidden="false" customHeight="true" outlineLevel="0" collapsed="false">
      <c r="A52" s="3" t="s">
        <v>111</v>
      </c>
      <c r="B52" s="4" t="s">
        <v>112</v>
      </c>
      <c r="C52" s="4"/>
      <c r="D52" s="3" t="s">
        <v>111</v>
      </c>
      <c r="E52" s="3" t="str">
        <f aca="false">'SC-28'!B20</f>
        <v>Not Started</v>
      </c>
    </row>
    <row r="53" customFormat="false" ht="18" hidden="false" customHeight="true" outlineLevel="0" collapsed="false">
      <c r="A53" s="3" t="s">
        <v>113</v>
      </c>
      <c r="B53" s="4" t="s">
        <v>112</v>
      </c>
      <c r="C53" s="4"/>
      <c r="D53" s="3" t="s">
        <v>114</v>
      </c>
      <c r="E53" s="3" t="str">
        <f aca="false">'SC-28-1'!B20</f>
        <v>Not Started</v>
      </c>
    </row>
    <row r="54" customFormat="false" ht="18" hidden="false" customHeight="true" outlineLevel="0" collapsed="false">
      <c r="A54" s="3" t="s">
        <v>115</v>
      </c>
      <c r="B54" s="4" t="s">
        <v>116</v>
      </c>
      <c r="C54" s="4"/>
      <c r="D54" s="3" t="s">
        <v>115</v>
      </c>
      <c r="E54" s="3" t="str">
        <f aca="false">'SC-39'!B20</f>
        <v>Not Started</v>
      </c>
    </row>
    <row r="55" customFormat="false" ht="18" hidden="false" customHeight="true" outlineLevel="0" collapsed="false">
      <c r="A55" s="3" t="s">
        <v>117</v>
      </c>
      <c r="B55" s="4" t="s">
        <v>118</v>
      </c>
      <c r="C55" s="4"/>
      <c r="D55" s="3" t="s">
        <v>119</v>
      </c>
      <c r="E55" s="3" t="str">
        <f aca="false">'SI-4-2'!B20</f>
        <v>Not Started</v>
      </c>
    </row>
    <row r="56" customFormat="false" ht="18" hidden="false" customHeight="true" outlineLevel="0" collapsed="false">
      <c r="A56" s="3" t="s">
        <v>120</v>
      </c>
      <c r="B56" s="4" t="s">
        <v>118</v>
      </c>
      <c r="C56" s="4"/>
      <c r="D56" s="3" t="s">
        <v>121</v>
      </c>
      <c r="E56" s="3" t="str">
        <f aca="false">'SI-4-4'!B20</f>
        <v>Not Started</v>
      </c>
    </row>
    <row r="57" customFormat="false" ht="18" hidden="false" customHeight="true" outlineLevel="0" collapsed="false">
      <c r="A57" s="3" t="s">
        <v>122</v>
      </c>
      <c r="B57" s="4" t="s">
        <v>118</v>
      </c>
      <c r="C57" s="4"/>
      <c r="D57" s="3" t="s">
        <v>123</v>
      </c>
      <c r="E57" s="3" t="str">
        <f aca="false">'SI-4-23'!B20</f>
        <v>Not Started</v>
      </c>
    </row>
    <row r="58" customFormat="false" ht="18" hidden="false" customHeight="true" outlineLevel="0" collapsed="false">
      <c r="A58" s="3" t="s">
        <v>124</v>
      </c>
      <c r="B58" s="4" t="s">
        <v>125</v>
      </c>
      <c r="C58" s="4"/>
      <c r="D58" s="3" t="s">
        <v>124</v>
      </c>
      <c r="E58" s="3" t="str">
        <f aca="false">'SI-6'!B20</f>
        <v>Not Started</v>
      </c>
    </row>
    <row r="59" customFormat="false" ht="18" hidden="false" customHeight="true" outlineLevel="0" collapsed="false">
      <c r="A59" s="3" t="s">
        <v>126</v>
      </c>
      <c r="B59" s="4" t="s">
        <v>127</v>
      </c>
      <c r="C59" s="4"/>
      <c r="D59" s="3" t="s">
        <v>126</v>
      </c>
      <c r="E59" s="3" t="str">
        <f aca="false">'SI-7'!B20</f>
        <v>Not Started</v>
      </c>
    </row>
    <row r="60" customFormat="false" ht="18" hidden="false" customHeight="true" outlineLevel="0" collapsed="false">
      <c r="A60" s="3" t="s">
        <v>128</v>
      </c>
      <c r="B60" s="4" t="s">
        <v>127</v>
      </c>
      <c r="C60" s="4"/>
      <c r="D60" s="3" t="s">
        <v>129</v>
      </c>
      <c r="E60" s="3" t="str">
        <f aca="false">'SI-7-1'!B20</f>
        <v>Not Started</v>
      </c>
    </row>
    <row r="61" customFormat="false" ht="18" hidden="false" customHeight="true" outlineLevel="0" collapsed="false">
      <c r="A61" s="3" t="s">
        <v>130</v>
      </c>
      <c r="B61" s="4" t="s">
        <v>131</v>
      </c>
      <c r="C61" s="4"/>
      <c r="D61" s="3" t="s">
        <v>130</v>
      </c>
      <c r="E61" s="3" t="str">
        <f aca="false">'SI-11'!B20</f>
        <v>Not Started</v>
      </c>
    </row>
    <row r="62" customFormat="false" ht="18" hidden="false" customHeight="true" outlineLevel="0" collapsed="false">
      <c r="A62" s="3" t="s">
        <v>132</v>
      </c>
      <c r="B62" s="4" t="s">
        <v>133</v>
      </c>
      <c r="C62" s="4"/>
      <c r="D62" s="3" t="s">
        <v>132</v>
      </c>
      <c r="E62" s="3" t="str">
        <f aca="false">'SI-16'!B20</f>
        <v>Not Started</v>
      </c>
    </row>
    <row r="64" customFormat="false" ht="21.75" hidden="false" customHeight="true" outlineLevel="0" collapsed="false">
      <c r="A64" s="5" t="s">
        <v>134</v>
      </c>
      <c r="B64" s="5"/>
      <c r="C64" s="5"/>
      <c r="D64" s="5"/>
      <c r="E64" s="5"/>
    </row>
    <row r="65" customFormat="false" ht="19.5" hidden="false" customHeight="true" outlineLevel="0" collapsed="false">
      <c r="A65" s="6" t="s">
        <v>135</v>
      </c>
      <c r="B65" s="6"/>
      <c r="C65" s="6"/>
      <c r="D65" s="6"/>
      <c r="E65" s="7" t="n">
        <f aca="false">60</f>
        <v>60</v>
      </c>
    </row>
    <row r="66" customFormat="false" ht="19.5" hidden="false" customHeight="true" outlineLevel="0" collapsed="false">
      <c r="A66" s="6" t="s">
        <v>136</v>
      </c>
      <c r="B66" s="6"/>
      <c r="C66" s="6"/>
      <c r="D66" s="6"/>
      <c r="E66" s="7" t="n">
        <f aca="false">COUNTIF(E3:E62,"Not Started")</f>
        <v>60</v>
      </c>
    </row>
    <row r="67" customFormat="false" ht="19.5" hidden="false" customHeight="true" outlineLevel="0" collapsed="false">
      <c r="A67" s="6" t="s">
        <v>137</v>
      </c>
      <c r="B67" s="6"/>
      <c r="C67" s="6"/>
      <c r="D67" s="6"/>
      <c r="E67" s="7" t="n">
        <f aca="false">COUNTIF(E3:E62,"In Progress")</f>
        <v>0</v>
      </c>
    </row>
    <row r="68" customFormat="false" ht="19.5" hidden="false" customHeight="true" outlineLevel="0" collapsed="false">
      <c r="A68" s="6" t="s">
        <v>138</v>
      </c>
      <c r="B68" s="6"/>
      <c r="C68" s="6"/>
      <c r="D68" s="6"/>
      <c r="E68" s="7" t="n">
        <f aca="false">COUNTIF(E3:E62,"Evidence Provided")</f>
        <v>0</v>
      </c>
    </row>
    <row r="69" customFormat="false" ht="19.5" hidden="false" customHeight="true" outlineLevel="0" collapsed="false">
      <c r="A69" s="6" t="s">
        <v>139</v>
      </c>
      <c r="B69" s="6"/>
      <c r="C69" s="6"/>
      <c r="D69" s="6"/>
      <c r="E69" s="7" t="n">
        <f aca="false">COUNTIF(E3:E62,"Under Review")</f>
        <v>0</v>
      </c>
    </row>
    <row r="70" customFormat="false" ht="19.5" hidden="false" customHeight="true" outlineLevel="0" collapsed="false">
      <c r="A70" s="6" t="s">
        <v>140</v>
      </c>
      <c r="B70" s="6"/>
      <c r="C70" s="6"/>
      <c r="D70" s="6"/>
      <c r="E70" s="7" t="n">
        <f aca="false">COUNTIF(E3:E62,"Passed")</f>
        <v>0</v>
      </c>
    </row>
    <row r="71" customFormat="false" ht="19.5" hidden="false" customHeight="true" outlineLevel="0" collapsed="false">
      <c r="A71" s="6" t="s">
        <v>141</v>
      </c>
      <c r="B71" s="6"/>
      <c r="C71" s="6"/>
      <c r="D71" s="6"/>
      <c r="E71" s="7" t="n">
        <f aca="false">COUNTIF(E3:E62,"Failed")</f>
        <v>0</v>
      </c>
    </row>
    <row r="72" customFormat="false" ht="19.5" hidden="false" customHeight="true" outlineLevel="0" collapsed="false">
      <c r="A72" s="6" t="s">
        <v>142</v>
      </c>
      <c r="B72" s="6"/>
      <c r="C72" s="6"/>
      <c r="D72" s="6"/>
      <c r="E72" s="7" t="n">
        <f aca="false">COUNTIF(E3:E62,"Accepted Exception")</f>
        <v>0</v>
      </c>
    </row>
    <row r="73" customFormat="false" ht="19.5" hidden="false" customHeight="true" outlineLevel="0" collapsed="false">
      <c r="A73" s="6" t="s">
        <v>143</v>
      </c>
      <c r="B73" s="6"/>
      <c r="C73" s="6"/>
      <c r="D73" s="6"/>
      <c r="E73" s="8" t="n">
        <f aca="false">IFERROR(COUNTIF(E3:E62,"Passed")/60,0)</f>
        <v>0</v>
      </c>
    </row>
    <row r="74" customFormat="false" ht="19.5" hidden="false" customHeight="true" outlineLevel="0" collapsed="false">
      <c r="A74" s="6" t="s">
        <v>144</v>
      </c>
      <c r="B74" s="6"/>
      <c r="C74" s="6"/>
      <c r="D74" s="6"/>
      <c r="E74" s="8" t="n">
        <f aca="false">IFERROR(COUNTIF(E3:E62,"Not Started")/60,0)</f>
        <v>1</v>
      </c>
    </row>
  </sheetData>
  <mergeCells count="12">
    <mergeCell ref="A1:E1"/>
    <mergeCell ref="A64:E64"/>
    <mergeCell ref="A65:D65"/>
    <mergeCell ref="A66:D66"/>
    <mergeCell ref="A67:D67"/>
    <mergeCell ref="A68:D68"/>
    <mergeCell ref="A69:D69"/>
    <mergeCell ref="A70:D70"/>
    <mergeCell ref="A71:D71"/>
    <mergeCell ref="A72:D72"/>
    <mergeCell ref="A73:D73"/>
    <mergeCell ref="A74:D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145</v>
      </c>
      <c r="B1" s="1"/>
      <c r="C1" s="1"/>
      <c r="D1" s="1"/>
      <c r="E1" s="1"/>
    </row>
    <row r="2" customFormat="false" ht="21.75" hidden="false" customHeight="true" outlineLevel="0" collapsed="false">
      <c r="A2" s="2" t="s">
        <v>146</v>
      </c>
      <c r="B2" s="2" t="s">
        <v>147</v>
      </c>
      <c r="C2" s="2" t="s">
        <v>148</v>
      </c>
      <c r="D2" s="2" t="s">
        <v>149</v>
      </c>
      <c r="E2" s="2" t="s">
        <v>150</v>
      </c>
    </row>
    <row r="3" customFormat="false" ht="18" hidden="false" customHeight="true" outlineLevel="0" collapsed="false">
      <c r="A3" s="3" t="s">
        <v>6</v>
      </c>
      <c r="B3" s="4" t="s">
        <v>151</v>
      </c>
      <c r="C3" s="4"/>
      <c r="D3" s="3" t="s">
        <v>6</v>
      </c>
      <c r="E3" s="3" t="str">
        <f aca="false">'AC-6'!E20</f>
        <v>Non commencé</v>
      </c>
    </row>
    <row r="4" customFormat="false" ht="18" hidden="false" customHeight="true" outlineLevel="0" collapsed="false">
      <c r="A4" s="3" t="s">
        <v>8</v>
      </c>
      <c r="B4" s="4" t="s">
        <v>151</v>
      </c>
      <c r="C4" s="4"/>
      <c r="D4" s="3" t="s">
        <v>9</v>
      </c>
      <c r="E4" s="3" t="str">
        <f aca="false">'AC-6-1'!E20</f>
        <v>Non commencé</v>
      </c>
    </row>
    <row r="5" customFormat="false" ht="18" hidden="false" customHeight="true" outlineLevel="0" collapsed="false">
      <c r="A5" s="3" t="s">
        <v>10</v>
      </c>
      <c r="B5" s="4" t="s">
        <v>152</v>
      </c>
      <c r="C5" s="4"/>
      <c r="D5" s="3" t="s">
        <v>10</v>
      </c>
      <c r="E5" s="3" t="str">
        <f aca="false">'AC-7'!E20</f>
        <v>Non commencé</v>
      </c>
    </row>
    <row r="6" customFormat="false" ht="18" hidden="false" customHeight="true" outlineLevel="0" collapsed="false">
      <c r="A6" s="3" t="s">
        <v>12</v>
      </c>
      <c r="B6" s="4" t="s">
        <v>153</v>
      </c>
      <c r="C6" s="4"/>
      <c r="D6" s="3" t="s">
        <v>12</v>
      </c>
      <c r="E6" s="3" t="str">
        <f aca="false">'AC-8'!E20</f>
        <v>Non commencé</v>
      </c>
    </row>
    <row r="7" customFormat="false" ht="18" hidden="false" customHeight="true" outlineLevel="0" collapsed="false">
      <c r="A7" s="3" t="s">
        <v>14</v>
      </c>
      <c r="B7" s="4" t="s">
        <v>154</v>
      </c>
      <c r="C7" s="4"/>
      <c r="D7" s="3" t="s">
        <v>14</v>
      </c>
      <c r="E7" s="3" t="str">
        <f aca="false">'AC-11'!E20</f>
        <v>Non commencé</v>
      </c>
    </row>
    <row r="8" customFormat="false" ht="18" hidden="false" customHeight="true" outlineLevel="0" collapsed="false">
      <c r="A8" s="3" t="s">
        <v>16</v>
      </c>
      <c r="B8" s="4" t="s">
        <v>154</v>
      </c>
      <c r="C8" s="4"/>
      <c r="D8" s="3" t="s">
        <v>17</v>
      </c>
      <c r="E8" s="3" t="str">
        <f aca="false">'AC-11-1'!E20</f>
        <v>Non commencé</v>
      </c>
    </row>
    <row r="9" customFormat="false" ht="18" hidden="false" customHeight="true" outlineLevel="0" collapsed="false">
      <c r="A9" s="3" t="s">
        <v>18</v>
      </c>
      <c r="B9" s="4" t="s">
        <v>155</v>
      </c>
      <c r="C9" s="4"/>
      <c r="D9" s="3" t="s">
        <v>18</v>
      </c>
      <c r="E9" s="3" t="str">
        <f aca="false">'AC-12'!E20</f>
        <v>Non commencé</v>
      </c>
    </row>
    <row r="10" customFormat="false" ht="18" hidden="false" customHeight="true" outlineLevel="0" collapsed="false">
      <c r="A10" s="3" t="s">
        <v>20</v>
      </c>
      <c r="B10" s="4" t="s">
        <v>156</v>
      </c>
      <c r="C10" s="4"/>
      <c r="D10" s="3" t="s">
        <v>22</v>
      </c>
      <c r="E10" s="3" t="str">
        <f aca="false">'AC-17-1'!E20</f>
        <v>Non commencé</v>
      </c>
    </row>
    <row r="11" customFormat="false" ht="18" hidden="false" customHeight="true" outlineLevel="0" collapsed="false">
      <c r="A11" s="3" t="s">
        <v>23</v>
      </c>
      <c r="B11" s="4" t="s">
        <v>156</v>
      </c>
      <c r="C11" s="4"/>
      <c r="D11" s="3" t="s">
        <v>24</v>
      </c>
      <c r="E11" s="3" t="str">
        <f aca="false">'AC-17-2'!E20</f>
        <v>Non commencé</v>
      </c>
    </row>
    <row r="12" customFormat="false" ht="18" hidden="false" customHeight="true" outlineLevel="0" collapsed="false">
      <c r="A12" s="3" t="s">
        <v>25</v>
      </c>
      <c r="B12" s="4" t="s">
        <v>156</v>
      </c>
      <c r="C12" s="4"/>
      <c r="D12" s="3" t="s">
        <v>26</v>
      </c>
      <c r="E12" s="3" t="str">
        <f aca="false">'AC-17-100'!E20</f>
        <v>Non commencé</v>
      </c>
    </row>
    <row r="13" customFormat="false" ht="18" hidden="false" customHeight="true" outlineLevel="0" collapsed="false">
      <c r="A13" s="3" t="s">
        <v>27</v>
      </c>
      <c r="B13" s="4" t="s">
        <v>157</v>
      </c>
      <c r="C13" s="4"/>
      <c r="D13" s="3" t="s">
        <v>27</v>
      </c>
      <c r="E13" s="3" t="str">
        <f aca="false">'AU-2'!E20</f>
        <v>Non commencé</v>
      </c>
    </row>
    <row r="14" customFormat="false" ht="18" hidden="false" customHeight="true" outlineLevel="0" collapsed="false">
      <c r="A14" s="3" t="s">
        <v>29</v>
      </c>
      <c r="B14" s="4" t="s">
        <v>158</v>
      </c>
      <c r="C14" s="4"/>
      <c r="D14" s="3" t="s">
        <v>29</v>
      </c>
      <c r="E14" s="3" t="str">
        <f aca="false">'AU-3'!E20</f>
        <v>Non commencé</v>
      </c>
    </row>
    <row r="15" customFormat="false" ht="18" hidden="false" customHeight="true" outlineLevel="0" collapsed="false">
      <c r="A15" s="3" t="s">
        <v>31</v>
      </c>
      <c r="B15" s="4" t="s">
        <v>158</v>
      </c>
      <c r="C15" s="4"/>
      <c r="D15" s="3" t="s">
        <v>32</v>
      </c>
      <c r="E15" s="3" t="str">
        <f aca="false">'AU-3-1'!E20</f>
        <v>Non commencé</v>
      </c>
    </row>
    <row r="16" customFormat="false" ht="18" hidden="false" customHeight="true" outlineLevel="0" collapsed="false">
      <c r="A16" s="3" t="s">
        <v>33</v>
      </c>
      <c r="B16" s="4" t="s">
        <v>159</v>
      </c>
      <c r="C16" s="4"/>
      <c r="D16" s="3" t="s">
        <v>35</v>
      </c>
      <c r="E16" s="3" t="str">
        <f aca="false">'AU-9-2'!E20</f>
        <v>Non commencé</v>
      </c>
    </row>
    <row r="17" customFormat="false" ht="18" hidden="false" customHeight="true" outlineLevel="0" collapsed="false">
      <c r="A17" s="3" t="s">
        <v>36</v>
      </c>
      <c r="B17" s="4" t="s">
        <v>160</v>
      </c>
      <c r="C17" s="4"/>
      <c r="D17" s="3" t="s">
        <v>36</v>
      </c>
      <c r="E17" s="3" t="str">
        <f aca="false">'AU-12'!E20</f>
        <v>Non commencé</v>
      </c>
    </row>
    <row r="18" customFormat="false" ht="18" hidden="false" customHeight="true" outlineLevel="0" collapsed="false">
      <c r="A18" s="3" t="s">
        <v>38</v>
      </c>
      <c r="B18" s="4" t="s">
        <v>161</v>
      </c>
      <c r="C18" s="4"/>
      <c r="D18" s="3" t="s">
        <v>40</v>
      </c>
      <c r="E18" s="3" t="str">
        <f aca="false">'CA-3-5'!E20</f>
        <v>Non commencé</v>
      </c>
    </row>
    <row r="19" customFormat="false" ht="18" hidden="false" customHeight="true" outlineLevel="0" collapsed="false">
      <c r="A19" s="3" t="s">
        <v>41</v>
      </c>
      <c r="B19" s="4" t="s">
        <v>162</v>
      </c>
      <c r="C19" s="4"/>
      <c r="D19" s="3" t="s">
        <v>41</v>
      </c>
      <c r="E19" s="3" t="str">
        <f aca="false">'CA-9'!E20</f>
        <v>Non commencé</v>
      </c>
    </row>
    <row r="20" customFormat="false" ht="18" hidden="false" customHeight="true" outlineLevel="0" collapsed="false">
      <c r="A20" s="3" t="s">
        <v>43</v>
      </c>
      <c r="B20" s="4" t="s">
        <v>163</v>
      </c>
      <c r="C20" s="4"/>
      <c r="D20" s="3" t="s">
        <v>43</v>
      </c>
      <c r="E20" s="3" t="str">
        <f aca="false">'CM-6'!E20</f>
        <v>Non commencé</v>
      </c>
    </row>
    <row r="21" customFormat="false" ht="18" hidden="false" customHeight="true" outlineLevel="0" collapsed="false">
      <c r="A21" s="3" t="s">
        <v>45</v>
      </c>
      <c r="B21" s="4" t="s">
        <v>164</v>
      </c>
      <c r="C21" s="4"/>
      <c r="D21" s="3" t="s">
        <v>45</v>
      </c>
      <c r="E21" s="3" t="str">
        <f aca="false">'CM-7'!E20</f>
        <v>Non commencé</v>
      </c>
    </row>
    <row r="22" customFormat="false" ht="18" hidden="false" customHeight="true" outlineLevel="0" collapsed="false">
      <c r="A22" s="3" t="s">
        <v>47</v>
      </c>
      <c r="B22" s="4" t="s">
        <v>164</v>
      </c>
      <c r="C22" s="4"/>
      <c r="D22" s="3" t="s">
        <v>48</v>
      </c>
      <c r="E22" s="3" t="str">
        <f aca="false">'CM-7-1'!E20</f>
        <v>Non commencé</v>
      </c>
    </row>
    <row r="23" customFormat="false" ht="18" hidden="false" customHeight="true" outlineLevel="0" collapsed="false">
      <c r="A23" s="3" t="s">
        <v>49</v>
      </c>
      <c r="B23" s="4" t="s">
        <v>164</v>
      </c>
      <c r="C23" s="4"/>
      <c r="D23" s="3" t="s">
        <v>50</v>
      </c>
      <c r="E23" s="3" t="str">
        <f aca="false">'CM-7-5'!E20</f>
        <v>Non commencé</v>
      </c>
    </row>
    <row r="24" customFormat="false" ht="18" hidden="false" customHeight="true" outlineLevel="0" collapsed="false">
      <c r="A24" s="3" t="s">
        <v>51</v>
      </c>
      <c r="B24" s="4" t="s">
        <v>165</v>
      </c>
      <c r="C24" s="4"/>
      <c r="D24" s="3" t="s">
        <v>51</v>
      </c>
      <c r="E24" s="3" t="str">
        <f aca="false">'CM-11'!E20</f>
        <v>Non commencé</v>
      </c>
    </row>
    <row r="25" customFormat="false" ht="18" hidden="false" customHeight="true" outlineLevel="0" collapsed="false">
      <c r="A25" s="3" t="s">
        <v>53</v>
      </c>
      <c r="B25" s="4" t="s">
        <v>166</v>
      </c>
      <c r="C25" s="4"/>
      <c r="D25" s="3" t="s">
        <v>53</v>
      </c>
      <c r="E25" s="3" t="str">
        <f aca="false">'CP-6'!E20</f>
        <v>Non commencé</v>
      </c>
    </row>
    <row r="26" customFormat="false" ht="18" hidden="false" customHeight="true" outlineLevel="0" collapsed="false">
      <c r="A26" s="3" t="s">
        <v>55</v>
      </c>
      <c r="B26" s="4" t="s">
        <v>166</v>
      </c>
      <c r="C26" s="4"/>
      <c r="D26" s="3" t="s">
        <v>56</v>
      </c>
      <c r="E26" s="3" t="str">
        <f aca="false">'CP-6-2'!E20</f>
        <v>Non commencé</v>
      </c>
    </row>
    <row r="27" customFormat="false" ht="18" hidden="false" customHeight="true" outlineLevel="0" collapsed="false">
      <c r="A27" s="3" t="s">
        <v>57</v>
      </c>
      <c r="B27" s="4" t="s">
        <v>167</v>
      </c>
      <c r="C27" s="4"/>
      <c r="D27" s="3" t="s">
        <v>57</v>
      </c>
      <c r="E27" s="3" t="str">
        <f aca="false">'CP-7'!E20</f>
        <v>Non commencé</v>
      </c>
    </row>
    <row r="28" customFormat="false" ht="18" hidden="false" customHeight="true" outlineLevel="0" collapsed="false">
      <c r="A28" s="3" t="s">
        <v>59</v>
      </c>
      <c r="B28" s="4" t="s">
        <v>167</v>
      </c>
      <c r="C28" s="4"/>
      <c r="D28" s="3" t="s">
        <v>60</v>
      </c>
      <c r="E28" s="3" t="str">
        <f aca="false">'CP-7-4'!E20</f>
        <v>Non commencé</v>
      </c>
    </row>
    <row r="29" customFormat="false" ht="18" hidden="false" customHeight="true" outlineLevel="0" collapsed="false">
      <c r="A29" s="3" t="s">
        <v>61</v>
      </c>
      <c r="B29" s="4" t="s">
        <v>168</v>
      </c>
      <c r="C29" s="4"/>
      <c r="D29" s="3" t="s">
        <v>61</v>
      </c>
      <c r="E29" s="3" t="str">
        <f aca="false">'CP-9'!E20</f>
        <v>Non commencé</v>
      </c>
    </row>
    <row r="30" customFormat="false" ht="18" hidden="false" customHeight="true" outlineLevel="0" collapsed="false">
      <c r="A30" s="3" t="s">
        <v>63</v>
      </c>
      <c r="B30" s="4" t="s">
        <v>168</v>
      </c>
      <c r="C30" s="4"/>
      <c r="D30" s="3" t="s">
        <v>64</v>
      </c>
      <c r="E30" s="3" t="str">
        <f aca="false">'CP-9-1'!E20</f>
        <v>Non commencé</v>
      </c>
    </row>
    <row r="31" customFormat="false" ht="18" hidden="false" customHeight="true" outlineLevel="0" collapsed="false">
      <c r="A31" s="3" t="s">
        <v>65</v>
      </c>
      <c r="B31" s="4" t="s">
        <v>168</v>
      </c>
      <c r="C31" s="4"/>
      <c r="D31" s="3" t="s">
        <v>66</v>
      </c>
      <c r="E31" s="3" t="str">
        <f aca="false">'CP-9-2'!E20</f>
        <v>Non commencé</v>
      </c>
    </row>
    <row r="32" customFormat="false" ht="18" hidden="false" customHeight="true" outlineLevel="0" collapsed="false">
      <c r="A32" s="3" t="s">
        <v>67</v>
      </c>
      <c r="B32" s="4" t="s">
        <v>168</v>
      </c>
      <c r="C32" s="4"/>
      <c r="D32" s="3" t="s">
        <v>68</v>
      </c>
      <c r="E32" s="3" t="str">
        <f aca="false">'CP-9-5'!E20</f>
        <v>Non commencé</v>
      </c>
    </row>
    <row r="33" customFormat="false" ht="18" hidden="false" customHeight="true" outlineLevel="0" collapsed="false">
      <c r="A33" s="3" t="s">
        <v>69</v>
      </c>
      <c r="B33" s="4" t="s">
        <v>169</v>
      </c>
      <c r="C33" s="4"/>
      <c r="D33" s="3" t="s">
        <v>69</v>
      </c>
      <c r="E33" s="3" t="str">
        <f aca="false">'CP-10'!E20</f>
        <v>Non commencé</v>
      </c>
    </row>
    <row r="34" customFormat="false" ht="18" hidden="false" customHeight="true" outlineLevel="0" collapsed="false">
      <c r="A34" s="3" t="s">
        <v>71</v>
      </c>
      <c r="B34" s="4" t="s">
        <v>169</v>
      </c>
      <c r="C34" s="4"/>
      <c r="D34" s="3" t="s">
        <v>72</v>
      </c>
      <c r="E34" s="3" t="str">
        <f aca="false">'CP-10-4'!E20</f>
        <v>Non commencé</v>
      </c>
    </row>
    <row r="35" customFormat="false" ht="18" hidden="false" customHeight="true" outlineLevel="0" collapsed="false">
      <c r="A35" s="3" t="s">
        <v>73</v>
      </c>
      <c r="B35" s="4" t="s">
        <v>170</v>
      </c>
      <c r="C35" s="4"/>
      <c r="D35" s="3" t="s">
        <v>75</v>
      </c>
      <c r="E35" s="3" t="str">
        <f aca="false">'IA-5-6'!E20</f>
        <v>Non commencé</v>
      </c>
    </row>
    <row r="36" customFormat="false" ht="18" hidden="false" customHeight="true" outlineLevel="0" collapsed="false">
      <c r="A36" s="3" t="s">
        <v>76</v>
      </c>
      <c r="B36" s="4" t="s">
        <v>170</v>
      </c>
      <c r="C36" s="4"/>
      <c r="D36" s="3" t="s">
        <v>77</v>
      </c>
      <c r="E36" s="3" t="str">
        <f aca="false">'IA-5-7'!E20</f>
        <v>Non commencé</v>
      </c>
    </row>
    <row r="37" customFormat="false" ht="18" hidden="false" customHeight="true" outlineLevel="0" collapsed="false">
      <c r="A37" s="3" t="s">
        <v>78</v>
      </c>
      <c r="B37" s="4" t="s">
        <v>171</v>
      </c>
      <c r="C37" s="4"/>
      <c r="D37" s="3" t="s">
        <v>80</v>
      </c>
      <c r="E37" s="3" t="str">
        <f aca="false">'SA-9-5'!E20</f>
        <v>Non commencé</v>
      </c>
    </row>
    <row r="38" customFormat="false" ht="18" hidden="false" customHeight="true" outlineLevel="0" collapsed="false">
      <c r="A38" s="3" t="s">
        <v>81</v>
      </c>
      <c r="B38" s="4" t="s">
        <v>172</v>
      </c>
      <c r="C38" s="4"/>
      <c r="D38" s="3" t="s">
        <v>83</v>
      </c>
      <c r="E38" s="3" t="str">
        <f aca="false">'SA-10-1'!E20</f>
        <v>Non commencé</v>
      </c>
    </row>
    <row r="39" customFormat="false" ht="18" hidden="false" customHeight="true" outlineLevel="0" collapsed="false">
      <c r="A39" s="3" t="s">
        <v>84</v>
      </c>
      <c r="B39" s="4" t="s">
        <v>173</v>
      </c>
      <c r="C39" s="4"/>
      <c r="D39" s="3" t="s">
        <v>84</v>
      </c>
      <c r="E39" s="3" t="str">
        <f aca="false">'SC-2'!E20</f>
        <v>Non commencé</v>
      </c>
    </row>
    <row r="40" customFormat="false" ht="18" hidden="false" customHeight="true" outlineLevel="0" collapsed="false">
      <c r="A40" s="3" t="s">
        <v>86</v>
      </c>
      <c r="B40" s="4" t="s">
        <v>174</v>
      </c>
      <c r="C40" s="4"/>
      <c r="D40" s="3" t="s">
        <v>86</v>
      </c>
      <c r="E40" s="3" t="str">
        <f aca="false">'SC-6'!E20</f>
        <v>Non commencé</v>
      </c>
    </row>
    <row r="41" customFormat="false" ht="18" hidden="false" customHeight="true" outlineLevel="0" collapsed="false">
      <c r="A41" s="3" t="s">
        <v>88</v>
      </c>
      <c r="B41" s="4" t="s">
        <v>175</v>
      </c>
      <c r="C41" s="4"/>
      <c r="D41" s="3" t="s">
        <v>90</v>
      </c>
      <c r="E41" s="3" t="str">
        <f aca="false">'SC-7-7'!E20</f>
        <v>Non commencé</v>
      </c>
    </row>
    <row r="42" customFormat="false" ht="18" hidden="false" customHeight="true" outlineLevel="0" collapsed="false">
      <c r="A42" s="3" t="s">
        <v>91</v>
      </c>
      <c r="B42" s="4" t="s">
        <v>175</v>
      </c>
      <c r="C42" s="4"/>
      <c r="D42" s="3" t="s">
        <v>92</v>
      </c>
      <c r="E42" s="3" t="str">
        <f aca="false">'SC-7-12'!E20</f>
        <v>Non commencé</v>
      </c>
    </row>
    <row r="43" customFormat="false" ht="18" hidden="false" customHeight="true" outlineLevel="0" collapsed="false">
      <c r="A43" s="3" t="s">
        <v>93</v>
      </c>
      <c r="B43" s="4" t="s">
        <v>176</v>
      </c>
      <c r="C43" s="4"/>
      <c r="D43" s="3" t="s">
        <v>93</v>
      </c>
      <c r="E43" s="3" t="str">
        <f aca="false">'SC-8'!E20</f>
        <v>Non commencé</v>
      </c>
    </row>
    <row r="44" customFormat="false" ht="18" hidden="false" customHeight="true" outlineLevel="0" collapsed="false">
      <c r="A44" s="3" t="s">
        <v>95</v>
      </c>
      <c r="B44" s="4" t="s">
        <v>176</v>
      </c>
      <c r="C44" s="4"/>
      <c r="D44" s="3" t="s">
        <v>96</v>
      </c>
      <c r="E44" s="3" t="str">
        <f aca="false">'SC-8-1'!E20</f>
        <v>Non commencé</v>
      </c>
    </row>
    <row r="45" customFormat="false" ht="18" hidden="false" customHeight="true" outlineLevel="0" collapsed="false">
      <c r="A45" s="3" t="s">
        <v>97</v>
      </c>
      <c r="B45" s="4" t="s">
        <v>177</v>
      </c>
      <c r="C45" s="4"/>
      <c r="D45" s="3" t="s">
        <v>97</v>
      </c>
      <c r="E45" s="3" t="str">
        <f aca="false">'SC-10'!E20</f>
        <v>Non commencé</v>
      </c>
    </row>
    <row r="46" customFormat="false" ht="18" hidden="false" customHeight="true" outlineLevel="0" collapsed="false">
      <c r="A46" s="3" t="s">
        <v>99</v>
      </c>
      <c r="B46" s="4" t="s">
        <v>178</v>
      </c>
      <c r="C46" s="4"/>
      <c r="D46" s="3" t="s">
        <v>99</v>
      </c>
      <c r="E46" s="3" t="str">
        <f aca="false">'SC-13'!E20</f>
        <v>Non commencé</v>
      </c>
    </row>
    <row r="47" customFormat="false" ht="18" hidden="false" customHeight="true" outlineLevel="0" collapsed="false">
      <c r="A47" s="3" t="s">
        <v>101</v>
      </c>
      <c r="B47" s="4" t="s">
        <v>179</v>
      </c>
      <c r="C47" s="4"/>
      <c r="D47" s="3" t="s">
        <v>101</v>
      </c>
      <c r="E47" s="3" t="str">
        <f aca="false">'SC-18'!E20</f>
        <v>Non commencé</v>
      </c>
    </row>
    <row r="48" customFormat="false" ht="18" hidden="false" customHeight="true" outlineLevel="0" collapsed="false">
      <c r="A48" s="3" t="s">
        <v>103</v>
      </c>
      <c r="B48" s="4" t="s">
        <v>179</v>
      </c>
      <c r="C48" s="4"/>
      <c r="D48" s="3" t="s">
        <v>104</v>
      </c>
      <c r="E48" s="3" t="str">
        <f aca="false">'SC-18-3'!E20</f>
        <v>Non commencé</v>
      </c>
    </row>
    <row r="49" customFormat="false" ht="18" hidden="false" customHeight="true" outlineLevel="0" collapsed="false">
      <c r="A49" s="3" t="s">
        <v>105</v>
      </c>
      <c r="B49" s="4" t="s">
        <v>179</v>
      </c>
      <c r="C49" s="4"/>
      <c r="D49" s="3" t="s">
        <v>106</v>
      </c>
      <c r="E49" s="3" t="str">
        <f aca="false">'SC-18-4'!E20</f>
        <v>Non commencé</v>
      </c>
    </row>
    <row r="50" customFormat="false" ht="18" hidden="false" customHeight="true" outlineLevel="0" collapsed="false">
      <c r="A50" s="3" t="s">
        <v>107</v>
      </c>
      <c r="B50" s="4" t="s">
        <v>180</v>
      </c>
      <c r="C50" s="4"/>
      <c r="D50" s="3" t="s">
        <v>107</v>
      </c>
      <c r="E50" s="3" t="str">
        <f aca="false">'SC-23'!E20</f>
        <v>Non commencé</v>
      </c>
    </row>
    <row r="51" customFormat="false" ht="18" hidden="false" customHeight="true" outlineLevel="0" collapsed="false">
      <c r="A51" s="3" t="s">
        <v>109</v>
      </c>
      <c r="B51" s="4" t="s">
        <v>180</v>
      </c>
      <c r="C51" s="4"/>
      <c r="D51" s="3" t="s">
        <v>110</v>
      </c>
      <c r="E51" s="3" t="str">
        <f aca="false">'SC-23-1'!E20</f>
        <v>Non commencé</v>
      </c>
    </row>
    <row r="52" customFormat="false" ht="18" hidden="false" customHeight="true" outlineLevel="0" collapsed="false">
      <c r="A52" s="3" t="s">
        <v>111</v>
      </c>
      <c r="B52" s="4" t="s">
        <v>181</v>
      </c>
      <c r="C52" s="4"/>
      <c r="D52" s="3" t="s">
        <v>111</v>
      </c>
      <c r="E52" s="3" t="str">
        <f aca="false">'SC-28'!E20</f>
        <v>Non commencé</v>
      </c>
    </row>
    <row r="53" customFormat="false" ht="18" hidden="false" customHeight="true" outlineLevel="0" collapsed="false">
      <c r="A53" s="3" t="s">
        <v>113</v>
      </c>
      <c r="B53" s="4" t="s">
        <v>181</v>
      </c>
      <c r="C53" s="4"/>
      <c r="D53" s="3" t="s">
        <v>114</v>
      </c>
      <c r="E53" s="3" t="str">
        <f aca="false">'SC-28-1'!E20</f>
        <v>Non commencé</v>
      </c>
    </row>
    <row r="54" customFormat="false" ht="18" hidden="false" customHeight="true" outlineLevel="0" collapsed="false">
      <c r="A54" s="3" t="s">
        <v>115</v>
      </c>
      <c r="B54" s="4" t="s">
        <v>182</v>
      </c>
      <c r="C54" s="4"/>
      <c r="D54" s="3" t="s">
        <v>115</v>
      </c>
      <c r="E54" s="3" t="str">
        <f aca="false">'SC-39'!E20</f>
        <v>Non commencé</v>
      </c>
    </row>
    <row r="55" customFormat="false" ht="18" hidden="false" customHeight="true" outlineLevel="0" collapsed="false">
      <c r="A55" s="3" t="s">
        <v>117</v>
      </c>
      <c r="B55" s="4" t="s">
        <v>183</v>
      </c>
      <c r="C55" s="4"/>
      <c r="D55" s="3" t="s">
        <v>119</v>
      </c>
      <c r="E55" s="3" t="str">
        <f aca="false">'SI-4-2'!E20</f>
        <v>Non commencé</v>
      </c>
    </row>
    <row r="56" customFormat="false" ht="18" hidden="false" customHeight="true" outlineLevel="0" collapsed="false">
      <c r="A56" s="3" t="s">
        <v>120</v>
      </c>
      <c r="B56" s="4" t="s">
        <v>183</v>
      </c>
      <c r="C56" s="4"/>
      <c r="D56" s="3" t="s">
        <v>121</v>
      </c>
      <c r="E56" s="3" t="str">
        <f aca="false">'SI-4-4'!E20</f>
        <v>Non commencé</v>
      </c>
    </row>
    <row r="57" customFormat="false" ht="18" hidden="false" customHeight="true" outlineLevel="0" collapsed="false">
      <c r="A57" s="3" t="s">
        <v>122</v>
      </c>
      <c r="B57" s="4" t="s">
        <v>183</v>
      </c>
      <c r="C57" s="4"/>
      <c r="D57" s="3" t="s">
        <v>123</v>
      </c>
      <c r="E57" s="3" t="str">
        <f aca="false">'SI-4-23'!E20</f>
        <v>Non commencé</v>
      </c>
    </row>
    <row r="58" customFormat="false" ht="18" hidden="false" customHeight="true" outlineLevel="0" collapsed="false">
      <c r="A58" s="3" t="s">
        <v>124</v>
      </c>
      <c r="B58" s="4" t="s">
        <v>184</v>
      </c>
      <c r="C58" s="4"/>
      <c r="D58" s="3" t="s">
        <v>124</v>
      </c>
      <c r="E58" s="3" t="str">
        <f aca="false">'SI-6'!E20</f>
        <v>Non commencé</v>
      </c>
    </row>
    <row r="59" customFormat="false" ht="18" hidden="false" customHeight="true" outlineLevel="0" collapsed="false">
      <c r="A59" s="3" t="s">
        <v>126</v>
      </c>
      <c r="B59" s="4" t="s">
        <v>185</v>
      </c>
      <c r="C59" s="4"/>
      <c r="D59" s="3" t="s">
        <v>126</v>
      </c>
      <c r="E59" s="3" t="str">
        <f aca="false">'SI-7'!E20</f>
        <v>Non commencé</v>
      </c>
    </row>
    <row r="60" customFormat="false" ht="18" hidden="false" customHeight="true" outlineLevel="0" collapsed="false">
      <c r="A60" s="3" t="s">
        <v>128</v>
      </c>
      <c r="B60" s="4" t="s">
        <v>185</v>
      </c>
      <c r="C60" s="4"/>
      <c r="D60" s="3" t="s">
        <v>129</v>
      </c>
      <c r="E60" s="3" t="str">
        <f aca="false">'SI-7-1'!E20</f>
        <v>Non commencé</v>
      </c>
    </row>
    <row r="61" customFormat="false" ht="18" hidden="false" customHeight="true" outlineLevel="0" collapsed="false">
      <c r="A61" s="3" t="s">
        <v>130</v>
      </c>
      <c r="B61" s="4" t="s">
        <v>186</v>
      </c>
      <c r="C61" s="4"/>
      <c r="D61" s="3" t="s">
        <v>130</v>
      </c>
      <c r="E61" s="3" t="str">
        <f aca="false">'SI-11'!E20</f>
        <v>Non commencé</v>
      </c>
    </row>
    <row r="62" customFormat="false" ht="18" hidden="false" customHeight="true" outlineLevel="0" collapsed="false">
      <c r="A62" s="3" t="s">
        <v>132</v>
      </c>
      <c r="B62" s="4" t="s">
        <v>187</v>
      </c>
      <c r="C62" s="4"/>
      <c r="D62" s="3" t="s">
        <v>132</v>
      </c>
      <c r="E62" s="3" t="str">
        <f aca="false">'SI-16'!E20</f>
        <v>Non commencé</v>
      </c>
    </row>
    <row r="64" customFormat="false" ht="21.75" hidden="false" customHeight="true" outlineLevel="0" collapsed="false">
      <c r="A64" s="5" t="s">
        <v>188</v>
      </c>
      <c r="B64" s="5"/>
      <c r="C64" s="5"/>
      <c r="D64" s="5"/>
      <c r="E64" s="5"/>
    </row>
    <row r="65" customFormat="false" ht="19.5" hidden="false" customHeight="true" outlineLevel="0" collapsed="false">
      <c r="A65" s="6" t="s">
        <v>189</v>
      </c>
      <c r="B65" s="6"/>
      <c r="C65" s="6"/>
      <c r="D65" s="6"/>
      <c r="E65" s="7" t="n">
        <f aca="false">60</f>
        <v>60</v>
      </c>
    </row>
    <row r="66" customFormat="false" ht="19.5" hidden="false" customHeight="true" outlineLevel="0" collapsed="false">
      <c r="A66" s="6" t="s">
        <v>190</v>
      </c>
      <c r="B66" s="6"/>
      <c r="C66" s="6"/>
      <c r="D66" s="6"/>
      <c r="E66" s="7" t="n">
        <f aca="false">COUNTIF(E3:E62,"Non commencé")</f>
        <v>60</v>
      </c>
    </row>
    <row r="67" customFormat="false" ht="19.5" hidden="false" customHeight="true" outlineLevel="0" collapsed="false">
      <c r="A67" s="6" t="s">
        <v>191</v>
      </c>
      <c r="B67" s="6"/>
      <c r="C67" s="6"/>
      <c r="D67" s="6"/>
      <c r="E67" s="7" t="n">
        <f aca="false">COUNTIF(E3:E62,"En cours")</f>
        <v>0</v>
      </c>
    </row>
    <row r="68" customFormat="false" ht="19.5" hidden="false" customHeight="true" outlineLevel="0" collapsed="false">
      <c r="A68" s="6" t="s">
        <v>192</v>
      </c>
      <c r="B68" s="6"/>
      <c r="C68" s="6"/>
      <c r="D68" s="6"/>
      <c r="E68" s="7" t="n">
        <f aca="false">COUNTIF(E3:E62,"Preuve fournie")</f>
        <v>0</v>
      </c>
    </row>
    <row r="69" customFormat="false" ht="19.5" hidden="false" customHeight="true" outlineLevel="0" collapsed="false">
      <c r="A69" s="6" t="s">
        <v>193</v>
      </c>
      <c r="B69" s="6"/>
      <c r="C69" s="6"/>
      <c r="D69" s="6"/>
      <c r="E69" s="7" t="n">
        <f aca="false">COUNTIF(E3:E62,"En révision")</f>
        <v>0</v>
      </c>
    </row>
    <row r="70" customFormat="false" ht="19.5" hidden="false" customHeight="true" outlineLevel="0" collapsed="false">
      <c r="A70" s="6" t="s">
        <v>194</v>
      </c>
      <c r="B70" s="6"/>
      <c r="C70" s="6"/>
      <c r="D70" s="6"/>
      <c r="E70" s="7" t="n">
        <f aca="false">COUNTIF(E3:E62,"Réussi")</f>
        <v>0</v>
      </c>
    </row>
    <row r="71" customFormat="false" ht="19.5" hidden="false" customHeight="true" outlineLevel="0" collapsed="false">
      <c r="A71" s="6" t="s">
        <v>195</v>
      </c>
      <c r="B71" s="6"/>
      <c r="C71" s="6"/>
      <c r="D71" s="6"/>
      <c r="E71" s="7" t="n">
        <f aca="false">COUNTIF(E3:E62,"Échec")</f>
        <v>0</v>
      </c>
    </row>
    <row r="72" customFormat="false" ht="19.5" hidden="false" customHeight="true" outlineLevel="0" collapsed="false">
      <c r="A72" s="6" t="s">
        <v>196</v>
      </c>
      <c r="B72" s="6"/>
      <c r="C72" s="6"/>
      <c r="D72" s="6"/>
      <c r="E72" s="7" t="n">
        <f aca="false">COUNTIF(E3:E62,"Exception acceptée")</f>
        <v>0</v>
      </c>
    </row>
    <row r="73" customFormat="false" ht="19.5" hidden="false" customHeight="true" outlineLevel="0" collapsed="false">
      <c r="A73" s="6" t="s">
        <v>197</v>
      </c>
      <c r="B73" s="6"/>
      <c r="C73" s="6"/>
      <c r="D73" s="6"/>
      <c r="E73" s="8" t="n">
        <f aca="false">IFERROR(COUNTIF(E3:E62,"Réussi")/60,0)</f>
        <v>0</v>
      </c>
    </row>
    <row r="74" customFormat="false" ht="19.5" hidden="false" customHeight="true" outlineLevel="0" collapsed="false">
      <c r="A74" s="6" t="s">
        <v>198</v>
      </c>
      <c r="B74" s="6"/>
      <c r="C74" s="6"/>
      <c r="D74" s="6"/>
      <c r="E74" s="8" t="n">
        <f aca="false">IFERROR(COUNTIF(E3:E62,"Non commencé")/60,0)</f>
        <v>1</v>
      </c>
    </row>
  </sheetData>
  <mergeCells count="12">
    <mergeCell ref="A1:E1"/>
    <mergeCell ref="A64:E64"/>
    <mergeCell ref="A65:D65"/>
    <mergeCell ref="A66:D66"/>
    <mergeCell ref="A67:D67"/>
    <mergeCell ref="A68:D68"/>
    <mergeCell ref="A69:D69"/>
    <mergeCell ref="A70:D70"/>
    <mergeCell ref="A71:D71"/>
    <mergeCell ref="A72:D72"/>
    <mergeCell ref="A73:D73"/>
    <mergeCell ref="A74:D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199</v>
      </c>
      <c r="B1" s="9"/>
      <c r="D1" s="9" t="s">
        <v>200</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6</v>
      </c>
      <c r="D3" s="11" t="s">
        <v>204</v>
      </c>
      <c r="E3" s="12" t="s">
        <v>6</v>
      </c>
    </row>
    <row r="4" customFormat="false" ht="21.75" hidden="false" customHeight="true" outlineLevel="0" collapsed="false">
      <c r="A4" s="11" t="s">
        <v>205</v>
      </c>
      <c r="B4" s="12" t="s">
        <v>7</v>
      </c>
      <c r="D4" s="11" t="s">
        <v>206</v>
      </c>
      <c r="E4" s="12" t="s">
        <v>151</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216</v>
      </c>
      <c r="D8" s="11" t="s">
        <v>217</v>
      </c>
      <c r="E8" s="12" t="s">
        <v>218</v>
      </c>
    </row>
    <row r="9" customFormat="false" ht="156" hidden="false" customHeight="true" outlineLevel="0" collapsed="false">
      <c r="A9" s="11" t="s">
        <v>219</v>
      </c>
      <c r="B9" s="12" t="s">
        <v>220</v>
      </c>
      <c r="D9" s="11" t="s">
        <v>221</v>
      </c>
      <c r="E9" s="12" t="s">
        <v>222</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226</v>
      </c>
      <c r="D11" s="11" t="s">
        <v>225</v>
      </c>
      <c r="E11" s="12" t="s">
        <v>226</v>
      </c>
    </row>
    <row r="12" customFormat="false" ht="21.75" hidden="false" customHeight="true" outlineLevel="0" collapsed="false">
      <c r="A12" s="11" t="s">
        <v>227</v>
      </c>
      <c r="B12" s="12" t="s">
        <v>6</v>
      </c>
      <c r="D12" s="11" t="s">
        <v>228</v>
      </c>
      <c r="E12" s="12" t="s">
        <v>6</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244</v>
      </c>
      <c r="B1" s="9"/>
      <c r="D1" s="9" t="s">
        <v>245</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8</v>
      </c>
      <c r="D3" s="11" t="s">
        <v>204</v>
      </c>
      <c r="E3" s="12" t="s">
        <v>8</v>
      </c>
    </row>
    <row r="4" customFormat="false" ht="21.75" hidden="false" customHeight="true" outlineLevel="0" collapsed="false">
      <c r="A4" s="11" t="s">
        <v>205</v>
      </c>
      <c r="B4" s="12" t="s">
        <v>7</v>
      </c>
      <c r="D4" s="11" t="s">
        <v>206</v>
      </c>
      <c r="E4" s="12" t="s">
        <v>151</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246</v>
      </c>
      <c r="D8" s="11" t="s">
        <v>217</v>
      </c>
      <c r="E8" s="12" t="s">
        <v>247</v>
      </c>
    </row>
    <row r="9" customFormat="false" ht="168.75" hidden="false" customHeight="true" outlineLevel="0" collapsed="false">
      <c r="A9" s="11" t="s">
        <v>219</v>
      </c>
      <c r="B9" s="12" t="s">
        <v>248</v>
      </c>
      <c r="D9" s="11" t="s">
        <v>221</v>
      </c>
      <c r="E9" s="12" t="s">
        <v>249</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250</v>
      </c>
      <c r="D11" s="11" t="s">
        <v>225</v>
      </c>
      <c r="E11" s="12" t="s">
        <v>250</v>
      </c>
    </row>
    <row r="12" customFormat="false" ht="21.75" hidden="false" customHeight="true" outlineLevel="0" collapsed="false">
      <c r="A12" s="11" t="s">
        <v>227</v>
      </c>
      <c r="B12" s="12" t="s">
        <v>8</v>
      </c>
      <c r="D12" s="11" t="s">
        <v>228</v>
      </c>
      <c r="E12" s="12" t="s">
        <v>8</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251</v>
      </c>
      <c r="B1" s="9"/>
      <c r="D1" s="9" t="s">
        <v>252</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10</v>
      </c>
      <c r="D3" s="11" t="s">
        <v>204</v>
      </c>
      <c r="E3" s="12" t="s">
        <v>10</v>
      </c>
    </row>
    <row r="4" customFormat="false" ht="21.75" hidden="false" customHeight="true" outlineLevel="0" collapsed="false">
      <c r="A4" s="11" t="s">
        <v>205</v>
      </c>
      <c r="B4" s="12" t="s">
        <v>11</v>
      </c>
      <c r="D4" s="11" t="s">
        <v>206</v>
      </c>
      <c r="E4" s="12" t="s">
        <v>152</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253</v>
      </c>
      <c r="D8" s="11" t="s">
        <v>217</v>
      </c>
      <c r="E8" s="12" t="s">
        <v>254</v>
      </c>
    </row>
    <row r="9" customFormat="false" ht="234" hidden="false" customHeight="true" outlineLevel="0" collapsed="false">
      <c r="A9" s="11" t="s">
        <v>219</v>
      </c>
      <c r="B9" s="12" t="s">
        <v>255</v>
      </c>
      <c r="D9" s="11" t="s">
        <v>221</v>
      </c>
      <c r="E9" s="12" t="s">
        <v>256</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257</v>
      </c>
      <c r="D11" s="11" t="s">
        <v>225</v>
      </c>
      <c r="E11" s="12" t="s">
        <v>257</v>
      </c>
    </row>
    <row r="12" customFormat="false" ht="21.75" hidden="false" customHeight="true" outlineLevel="0" collapsed="false">
      <c r="A12" s="11" t="s">
        <v>227</v>
      </c>
      <c r="B12" s="12" t="s">
        <v>10</v>
      </c>
      <c r="D12" s="11" t="s">
        <v>228</v>
      </c>
      <c r="E12" s="12" t="s">
        <v>10</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258</v>
      </c>
      <c r="B1" s="9"/>
      <c r="D1" s="9" t="s">
        <v>259</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12</v>
      </c>
      <c r="D3" s="11" t="s">
        <v>204</v>
      </c>
      <c r="E3" s="12" t="s">
        <v>12</v>
      </c>
    </row>
    <row r="4" customFormat="false" ht="21.75" hidden="false" customHeight="true" outlineLevel="0" collapsed="false">
      <c r="A4" s="11" t="s">
        <v>205</v>
      </c>
      <c r="B4" s="12" t="s">
        <v>13</v>
      </c>
      <c r="D4" s="11" t="s">
        <v>206</v>
      </c>
      <c r="E4" s="12" t="s">
        <v>153</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95" hidden="false" customHeight="true" outlineLevel="0" collapsed="false">
      <c r="A8" s="11" t="s">
        <v>215</v>
      </c>
      <c r="B8" s="12" t="s">
        <v>260</v>
      </c>
      <c r="D8" s="11" t="s">
        <v>217</v>
      </c>
      <c r="E8" s="12" t="s">
        <v>261</v>
      </c>
    </row>
    <row r="9" customFormat="false" ht="156" hidden="false" customHeight="true" outlineLevel="0" collapsed="false">
      <c r="A9" s="11" t="s">
        <v>219</v>
      </c>
      <c r="B9" s="12" t="s">
        <v>262</v>
      </c>
      <c r="D9" s="11" t="s">
        <v>221</v>
      </c>
      <c r="E9" s="12" t="s">
        <v>263</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264</v>
      </c>
      <c r="D11" s="11" t="s">
        <v>225</v>
      </c>
      <c r="E11" s="12" t="s">
        <v>264</v>
      </c>
    </row>
    <row r="12" customFormat="false" ht="21.75" hidden="false" customHeight="true" outlineLevel="0" collapsed="false">
      <c r="A12" s="11" t="s">
        <v>227</v>
      </c>
      <c r="B12" s="12" t="s">
        <v>12</v>
      </c>
      <c r="D12" s="11" t="s">
        <v>228</v>
      </c>
      <c r="E12" s="12" t="s">
        <v>12</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265</v>
      </c>
      <c r="B1" s="9"/>
      <c r="D1" s="9" t="s">
        <v>266</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14</v>
      </c>
      <c r="D3" s="11" t="s">
        <v>204</v>
      </c>
      <c r="E3" s="12" t="s">
        <v>14</v>
      </c>
    </row>
    <row r="4" customFormat="false" ht="21.75" hidden="false" customHeight="true" outlineLevel="0" collapsed="false">
      <c r="A4" s="11" t="s">
        <v>205</v>
      </c>
      <c r="B4" s="12" t="s">
        <v>15</v>
      </c>
      <c r="D4" s="11" t="s">
        <v>206</v>
      </c>
      <c r="E4" s="12" t="s">
        <v>154</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78" hidden="false" customHeight="true" outlineLevel="0" collapsed="false">
      <c r="A8" s="11" t="s">
        <v>215</v>
      </c>
      <c r="B8" s="12" t="s">
        <v>267</v>
      </c>
      <c r="D8" s="11" t="s">
        <v>217</v>
      </c>
      <c r="E8" s="12" t="s">
        <v>268</v>
      </c>
    </row>
    <row r="9" customFormat="false" ht="142.5" hidden="false" customHeight="true" outlineLevel="0" collapsed="false">
      <c r="A9" s="11" t="s">
        <v>219</v>
      </c>
      <c r="B9" s="12" t="s">
        <v>269</v>
      </c>
      <c r="D9" s="11" t="s">
        <v>221</v>
      </c>
      <c r="E9" s="12" t="s">
        <v>270</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271</v>
      </c>
      <c r="D11" s="11" t="s">
        <v>225</v>
      </c>
      <c r="E11" s="12" t="s">
        <v>271</v>
      </c>
    </row>
    <row r="12" customFormat="false" ht="21.75" hidden="false" customHeight="true" outlineLevel="0" collapsed="false">
      <c r="A12" s="11" t="s">
        <v>227</v>
      </c>
      <c r="B12" s="12" t="s">
        <v>14</v>
      </c>
      <c r="D12" s="11" t="s">
        <v>228</v>
      </c>
      <c r="E12" s="12" t="s">
        <v>14</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272</v>
      </c>
      <c r="B1" s="9"/>
      <c r="D1" s="9" t="s">
        <v>273</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16</v>
      </c>
      <c r="D3" s="11" t="s">
        <v>204</v>
      </c>
      <c r="E3" s="12" t="s">
        <v>16</v>
      </c>
    </row>
    <row r="4" customFormat="false" ht="21.75" hidden="false" customHeight="true" outlineLevel="0" collapsed="false">
      <c r="A4" s="11" t="s">
        <v>205</v>
      </c>
      <c r="B4" s="12" t="s">
        <v>15</v>
      </c>
      <c r="D4" s="11" t="s">
        <v>206</v>
      </c>
      <c r="E4" s="12" t="s">
        <v>154</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274</v>
      </c>
      <c r="D8" s="11" t="s">
        <v>217</v>
      </c>
      <c r="E8" s="12" t="s">
        <v>275</v>
      </c>
    </row>
    <row r="9" customFormat="false" ht="64.5" hidden="false" customHeight="true" outlineLevel="0" collapsed="false">
      <c r="A9" s="11" t="s">
        <v>219</v>
      </c>
      <c r="B9" s="12" t="s">
        <v>276</v>
      </c>
      <c r="D9" s="11" t="s">
        <v>221</v>
      </c>
      <c r="E9" s="12" t="s">
        <v>277</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278</v>
      </c>
      <c r="D11" s="11" t="s">
        <v>225</v>
      </c>
      <c r="E11" s="12" t="s">
        <v>278</v>
      </c>
    </row>
    <row r="12" customFormat="false" ht="21.75" hidden="false" customHeight="true" outlineLevel="0" collapsed="false">
      <c r="A12" s="11" t="s">
        <v>227</v>
      </c>
      <c r="B12" s="12" t="s">
        <v>16</v>
      </c>
      <c r="D12" s="11" t="s">
        <v>228</v>
      </c>
      <c r="E12" s="12" t="s">
        <v>16</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279</v>
      </c>
      <c r="B1" s="9"/>
      <c r="D1" s="9" t="s">
        <v>280</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18</v>
      </c>
      <c r="D3" s="11" t="s">
        <v>204</v>
      </c>
      <c r="E3" s="12" t="s">
        <v>18</v>
      </c>
    </row>
    <row r="4" customFormat="false" ht="21.75" hidden="false" customHeight="true" outlineLevel="0" collapsed="false">
      <c r="A4" s="11" t="s">
        <v>205</v>
      </c>
      <c r="B4" s="12" t="s">
        <v>19</v>
      </c>
      <c r="D4" s="11" t="s">
        <v>206</v>
      </c>
      <c r="E4" s="12" t="s">
        <v>155</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281</v>
      </c>
      <c r="D8" s="11" t="s">
        <v>217</v>
      </c>
      <c r="E8" s="12" t="s">
        <v>282</v>
      </c>
    </row>
    <row r="9" customFormat="false" ht="220.5" hidden="false" customHeight="true" outlineLevel="0" collapsed="false">
      <c r="A9" s="11" t="s">
        <v>219</v>
      </c>
      <c r="B9" s="12" t="s">
        <v>283</v>
      </c>
      <c r="D9" s="11" t="s">
        <v>221</v>
      </c>
      <c r="E9" s="12" t="s">
        <v>284</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285</v>
      </c>
      <c r="D11" s="11" t="s">
        <v>225</v>
      </c>
      <c r="E11" s="12" t="s">
        <v>285</v>
      </c>
    </row>
    <row r="12" customFormat="false" ht="21.75" hidden="false" customHeight="true" outlineLevel="0" collapsed="false">
      <c r="A12" s="11" t="s">
        <v>227</v>
      </c>
      <c r="B12" s="12" t="s">
        <v>18</v>
      </c>
      <c r="D12" s="11" t="s">
        <v>228</v>
      </c>
      <c r="E12" s="12" t="s">
        <v>18</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286</v>
      </c>
      <c r="B1" s="9"/>
      <c r="D1" s="9" t="s">
        <v>287</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20</v>
      </c>
      <c r="D3" s="11" t="s">
        <v>204</v>
      </c>
      <c r="E3" s="12" t="s">
        <v>20</v>
      </c>
    </row>
    <row r="4" customFormat="false" ht="21.75" hidden="false" customHeight="true" outlineLevel="0" collapsed="false">
      <c r="A4" s="11" t="s">
        <v>205</v>
      </c>
      <c r="B4" s="12" t="s">
        <v>21</v>
      </c>
      <c r="D4" s="11" t="s">
        <v>206</v>
      </c>
      <c r="E4" s="12" t="s">
        <v>156</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288</v>
      </c>
      <c r="D8" s="11" t="s">
        <v>217</v>
      </c>
      <c r="E8" s="12" t="s">
        <v>289</v>
      </c>
    </row>
    <row r="9" customFormat="false" ht="90.75" hidden="false" customHeight="true" outlineLevel="0" collapsed="false">
      <c r="A9" s="11" t="s">
        <v>219</v>
      </c>
      <c r="B9" s="12" t="s">
        <v>290</v>
      </c>
      <c r="D9" s="11" t="s">
        <v>221</v>
      </c>
      <c r="E9" s="12" t="s">
        <v>291</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292</v>
      </c>
      <c r="D11" s="11" t="s">
        <v>225</v>
      </c>
      <c r="E11" s="12" t="s">
        <v>292</v>
      </c>
    </row>
    <row r="12" customFormat="false" ht="21.75" hidden="false" customHeight="true" outlineLevel="0" collapsed="false">
      <c r="A12" s="11" t="s">
        <v>227</v>
      </c>
      <c r="B12" s="12" t="s">
        <v>20</v>
      </c>
      <c r="D12" s="11" t="s">
        <v>228</v>
      </c>
      <c r="E12" s="12" t="s">
        <v>20</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293</v>
      </c>
      <c r="B1" s="9"/>
      <c r="D1" s="9" t="s">
        <v>294</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23</v>
      </c>
      <c r="D3" s="11" t="s">
        <v>204</v>
      </c>
      <c r="E3" s="12" t="s">
        <v>23</v>
      </c>
    </row>
    <row r="4" customFormat="false" ht="21.75" hidden="false" customHeight="true" outlineLevel="0" collapsed="false">
      <c r="A4" s="11" t="s">
        <v>205</v>
      </c>
      <c r="B4" s="12" t="s">
        <v>21</v>
      </c>
      <c r="D4" s="11" t="s">
        <v>206</v>
      </c>
      <c r="E4" s="12" t="s">
        <v>156</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295</v>
      </c>
      <c r="D8" s="11" t="s">
        <v>217</v>
      </c>
      <c r="E8" s="12" t="s">
        <v>296</v>
      </c>
    </row>
    <row r="9" customFormat="false" ht="45" hidden="false" customHeight="true" outlineLevel="0" collapsed="false">
      <c r="A9" s="11" t="s">
        <v>219</v>
      </c>
      <c r="B9" s="12" t="s">
        <v>297</v>
      </c>
      <c r="D9" s="11" t="s">
        <v>221</v>
      </c>
      <c r="E9" s="12" t="s">
        <v>298</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299</v>
      </c>
      <c r="D11" s="11" t="s">
        <v>225</v>
      </c>
      <c r="E11" s="12" t="s">
        <v>299</v>
      </c>
    </row>
    <row r="12" customFormat="false" ht="21.75" hidden="false" customHeight="true" outlineLevel="0" collapsed="false">
      <c r="A12" s="11" t="s">
        <v>227</v>
      </c>
      <c r="B12" s="12" t="s">
        <v>23</v>
      </c>
      <c r="D12" s="11" t="s">
        <v>228</v>
      </c>
      <c r="E12" s="12" t="s">
        <v>23</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300</v>
      </c>
      <c r="B1" s="9"/>
      <c r="D1" s="9" t="s">
        <v>301</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25</v>
      </c>
      <c r="D3" s="11" t="s">
        <v>204</v>
      </c>
      <c r="E3" s="12" t="s">
        <v>25</v>
      </c>
    </row>
    <row r="4" customFormat="false" ht="21.75" hidden="false" customHeight="true" outlineLevel="0" collapsed="false">
      <c r="A4" s="11" t="s">
        <v>205</v>
      </c>
      <c r="B4" s="12" t="s">
        <v>21</v>
      </c>
      <c r="D4" s="11" t="s">
        <v>206</v>
      </c>
      <c r="E4" s="12" t="s">
        <v>156</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302</v>
      </c>
      <c r="D8" s="11" t="s">
        <v>217</v>
      </c>
      <c r="E8" s="12" t="s">
        <v>303</v>
      </c>
    </row>
    <row r="9" customFormat="false" ht="45" hidden="false" customHeight="true" outlineLevel="0" collapsed="false">
      <c r="A9" s="11" t="s">
        <v>219</v>
      </c>
      <c r="B9" s="12"/>
      <c r="D9" s="11" t="s">
        <v>221</v>
      </c>
      <c r="E9" s="12"/>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304</v>
      </c>
      <c r="D11" s="11" t="s">
        <v>225</v>
      </c>
      <c r="E11" s="12" t="s">
        <v>304</v>
      </c>
    </row>
    <row r="12" customFormat="false" ht="21.75" hidden="false" customHeight="true" outlineLevel="0" collapsed="false">
      <c r="A12" s="11" t="s">
        <v>227</v>
      </c>
      <c r="B12" s="12" t="s">
        <v>25</v>
      </c>
      <c r="D12" s="11" t="s">
        <v>228</v>
      </c>
      <c r="E12" s="12" t="s">
        <v>25</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305</v>
      </c>
      <c r="B1" s="9"/>
      <c r="D1" s="9" t="s">
        <v>306</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27</v>
      </c>
      <c r="D3" s="11" t="s">
        <v>204</v>
      </c>
      <c r="E3" s="12" t="s">
        <v>27</v>
      </c>
    </row>
    <row r="4" customFormat="false" ht="21.75" hidden="false" customHeight="true" outlineLevel="0" collapsed="false">
      <c r="A4" s="11" t="s">
        <v>205</v>
      </c>
      <c r="B4" s="12" t="s">
        <v>28</v>
      </c>
      <c r="D4" s="11" t="s">
        <v>206</v>
      </c>
      <c r="E4" s="12" t="s">
        <v>157</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234" hidden="false" customHeight="true" outlineLevel="0" collapsed="false">
      <c r="A8" s="11" t="s">
        <v>215</v>
      </c>
      <c r="B8" s="12" t="s">
        <v>307</v>
      </c>
      <c r="D8" s="11" t="s">
        <v>217</v>
      </c>
      <c r="E8" s="12" t="s">
        <v>308</v>
      </c>
    </row>
    <row r="9" customFormat="false" ht="300" hidden="false" customHeight="true" outlineLevel="0" collapsed="false">
      <c r="A9" s="11" t="s">
        <v>219</v>
      </c>
      <c r="B9" s="12" t="s">
        <v>309</v>
      </c>
      <c r="D9" s="11" t="s">
        <v>221</v>
      </c>
      <c r="E9" s="12" t="s">
        <v>310</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311</v>
      </c>
      <c r="D11" s="11" t="s">
        <v>225</v>
      </c>
      <c r="E11" s="12" t="s">
        <v>311</v>
      </c>
    </row>
    <row r="12" customFormat="false" ht="21.75" hidden="false" customHeight="true" outlineLevel="0" collapsed="false">
      <c r="A12" s="11" t="s">
        <v>227</v>
      </c>
      <c r="B12" s="12" t="s">
        <v>27</v>
      </c>
      <c r="D12" s="11" t="s">
        <v>228</v>
      </c>
      <c r="E12" s="12" t="s">
        <v>27</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312</v>
      </c>
      <c r="B1" s="9"/>
      <c r="D1" s="9" t="s">
        <v>313</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29</v>
      </c>
      <c r="D3" s="11" t="s">
        <v>204</v>
      </c>
      <c r="E3" s="12" t="s">
        <v>29</v>
      </c>
    </row>
    <row r="4" customFormat="false" ht="21.75" hidden="false" customHeight="true" outlineLevel="0" collapsed="false">
      <c r="A4" s="11" t="s">
        <v>205</v>
      </c>
      <c r="B4" s="12" t="s">
        <v>30</v>
      </c>
      <c r="D4" s="11" t="s">
        <v>206</v>
      </c>
      <c r="E4" s="12" t="s">
        <v>158</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314</v>
      </c>
      <c r="D8" s="11" t="s">
        <v>217</v>
      </c>
      <c r="E8" s="12" t="s">
        <v>315</v>
      </c>
    </row>
    <row r="9" customFormat="false" ht="129.75" hidden="false" customHeight="true" outlineLevel="0" collapsed="false">
      <c r="A9" s="11" t="s">
        <v>219</v>
      </c>
      <c r="B9" s="12" t="s">
        <v>316</v>
      </c>
      <c r="D9" s="11" t="s">
        <v>221</v>
      </c>
      <c r="E9" s="12" t="s">
        <v>317</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318</v>
      </c>
      <c r="D11" s="11" t="s">
        <v>225</v>
      </c>
      <c r="E11" s="12" t="s">
        <v>318</v>
      </c>
    </row>
    <row r="12" customFormat="false" ht="21.75" hidden="false" customHeight="true" outlineLevel="0" collapsed="false">
      <c r="A12" s="11" t="s">
        <v>227</v>
      </c>
      <c r="B12" s="12" t="s">
        <v>29</v>
      </c>
      <c r="D12" s="11" t="s">
        <v>228</v>
      </c>
      <c r="E12" s="12" t="s">
        <v>29</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319</v>
      </c>
      <c r="B1" s="9"/>
      <c r="D1" s="9" t="s">
        <v>320</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31</v>
      </c>
      <c r="D3" s="11" t="s">
        <v>204</v>
      </c>
      <c r="E3" s="12" t="s">
        <v>31</v>
      </c>
    </row>
    <row r="4" customFormat="false" ht="21.75" hidden="false" customHeight="true" outlineLevel="0" collapsed="false">
      <c r="A4" s="11" t="s">
        <v>205</v>
      </c>
      <c r="B4" s="12" t="s">
        <v>30</v>
      </c>
      <c r="D4" s="11" t="s">
        <v>206</v>
      </c>
      <c r="E4" s="12" t="s">
        <v>158</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03.5" hidden="false" customHeight="true" outlineLevel="0" collapsed="false">
      <c r="A8" s="11" t="s">
        <v>215</v>
      </c>
      <c r="B8" s="12" t="s">
        <v>321</v>
      </c>
      <c r="D8" s="11" t="s">
        <v>217</v>
      </c>
      <c r="E8" s="12" t="s">
        <v>322</v>
      </c>
    </row>
    <row r="9" customFormat="false" ht="181.5" hidden="false" customHeight="true" outlineLevel="0" collapsed="false">
      <c r="A9" s="11" t="s">
        <v>219</v>
      </c>
      <c r="B9" s="12" t="s">
        <v>323</v>
      </c>
      <c r="D9" s="11" t="s">
        <v>221</v>
      </c>
      <c r="E9" s="12" t="s">
        <v>324</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325</v>
      </c>
      <c r="D11" s="11" t="s">
        <v>225</v>
      </c>
      <c r="E11" s="12" t="s">
        <v>325</v>
      </c>
    </row>
    <row r="12" customFormat="false" ht="21.75" hidden="false" customHeight="true" outlineLevel="0" collapsed="false">
      <c r="A12" s="11" t="s">
        <v>227</v>
      </c>
      <c r="B12" s="12" t="s">
        <v>31</v>
      </c>
      <c r="D12" s="11" t="s">
        <v>228</v>
      </c>
      <c r="E12" s="12" t="s">
        <v>31</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326</v>
      </c>
      <c r="B1" s="9"/>
      <c r="D1" s="9" t="s">
        <v>327</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33</v>
      </c>
      <c r="D3" s="11" t="s">
        <v>204</v>
      </c>
      <c r="E3" s="12" t="s">
        <v>33</v>
      </c>
    </row>
    <row r="4" customFormat="false" ht="21.75" hidden="false" customHeight="true" outlineLevel="0" collapsed="false">
      <c r="A4" s="11" t="s">
        <v>205</v>
      </c>
      <c r="B4" s="12" t="s">
        <v>34</v>
      </c>
      <c r="D4" s="11" t="s">
        <v>206</v>
      </c>
      <c r="E4" s="12" t="s">
        <v>159</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328</v>
      </c>
      <c r="D8" s="11" t="s">
        <v>217</v>
      </c>
      <c r="E8" s="12" t="s">
        <v>329</v>
      </c>
    </row>
    <row r="9" customFormat="false" ht="51.75" hidden="false" customHeight="true" outlineLevel="0" collapsed="false">
      <c r="A9" s="11" t="s">
        <v>219</v>
      </c>
      <c r="B9" s="12" t="s">
        <v>330</v>
      </c>
      <c r="D9" s="11" t="s">
        <v>221</v>
      </c>
      <c r="E9" s="12" t="s">
        <v>331</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332</v>
      </c>
      <c r="D11" s="11" t="s">
        <v>225</v>
      </c>
      <c r="E11" s="12" t="s">
        <v>332</v>
      </c>
    </row>
    <row r="12" customFormat="false" ht="21.75" hidden="false" customHeight="true" outlineLevel="0" collapsed="false">
      <c r="A12" s="11" t="s">
        <v>227</v>
      </c>
      <c r="B12" s="12" t="s">
        <v>33</v>
      </c>
      <c r="D12" s="11" t="s">
        <v>228</v>
      </c>
      <c r="E12" s="12" t="s">
        <v>33</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333</v>
      </c>
      <c r="B1" s="9"/>
      <c r="D1" s="9" t="s">
        <v>334</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36</v>
      </c>
      <c r="D3" s="11" t="s">
        <v>204</v>
      </c>
      <c r="E3" s="12" t="s">
        <v>36</v>
      </c>
    </row>
    <row r="4" customFormat="false" ht="21.75" hidden="false" customHeight="true" outlineLevel="0" collapsed="false">
      <c r="A4" s="11" t="s">
        <v>205</v>
      </c>
      <c r="B4" s="12" t="s">
        <v>37</v>
      </c>
      <c r="D4" s="11" t="s">
        <v>206</v>
      </c>
      <c r="E4" s="12" t="s">
        <v>160</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17" hidden="false" customHeight="true" outlineLevel="0" collapsed="false">
      <c r="A8" s="11" t="s">
        <v>215</v>
      </c>
      <c r="B8" s="12" t="s">
        <v>335</v>
      </c>
      <c r="D8" s="11" t="s">
        <v>217</v>
      </c>
      <c r="E8" s="12" t="s">
        <v>336</v>
      </c>
    </row>
    <row r="9" customFormat="false" ht="90.75" hidden="false" customHeight="true" outlineLevel="0" collapsed="false">
      <c r="A9" s="11" t="s">
        <v>219</v>
      </c>
      <c r="B9" s="12" t="s">
        <v>337</v>
      </c>
      <c r="D9" s="11" t="s">
        <v>221</v>
      </c>
      <c r="E9" s="12" t="s">
        <v>338</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339</v>
      </c>
      <c r="D11" s="11" t="s">
        <v>225</v>
      </c>
      <c r="E11" s="12" t="s">
        <v>339</v>
      </c>
    </row>
    <row r="12" customFormat="false" ht="21.75" hidden="false" customHeight="true" outlineLevel="0" collapsed="false">
      <c r="A12" s="11" t="s">
        <v>227</v>
      </c>
      <c r="B12" s="12" t="s">
        <v>36</v>
      </c>
      <c r="D12" s="11" t="s">
        <v>228</v>
      </c>
      <c r="E12" s="12" t="s">
        <v>36</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340</v>
      </c>
      <c r="B1" s="9"/>
      <c r="D1" s="9" t="s">
        <v>341</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38</v>
      </c>
      <c r="D3" s="11" t="s">
        <v>204</v>
      </c>
      <c r="E3" s="12" t="s">
        <v>38</v>
      </c>
    </row>
    <row r="4" customFormat="false" ht="21.75" hidden="false" customHeight="true" outlineLevel="0" collapsed="false">
      <c r="A4" s="11" t="s">
        <v>205</v>
      </c>
      <c r="B4" s="12" t="s">
        <v>39</v>
      </c>
      <c r="D4" s="11" t="s">
        <v>206</v>
      </c>
      <c r="E4" s="12" t="s">
        <v>161</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342</v>
      </c>
      <c r="D8" s="11" t="s">
        <v>217</v>
      </c>
      <c r="E8" s="12" t="s">
        <v>343</v>
      </c>
    </row>
    <row r="9" customFormat="false" ht="103.5" hidden="false" customHeight="true" outlineLevel="0" collapsed="false">
      <c r="A9" s="11" t="s">
        <v>219</v>
      </c>
      <c r="B9" s="12" t="s">
        <v>344</v>
      </c>
      <c r="D9" s="11" t="s">
        <v>221</v>
      </c>
      <c r="E9" s="12" t="s">
        <v>345</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346</v>
      </c>
      <c r="D11" s="11" t="s">
        <v>225</v>
      </c>
      <c r="E11" s="12" t="s">
        <v>346</v>
      </c>
    </row>
    <row r="12" customFormat="false" ht="21.75" hidden="false" customHeight="true" outlineLevel="0" collapsed="false">
      <c r="A12" s="11" t="s">
        <v>227</v>
      </c>
      <c r="B12" s="12" t="s">
        <v>38</v>
      </c>
      <c r="D12" s="11" t="s">
        <v>228</v>
      </c>
      <c r="E12" s="12" t="s">
        <v>38</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347</v>
      </c>
      <c r="B1" s="9"/>
      <c r="D1" s="9" t="s">
        <v>348</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41</v>
      </c>
      <c r="D3" s="11" t="s">
        <v>204</v>
      </c>
      <c r="E3" s="12" t="s">
        <v>41</v>
      </c>
    </row>
    <row r="4" customFormat="false" ht="21.75" hidden="false" customHeight="true" outlineLevel="0" collapsed="false">
      <c r="A4" s="11" t="s">
        <v>205</v>
      </c>
      <c r="B4" s="12" t="s">
        <v>42</v>
      </c>
      <c r="D4" s="11" t="s">
        <v>206</v>
      </c>
      <c r="E4" s="12" t="s">
        <v>162</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349</v>
      </c>
      <c r="D8" s="11" t="s">
        <v>217</v>
      </c>
      <c r="E8" s="12" t="s">
        <v>350</v>
      </c>
    </row>
    <row r="9" customFormat="false" ht="181.5" hidden="false" customHeight="true" outlineLevel="0" collapsed="false">
      <c r="A9" s="11" t="s">
        <v>219</v>
      </c>
      <c r="B9" s="12" t="s">
        <v>351</v>
      </c>
      <c r="D9" s="11" t="s">
        <v>221</v>
      </c>
      <c r="E9" s="12" t="s">
        <v>352</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353</v>
      </c>
      <c r="D11" s="11" t="s">
        <v>225</v>
      </c>
      <c r="E11" s="12" t="s">
        <v>353</v>
      </c>
    </row>
    <row r="12" customFormat="false" ht="21.75" hidden="false" customHeight="true" outlineLevel="0" collapsed="false">
      <c r="A12" s="11" t="s">
        <v>227</v>
      </c>
      <c r="B12" s="12" t="s">
        <v>41</v>
      </c>
      <c r="D12" s="11" t="s">
        <v>228</v>
      </c>
      <c r="E12" s="12" t="s">
        <v>41</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354</v>
      </c>
      <c r="B1" s="9"/>
      <c r="D1" s="9" t="s">
        <v>355</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43</v>
      </c>
      <c r="D3" s="11" t="s">
        <v>204</v>
      </c>
      <c r="E3" s="12" t="s">
        <v>43</v>
      </c>
    </row>
    <row r="4" customFormat="false" ht="21.75" hidden="false" customHeight="true" outlineLevel="0" collapsed="false">
      <c r="A4" s="11" t="s">
        <v>205</v>
      </c>
      <c r="B4" s="12" t="s">
        <v>44</v>
      </c>
      <c r="D4" s="11" t="s">
        <v>206</v>
      </c>
      <c r="E4" s="12" t="s">
        <v>163</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68.75" hidden="false" customHeight="true" outlineLevel="0" collapsed="false">
      <c r="A8" s="11" t="s">
        <v>215</v>
      </c>
      <c r="B8" s="12" t="s">
        <v>356</v>
      </c>
      <c r="D8" s="11" t="s">
        <v>217</v>
      </c>
      <c r="E8" s="12" t="s">
        <v>357</v>
      </c>
    </row>
    <row r="9" customFormat="false" ht="300" hidden="false" customHeight="true" outlineLevel="0" collapsed="false">
      <c r="A9" s="11" t="s">
        <v>219</v>
      </c>
      <c r="B9" s="12" t="s">
        <v>358</v>
      </c>
      <c r="D9" s="11" t="s">
        <v>221</v>
      </c>
      <c r="E9" s="12" t="s">
        <v>359</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360</v>
      </c>
      <c r="D11" s="11" t="s">
        <v>225</v>
      </c>
      <c r="E11" s="12" t="s">
        <v>360</v>
      </c>
    </row>
    <row r="12" customFormat="false" ht="21.75" hidden="false" customHeight="true" outlineLevel="0" collapsed="false">
      <c r="A12" s="11" t="s">
        <v>227</v>
      </c>
      <c r="B12" s="12" t="s">
        <v>43</v>
      </c>
      <c r="D12" s="11" t="s">
        <v>228</v>
      </c>
      <c r="E12" s="12" t="s">
        <v>43</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361</v>
      </c>
      <c r="B1" s="9"/>
      <c r="D1" s="9" t="s">
        <v>362</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45</v>
      </c>
      <c r="D3" s="11" t="s">
        <v>204</v>
      </c>
      <c r="E3" s="12" t="s">
        <v>45</v>
      </c>
    </row>
    <row r="4" customFormat="false" ht="21.75" hidden="false" customHeight="true" outlineLevel="0" collapsed="false">
      <c r="A4" s="11" t="s">
        <v>205</v>
      </c>
      <c r="B4" s="12" t="s">
        <v>46</v>
      </c>
      <c r="D4" s="11" t="s">
        <v>206</v>
      </c>
      <c r="E4" s="12" t="s">
        <v>164</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78" hidden="false" customHeight="true" outlineLevel="0" collapsed="false">
      <c r="A8" s="11" t="s">
        <v>215</v>
      </c>
      <c r="B8" s="12" t="s">
        <v>363</v>
      </c>
      <c r="D8" s="11" t="s">
        <v>217</v>
      </c>
      <c r="E8" s="12" t="s">
        <v>364</v>
      </c>
    </row>
    <row r="9" customFormat="false" ht="300" hidden="false" customHeight="true" outlineLevel="0" collapsed="false">
      <c r="A9" s="11" t="s">
        <v>219</v>
      </c>
      <c r="B9" s="12" t="s">
        <v>365</v>
      </c>
      <c r="D9" s="11" t="s">
        <v>221</v>
      </c>
      <c r="E9" s="12" t="s">
        <v>366</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367</v>
      </c>
      <c r="D11" s="11" t="s">
        <v>225</v>
      </c>
      <c r="E11" s="12" t="s">
        <v>367</v>
      </c>
    </row>
    <row r="12" customFormat="false" ht="21.75" hidden="false" customHeight="true" outlineLevel="0" collapsed="false">
      <c r="A12" s="11" t="s">
        <v>227</v>
      </c>
      <c r="B12" s="12" t="s">
        <v>45</v>
      </c>
      <c r="D12" s="11" t="s">
        <v>228</v>
      </c>
      <c r="E12" s="12" t="s">
        <v>45</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368</v>
      </c>
      <c r="B1" s="9"/>
      <c r="D1" s="9" t="s">
        <v>369</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47</v>
      </c>
      <c r="D3" s="11" t="s">
        <v>204</v>
      </c>
      <c r="E3" s="12" t="s">
        <v>47</v>
      </c>
    </row>
    <row r="4" customFormat="false" ht="21.75" hidden="false" customHeight="true" outlineLevel="0" collapsed="false">
      <c r="A4" s="11" t="s">
        <v>205</v>
      </c>
      <c r="B4" s="12" t="s">
        <v>46</v>
      </c>
      <c r="D4" s="11" t="s">
        <v>206</v>
      </c>
      <c r="E4" s="12" t="s">
        <v>164</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78" hidden="false" customHeight="true" outlineLevel="0" collapsed="false">
      <c r="A8" s="11" t="s">
        <v>215</v>
      </c>
      <c r="B8" s="12" t="s">
        <v>370</v>
      </c>
      <c r="D8" s="11" t="s">
        <v>217</v>
      </c>
      <c r="E8" s="12" t="s">
        <v>371</v>
      </c>
    </row>
    <row r="9" customFormat="false" ht="64.5" hidden="false" customHeight="true" outlineLevel="0" collapsed="false">
      <c r="A9" s="11" t="s">
        <v>219</v>
      </c>
      <c r="B9" s="12" t="s">
        <v>372</v>
      </c>
      <c r="D9" s="11" t="s">
        <v>221</v>
      </c>
      <c r="E9" s="12" t="s">
        <v>373</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374</v>
      </c>
      <c r="D11" s="11" t="s">
        <v>225</v>
      </c>
      <c r="E11" s="12" t="s">
        <v>374</v>
      </c>
    </row>
    <row r="12" customFormat="false" ht="21.75" hidden="false" customHeight="true" outlineLevel="0" collapsed="false">
      <c r="A12" s="11" t="s">
        <v>227</v>
      </c>
      <c r="B12" s="12" t="s">
        <v>47</v>
      </c>
      <c r="D12" s="11" t="s">
        <v>228</v>
      </c>
      <c r="E12" s="12" t="s">
        <v>47</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375</v>
      </c>
      <c r="B1" s="9"/>
      <c r="D1" s="9" t="s">
        <v>376</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49</v>
      </c>
      <c r="D3" s="11" t="s">
        <v>204</v>
      </c>
      <c r="E3" s="12" t="s">
        <v>49</v>
      </c>
    </row>
    <row r="4" customFormat="false" ht="21.75" hidden="false" customHeight="true" outlineLevel="0" collapsed="false">
      <c r="A4" s="11" t="s">
        <v>205</v>
      </c>
      <c r="B4" s="12" t="s">
        <v>46</v>
      </c>
      <c r="D4" s="11" t="s">
        <v>206</v>
      </c>
      <c r="E4" s="12" t="s">
        <v>164</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03.5" hidden="false" customHeight="true" outlineLevel="0" collapsed="false">
      <c r="A8" s="11" t="s">
        <v>215</v>
      </c>
      <c r="B8" s="12" t="s">
        <v>377</v>
      </c>
      <c r="D8" s="11" t="s">
        <v>217</v>
      </c>
      <c r="E8" s="12" t="s">
        <v>378</v>
      </c>
    </row>
    <row r="9" customFormat="false" ht="117" hidden="false" customHeight="true" outlineLevel="0" collapsed="false">
      <c r="A9" s="11" t="s">
        <v>219</v>
      </c>
      <c r="B9" s="12" t="s">
        <v>379</v>
      </c>
      <c r="D9" s="11" t="s">
        <v>221</v>
      </c>
      <c r="E9" s="12" t="s">
        <v>380</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381</v>
      </c>
      <c r="D11" s="11" t="s">
        <v>225</v>
      </c>
      <c r="E11" s="12" t="s">
        <v>381</v>
      </c>
    </row>
    <row r="12" customFormat="false" ht="21.75" hidden="false" customHeight="true" outlineLevel="0" collapsed="false">
      <c r="A12" s="11" t="s">
        <v>227</v>
      </c>
      <c r="B12" s="12" t="s">
        <v>49</v>
      </c>
      <c r="D12" s="11" t="s">
        <v>228</v>
      </c>
      <c r="E12" s="12" t="s">
        <v>49</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382</v>
      </c>
      <c r="B1" s="9"/>
      <c r="D1" s="9" t="s">
        <v>383</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51</v>
      </c>
      <c r="D3" s="11" t="s">
        <v>204</v>
      </c>
      <c r="E3" s="12" t="s">
        <v>51</v>
      </c>
    </row>
    <row r="4" customFormat="false" ht="21.75" hidden="false" customHeight="true" outlineLevel="0" collapsed="false">
      <c r="A4" s="11" t="s">
        <v>205</v>
      </c>
      <c r="B4" s="12" t="s">
        <v>52</v>
      </c>
      <c r="D4" s="11" t="s">
        <v>206</v>
      </c>
      <c r="E4" s="12" t="s">
        <v>165</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78" hidden="false" customHeight="true" outlineLevel="0" collapsed="false">
      <c r="A8" s="11" t="s">
        <v>215</v>
      </c>
      <c r="B8" s="12" t="s">
        <v>384</v>
      </c>
      <c r="D8" s="11" t="s">
        <v>217</v>
      </c>
      <c r="E8" s="12" t="s">
        <v>385</v>
      </c>
    </row>
    <row r="9" customFormat="false" ht="246.75" hidden="false" customHeight="true" outlineLevel="0" collapsed="false">
      <c r="A9" s="11" t="s">
        <v>219</v>
      </c>
      <c r="B9" s="12" t="s">
        <v>386</v>
      </c>
      <c r="D9" s="11" t="s">
        <v>221</v>
      </c>
      <c r="E9" s="12" t="s">
        <v>387</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388</v>
      </c>
      <c r="D11" s="11" t="s">
        <v>225</v>
      </c>
      <c r="E11" s="12" t="s">
        <v>388</v>
      </c>
    </row>
    <row r="12" customFormat="false" ht="21.75" hidden="false" customHeight="true" outlineLevel="0" collapsed="false">
      <c r="A12" s="11" t="s">
        <v>227</v>
      </c>
      <c r="B12" s="12" t="s">
        <v>51</v>
      </c>
      <c r="D12" s="11" t="s">
        <v>228</v>
      </c>
      <c r="E12" s="12" t="s">
        <v>51</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389</v>
      </c>
      <c r="B1" s="9"/>
      <c r="D1" s="9" t="s">
        <v>390</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53</v>
      </c>
      <c r="D3" s="11" t="s">
        <v>204</v>
      </c>
      <c r="E3" s="12" t="s">
        <v>53</v>
      </c>
    </row>
    <row r="4" customFormat="false" ht="21.75" hidden="false" customHeight="true" outlineLevel="0" collapsed="false">
      <c r="A4" s="11" t="s">
        <v>205</v>
      </c>
      <c r="B4" s="12" t="s">
        <v>54</v>
      </c>
      <c r="D4" s="11" t="s">
        <v>206</v>
      </c>
      <c r="E4" s="12" t="s">
        <v>166</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391</v>
      </c>
      <c r="D8" s="11" t="s">
        <v>217</v>
      </c>
      <c r="E8" s="12" t="s">
        <v>392</v>
      </c>
    </row>
    <row r="9" customFormat="false" ht="168.75" hidden="false" customHeight="true" outlineLevel="0" collapsed="false">
      <c r="A9" s="11" t="s">
        <v>219</v>
      </c>
      <c r="B9" s="12" t="s">
        <v>393</v>
      </c>
      <c r="D9" s="11" t="s">
        <v>221</v>
      </c>
      <c r="E9" s="12" t="s">
        <v>394</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395</v>
      </c>
      <c r="D11" s="11" t="s">
        <v>225</v>
      </c>
      <c r="E11" s="12" t="s">
        <v>395</v>
      </c>
    </row>
    <row r="12" customFormat="false" ht="21.75" hidden="false" customHeight="true" outlineLevel="0" collapsed="false">
      <c r="A12" s="11" t="s">
        <v>227</v>
      </c>
      <c r="B12" s="12" t="s">
        <v>53</v>
      </c>
      <c r="D12" s="11" t="s">
        <v>228</v>
      </c>
      <c r="E12" s="12" t="s">
        <v>53</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396</v>
      </c>
      <c r="B1" s="9"/>
      <c r="D1" s="9" t="s">
        <v>397</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55</v>
      </c>
      <c r="D3" s="11" t="s">
        <v>204</v>
      </c>
      <c r="E3" s="12" t="s">
        <v>55</v>
      </c>
    </row>
    <row r="4" customFormat="false" ht="21.75" hidden="false" customHeight="true" outlineLevel="0" collapsed="false">
      <c r="A4" s="11" t="s">
        <v>205</v>
      </c>
      <c r="B4" s="12" t="s">
        <v>54</v>
      </c>
      <c r="D4" s="11" t="s">
        <v>206</v>
      </c>
      <c r="E4" s="12" t="s">
        <v>166</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398</v>
      </c>
      <c r="D8" s="11" t="s">
        <v>217</v>
      </c>
      <c r="E8" s="12" t="s">
        <v>399</v>
      </c>
    </row>
    <row r="9" customFormat="false" ht="45" hidden="false" customHeight="true" outlineLevel="0" collapsed="false">
      <c r="A9" s="11" t="s">
        <v>219</v>
      </c>
      <c r="B9" s="12"/>
      <c r="D9" s="11" t="s">
        <v>221</v>
      </c>
      <c r="E9" s="12"/>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400</v>
      </c>
      <c r="D11" s="11" t="s">
        <v>225</v>
      </c>
      <c r="E11" s="12" t="s">
        <v>400</v>
      </c>
    </row>
    <row r="12" customFormat="false" ht="21.75" hidden="false" customHeight="true" outlineLevel="0" collapsed="false">
      <c r="A12" s="11" t="s">
        <v>227</v>
      </c>
      <c r="B12" s="12" t="s">
        <v>55</v>
      </c>
      <c r="D12" s="11" t="s">
        <v>228</v>
      </c>
      <c r="E12" s="12" t="s">
        <v>55</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401</v>
      </c>
      <c r="B1" s="9"/>
      <c r="D1" s="9" t="s">
        <v>402</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57</v>
      </c>
      <c r="D3" s="11" t="s">
        <v>204</v>
      </c>
      <c r="E3" s="12" t="s">
        <v>57</v>
      </c>
    </row>
    <row r="4" customFormat="false" ht="21.75" hidden="false" customHeight="true" outlineLevel="0" collapsed="false">
      <c r="A4" s="11" t="s">
        <v>205</v>
      </c>
      <c r="B4" s="12" t="s">
        <v>58</v>
      </c>
      <c r="D4" s="11" t="s">
        <v>206</v>
      </c>
      <c r="E4" s="12" t="s">
        <v>167</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81.5" hidden="false" customHeight="true" outlineLevel="0" collapsed="false">
      <c r="A8" s="11" t="s">
        <v>215</v>
      </c>
      <c r="B8" s="12" t="s">
        <v>403</v>
      </c>
      <c r="D8" s="11" t="s">
        <v>217</v>
      </c>
      <c r="E8" s="12" t="s">
        <v>404</v>
      </c>
    </row>
    <row r="9" customFormat="false" ht="168.75" hidden="false" customHeight="true" outlineLevel="0" collapsed="false">
      <c r="A9" s="11" t="s">
        <v>219</v>
      </c>
      <c r="B9" s="12" t="s">
        <v>405</v>
      </c>
      <c r="D9" s="11" t="s">
        <v>221</v>
      </c>
      <c r="E9" s="12" t="s">
        <v>406</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407</v>
      </c>
      <c r="D11" s="11" t="s">
        <v>225</v>
      </c>
      <c r="E11" s="12" t="s">
        <v>407</v>
      </c>
    </row>
    <row r="12" customFormat="false" ht="21.75" hidden="false" customHeight="true" outlineLevel="0" collapsed="false">
      <c r="A12" s="11" t="s">
        <v>227</v>
      </c>
      <c r="B12" s="12" t="s">
        <v>57</v>
      </c>
      <c r="D12" s="11" t="s">
        <v>228</v>
      </c>
      <c r="E12" s="12" t="s">
        <v>57</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408</v>
      </c>
      <c r="B1" s="9"/>
      <c r="D1" s="9" t="s">
        <v>409</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59</v>
      </c>
      <c r="D3" s="11" t="s">
        <v>204</v>
      </c>
      <c r="E3" s="12" t="s">
        <v>59</v>
      </c>
    </row>
    <row r="4" customFormat="false" ht="21.75" hidden="false" customHeight="true" outlineLevel="0" collapsed="false">
      <c r="A4" s="11" t="s">
        <v>205</v>
      </c>
      <c r="B4" s="12" t="s">
        <v>58</v>
      </c>
      <c r="D4" s="11" t="s">
        <v>206</v>
      </c>
      <c r="E4" s="12" t="s">
        <v>167</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410</v>
      </c>
      <c r="D8" s="11" t="s">
        <v>217</v>
      </c>
      <c r="E8" s="12" t="s">
        <v>411</v>
      </c>
    </row>
    <row r="9" customFormat="false" ht="78" hidden="false" customHeight="true" outlineLevel="0" collapsed="false">
      <c r="A9" s="11" t="s">
        <v>219</v>
      </c>
      <c r="B9" s="12" t="s">
        <v>412</v>
      </c>
      <c r="D9" s="11" t="s">
        <v>221</v>
      </c>
      <c r="E9" s="12" t="s">
        <v>413</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414</v>
      </c>
      <c r="D11" s="11" t="s">
        <v>225</v>
      </c>
      <c r="E11" s="12" t="s">
        <v>414</v>
      </c>
    </row>
    <row r="12" customFormat="false" ht="21.75" hidden="false" customHeight="true" outlineLevel="0" collapsed="false">
      <c r="A12" s="11" t="s">
        <v>227</v>
      </c>
      <c r="B12" s="12" t="s">
        <v>59</v>
      </c>
      <c r="D12" s="11" t="s">
        <v>228</v>
      </c>
      <c r="E12" s="12" t="s">
        <v>59</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415</v>
      </c>
      <c r="B1" s="9"/>
      <c r="D1" s="9" t="s">
        <v>416</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61</v>
      </c>
      <c r="D3" s="11" t="s">
        <v>204</v>
      </c>
      <c r="E3" s="12" t="s">
        <v>61</v>
      </c>
    </row>
    <row r="4" customFormat="false" ht="21.75" hidden="false" customHeight="true" outlineLevel="0" collapsed="false">
      <c r="A4" s="11" t="s">
        <v>205</v>
      </c>
      <c r="B4" s="12" t="s">
        <v>62</v>
      </c>
      <c r="D4" s="11" t="s">
        <v>206</v>
      </c>
      <c r="E4" s="12" t="s">
        <v>168</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68.75" hidden="false" customHeight="true" outlineLevel="0" collapsed="false">
      <c r="A8" s="11" t="s">
        <v>215</v>
      </c>
      <c r="B8" s="12" t="s">
        <v>417</v>
      </c>
      <c r="D8" s="11" t="s">
        <v>217</v>
      </c>
      <c r="E8" s="12" t="s">
        <v>418</v>
      </c>
    </row>
    <row r="9" customFormat="false" ht="156" hidden="false" customHeight="true" outlineLevel="0" collapsed="false">
      <c r="A9" s="11" t="s">
        <v>219</v>
      </c>
      <c r="B9" s="12" t="s">
        <v>419</v>
      </c>
      <c r="D9" s="11" t="s">
        <v>221</v>
      </c>
      <c r="E9" s="12" t="s">
        <v>420</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421</v>
      </c>
      <c r="D11" s="11" t="s">
        <v>225</v>
      </c>
      <c r="E11" s="12" t="s">
        <v>421</v>
      </c>
    </row>
    <row r="12" customFormat="false" ht="21.75" hidden="false" customHeight="true" outlineLevel="0" collapsed="false">
      <c r="A12" s="11" t="s">
        <v>227</v>
      </c>
      <c r="B12" s="12" t="s">
        <v>61</v>
      </c>
      <c r="D12" s="11" t="s">
        <v>228</v>
      </c>
      <c r="E12" s="12" t="s">
        <v>61</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422</v>
      </c>
      <c r="B1" s="9"/>
      <c r="D1" s="9" t="s">
        <v>423</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63</v>
      </c>
      <c r="D3" s="11" t="s">
        <v>204</v>
      </c>
      <c r="E3" s="12" t="s">
        <v>63</v>
      </c>
    </row>
    <row r="4" customFormat="false" ht="21.75" hidden="false" customHeight="true" outlineLevel="0" collapsed="false">
      <c r="A4" s="11" t="s">
        <v>205</v>
      </c>
      <c r="B4" s="12" t="s">
        <v>62</v>
      </c>
      <c r="D4" s="11" t="s">
        <v>206</v>
      </c>
      <c r="E4" s="12" t="s">
        <v>168</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424</v>
      </c>
      <c r="D8" s="11" t="s">
        <v>217</v>
      </c>
      <c r="E8" s="12" t="s">
        <v>425</v>
      </c>
    </row>
    <row r="9" customFormat="false" ht="45" hidden="false" customHeight="true" outlineLevel="0" collapsed="false">
      <c r="A9" s="11" t="s">
        <v>219</v>
      </c>
      <c r="B9" s="12" t="s">
        <v>426</v>
      </c>
      <c r="D9" s="11" t="s">
        <v>221</v>
      </c>
      <c r="E9" s="12" t="s">
        <v>427</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428</v>
      </c>
      <c r="D11" s="11" t="s">
        <v>225</v>
      </c>
      <c r="E11" s="12" t="s">
        <v>428</v>
      </c>
    </row>
    <row r="12" customFormat="false" ht="21.75" hidden="false" customHeight="true" outlineLevel="0" collapsed="false">
      <c r="A12" s="11" t="s">
        <v>227</v>
      </c>
      <c r="B12" s="12" t="s">
        <v>63</v>
      </c>
      <c r="D12" s="11" t="s">
        <v>228</v>
      </c>
      <c r="E12" s="12" t="s">
        <v>63</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429</v>
      </c>
      <c r="B1" s="9"/>
      <c r="D1" s="9" t="s">
        <v>430</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65</v>
      </c>
      <c r="D3" s="11" t="s">
        <v>204</v>
      </c>
      <c r="E3" s="12" t="s">
        <v>65</v>
      </c>
    </row>
    <row r="4" customFormat="false" ht="21.75" hidden="false" customHeight="true" outlineLevel="0" collapsed="false">
      <c r="A4" s="11" t="s">
        <v>205</v>
      </c>
      <c r="B4" s="12" t="s">
        <v>62</v>
      </c>
      <c r="D4" s="11" t="s">
        <v>206</v>
      </c>
      <c r="E4" s="12" t="s">
        <v>168</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431</v>
      </c>
      <c r="D8" s="11" t="s">
        <v>217</v>
      </c>
      <c r="E8" s="12" t="s">
        <v>432</v>
      </c>
    </row>
    <row r="9" customFormat="false" ht="45" hidden="false" customHeight="true" outlineLevel="0" collapsed="false">
      <c r="A9" s="11" t="s">
        <v>219</v>
      </c>
      <c r="B9" s="12" t="s">
        <v>426</v>
      </c>
      <c r="D9" s="11" t="s">
        <v>221</v>
      </c>
      <c r="E9" s="12" t="s">
        <v>427</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433</v>
      </c>
      <c r="D11" s="11" t="s">
        <v>225</v>
      </c>
      <c r="E11" s="12" t="s">
        <v>433</v>
      </c>
    </row>
    <row r="12" customFormat="false" ht="21.75" hidden="false" customHeight="true" outlineLevel="0" collapsed="false">
      <c r="A12" s="11" t="s">
        <v>227</v>
      </c>
      <c r="B12" s="12" t="s">
        <v>65</v>
      </c>
      <c r="D12" s="11" t="s">
        <v>228</v>
      </c>
      <c r="E12" s="12" t="s">
        <v>65</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434</v>
      </c>
      <c r="B1" s="9"/>
      <c r="D1" s="9" t="s">
        <v>435</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67</v>
      </c>
      <c r="D3" s="11" t="s">
        <v>204</v>
      </c>
      <c r="E3" s="12" t="s">
        <v>67</v>
      </c>
    </row>
    <row r="4" customFormat="false" ht="21.75" hidden="false" customHeight="true" outlineLevel="0" collapsed="false">
      <c r="A4" s="11" t="s">
        <v>205</v>
      </c>
      <c r="B4" s="12" t="s">
        <v>62</v>
      </c>
      <c r="D4" s="11" t="s">
        <v>206</v>
      </c>
      <c r="E4" s="12" t="s">
        <v>168</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436</v>
      </c>
      <c r="D8" s="11" t="s">
        <v>217</v>
      </c>
      <c r="E8" s="12" t="s">
        <v>437</v>
      </c>
    </row>
    <row r="9" customFormat="false" ht="45" hidden="false" customHeight="true" outlineLevel="0" collapsed="false">
      <c r="A9" s="11" t="s">
        <v>219</v>
      </c>
      <c r="B9" s="12" t="s">
        <v>438</v>
      </c>
      <c r="D9" s="11" t="s">
        <v>221</v>
      </c>
      <c r="E9" s="12" t="s">
        <v>439</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440</v>
      </c>
      <c r="D11" s="11" t="s">
        <v>225</v>
      </c>
      <c r="E11" s="12" t="s">
        <v>440</v>
      </c>
    </row>
    <row r="12" customFormat="false" ht="21.75" hidden="false" customHeight="true" outlineLevel="0" collapsed="false">
      <c r="A12" s="11" t="s">
        <v>227</v>
      </c>
      <c r="B12" s="12" t="s">
        <v>67</v>
      </c>
      <c r="D12" s="11" t="s">
        <v>228</v>
      </c>
      <c r="E12" s="12" t="s">
        <v>67</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441</v>
      </c>
      <c r="B1" s="9"/>
      <c r="D1" s="9" t="s">
        <v>442</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69</v>
      </c>
      <c r="D3" s="11" t="s">
        <v>204</v>
      </c>
      <c r="E3" s="12" t="s">
        <v>69</v>
      </c>
    </row>
    <row r="4" customFormat="false" ht="21.75" hidden="false" customHeight="true" outlineLevel="0" collapsed="false">
      <c r="A4" s="11" t="s">
        <v>205</v>
      </c>
      <c r="B4" s="12" t="s">
        <v>70</v>
      </c>
      <c r="D4" s="11" t="s">
        <v>206</v>
      </c>
      <c r="E4" s="12" t="s">
        <v>169</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443</v>
      </c>
      <c r="D8" s="11" t="s">
        <v>217</v>
      </c>
      <c r="E8" s="12" t="s">
        <v>444</v>
      </c>
    </row>
    <row r="9" customFormat="false" ht="246.75" hidden="false" customHeight="true" outlineLevel="0" collapsed="false">
      <c r="A9" s="11" t="s">
        <v>219</v>
      </c>
      <c r="B9" s="12" t="s">
        <v>445</v>
      </c>
      <c r="D9" s="11" t="s">
        <v>221</v>
      </c>
      <c r="E9" s="12" t="s">
        <v>446</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447</v>
      </c>
      <c r="D11" s="11" t="s">
        <v>225</v>
      </c>
      <c r="E11" s="12" t="s">
        <v>447</v>
      </c>
    </row>
    <row r="12" customFormat="false" ht="21.75" hidden="false" customHeight="true" outlineLevel="0" collapsed="false">
      <c r="A12" s="11" t="s">
        <v>227</v>
      </c>
      <c r="B12" s="12" t="s">
        <v>69</v>
      </c>
      <c r="D12" s="11" t="s">
        <v>228</v>
      </c>
      <c r="E12" s="12" t="s">
        <v>69</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448</v>
      </c>
      <c r="B1" s="9"/>
      <c r="D1" s="9" t="s">
        <v>449</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71</v>
      </c>
      <c r="D3" s="11" t="s">
        <v>204</v>
      </c>
      <c r="E3" s="12" t="s">
        <v>71</v>
      </c>
    </row>
    <row r="4" customFormat="false" ht="21.75" hidden="false" customHeight="true" outlineLevel="0" collapsed="false">
      <c r="A4" s="11" t="s">
        <v>205</v>
      </c>
      <c r="B4" s="12" t="s">
        <v>70</v>
      </c>
      <c r="D4" s="11" t="s">
        <v>206</v>
      </c>
      <c r="E4" s="12" t="s">
        <v>169</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78" hidden="false" customHeight="true" outlineLevel="0" collapsed="false">
      <c r="A8" s="11" t="s">
        <v>215</v>
      </c>
      <c r="B8" s="12" t="s">
        <v>450</v>
      </c>
      <c r="D8" s="11" t="s">
        <v>217</v>
      </c>
      <c r="E8" s="12" t="s">
        <v>451</v>
      </c>
    </row>
    <row r="9" customFormat="false" ht="45" hidden="false" customHeight="true" outlineLevel="0" collapsed="false">
      <c r="A9" s="11" t="s">
        <v>219</v>
      </c>
      <c r="B9" s="12" t="s">
        <v>452</v>
      </c>
      <c r="D9" s="11" t="s">
        <v>221</v>
      </c>
      <c r="E9" s="12" t="s">
        <v>453</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454</v>
      </c>
      <c r="D11" s="11" t="s">
        <v>225</v>
      </c>
      <c r="E11" s="12" t="s">
        <v>454</v>
      </c>
    </row>
    <row r="12" customFormat="false" ht="21.75" hidden="false" customHeight="true" outlineLevel="0" collapsed="false">
      <c r="A12" s="11" t="s">
        <v>227</v>
      </c>
      <c r="B12" s="12" t="s">
        <v>71</v>
      </c>
      <c r="D12" s="11" t="s">
        <v>228</v>
      </c>
      <c r="E12" s="12" t="s">
        <v>71</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455</v>
      </c>
      <c r="B1" s="9"/>
      <c r="D1" s="9" t="s">
        <v>456</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73</v>
      </c>
      <c r="D3" s="11" t="s">
        <v>204</v>
      </c>
      <c r="E3" s="12" t="s">
        <v>73</v>
      </c>
    </row>
    <row r="4" customFormat="false" ht="21.75" hidden="false" customHeight="true" outlineLevel="0" collapsed="false">
      <c r="A4" s="11" t="s">
        <v>205</v>
      </c>
      <c r="B4" s="12" t="s">
        <v>74</v>
      </c>
      <c r="D4" s="11" t="s">
        <v>206</v>
      </c>
      <c r="E4" s="12" t="s">
        <v>170</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457</v>
      </c>
      <c r="D8" s="11" t="s">
        <v>217</v>
      </c>
      <c r="E8" s="12" t="s">
        <v>458</v>
      </c>
    </row>
    <row r="9" customFormat="false" ht="64.5" hidden="false" customHeight="true" outlineLevel="0" collapsed="false">
      <c r="A9" s="11" t="s">
        <v>219</v>
      </c>
      <c r="B9" s="12" t="s">
        <v>459</v>
      </c>
      <c r="D9" s="11" t="s">
        <v>221</v>
      </c>
      <c r="E9" s="12" t="s">
        <v>460</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461</v>
      </c>
      <c r="D11" s="11" t="s">
        <v>225</v>
      </c>
      <c r="E11" s="12" t="s">
        <v>461</v>
      </c>
    </row>
    <row r="12" customFormat="false" ht="21.75" hidden="false" customHeight="true" outlineLevel="0" collapsed="false">
      <c r="A12" s="11" t="s">
        <v>227</v>
      </c>
      <c r="B12" s="12" t="s">
        <v>73</v>
      </c>
      <c r="D12" s="11" t="s">
        <v>228</v>
      </c>
      <c r="E12" s="12" t="s">
        <v>73</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462</v>
      </c>
      <c r="B1" s="9"/>
      <c r="D1" s="9" t="s">
        <v>463</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76</v>
      </c>
      <c r="D3" s="11" t="s">
        <v>204</v>
      </c>
      <c r="E3" s="12" t="s">
        <v>76</v>
      </c>
    </row>
    <row r="4" customFormat="false" ht="21.75" hidden="false" customHeight="true" outlineLevel="0" collapsed="false">
      <c r="A4" s="11" t="s">
        <v>205</v>
      </c>
      <c r="B4" s="12" t="s">
        <v>74</v>
      </c>
      <c r="D4" s="11" t="s">
        <v>206</v>
      </c>
      <c r="E4" s="12" t="s">
        <v>170</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464</v>
      </c>
      <c r="D8" s="11" t="s">
        <v>217</v>
      </c>
      <c r="E8" s="12" t="s">
        <v>465</v>
      </c>
    </row>
    <row r="9" customFormat="false" ht="90.75" hidden="false" customHeight="true" outlineLevel="0" collapsed="false">
      <c r="A9" s="11" t="s">
        <v>219</v>
      </c>
      <c r="B9" s="12" t="s">
        <v>466</v>
      </c>
      <c r="D9" s="11" t="s">
        <v>221</v>
      </c>
      <c r="E9" s="12" t="s">
        <v>467</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468</v>
      </c>
      <c r="D11" s="11" t="s">
        <v>225</v>
      </c>
      <c r="E11" s="12" t="s">
        <v>468</v>
      </c>
    </row>
    <row r="12" customFormat="false" ht="21.75" hidden="false" customHeight="true" outlineLevel="0" collapsed="false">
      <c r="A12" s="11" t="s">
        <v>227</v>
      </c>
      <c r="B12" s="12" t="s">
        <v>76</v>
      </c>
      <c r="D12" s="11" t="s">
        <v>228</v>
      </c>
      <c r="E12" s="12" t="s">
        <v>76</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469</v>
      </c>
      <c r="B1" s="9"/>
      <c r="D1" s="9" t="s">
        <v>470</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78</v>
      </c>
      <c r="D3" s="11" t="s">
        <v>204</v>
      </c>
      <c r="E3" s="12" t="s">
        <v>78</v>
      </c>
    </row>
    <row r="4" customFormat="false" ht="21.75" hidden="false" customHeight="true" outlineLevel="0" collapsed="false">
      <c r="A4" s="11" t="s">
        <v>205</v>
      </c>
      <c r="B4" s="12" t="s">
        <v>79</v>
      </c>
      <c r="D4" s="11" t="s">
        <v>206</v>
      </c>
      <c r="E4" s="12" t="s">
        <v>171</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03.5" hidden="false" customHeight="true" outlineLevel="0" collapsed="false">
      <c r="A8" s="11" t="s">
        <v>215</v>
      </c>
      <c r="B8" s="12" t="s">
        <v>471</v>
      </c>
      <c r="D8" s="11" t="s">
        <v>217</v>
      </c>
      <c r="E8" s="12" t="s">
        <v>472</v>
      </c>
    </row>
    <row r="9" customFormat="false" ht="234" hidden="false" customHeight="true" outlineLevel="0" collapsed="false">
      <c r="A9" s="11" t="s">
        <v>219</v>
      </c>
      <c r="B9" s="12" t="s">
        <v>473</v>
      </c>
      <c r="D9" s="11" t="s">
        <v>221</v>
      </c>
      <c r="E9" s="12" t="s">
        <v>474</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475</v>
      </c>
      <c r="D11" s="11" t="s">
        <v>225</v>
      </c>
      <c r="E11" s="12" t="s">
        <v>475</v>
      </c>
    </row>
    <row r="12" customFormat="false" ht="21.75" hidden="false" customHeight="true" outlineLevel="0" collapsed="false">
      <c r="A12" s="11" t="s">
        <v>227</v>
      </c>
      <c r="B12" s="12" t="s">
        <v>78</v>
      </c>
      <c r="D12" s="11" t="s">
        <v>228</v>
      </c>
      <c r="E12" s="12" t="s">
        <v>78</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476</v>
      </c>
      <c r="B1" s="9"/>
      <c r="D1" s="9" t="s">
        <v>477</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81</v>
      </c>
      <c r="D3" s="11" t="s">
        <v>204</v>
      </c>
      <c r="E3" s="12" t="s">
        <v>81</v>
      </c>
    </row>
    <row r="4" customFormat="false" ht="21.75" hidden="false" customHeight="true" outlineLevel="0" collapsed="false">
      <c r="A4" s="11" t="s">
        <v>205</v>
      </c>
      <c r="B4" s="12" t="s">
        <v>82</v>
      </c>
      <c r="D4" s="11" t="s">
        <v>206</v>
      </c>
      <c r="E4" s="12" t="s">
        <v>172</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478</v>
      </c>
      <c r="D8" s="11" t="s">
        <v>217</v>
      </c>
      <c r="E8" s="12" t="s">
        <v>479</v>
      </c>
    </row>
    <row r="9" customFormat="false" ht="129.75" hidden="false" customHeight="true" outlineLevel="0" collapsed="false">
      <c r="A9" s="11" t="s">
        <v>219</v>
      </c>
      <c r="B9" s="12" t="s">
        <v>480</v>
      </c>
      <c r="D9" s="11" t="s">
        <v>221</v>
      </c>
      <c r="E9" s="12" t="s">
        <v>481</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482</v>
      </c>
      <c r="D11" s="11" t="s">
        <v>225</v>
      </c>
      <c r="E11" s="12" t="s">
        <v>482</v>
      </c>
    </row>
    <row r="12" customFormat="false" ht="21.75" hidden="false" customHeight="true" outlineLevel="0" collapsed="false">
      <c r="A12" s="11" t="s">
        <v>227</v>
      </c>
      <c r="B12" s="12" t="s">
        <v>81</v>
      </c>
      <c r="D12" s="11" t="s">
        <v>228</v>
      </c>
      <c r="E12" s="12" t="s">
        <v>81</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483</v>
      </c>
      <c r="B1" s="9"/>
      <c r="D1" s="9" t="s">
        <v>484</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84</v>
      </c>
      <c r="D3" s="11" t="s">
        <v>204</v>
      </c>
      <c r="E3" s="12" t="s">
        <v>84</v>
      </c>
    </row>
    <row r="4" customFormat="false" ht="21.75" hidden="false" customHeight="true" outlineLevel="0" collapsed="false">
      <c r="A4" s="11" t="s">
        <v>205</v>
      </c>
      <c r="B4" s="12" t="s">
        <v>85</v>
      </c>
      <c r="D4" s="11" t="s">
        <v>206</v>
      </c>
      <c r="E4" s="12" t="s">
        <v>173</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485</v>
      </c>
      <c r="D8" s="11" t="s">
        <v>217</v>
      </c>
      <c r="E8" s="12" t="s">
        <v>486</v>
      </c>
    </row>
    <row r="9" customFormat="false" ht="259.5" hidden="false" customHeight="true" outlineLevel="0" collapsed="false">
      <c r="A9" s="11" t="s">
        <v>219</v>
      </c>
      <c r="B9" s="12" t="s">
        <v>487</v>
      </c>
      <c r="D9" s="11" t="s">
        <v>221</v>
      </c>
      <c r="E9" s="12" t="s">
        <v>488</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489</v>
      </c>
      <c r="D11" s="11" t="s">
        <v>225</v>
      </c>
      <c r="E11" s="12" t="s">
        <v>489</v>
      </c>
    </row>
    <row r="12" customFormat="false" ht="21.75" hidden="false" customHeight="true" outlineLevel="0" collapsed="false">
      <c r="A12" s="11" t="s">
        <v>227</v>
      </c>
      <c r="B12" s="12" t="s">
        <v>84</v>
      </c>
      <c r="D12" s="11" t="s">
        <v>228</v>
      </c>
      <c r="E12" s="12" t="s">
        <v>84</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490</v>
      </c>
      <c r="B1" s="9"/>
      <c r="D1" s="9" t="s">
        <v>491</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86</v>
      </c>
      <c r="D3" s="11" t="s">
        <v>204</v>
      </c>
      <c r="E3" s="12" t="s">
        <v>86</v>
      </c>
    </row>
    <row r="4" customFormat="false" ht="21.75" hidden="false" customHeight="true" outlineLevel="0" collapsed="false">
      <c r="A4" s="11" t="s">
        <v>205</v>
      </c>
      <c r="B4" s="12" t="s">
        <v>87</v>
      </c>
      <c r="D4" s="11" t="s">
        <v>206</v>
      </c>
      <c r="E4" s="12" t="s">
        <v>174</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492</v>
      </c>
      <c r="D8" s="11" t="s">
        <v>217</v>
      </c>
      <c r="E8" s="12" t="s">
        <v>493</v>
      </c>
    </row>
    <row r="9" customFormat="false" ht="90.75" hidden="false" customHeight="true" outlineLevel="0" collapsed="false">
      <c r="A9" s="11" t="s">
        <v>219</v>
      </c>
      <c r="B9" s="12" t="s">
        <v>494</v>
      </c>
      <c r="D9" s="11" t="s">
        <v>221</v>
      </c>
      <c r="E9" s="12" t="s">
        <v>495</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496</v>
      </c>
      <c r="D11" s="11" t="s">
        <v>225</v>
      </c>
      <c r="E11" s="12" t="s">
        <v>496</v>
      </c>
    </row>
    <row r="12" customFormat="false" ht="21.75" hidden="false" customHeight="true" outlineLevel="0" collapsed="false">
      <c r="A12" s="11" t="s">
        <v>227</v>
      </c>
      <c r="B12" s="12" t="s">
        <v>86</v>
      </c>
      <c r="D12" s="11" t="s">
        <v>228</v>
      </c>
      <c r="E12" s="12" t="s">
        <v>86</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497</v>
      </c>
      <c r="B1" s="9"/>
      <c r="D1" s="9" t="s">
        <v>498</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88</v>
      </c>
      <c r="D3" s="11" t="s">
        <v>204</v>
      </c>
      <c r="E3" s="12" t="s">
        <v>88</v>
      </c>
    </row>
    <row r="4" customFormat="false" ht="21.75" hidden="false" customHeight="true" outlineLevel="0" collapsed="false">
      <c r="A4" s="11" t="s">
        <v>205</v>
      </c>
      <c r="B4" s="12" t="s">
        <v>89</v>
      </c>
      <c r="D4" s="11" t="s">
        <v>206</v>
      </c>
      <c r="E4" s="12" t="s">
        <v>175</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499</v>
      </c>
      <c r="D8" s="11" t="s">
        <v>217</v>
      </c>
      <c r="E8" s="12" t="s">
        <v>500</v>
      </c>
    </row>
    <row r="9" customFormat="false" ht="300" hidden="false" customHeight="true" outlineLevel="0" collapsed="false">
      <c r="A9" s="11" t="s">
        <v>219</v>
      </c>
      <c r="B9" s="12" t="s">
        <v>501</v>
      </c>
      <c r="D9" s="11" t="s">
        <v>221</v>
      </c>
      <c r="E9" s="12" t="s">
        <v>502</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503</v>
      </c>
      <c r="D11" s="11" t="s">
        <v>225</v>
      </c>
      <c r="E11" s="12" t="s">
        <v>503</v>
      </c>
    </row>
    <row r="12" customFormat="false" ht="21.75" hidden="false" customHeight="true" outlineLevel="0" collapsed="false">
      <c r="A12" s="11" t="s">
        <v>227</v>
      </c>
      <c r="B12" s="12" t="s">
        <v>88</v>
      </c>
      <c r="D12" s="11" t="s">
        <v>228</v>
      </c>
      <c r="E12" s="12" t="s">
        <v>88</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504</v>
      </c>
      <c r="B1" s="9"/>
      <c r="D1" s="9" t="s">
        <v>505</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91</v>
      </c>
      <c r="D3" s="11" t="s">
        <v>204</v>
      </c>
      <c r="E3" s="12" t="s">
        <v>91</v>
      </c>
    </row>
    <row r="4" customFormat="false" ht="21.75" hidden="false" customHeight="true" outlineLevel="0" collapsed="false">
      <c r="A4" s="11" t="s">
        <v>205</v>
      </c>
      <c r="B4" s="12" t="s">
        <v>89</v>
      </c>
      <c r="D4" s="11" t="s">
        <v>206</v>
      </c>
      <c r="E4" s="12" t="s">
        <v>175</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506</v>
      </c>
      <c r="D8" s="11" t="s">
        <v>217</v>
      </c>
      <c r="E8" s="12" t="s">
        <v>507</v>
      </c>
    </row>
    <row r="9" customFormat="false" ht="64.5" hidden="false" customHeight="true" outlineLevel="0" collapsed="false">
      <c r="A9" s="11" t="s">
        <v>219</v>
      </c>
      <c r="B9" s="12" t="s">
        <v>508</v>
      </c>
      <c r="D9" s="11" t="s">
        <v>221</v>
      </c>
      <c r="E9" s="12" t="s">
        <v>509</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510</v>
      </c>
      <c r="D11" s="11" t="s">
        <v>225</v>
      </c>
      <c r="E11" s="12" t="s">
        <v>510</v>
      </c>
    </row>
    <row r="12" customFormat="false" ht="21.75" hidden="false" customHeight="true" outlineLevel="0" collapsed="false">
      <c r="A12" s="11" t="s">
        <v>227</v>
      </c>
      <c r="B12" s="12" t="s">
        <v>91</v>
      </c>
      <c r="D12" s="11" t="s">
        <v>228</v>
      </c>
      <c r="E12" s="12" t="s">
        <v>91</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511</v>
      </c>
      <c r="B1" s="9"/>
      <c r="D1" s="9" t="s">
        <v>512</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93</v>
      </c>
      <c r="D3" s="11" t="s">
        <v>204</v>
      </c>
      <c r="E3" s="12" t="s">
        <v>93</v>
      </c>
    </row>
    <row r="4" customFormat="false" ht="21.75" hidden="false" customHeight="true" outlineLevel="0" collapsed="false">
      <c r="A4" s="11" t="s">
        <v>205</v>
      </c>
      <c r="B4" s="12" t="s">
        <v>94</v>
      </c>
      <c r="D4" s="11" t="s">
        <v>206</v>
      </c>
      <c r="E4" s="12" t="s">
        <v>176</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513</v>
      </c>
      <c r="D8" s="11" t="s">
        <v>217</v>
      </c>
      <c r="E8" s="12" t="s">
        <v>514</v>
      </c>
    </row>
    <row r="9" customFormat="false" ht="300" hidden="false" customHeight="true" outlineLevel="0" collapsed="false">
      <c r="A9" s="11" t="s">
        <v>219</v>
      </c>
      <c r="B9" s="12" t="s">
        <v>515</v>
      </c>
      <c r="D9" s="11" t="s">
        <v>221</v>
      </c>
      <c r="E9" s="12" t="s">
        <v>516</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517</v>
      </c>
      <c r="D11" s="11" t="s">
        <v>225</v>
      </c>
      <c r="E11" s="12" t="s">
        <v>517</v>
      </c>
    </row>
    <row r="12" customFormat="false" ht="21.75" hidden="false" customHeight="true" outlineLevel="0" collapsed="false">
      <c r="A12" s="11" t="s">
        <v>227</v>
      </c>
      <c r="B12" s="12" t="s">
        <v>93</v>
      </c>
      <c r="D12" s="11" t="s">
        <v>228</v>
      </c>
      <c r="E12" s="12" t="s">
        <v>93</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518</v>
      </c>
      <c r="B1" s="9"/>
      <c r="D1" s="9" t="s">
        <v>519</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95</v>
      </c>
      <c r="D3" s="11" t="s">
        <v>204</v>
      </c>
      <c r="E3" s="12" t="s">
        <v>95</v>
      </c>
    </row>
    <row r="4" customFormat="false" ht="21.75" hidden="false" customHeight="true" outlineLevel="0" collapsed="false">
      <c r="A4" s="11" t="s">
        <v>205</v>
      </c>
      <c r="B4" s="12" t="s">
        <v>94</v>
      </c>
      <c r="D4" s="11" t="s">
        <v>206</v>
      </c>
      <c r="E4" s="12" t="s">
        <v>176</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29.75" hidden="false" customHeight="true" outlineLevel="0" collapsed="false">
      <c r="A8" s="11" t="s">
        <v>215</v>
      </c>
      <c r="B8" s="12" t="s">
        <v>520</v>
      </c>
      <c r="D8" s="11" t="s">
        <v>217</v>
      </c>
      <c r="E8" s="12" t="s">
        <v>521</v>
      </c>
    </row>
    <row r="9" customFormat="false" ht="103.5" hidden="false" customHeight="true" outlineLevel="0" collapsed="false">
      <c r="A9" s="11" t="s">
        <v>219</v>
      </c>
      <c r="B9" s="12" t="s">
        <v>522</v>
      </c>
      <c r="D9" s="11" t="s">
        <v>221</v>
      </c>
      <c r="E9" s="12" t="s">
        <v>523</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524</v>
      </c>
      <c r="D11" s="11" t="s">
        <v>225</v>
      </c>
      <c r="E11" s="12" t="s">
        <v>524</v>
      </c>
    </row>
    <row r="12" customFormat="false" ht="21.75" hidden="false" customHeight="true" outlineLevel="0" collapsed="false">
      <c r="A12" s="11" t="s">
        <v>227</v>
      </c>
      <c r="B12" s="12" t="s">
        <v>95</v>
      </c>
      <c r="D12" s="11" t="s">
        <v>228</v>
      </c>
      <c r="E12" s="12" t="s">
        <v>95</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525</v>
      </c>
      <c r="B1" s="9"/>
      <c r="D1" s="9" t="s">
        <v>526</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97</v>
      </c>
      <c r="D3" s="11" t="s">
        <v>204</v>
      </c>
      <c r="E3" s="12" t="s">
        <v>97</v>
      </c>
    </row>
    <row r="4" customFormat="false" ht="21.75" hidden="false" customHeight="true" outlineLevel="0" collapsed="false">
      <c r="A4" s="11" t="s">
        <v>205</v>
      </c>
      <c r="B4" s="12" t="s">
        <v>98</v>
      </c>
      <c r="D4" s="11" t="s">
        <v>206</v>
      </c>
      <c r="E4" s="12" t="s">
        <v>177</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527</v>
      </c>
      <c r="D8" s="11" t="s">
        <v>217</v>
      </c>
      <c r="E8" s="12" t="s">
        <v>528</v>
      </c>
    </row>
    <row r="9" customFormat="false" ht="117" hidden="false" customHeight="true" outlineLevel="0" collapsed="false">
      <c r="A9" s="11" t="s">
        <v>219</v>
      </c>
      <c r="B9" s="12" t="s">
        <v>529</v>
      </c>
      <c r="D9" s="11" t="s">
        <v>221</v>
      </c>
      <c r="E9" s="12" t="s">
        <v>530</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531</v>
      </c>
      <c r="D11" s="11" t="s">
        <v>225</v>
      </c>
      <c r="E11" s="12" t="s">
        <v>531</v>
      </c>
    </row>
    <row r="12" customFormat="false" ht="21.75" hidden="false" customHeight="true" outlineLevel="0" collapsed="false">
      <c r="A12" s="11" t="s">
        <v>227</v>
      </c>
      <c r="B12" s="12" t="s">
        <v>97</v>
      </c>
      <c r="D12" s="11" t="s">
        <v>228</v>
      </c>
      <c r="E12" s="12" t="s">
        <v>97</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532</v>
      </c>
      <c r="B1" s="9"/>
      <c r="D1" s="9" t="s">
        <v>533</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99</v>
      </c>
      <c r="D3" s="11" t="s">
        <v>204</v>
      </c>
      <c r="E3" s="12" t="s">
        <v>99</v>
      </c>
    </row>
    <row r="4" customFormat="false" ht="21.75" hidden="false" customHeight="true" outlineLevel="0" collapsed="false">
      <c r="A4" s="11" t="s">
        <v>205</v>
      </c>
      <c r="B4" s="12" t="s">
        <v>100</v>
      </c>
      <c r="D4" s="11" t="s">
        <v>206</v>
      </c>
      <c r="E4" s="12" t="s">
        <v>178</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534</v>
      </c>
      <c r="D8" s="11" t="s">
        <v>217</v>
      </c>
      <c r="E8" s="12" t="s">
        <v>535</v>
      </c>
    </row>
    <row r="9" customFormat="false" ht="234" hidden="false" customHeight="true" outlineLevel="0" collapsed="false">
      <c r="A9" s="11" t="s">
        <v>219</v>
      </c>
      <c r="B9" s="12" t="s">
        <v>536</v>
      </c>
      <c r="D9" s="11" t="s">
        <v>221</v>
      </c>
      <c r="E9" s="12" t="s">
        <v>537</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538</v>
      </c>
      <c r="D11" s="11" t="s">
        <v>225</v>
      </c>
      <c r="E11" s="12" t="s">
        <v>538</v>
      </c>
    </row>
    <row r="12" customFormat="false" ht="21.75" hidden="false" customHeight="true" outlineLevel="0" collapsed="false">
      <c r="A12" s="11" t="s">
        <v>227</v>
      </c>
      <c r="B12" s="12" t="s">
        <v>99</v>
      </c>
      <c r="D12" s="11" t="s">
        <v>228</v>
      </c>
      <c r="E12" s="12" t="s">
        <v>99</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539</v>
      </c>
      <c r="B1" s="9"/>
      <c r="D1" s="9" t="s">
        <v>540</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101</v>
      </c>
      <c r="D3" s="11" t="s">
        <v>204</v>
      </c>
      <c r="E3" s="12" t="s">
        <v>101</v>
      </c>
    </row>
    <row r="4" customFormat="false" ht="21.75" hidden="false" customHeight="true" outlineLevel="0" collapsed="false">
      <c r="A4" s="11" t="s">
        <v>205</v>
      </c>
      <c r="B4" s="12" t="s">
        <v>102</v>
      </c>
      <c r="D4" s="11" t="s">
        <v>206</v>
      </c>
      <c r="E4" s="12" t="s">
        <v>179</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78" hidden="false" customHeight="true" outlineLevel="0" collapsed="false">
      <c r="A8" s="11" t="s">
        <v>215</v>
      </c>
      <c r="B8" s="12" t="s">
        <v>541</v>
      </c>
      <c r="D8" s="11" t="s">
        <v>217</v>
      </c>
      <c r="E8" s="12" t="s">
        <v>542</v>
      </c>
    </row>
    <row r="9" customFormat="false" ht="168.75" hidden="false" customHeight="true" outlineLevel="0" collapsed="false">
      <c r="A9" s="11" t="s">
        <v>219</v>
      </c>
      <c r="B9" s="12" t="s">
        <v>543</v>
      </c>
      <c r="D9" s="11" t="s">
        <v>221</v>
      </c>
      <c r="E9" s="12" t="s">
        <v>544</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545</v>
      </c>
      <c r="D11" s="11" t="s">
        <v>225</v>
      </c>
      <c r="E11" s="12" t="s">
        <v>545</v>
      </c>
    </row>
    <row r="12" customFormat="false" ht="21.75" hidden="false" customHeight="true" outlineLevel="0" collapsed="false">
      <c r="A12" s="11" t="s">
        <v>227</v>
      </c>
      <c r="B12" s="12" t="s">
        <v>101</v>
      </c>
      <c r="D12" s="11" t="s">
        <v>228</v>
      </c>
      <c r="E12" s="12" t="s">
        <v>101</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546</v>
      </c>
      <c r="B1" s="9"/>
      <c r="D1" s="9" t="s">
        <v>547</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103</v>
      </c>
      <c r="D3" s="11" t="s">
        <v>204</v>
      </c>
      <c r="E3" s="12" t="s">
        <v>103</v>
      </c>
    </row>
    <row r="4" customFormat="false" ht="21.75" hidden="false" customHeight="true" outlineLevel="0" collapsed="false">
      <c r="A4" s="11" t="s">
        <v>205</v>
      </c>
      <c r="B4" s="12" t="s">
        <v>102</v>
      </c>
      <c r="D4" s="11" t="s">
        <v>206</v>
      </c>
      <c r="E4" s="12" t="s">
        <v>179</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548</v>
      </c>
      <c r="D8" s="11" t="s">
        <v>217</v>
      </c>
      <c r="E8" s="12" t="s">
        <v>549</v>
      </c>
    </row>
    <row r="9" customFormat="false" ht="45" hidden="false" customHeight="true" outlineLevel="0" collapsed="false">
      <c r="A9" s="11" t="s">
        <v>219</v>
      </c>
      <c r="B9" s="12"/>
      <c r="D9" s="11" t="s">
        <v>221</v>
      </c>
      <c r="E9" s="12"/>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550</v>
      </c>
      <c r="D11" s="11" t="s">
        <v>225</v>
      </c>
      <c r="E11" s="12" t="s">
        <v>550</v>
      </c>
    </row>
    <row r="12" customFormat="false" ht="21.75" hidden="false" customHeight="true" outlineLevel="0" collapsed="false">
      <c r="A12" s="11" t="s">
        <v>227</v>
      </c>
      <c r="B12" s="12" t="s">
        <v>103</v>
      </c>
      <c r="D12" s="11" t="s">
        <v>228</v>
      </c>
      <c r="E12" s="12" t="s">
        <v>103</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551</v>
      </c>
      <c r="B1" s="9"/>
      <c r="D1" s="9" t="s">
        <v>552</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105</v>
      </c>
      <c r="D3" s="11" t="s">
        <v>204</v>
      </c>
      <c r="E3" s="12" t="s">
        <v>105</v>
      </c>
    </row>
    <row r="4" customFormat="false" ht="21.75" hidden="false" customHeight="true" outlineLevel="0" collapsed="false">
      <c r="A4" s="11" t="s">
        <v>205</v>
      </c>
      <c r="B4" s="12" t="s">
        <v>102</v>
      </c>
      <c r="D4" s="11" t="s">
        <v>206</v>
      </c>
      <c r="E4" s="12" t="s">
        <v>179</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03.5" hidden="false" customHeight="true" outlineLevel="0" collapsed="false">
      <c r="A8" s="11" t="s">
        <v>215</v>
      </c>
      <c r="B8" s="12" t="s">
        <v>553</v>
      </c>
      <c r="D8" s="11" t="s">
        <v>217</v>
      </c>
      <c r="E8" s="12" t="s">
        <v>554</v>
      </c>
    </row>
    <row r="9" customFormat="false" ht="103.5" hidden="false" customHeight="true" outlineLevel="0" collapsed="false">
      <c r="A9" s="11" t="s">
        <v>219</v>
      </c>
      <c r="B9" s="12" t="s">
        <v>555</v>
      </c>
      <c r="D9" s="11" t="s">
        <v>221</v>
      </c>
      <c r="E9" s="12" t="s">
        <v>556</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557</v>
      </c>
      <c r="D11" s="11" t="s">
        <v>225</v>
      </c>
      <c r="E11" s="12" t="s">
        <v>557</v>
      </c>
    </row>
    <row r="12" customFormat="false" ht="21.75" hidden="false" customHeight="true" outlineLevel="0" collapsed="false">
      <c r="A12" s="11" t="s">
        <v>227</v>
      </c>
      <c r="B12" s="12" t="s">
        <v>105</v>
      </c>
      <c r="D12" s="11" t="s">
        <v>228</v>
      </c>
      <c r="E12" s="12" t="s">
        <v>105</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558</v>
      </c>
      <c r="B1" s="9"/>
      <c r="D1" s="9" t="s">
        <v>559</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107</v>
      </c>
      <c r="D3" s="11" t="s">
        <v>204</v>
      </c>
      <c r="E3" s="12" t="s">
        <v>107</v>
      </c>
    </row>
    <row r="4" customFormat="false" ht="21.75" hidden="false" customHeight="true" outlineLevel="0" collapsed="false">
      <c r="A4" s="11" t="s">
        <v>205</v>
      </c>
      <c r="B4" s="12" t="s">
        <v>108</v>
      </c>
      <c r="D4" s="11" t="s">
        <v>206</v>
      </c>
      <c r="E4" s="12" t="s">
        <v>180</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560</v>
      </c>
      <c r="D8" s="11" t="s">
        <v>217</v>
      </c>
      <c r="E8" s="12" t="s">
        <v>561</v>
      </c>
    </row>
    <row r="9" customFormat="false" ht="117" hidden="false" customHeight="true" outlineLevel="0" collapsed="false">
      <c r="A9" s="11" t="s">
        <v>219</v>
      </c>
      <c r="B9" s="12" t="s">
        <v>562</v>
      </c>
      <c r="D9" s="11" t="s">
        <v>221</v>
      </c>
      <c r="E9" s="12" t="s">
        <v>563</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564</v>
      </c>
      <c r="D11" s="11" t="s">
        <v>225</v>
      </c>
      <c r="E11" s="12" t="s">
        <v>564</v>
      </c>
    </row>
    <row r="12" customFormat="false" ht="21.75" hidden="false" customHeight="true" outlineLevel="0" collapsed="false">
      <c r="A12" s="11" t="s">
        <v>227</v>
      </c>
      <c r="B12" s="12" t="s">
        <v>107</v>
      </c>
      <c r="D12" s="11" t="s">
        <v>228</v>
      </c>
      <c r="E12" s="12" t="s">
        <v>107</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565</v>
      </c>
      <c r="B1" s="9"/>
      <c r="D1" s="9" t="s">
        <v>566</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109</v>
      </c>
      <c r="D3" s="11" t="s">
        <v>204</v>
      </c>
      <c r="E3" s="12" t="s">
        <v>109</v>
      </c>
    </row>
    <row r="4" customFormat="false" ht="21.75" hidden="false" customHeight="true" outlineLevel="0" collapsed="false">
      <c r="A4" s="11" t="s">
        <v>205</v>
      </c>
      <c r="B4" s="12" t="s">
        <v>108</v>
      </c>
      <c r="D4" s="11" t="s">
        <v>206</v>
      </c>
      <c r="E4" s="12" t="s">
        <v>180</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567</v>
      </c>
      <c r="D8" s="11" t="s">
        <v>217</v>
      </c>
      <c r="E8" s="12" t="s">
        <v>568</v>
      </c>
    </row>
    <row r="9" customFormat="false" ht="45" hidden="false" customHeight="true" outlineLevel="0" collapsed="false">
      <c r="A9" s="11" t="s">
        <v>219</v>
      </c>
      <c r="B9" s="12" t="s">
        <v>569</v>
      </c>
      <c r="D9" s="11" t="s">
        <v>221</v>
      </c>
      <c r="E9" s="12" t="s">
        <v>570</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571</v>
      </c>
      <c r="D11" s="11" t="s">
        <v>225</v>
      </c>
      <c r="E11" s="12" t="s">
        <v>571</v>
      </c>
    </row>
    <row r="12" customFormat="false" ht="21.75" hidden="false" customHeight="true" outlineLevel="0" collapsed="false">
      <c r="A12" s="11" t="s">
        <v>227</v>
      </c>
      <c r="B12" s="12" t="s">
        <v>109</v>
      </c>
      <c r="D12" s="11" t="s">
        <v>228</v>
      </c>
      <c r="E12" s="12" t="s">
        <v>109</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572</v>
      </c>
      <c r="B1" s="9"/>
      <c r="D1" s="9" t="s">
        <v>573</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111</v>
      </c>
      <c r="D3" s="11" t="s">
        <v>204</v>
      </c>
      <c r="E3" s="12" t="s">
        <v>111</v>
      </c>
    </row>
    <row r="4" customFormat="false" ht="21.75" hidden="false" customHeight="true" outlineLevel="0" collapsed="false">
      <c r="A4" s="11" t="s">
        <v>205</v>
      </c>
      <c r="B4" s="12" t="s">
        <v>112</v>
      </c>
      <c r="D4" s="11" t="s">
        <v>206</v>
      </c>
      <c r="E4" s="12" t="s">
        <v>181</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574</v>
      </c>
      <c r="D8" s="11" t="s">
        <v>217</v>
      </c>
      <c r="E8" s="12" t="s">
        <v>575</v>
      </c>
    </row>
    <row r="9" customFormat="false" ht="259.5" hidden="false" customHeight="true" outlineLevel="0" collapsed="false">
      <c r="A9" s="11" t="s">
        <v>219</v>
      </c>
      <c r="B9" s="12" t="s">
        <v>576</v>
      </c>
      <c r="D9" s="11" t="s">
        <v>221</v>
      </c>
      <c r="E9" s="12" t="s">
        <v>577</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578</v>
      </c>
      <c r="D11" s="11" t="s">
        <v>225</v>
      </c>
      <c r="E11" s="12" t="s">
        <v>578</v>
      </c>
    </row>
    <row r="12" customFormat="false" ht="21.75" hidden="false" customHeight="true" outlineLevel="0" collapsed="false">
      <c r="A12" s="11" t="s">
        <v>227</v>
      </c>
      <c r="B12" s="12" t="s">
        <v>111</v>
      </c>
      <c r="D12" s="11" t="s">
        <v>228</v>
      </c>
      <c r="E12" s="12" t="s">
        <v>111</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579</v>
      </c>
      <c r="B1" s="9"/>
      <c r="D1" s="9" t="s">
        <v>580</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113</v>
      </c>
      <c r="D3" s="11" t="s">
        <v>204</v>
      </c>
      <c r="E3" s="12" t="s">
        <v>113</v>
      </c>
    </row>
    <row r="4" customFormat="false" ht="21.75" hidden="false" customHeight="true" outlineLevel="0" collapsed="false">
      <c r="A4" s="11" t="s">
        <v>205</v>
      </c>
      <c r="B4" s="12" t="s">
        <v>112</v>
      </c>
      <c r="D4" s="11" t="s">
        <v>206</v>
      </c>
      <c r="E4" s="12" t="s">
        <v>181</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78" hidden="false" customHeight="true" outlineLevel="0" collapsed="false">
      <c r="A8" s="11" t="s">
        <v>215</v>
      </c>
      <c r="B8" s="12" t="s">
        <v>581</v>
      </c>
      <c r="D8" s="11" t="s">
        <v>217</v>
      </c>
      <c r="E8" s="12" t="s">
        <v>582</v>
      </c>
    </row>
    <row r="9" customFormat="false" ht="207.75" hidden="false" customHeight="true" outlineLevel="0" collapsed="false">
      <c r="A9" s="11" t="s">
        <v>219</v>
      </c>
      <c r="B9" s="12" t="s">
        <v>583</v>
      </c>
      <c r="D9" s="11" t="s">
        <v>221</v>
      </c>
      <c r="E9" s="12" t="s">
        <v>584</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585</v>
      </c>
      <c r="D11" s="11" t="s">
        <v>225</v>
      </c>
      <c r="E11" s="12" t="s">
        <v>585</v>
      </c>
    </row>
    <row r="12" customFormat="false" ht="21.75" hidden="false" customHeight="true" outlineLevel="0" collapsed="false">
      <c r="A12" s="11" t="s">
        <v>227</v>
      </c>
      <c r="B12" s="12" t="s">
        <v>113</v>
      </c>
      <c r="D12" s="11" t="s">
        <v>228</v>
      </c>
      <c r="E12" s="12" t="s">
        <v>113</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586</v>
      </c>
      <c r="B1" s="9"/>
      <c r="D1" s="9" t="s">
        <v>587</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115</v>
      </c>
      <c r="D3" s="11" t="s">
        <v>204</v>
      </c>
      <c r="E3" s="12" t="s">
        <v>115</v>
      </c>
    </row>
    <row r="4" customFormat="false" ht="21.75" hidden="false" customHeight="true" outlineLevel="0" collapsed="false">
      <c r="A4" s="11" t="s">
        <v>205</v>
      </c>
      <c r="B4" s="12" t="s">
        <v>116</v>
      </c>
      <c r="D4" s="11" t="s">
        <v>206</v>
      </c>
      <c r="E4" s="12" t="s">
        <v>182</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588</v>
      </c>
      <c r="D8" s="11" t="s">
        <v>217</v>
      </c>
      <c r="E8" s="12" t="s">
        <v>589</v>
      </c>
    </row>
    <row r="9" customFormat="false" ht="156" hidden="false" customHeight="true" outlineLevel="0" collapsed="false">
      <c r="A9" s="11" t="s">
        <v>219</v>
      </c>
      <c r="B9" s="12" t="s">
        <v>590</v>
      </c>
      <c r="D9" s="11" t="s">
        <v>221</v>
      </c>
      <c r="E9" s="12" t="s">
        <v>591</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592</v>
      </c>
      <c r="D11" s="11" t="s">
        <v>225</v>
      </c>
      <c r="E11" s="12" t="s">
        <v>592</v>
      </c>
    </row>
    <row r="12" customFormat="false" ht="21.75" hidden="false" customHeight="true" outlineLevel="0" collapsed="false">
      <c r="A12" s="11" t="s">
        <v>227</v>
      </c>
      <c r="B12" s="12" t="s">
        <v>115</v>
      </c>
      <c r="D12" s="11" t="s">
        <v>228</v>
      </c>
      <c r="E12" s="12" t="s">
        <v>115</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593</v>
      </c>
      <c r="B1" s="9"/>
      <c r="D1" s="9" t="s">
        <v>594</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117</v>
      </c>
      <c r="D3" s="11" t="s">
        <v>204</v>
      </c>
      <c r="E3" s="12" t="s">
        <v>117</v>
      </c>
    </row>
    <row r="4" customFormat="false" ht="21.75" hidden="false" customHeight="true" outlineLevel="0" collapsed="false">
      <c r="A4" s="11" t="s">
        <v>205</v>
      </c>
      <c r="B4" s="12" t="s">
        <v>118</v>
      </c>
      <c r="D4" s="11" t="s">
        <v>206</v>
      </c>
      <c r="E4" s="12" t="s">
        <v>183</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595</v>
      </c>
      <c r="D8" s="11" t="s">
        <v>217</v>
      </c>
      <c r="E8" s="12" t="s">
        <v>596</v>
      </c>
    </row>
    <row r="9" customFormat="false" ht="78" hidden="false" customHeight="true" outlineLevel="0" collapsed="false">
      <c r="A9" s="11" t="s">
        <v>219</v>
      </c>
      <c r="B9" s="12" t="s">
        <v>597</v>
      </c>
      <c r="D9" s="11" t="s">
        <v>221</v>
      </c>
      <c r="E9" s="12" t="s">
        <v>598</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599</v>
      </c>
      <c r="D11" s="11" t="s">
        <v>225</v>
      </c>
      <c r="E11" s="12" t="s">
        <v>599</v>
      </c>
    </row>
    <row r="12" customFormat="false" ht="21.75" hidden="false" customHeight="true" outlineLevel="0" collapsed="false">
      <c r="A12" s="11" t="s">
        <v>227</v>
      </c>
      <c r="B12" s="12" t="s">
        <v>117</v>
      </c>
      <c r="D12" s="11" t="s">
        <v>228</v>
      </c>
      <c r="E12" s="12" t="s">
        <v>117</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600</v>
      </c>
      <c r="B1" s="9"/>
      <c r="D1" s="9" t="s">
        <v>601</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120</v>
      </c>
      <c r="D3" s="11" t="s">
        <v>204</v>
      </c>
      <c r="E3" s="12" t="s">
        <v>120</v>
      </c>
    </row>
    <row r="4" customFormat="false" ht="21.75" hidden="false" customHeight="true" outlineLevel="0" collapsed="false">
      <c r="A4" s="11" t="s">
        <v>205</v>
      </c>
      <c r="B4" s="12" t="s">
        <v>118</v>
      </c>
      <c r="D4" s="11" t="s">
        <v>206</v>
      </c>
      <c r="E4" s="12" t="s">
        <v>183</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602</v>
      </c>
      <c r="D8" s="11" t="s">
        <v>217</v>
      </c>
      <c r="E8" s="12" t="s">
        <v>603</v>
      </c>
    </row>
    <row r="9" customFormat="false" ht="117" hidden="false" customHeight="true" outlineLevel="0" collapsed="false">
      <c r="A9" s="11" t="s">
        <v>219</v>
      </c>
      <c r="B9" s="12" t="s">
        <v>604</v>
      </c>
      <c r="D9" s="11" t="s">
        <v>221</v>
      </c>
      <c r="E9" s="12" t="s">
        <v>605</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606</v>
      </c>
      <c r="D11" s="11" t="s">
        <v>225</v>
      </c>
      <c r="E11" s="12" t="s">
        <v>606</v>
      </c>
    </row>
    <row r="12" customFormat="false" ht="21.75" hidden="false" customHeight="true" outlineLevel="0" collapsed="false">
      <c r="A12" s="11" t="s">
        <v>227</v>
      </c>
      <c r="B12" s="12" t="s">
        <v>120</v>
      </c>
      <c r="D12" s="11" t="s">
        <v>228</v>
      </c>
      <c r="E12" s="12" t="s">
        <v>120</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607</v>
      </c>
      <c r="B1" s="9"/>
      <c r="D1" s="9" t="s">
        <v>608</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122</v>
      </c>
      <c r="D3" s="11" t="s">
        <v>204</v>
      </c>
      <c r="E3" s="12" t="s">
        <v>122</v>
      </c>
    </row>
    <row r="4" customFormat="false" ht="21.75" hidden="false" customHeight="true" outlineLevel="0" collapsed="false">
      <c r="A4" s="11" t="s">
        <v>205</v>
      </c>
      <c r="B4" s="12" t="s">
        <v>118</v>
      </c>
      <c r="D4" s="11" t="s">
        <v>206</v>
      </c>
      <c r="E4" s="12" t="s">
        <v>183</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609</v>
      </c>
      <c r="D8" s="11" t="s">
        <v>217</v>
      </c>
      <c r="E8" s="12" t="s">
        <v>610</v>
      </c>
    </row>
    <row r="9" customFormat="false" ht="78" hidden="false" customHeight="true" outlineLevel="0" collapsed="false">
      <c r="A9" s="11" t="s">
        <v>219</v>
      </c>
      <c r="B9" s="12" t="s">
        <v>611</v>
      </c>
      <c r="D9" s="11" t="s">
        <v>221</v>
      </c>
      <c r="E9" s="12" t="s">
        <v>612</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613</v>
      </c>
      <c r="D11" s="11" t="s">
        <v>225</v>
      </c>
      <c r="E11" s="12" t="s">
        <v>613</v>
      </c>
    </row>
    <row r="12" customFormat="false" ht="21.75" hidden="false" customHeight="true" outlineLevel="0" collapsed="false">
      <c r="A12" s="11" t="s">
        <v>227</v>
      </c>
      <c r="B12" s="12" t="s">
        <v>122</v>
      </c>
      <c r="D12" s="11" t="s">
        <v>228</v>
      </c>
      <c r="E12" s="12" t="s">
        <v>122</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614</v>
      </c>
      <c r="B1" s="9"/>
      <c r="D1" s="9" t="s">
        <v>615</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124</v>
      </c>
      <c r="D3" s="11" t="s">
        <v>204</v>
      </c>
      <c r="E3" s="12" t="s">
        <v>124</v>
      </c>
    </row>
    <row r="4" customFormat="false" ht="21.75" hidden="false" customHeight="true" outlineLevel="0" collapsed="false">
      <c r="A4" s="11" t="s">
        <v>205</v>
      </c>
      <c r="B4" s="12" t="s">
        <v>125</v>
      </c>
      <c r="D4" s="11" t="s">
        <v>206</v>
      </c>
      <c r="E4" s="12" t="s">
        <v>184</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142.5" hidden="false" customHeight="true" outlineLevel="0" collapsed="false">
      <c r="A8" s="11" t="s">
        <v>215</v>
      </c>
      <c r="B8" s="12" t="s">
        <v>616</v>
      </c>
      <c r="D8" s="11" t="s">
        <v>217</v>
      </c>
      <c r="E8" s="12" t="s">
        <v>617</v>
      </c>
    </row>
    <row r="9" customFormat="false" ht="90.75" hidden="false" customHeight="true" outlineLevel="0" collapsed="false">
      <c r="A9" s="11" t="s">
        <v>219</v>
      </c>
      <c r="B9" s="12" t="s">
        <v>618</v>
      </c>
      <c r="D9" s="11" t="s">
        <v>221</v>
      </c>
      <c r="E9" s="12" t="s">
        <v>619</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620</v>
      </c>
      <c r="D11" s="11" t="s">
        <v>225</v>
      </c>
      <c r="E11" s="12" t="s">
        <v>620</v>
      </c>
    </row>
    <row r="12" customFormat="false" ht="21.75" hidden="false" customHeight="true" outlineLevel="0" collapsed="false">
      <c r="A12" s="11" t="s">
        <v>227</v>
      </c>
      <c r="B12" s="12" t="s">
        <v>124</v>
      </c>
      <c r="D12" s="11" t="s">
        <v>228</v>
      </c>
      <c r="E12" s="12" t="s">
        <v>124</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621</v>
      </c>
      <c r="B1" s="9"/>
      <c r="D1" s="9" t="s">
        <v>622</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126</v>
      </c>
      <c r="D3" s="11" t="s">
        <v>204</v>
      </c>
      <c r="E3" s="12" t="s">
        <v>126</v>
      </c>
    </row>
    <row r="4" customFormat="false" ht="21.75" hidden="false" customHeight="true" outlineLevel="0" collapsed="false">
      <c r="A4" s="11" t="s">
        <v>205</v>
      </c>
      <c r="B4" s="12" t="s">
        <v>127</v>
      </c>
      <c r="D4" s="11" t="s">
        <v>206</v>
      </c>
      <c r="E4" s="12" t="s">
        <v>185</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623</v>
      </c>
      <c r="D8" s="11" t="s">
        <v>217</v>
      </c>
      <c r="E8" s="12" t="s">
        <v>624</v>
      </c>
    </row>
    <row r="9" customFormat="false" ht="168.75" hidden="false" customHeight="true" outlineLevel="0" collapsed="false">
      <c r="A9" s="11" t="s">
        <v>219</v>
      </c>
      <c r="B9" s="12" t="s">
        <v>625</v>
      </c>
      <c r="D9" s="11" t="s">
        <v>221</v>
      </c>
      <c r="E9" s="12" t="s">
        <v>626</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627</v>
      </c>
      <c r="D11" s="11" t="s">
        <v>225</v>
      </c>
      <c r="E11" s="12" t="s">
        <v>627</v>
      </c>
    </row>
    <row r="12" customFormat="false" ht="21.75" hidden="false" customHeight="true" outlineLevel="0" collapsed="false">
      <c r="A12" s="11" t="s">
        <v>227</v>
      </c>
      <c r="B12" s="12" t="s">
        <v>126</v>
      </c>
      <c r="D12" s="11" t="s">
        <v>228</v>
      </c>
      <c r="E12" s="12" t="s">
        <v>126</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628</v>
      </c>
      <c r="B1" s="9"/>
      <c r="D1" s="9" t="s">
        <v>629</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128</v>
      </c>
      <c r="D3" s="11" t="s">
        <v>204</v>
      </c>
      <c r="E3" s="12" t="s">
        <v>128</v>
      </c>
    </row>
    <row r="4" customFormat="false" ht="21.75" hidden="false" customHeight="true" outlineLevel="0" collapsed="false">
      <c r="A4" s="11" t="s">
        <v>205</v>
      </c>
      <c r="B4" s="12" t="s">
        <v>127</v>
      </c>
      <c r="D4" s="11" t="s">
        <v>206</v>
      </c>
      <c r="E4" s="12" t="s">
        <v>185</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51.75" hidden="false" customHeight="true" outlineLevel="0" collapsed="false">
      <c r="A8" s="11" t="s">
        <v>215</v>
      </c>
      <c r="B8" s="12" t="s">
        <v>630</v>
      </c>
      <c r="D8" s="11" t="s">
        <v>217</v>
      </c>
      <c r="E8" s="12" t="s">
        <v>631</v>
      </c>
    </row>
    <row r="9" customFormat="false" ht="78" hidden="false" customHeight="true" outlineLevel="0" collapsed="false">
      <c r="A9" s="11" t="s">
        <v>219</v>
      </c>
      <c r="B9" s="12" t="s">
        <v>632</v>
      </c>
      <c r="D9" s="11" t="s">
        <v>221</v>
      </c>
      <c r="E9" s="12" t="s">
        <v>633</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634</v>
      </c>
      <c r="D11" s="11" t="s">
        <v>225</v>
      </c>
      <c r="E11" s="12" t="s">
        <v>634</v>
      </c>
    </row>
    <row r="12" customFormat="false" ht="21.75" hidden="false" customHeight="true" outlineLevel="0" collapsed="false">
      <c r="A12" s="11" t="s">
        <v>227</v>
      </c>
      <c r="B12" s="12" t="s">
        <v>128</v>
      </c>
      <c r="D12" s="11" t="s">
        <v>228</v>
      </c>
      <c r="E12" s="12" t="s">
        <v>128</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635</v>
      </c>
      <c r="B1" s="9"/>
      <c r="D1" s="9" t="s">
        <v>636</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130</v>
      </c>
      <c r="D3" s="11" t="s">
        <v>204</v>
      </c>
      <c r="E3" s="12" t="s">
        <v>130</v>
      </c>
    </row>
    <row r="4" customFormat="false" ht="21.75" hidden="false" customHeight="true" outlineLevel="0" collapsed="false">
      <c r="A4" s="11" t="s">
        <v>205</v>
      </c>
      <c r="B4" s="12" t="s">
        <v>131</v>
      </c>
      <c r="D4" s="11" t="s">
        <v>206</v>
      </c>
      <c r="E4" s="12" t="s">
        <v>186</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64.5" hidden="false" customHeight="true" outlineLevel="0" collapsed="false">
      <c r="A8" s="11" t="s">
        <v>215</v>
      </c>
      <c r="B8" s="12" t="s">
        <v>637</v>
      </c>
      <c r="D8" s="11" t="s">
        <v>217</v>
      </c>
      <c r="E8" s="12" t="s">
        <v>638</v>
      </c>
    </row>
    <row r="9" customFormat="false" ht="168.75" hidden="false" customHeight="true" outlineLevel="0" collapsed="false">
      <c r="A9" s="11" t="s">
        <v>219</v>
      </c>
      <c r="B9" s="12" t="s">
        <v>639</v>
      </c>
      <c r="D9" s="11" t="s">
        <v>221</v>
      </c>
      <c r="E9" s="12" t="s">
        <v>640</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641</v>
      </c>
      <c r="D11" s="11" t="s">
        <v>225</v>
      </c>
      <c r="E11" s="12" t="s">
        <v>641</v>
      </c>
    </row>
    <row r="12" customFormat="false" ht="21.75" hidden="false" customHeight="true" outlineLevel="0" collapsed="false">
      <c r="A12" s="11" t="s">
        <v>227</v>
      </c>
      <c r="B12" s="12" t="s">
        <v>130</v>
      </c>
      <c r="D12" s="11" t="s">
        <v>228</v>
      </c>
      <c r="E12" s="12" t="s">
        <v>130</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642</v>
      </c>
      <c r="B1" s="9"/>
      <c r="D1" s="9" t="s">
        <v>643</v>
      </c>
      <c r="E1" s="9"/>
    </row>
    <row r="2" customFormat="false" ht="19.5" hidden="false" customHeight="true" outlineLevel="0" collapsed="false">
      <c r="A2" s="10" t="s">
        <v>201</v>
      </c>
      <c r="B2" s="10"/>
      <c r="D2" s="10" t="s">
        <v>202</v>
      </c>
      <c r="E2" s="10"/>
    </row>
    <row r="3" customFormat="false" ht="21.75" hidden="false" customHeight="true" outlineLevel="0" collapsed="false">
      <c r="A3" s="11" t="s">
        <v>203</v>
      </c>
      <c r="B3" s="12" t="s">
        <v>132</v>
      </c>
      <c r="D3" s="11" t="s">
        <v>204</v>
      </c>
      <c r="E3" s="12" t="s">
        <v>132</v>
      </c>
    </row>
    <row r="4" customFormat="false" ht="21.75" hidden="false" customHeight="true" outlineLevel="0" collapsed="false">
      <c r="A4" s="11" t="s">
        <v>205</v>
      </c>
      <c r="B4" s="12" t="s">
        <v>133</v>
      </c>
      <c r="D4" s="11" t="s">
        <v>206</v>
      </c>
      <c r="E4" s="12" t="s">
        <v>187</v>
      </c>
    </row>
    <row r="5" customFormat="false" ht="21.75" hidden="false" customHeight="true" outlineLevel="0" collapsed="false">
      <c r="A5" s="11" t="s">
        <v>207</v>
      </c>
      <c r="B5" s="12" t="s">
        <v>208</v>
      </c>
      <c r="D5" s="11" t="s">
        <v>209</v>
      </c>
      <c r="E5" s="12" t="s">
        <v>210</v>
      </c>
    </row>
    <row r="6" customFormat="false" ht="21.75" hidden="false" customHeight="true" outlineLevel="0" collapsed="false">
      <c r="A6" s="11" t="s">
        <v>211</v>
      </c>
      <c r="B6" s="12"/>
      <c r="D6" s="11" t="s">
        <v>212</v>
      </c>
      <c r="E6" s="12"/>
    </row>
    <row r="7" customFormat="false" ht="21.75" hidden="false" customHeight="true" outlineLevel="0" collapsed="false">
      <c r="A7" s="11" t="s">
        <v>213</v>
      </c>
      <c r="B7" s="12"/>
      <c r="D7" s="11" t="s">
        <v>214</v>
      </c>
      <c r="E7" s="12"/>
    </row>
    <row r="8" customFormat="false" ht="45" hidden="false" customHeight="true" outlineLevel="0" collapsed="false">
      <c r="A8" s="11" t="s">
        <v>215</v>
      </c>
      <c r="B8" s="12" t="s">
        <v>644</v>
      </c>
      <c r="D8" s="11" t="s">
        <v>217</v>
      </c>
      <c r="E8" s="12" t="s">
        <v>645</v>
      </c>
    </row>
    <row r="9" customFormat="false" ht="103.5" hidden="false" customHeight="true" outlineLevel="0" collapsed="false">
      <c r="A9" s="11" t="s">
        <v>219</v>
      </c>
      <c r="B9" s="12" t="s">
        <v>646</v>
      </c>
      <c r="D9" s="11" t="s">
        <v>221</v>
      </c>
      <c r="E9" s="12" t="s">
        <v>647</v>
      </c>
    </row>
    <row r="10" customFormat="false" ht="19.5" hidden="false" customHeight="true" outlineLevel="0" collapsed="false">
      <c r="A10" s="10" t="s">
        <v>223</v>
      </c>
      <c r="B10" s="10"/>
      <c r="D10" s="10" t="s">
        <v>224</v>
      </c>
      <c r="E10" s="10"/>
    </row>
    <row r="11" customFormat="false" ht="21.75" hidden="false" customHeight="true" outlineLevel="0" collapsed="false">
      <c r="A11" s="11" t="s">
        <v>225</v>
      </c>
      <c r="B11" s="12" t="s">
        <v>648</v>
      </c>
      <c r="D11" s="11" t="s">
        <v>225</v>
      </c>
      <c r="E11" s="12" t="s">
        <v>648</v>
      </c>
    </row>
    <row r="12" customFormat="false" ht="21.75" hidden="false" customHeight="true" outlineLevel="0" collapsed="false">
      <c r="A12" s="11" t="s">
        <v>227</v>
      </c>
      <c r="B12" s="12" t="s">
        <v>132</v>
      </c>
      <c r="D12" s="11" t="s">
        <v>228</v>
      </c>
      <c r="E12" s="12" t="s">
        <v>132</v>
      </c>
    </row>
    <row r="13" customFormat="false" ht="21.75" hidden="false" customHeight="true" outlineLevel="0" collapsed="false">
      <c r="A13" s="11" t="s">
        <v>229</v>
      </c>
      <c r="B13" s="12"/>
      <c r="D13" s="11" t="s">
        <v>230</v>
      </c>
      <c r="E13" s="12"/>
    </row>
    <row r="14" customFormat="false" ht="54.75" hidden="false" customHeight="true" outlineLevel="0" collapsed="false">
      <c r="A14" s="11" t="s">
        <v>231</v>
      </c>
      <c r="B14" s="12"/>
      <c r="D14" s="11" t="s">
        <v>232</v>
      </c>
      <c r="E14" s="12"/>
    </row>
    <row r="15" customFormat="false" ht="54.75" hidden="false" customHeight="true" outlineLevel="0" collapsed="false">
      <c r="A15" s="11" t="s">
        <v>233</v>
      </c>
      <c r="B15" s="12"/>
      <c r="D15" s="11" t="s">
        <v>234</v>
      </c>
      <c r="E15" s="12"/>
    </row>
    <row r="16" customFormat="false" ht="54.75" hidden="false" customHeight="true" outlineLevel="0" collapsed="false">
      <c r="A16" s="11" t="s">
        <v>138</v>
      </c>
      <c r="B16" s="12"/>
      <c r="D16" s="11" t="s">
        <v>192</v>
      </c>
      <c r="E16" s="12"/>
    </row>
    <row r="17" customFormat="false" ht="24.75" hidden="false" customHeight="true" outlineLevel="0" collapsed="false">
      <c r="A17" s="11" t="s">
        <v>235</v>
      </c>
      <c r="B17" s="12"/>
      <c r="D17" s="11" t="s">
        <v>236</v>
      </c>
      <c r="E17" s="12"/>
    </row>
    <row r="18" customFormat="false" ht="24.75" hidden="false" customHeight="true" outlineLevel="0" collapsed="false">
      <c r="A18" s="11" t="s">
        <v>237</v>
      </c>
      <c r="B18" s="12"/>
      <c r="D18" s="11" t="s">
        <v>238</v>
      </c>
      <c r="E18" s="12"/>
    </row>
    <row r="19" customFormat="false" ht="24.75" hidden="false" customHeight="true" outlineLevel="0" collapsed="false">
      <c r="A19" s="11" t="s">
        <v>239</v>
      </c>
      <c r="B19" s="12"/>
      <c r="D19" s="11" t="s">
        <v>240</v>
      </c>
      <c r="E19" s="12"/>
    </row>
    <row r="20" customFormat="false" ht="21.75" hidden="false" customHeight="true" outlineLevel="0" collapsed="false">
      <c r="A20" s="11" t="s">
        <v>5</v>
      </c>
      <c r="B20" s="12" t="s">
        <v>136</v>
      </c>
      <c r="D20" s="11" t="s">
        <v>150</v>
      </c>
      <c r="E20" s="12" t="s">
        <v>241</v>
      </c>
    </row>
    <row r="21" customFormat="false" ht="54.75" hidden="false" customHeight="true" outlineLevel="0" collapsed="false">
      <c r="A21" s="11" t="s">
        <v>242</v>
      </c>
      <c r="B21" s="12"/>
      <c r="D21" s="11" t="s">
        <v>243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2026-05-29T18:33:50Z</dcterms:created>
  <dc:creator>openpyxl</dc:creator>
  <dc:description/>
  <dc:language>en-US</dc:language>
  <cp:lastModifiedBy/>
  <dcterms:modified xsi:type="dcterms:W3CDTF">2026-05-29T18:33:51Z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