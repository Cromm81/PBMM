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9-2" sheetId="6" state="visible" r:id="rId8"/>
    <sheet name="AU-11" sheetId="7" state="visible" r:id="rId9"/>
    <sheet name="AU-12" sheetId="8" state="visible" r:id="rId10"/>
    <sheet name="CM-2-3" sheetId="9" state="visible" r:id="rId11"/>
    <sheet name="CM-6" sheetId="10" state="visible" r:id="rId12"/>
    <sheet name="CM-7" sheetId="11" state="visible" r:id="rId13"/>
    <sheet name="CM-7-1" sheetId="12" state="visible" r:id="rId14"/>
    <sheet name="CP-6" sheetId="13" state="visible" r:id="rId15"/>
    <sheet name="CP-6-2" sheetId="14" state="visible" r:id="rId16"/>
    <sheet name="CP-9" sheetId="15" state="visible" r:id="rId17"/>
    <sheet name="CP-9-1" sheetId="16" state="visible" r:id="rId18"/>
    <sheet name="CP-9-2" sheetId="17" state="visible" r:id="rId19"/>
    <sheet name="CP-9-3" sheetId="18" state="visible" r:id="rId20"/>
    <sheet name="CP-9-5" sheetId="19" state="visible" r:id="rId21"/>
    <sheet name="CP-9-7" sheetId="20" state="visible" r:id="rId22"/>
    <sheet name="CP-10" sheetId="21" state="visible" r:id="rId23"/>
    <sheet name="CP-10-4" sheetId="22" state="visible" r:id="rId24"/>
    <sheet name="SA-9-5" sheetId="23" state="visible" r:id="rId25"/>
    <sheet name="SC-4" sheetId="24" state="visible" r:id="rId26"/>
    <sheet name="SC-13" sheetId="25" state="visible" r:id="rId27"/>
    <sheet name="SC-28" sheetId="26" state="visible" r:id="rId28"/>
    <sheet name="SC-28-1" sheetId="27" state="visible" r:id="rId29"/>
    <sheet name="SI-4-2" sheetId="28" state="visible" r:id="rId30"/>
    <sheet name="SI-6"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<sst xmlns="http://schemas.openxmlformats.org/spreadsheetml/2006/main" count="1760" uniqueCount="332">
  <si>
    <t xml:space="preserve">DASHBOARD — PBMM Evidence: Storage</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</si>
  <si>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</si>
  <si>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</si>
  <si>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</si>
  <si>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</si>
  <si>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</si>
  <si>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</si>
  <si>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</si>
  <si>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</si>
  <si>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</si>
  <si>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</si>
  <si>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</si>
  <si>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</si>
  <si>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</si>
  <si>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</si>
  <si>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AU-11</t>
  </si>
  <si>
    <t xml:space="preserve">Audit Record Retention</t>
  </si>
  <si>
    <t xml:space="preserve">AU-12</t>
  </si>
  <si>
    <t xml:space="preserve">Audit Generation</t>
  </si>
  <si>
    <t xml:space="preserve">CM-2(3)</t>
  </si>
  <si>
    <t xml:space="preserve">Baseline Configuration</t>
  </si>
  <si>
    <t xml:space="preserve">CM-2-3</t>
  </si>
  <si>
    <t xml:space="preserve">CM-6</t>
  </si>
  <si>
    <t xml:space="preserve">Configuration Settings</t>
  </si>
  <si>
    <t xml:space="preserve">CM-7</t>
  </si>
  <si>
    <t xml:space="preserve">Least Functionality</t>
  </si>
  <si>
    <t xml:space="preserve">CM-7(1)</t>
  </si>
  <si>
    <t xml:space="preserve">CM-7-1</t>
  </si>
  <si>
    <t xml:space="preserve">CP-6</t>
  </si>
  <si>
    <t xml:space="preserve">Alternate Storage Site</t>
  </si>
  <si>
    <t xml:space="preserve">CP-6(2)</t>
  </si>
  <si>
    <t xml:space="preserve">CP-6-2</t>
  </si>
  <si>
    <t xml:space="preserve">CP-9</t>
  </si>
  <si>
    <t xml:space="preserve">Information System Backup</t>
  </si>
  <si>
    <t xml:space="preserve">CP-9(1)</t>
  </si>
  <si>
    <t xml:space="preserve">CP-9-1</t>
  </si>
  <si>
    <t xml:space="preserve">CP-9(2)</t>
  </si>
  <si>
    <t xml:space="preserve">CP-9-2</t>
  </si>
  <si>
    <t xml:space="preserve">CP-9(3)</t>
  </si>
  <si>
    <t xml:space="preserve">CP-9-3</t>
  </si>
  <si>
    <t xml:space="preserve">CP-9(5)</t>
  </si>
  <si>
    <t xml:space="preserve">CP-9-5</t>
  </si>
  <si>
    <t xml:space="preserve">CP-9(7)</t>
  </si>
  <si>
    <t xml:space="preserve">CP-9-7</t>
  </si>
  <si>
    <t xml:space="preserve">CP-10</t>
  </si>
  <si>
    <t xml:space="preserve">Information System Recovery and Reconstitution</t>
  </si>
  <si>
    <t xml:space="preserve">CP-10(4)</t>
  </si>
  <si>
    <t xml:space="preserve">CP-10-4</t>
  </si>
  <si>
    <t xml:space="preserve">SA-9(5)</t>
  </si>
  <si>
    <t xml:space="preserve">External Information System Services</t>
  </si>
  <si>
    <t xml:space="preserve">SA-9-5</t>
  </si>
  <si>
    <t xml:space="preserve">SC-4</t>
  </si>
  <si>
    <t xml:space="preserve">Information in Shared Resources</t>
  </si>
  <si>
    <t xml:space="preserve">SC-13</t>
  </si>
  <si>
    <t xml:space="preserve">Cryptographic Protection</t>
  </si>
  <si>
    <t xml:space="preserve">SC-28</t>
  </si>
  <si>
    <t xml:space="preserve">Protection of Information At Rest</t>
  </si>
  <si>
    <t xml:space="preserve">SC-28(1)</t>
  </si>
  <si>
    <t xml:space="preserve">SC-28-1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</si>
  <si>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</si>
  <si>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</si>
  <si>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</si>
  <si>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</si>
  <si>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</si>
  <si>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</si>
  <si>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</si>
  <si>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</si>
  <si>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</si>
  <si>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</si>
  <si>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</si>
  <si>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</si>
  <si>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</si>
  <si>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</si>
  <si>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</si>
  <si>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</si>
  <si>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Storage</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</si>
  <si>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</si>
  <si>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</si>
  <si>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</si>
  <si>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</si>
  <si>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</si>
  <si>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</si>
  <si>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</si>
  <si>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Protection des renseignements de vérification</t>
  </si>
  <si>
    <t xml:space="preserve">Conservation des enregistrements de vérification</t>
  </si>
  <si>
    <t xml:space="preserve">Génération des vérifications</t>
  </si>
  <si>
    <t xml:space="preserve">Configuration de base</t>
  </si>
  <si>
    <t xml:space="preserve">Paramètres de configuration</t>
  </si>
  <si>
    <t xml:space="preserve">Moindre fonctionnalité</t>
  </si>
  <si>
    <t xml:space="preserve">Site de stockage auxiliaire</t>
  </si>
  <si>
    <t xml:space="preserve">Sauvegarde du système d’information</t>
  </si>
  <si>
    <t xml:space="preserve">Reprise et reconstitution du système d’information</t>
  </si>
  <si>
    <t xml:space="preserve">Services de systèmes d’information externes</t>
  </si>
  <si>
    <t xml:space="preserve">Information dans les ressources partagées</t>
  </si>
  <si>
    <t xml:space="preserve">Protection cryptographique</t>
  </si>
  <si>
    <t xml:space="preserve">Protection de l’information inactive</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</si>
  <si>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</si>
  <si>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</si>
  <si>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</si>
  <si>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</si>
  <si>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</si>
  <si>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</si>
  <si>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</si>
  <si>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</si>
  <si>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</si>
  <si>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</si>
  <si>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</si>
  <si>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</si>
  <si>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</si>
  <si>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</si>
  <si>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</si>
  <si>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</si>
  <si>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</si>
  <si>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</si>
  <si>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</si>
  <si>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</si>
  <si>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</si>
  <si>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</si>
  <si>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</si>
  <si>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</si>
  <si>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</si>
  <si>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</si>
  <si>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</si>
  <si>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</si>
  <si>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</si>
  <si>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</si>
  <si>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</si>
  <si>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</si>
  <si>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</si>
  <si>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</si>
  <si>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</si>
  <si>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</si>
  <si>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</si>
  <si>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</si>
  <si>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</si>
  <si>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</si>
  <si>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</si>
  <si>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</si>
  <si>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</si>
  <si>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</si>
  <si>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</si>
  <si>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</si>
  <si>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</si>
  <si>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</si>
  <si>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</si>
  <si>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</si>
  <si>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</si>
  <si>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</si>
  <si>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</si>
  <si>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</si>
  <si>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</si>
  <si>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</si>
  <si>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</si>
  <si>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</si>
  <si>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</si>
  <si>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</si>
  <si>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</si>
  <si>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</si>
  <si>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</si>
  <si>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</si>
  <si>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</si>
  <si>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</si>
  <si>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</si>
  <si>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</si>
  <si>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</si>
  <si>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</si>
  <si>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</si>
  <si>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</si>
  <si>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</si>
  <si>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</si>
  <si>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</si>
  <si>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</si>
  <si>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</si>
  <si>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</si>
  <si>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</si>
  <si>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AU-11 — Evidence Tracking</t>
  </si>
  <si>
    <t xml:space="preserve">Contrôle AU-11 — Suivi des preuves</t>
  </si>
  <si>
    <t xml:space="preserve">(A) The CSP retains audit records for at least 90 days to provide support for after-the-fact investigations of security incidents and to meet regulatory and organizational information retention requirements.
(B) The client retains audit records and logs for at least 3 months online and at least 6 months in storage.
(C) The client retains all audit records and logs associated with a security incident for at least 5 years.</t>
  </si>
  <si>
    <t xml:space="preserve">(A) Le FSI conserve les enregistrements de vérification pendant au moins 90 jours afin de soutenir les enquêtes faisant suite aux incidents de sécurité et de respecter les exigences réglementaires et organisationnelles en matière de conservation de l’information.
(B) Le client conserve les enregistrements et les journaux de vérification pendant au moins 3 mois en ligne et au moins 6 mois en mémoire.
(C) Le client conserve pendant au moins 5 ans tous les enregistrements et journaux de vérification associés à un incident de sécurité.</t>
  </si>
  <si>
    <t xml:space="preserve">Organizations retain audit records until it is determined that they are no longer needed for administrative, legal, audit, or other operational purposes. This includes, for example, retention and availability of audit records relative to legal requests, subpoenas, and law enforcement actions. Organizations develop standard categories of audit records relative to such types of actions and standard response processes for each type of action. Related controls: AU-4, AU-5, AU-9, MP-6</t>
  </si>
  <si>
    <t xml:space="preserve">Les organisations conservent les enregistrements de vérification jusqu’à ce qu’il soit déterminé qu’ils ne sont plus nécessaires à des fins administratives, juridiques, de vérification ou à d’autres fins opérationnelles. Cela comprend, par exemple, la conservation et la disponibilité des enregistrements de vérification relatifs aux demandes légales, aux citations à comparaître et aux mesures d’application de la loi. Les organisations établissent des catégories normalisées d’enregistrements de vérification par rapport à ces types de mesures ainsi que des processus de réponse normalisés pour chaque type de mesure. Contrôles connexes : AU-4, AU-5, AU-9, MP-6</t>
  </si>
  <si>
    <t xml:space="preserve">TEST-AU-11</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</si>
  <si>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</si>
  <si>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</si>
  <si>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</si>
  <si>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</si>
  <si>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</si>
  <si>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</si>
  <si>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</si>
  <si>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CM-2(3) — Evidence Tracking</t>
  </si>
  <si>
    <t xml:space="preserve">Contrôle CM-2(3) — Suivi des preuves</t>
  </si>
  <si>
    <t xml:space="preserve">BASELINE CONFIGURATION | RETENTION OF PREVIOUS CONFIGURATIONS
The organization retains the two most recent precious versions of baseline configurations of the information system to support rollback.</t>
  </si>
  <si>
    <t xml:space="preserve">CONFIGURATION DE BASE | CONSERVATION DES CONFIGURATIONS PRÉCÉDENTES
L’organisation conserve les deux versions utiles les plus récentes des configurations de base du système d’information pour la prise en charge des reprises.</t>
  </si>
  <si>
    <t xml:space="preserve">Retaining previous versions of baseline configurations to support rollback may include, for example, hardware, software, firmware, configuration files, and configuration records.</t>
  </si>
  <si>
    <t xml:space="preserve">La conservation des versions antérieures des configurations de base pour la prise en charge des reprises peut comprendre, par exemple, le matériel, les logiciels, les micrologiciels, les fichiers de configuration et les enregistrements de configuration.</t>
  </si>
  <si>
    <t xml:space="preserve">TEST-CM-2(3)</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</si>
  <si>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</si>
  <si>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</si>
  <si>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</si>
  <si>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</si>
  <si>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</si>
  <si>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</si>
  <si>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</si>
  <si>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</si>
  <si>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</si>
  <si>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</si>
  <si>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</si>
  <si>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</si>
  <si>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</si>
  <si>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</si>
  <si>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</si>
  <si>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</si>
  <si>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</si>
  <si>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</si>
  <si>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</si>
  <si>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</si>
  <si>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</si>
  <si>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</si>
  <si>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</si>
  <si>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</si>
  <si>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</si>
  <si>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</si>
  <si>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</si>
  <si>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</si>
  <si>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</si>
  <si>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</si>
  <si>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</si>
  <si>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</si>
  <si>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</si>
  <si>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</si>
  <si>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</si>
  <si>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</si>
  <si>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</si>
  <si>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</si>
  <si>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</si>
  <si>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</si>
  <si>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</si>
  <si>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</si>
  <si>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</si>
  <si>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</si>
  <si>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</si>
  <si>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</si>
  <si>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</si>
  <si>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</si>
  <si>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</si>
  <si>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</si>
  <si>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</si>
  <si>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</si>
  <si>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CP-9(3) — Evidence Tracking</t>
  </si>
  <si>
    <t xml:space="preserve">Contrôle CP-9(3) — Suivi des preuves</t>
  </si>
  <si>
    <t xml:space="preserve">INFORMATION SYSTEM BACKUP | SEPARATE STORAGE FOR CRITICAL INFORMATION
The organization stores backup copies of all operating system and critical software code in a separate facility or in a fire-rated container that is not collocated with the operational system.</t>
  </si>
  <si>
    <t xml:space="preserve">SAUVEGARDE DU SYSTÈME D’INFORMATION | STOCKAGE SÉPARÉ POUR L’INFORMATION ESSENTIELLE
L’organisation stocke des copies de sauvegarde de tous les systèmes d’exploitation et du code logiciel essentiel dans une installation séparée ou dans un contenant résistant au feu qui n’est pas situé au même endroit que le système opérationnel.</t>
  </si>
  <si>
    <t xml:space="preserve">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 Related controls: CM-2, CM-8.</t>
  </si>
  <si>
    <t xml:space="preserve">Le logiciel essentiel du système d’information comprend, par exemple, les systèmes d’exploitation, les systèmes de gestion des clés cryptographiques et les systèmes de détection et de prévention des intrusions. L’information liée à la sécurité comprend, par exemple, les inventaires organisationnels des composants matériels, logiciels et micrologiciels. Les sites de stockage auxiliaires servent habituellement d’installations de stockage distinctes pour les organisations. Contrôles connexes : CM-2, CM-8.</t>
  </si>
  <si>
    <t xml:space="preserve">TEST-CP-9(3)</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</si>
  <si>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</si>
  <si>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</si>
  <si>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</si>
  <si>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</si>
  <si>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</si>
  <si>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</si>
  <si>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</si>
  <si>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CP-9(7) — Evidence Tracking</t>
  </si>
  <si>
    <t xml:space="preserve">Contrôle CP-9(7) — Suivi des preuves</t>
  </si>
  <si>
    <t xml:space="preserve">INFORMATION SYSTEM BACKUP | DUAL AUTHORIZATION
The organization enforces dual authorization for the deletion or destruction of organization-defined backup information.</t>
  </si>
  <si>
    <t xml:space="preserve">SAUVEGARDE DU SYSTÈME D’INFORMATION | DOUBLE AUTORISATION
L’organisation applique une double autorisation pour la suppression ou la destruction de l’information de sauvegarde définie par l’organisation.</t>
  </si>
  <si>
    <t xml:space="preserve">Dual authorization ensures that the deletion or destruction of backup information cannot occur unless two qualified individuals carry out the task. Individuals deleting/destroying backup information possess sufficient skills/expertise to determine if the proposed deletion/destruction of backup information reflects organizational policies and procedures. Dual authorization may also be known as two-person control. Related controls: AC-3, MP-2.</t>
  </si>
  <si>
    <t xml:space="preserve">Une double autorisation permet de s’assurer que la suppression ou la destruction de l’information de sauvegarde ne peut avoir lieu à moins que deux personnes qualifiées n’exécutent la tâche. Les personnes qui suppriment ou détruisent de l’information de sauvegarde possèdent les compétences et l’expertise suffisantes pour déterminer si la suppression ou la destruction proposée de l’information de sauvegarde reflète les politiques et les procédures de l’organisation. La double autorisation est également appelée « contrôle par deux personnes ». Contrôles connexes : AC-3, MP-2.</t>
  </si>
  <si>
    <t xml:space="preserve">TEST-CP-9(7)</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</si>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</sst>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14</v>
      </c>
      <c r="E6" s="3" t="str">
        <f aca="false">'AU-9-2'!B20</f>
        <v>Not Started</v>
      </c>
    </row>
    <row r="7" customFormat="false" ht="18" hidden="false" customHeight="true" outlineLevel="0" collapsed="false">
      <c r="A7" s="3" t="s">
        <v>15</v>
      </c>
      <c r="B7" s="4" t="s">
        <v>16</v>
      </c>
      <c r="C7" s="4"/>
      <c r="D7" s="3" t="s">
        <v>15</v>
      </c>
      <c r="E7" s="3" t="str">
        <f aca="false">'AU-11'!B20</f>
        <v>Not Started</v>
      </c>
    </row>
    <row r="8" customFormat="false" ht="18" hidden="false" customHeight="true" outlineLevel="0" collapsed="false">
      <c r="A8" s="3" t="s">
        <v>17</v>
      </c>
      <c r="B8" s="4" t="s">
        <v>18</v>
      </c>
      <c r="C8" s="4"/>
      <c r="D8" s="3" t="s">
        <v>17</v>
      </c>
      <c r="E8" s="3" t="str">
        <f aca="false">'AU-12'!B20</f>
        <v>Not Started</v>
      </c>
    </row>
    <row r="9" customFormat="false" ht="18" hidden="false" customHeight="true" outlineLevel="0" collapsed="false">
      <c r="A9" s="3" t="s">
        <v>19</v>
      </c>
      <c r="B9" s="4" t="s">
        <v>20</v>
      </c>
      <c r="C9" s="4"/>
      <c r="D9" s="3" t="s">
        <v>21</v>
      </c>
      <c r="E9" s="3" t="str">
        <f aca="false">'CM-2-3'!B20</f>
        <v>Not Started</v>
      </c>
    </row>
    <row r="10" customFormat="false" ht="18" hidden="false" customHeight="true" outlineLevel="0" collapsed="false">
      <c r="A10" s="3" t="s">
        <v>22</v>
      </c>
      <c r="B10" s="4" t="s">
        <v>23</v>
      </c>
      <c r="C10" s="4"/>
      <c r="D10" s="3" t="s">
        <v>22</v>
      </c>
      <c r="E10" s="3" t="str">
        <f aca="false">'CM-6'!B20</f>
        <v>Not Started</v>
      </c>
    </row>
    <row r="11" customFormat="false" ht="18" hidden="false" customHeight="true" outlineLevel="0" collapsed="false">
      <c r="A11" s="3" t="s">
        <v>24</v>
      </c>
      <c r="B11" s="4" t="s">
        <v>25</v>
      </c>
      <c r="C11" s="4"/>
      <c r="D11" s="3" t="s">
        <v>24</v>
      </c>
      <c r="E11" s="3" t="str">
        <f aca="false">'CM-7'!B20</f>
        <v>Not Started</v>
      </c>
    </row>
    <row r="12" customFormat="false" ht="18" hidden="false" customHeight="true" outlineLevel="0" collapsed="false">
      <c r="A12" s="3" t="s">
        <v>26</v>
      </c>
      <c r="B12" s="4" t="s">
        <v>25</v>
      </c>
      <c r="C12" s="4"/>
      <c r="D12" s="3" t="s">
        <v>27</v>
      </c>
      <c r="E12" s="3" t="str">
        <f aca="false">'CM-7-1'!B20</f>
        <v>Not Started</v>
      </c>
    </row>
    <row r="13" customFormat="false" ht="18" hidden="false" customHeight="true" outlineLevel="0" collapsed="false">
      <c r="A13" s="3" t="s">
        <v>28</v>
      </c>
      <c r="B13" s="4" t="s">
        <v>29</v>
      </c>
      <c r="C13" s="4"/>
      <c r="D13" s="3" t="s">
        <v>28</v>
      </c>
      <c r="E13" s="3" t="str">
        <f aca="false">'CP-6'!B20</f>
        <v>Not Started</v>
      </c>
    </row>
    <row r="14" customFormat="false" ht="18" hidden="false" customHeight="true" outlineLevel="0" collapsed="false">
      <c r="A14" s="3" t="s">
        <v>30</v>
      </c>
      <c r="B14" s="4" t="s">
        <v>29</v>
      </c>
      <c r="C14" s="4"/>
      <c r="D14" s="3" t="s">
        <v>31</v>
      </c>
      <c r="E14" s="3" t="str">
        <f aca="false">'CP-6-2'!B20</f>
        <v>Not Started</v>
      </c>
    </row>
    <row r="15" customFormat="false" ht="18" hidden="false" customHeight="true" outlineLevel="0" collapsed="false">
      <c r="A15" s="3" t="s">
        <v>32</v>
      </c>
      <c r="B15" s="4" t="s">
        <v>33</v>
      </c>
      <c r="C15" s="4"/>
      <c r="D15" s="3" t="s">
        <v>32</v>
      </c>
      <c r="E15" s="3" t="str">
        <f aca="false">'CP-9'!B20</f>
        <v>Not Started</v>
      </c>
    </row>
    <row r="16" customFormat="false" ht="18" hidden="false" customHeight="true" outlineLevel="0" collapsed="false">
      <c r="A16" s="3" t="s">
        <v>34</v>
      </c>
      <c r="B16" s="4" t="s">
        <v>33</v>
      </c>
      <c r="C16" s="4"/>
      <c r="D16" s="3" t="s">
        <v>35</v>
      </c>
      <c r="E16" s="3" t="str">
        <f aca="false">'CP-9-1'!B20</f>
        <v>Not Started</v>
      </c>
    </row>
    <row r="17" customFormat="false" ht="18" hidden="false" customHeight="true" outlineLevel="0" collapsed="false">
      <c r="A17" s="3" t="s">
        <v>36</v>
      </c>
      <c r="B17" s="4" t="s">
        <v>33</v>
      </c>
      <c r="C17" s="4"/>
      <c r="D17" s="3" t="s">
        <v>37</v>
      </c>
      <c r="E17" s="3" t="str">
        <f aca="false">'CP-9-2'!B20</f>
        <v>Not Started</v>
      </c>
    </row>
    <row r="18" customFormat="false" ht="18" hidden="false" customHeight="true" outlineLevel="0" collapsed="false">
      <c r="A18" s="3" t="s">
        <v>38</v>
      </c>
      <c r="B18" s="4" t="s">
        <v>33</v>
      </c>
      <c r="C18" s="4"/>
      <c r="D18" s="3" t="s">
        <v>39</v>
      </c>
      <c r="E18" s="3" t="str">
        <f aca="false">'CP-9-3'!B20</f>
        <v>Not Started</v>
      </c>
    </row>
    <row r="19" customFormat="false" ht="18" hidden="false" customHeight="true" outlineLevel="0" collapsed="false">
      <c r="A19" s="3" t="s">
        <v>40</v>
      </c>
      <c r="B19" s="4" t="s">
        <v>33</v>
      </c>
      <c r="C19" s="4"/>
      <c r="D19" s="3" t="s">
        <v>41</v>
      </c>
      <c r="E19" s="3" t="str">
        <f aca="false">'CP-9-5'!B20</f>
        <v>Not Started</v>
      </c>
    </row>
    <row r="20" customFormat="false" ht="18" hidden="false" customHeight="true" outlineLevel="0" collapsed="false">
      <c r="A20" s="3" t="s">
        <v>42</v>
      </c>
      <c r="B20" s="4" t="s">
        <v>33</v>
      </c>
      <c r="C20" s="4"/>
      <c r="D20" s="3" t="s">
        <v>43</v>
      </c>
      <c r="E20" s="3" t="str">
        <f aca="false">'CP-9-7'!B20</f>
        <v>Not Started</v>
      </c>
    </row>
    <row r="21" customFormat="false" ht="18" hidden="false" customHeight="true" outlineLevel="0" collapsed="false">
      <c r="A21" s="3" t="s">
        <v>44</v>
      </c>
      <c r="B21" s="4" t="s">
        <v>45</v>
      </c>
      <c r="C21" s="4"/>
      <c r="D21" s="3" t="s">
        <v>44</v>
      </c>
      <c r="E21" s="3" t="str">
        <f aca="false">'CP-10'!B20</f>
        <v>Not Started</v>
      </c>
    </row>
    <row r="22" customFormat="false" ht="18" hidden="false" customHeight="true" outlineLevel="0" collapsed="false">
      <c r="A22" s="3" t="s">
        <v>46</v>
      </c>
      <c r="B22" s="4" t="s">
        <v>45</v>
      </c>
      <c r="C22" s="4"/>
      <c r="D22" s="3" t="s">
        <v>47</v>
      </c>
      <c r="E22" s="3" t="str">
        <f aca="false">'CP-10-4'!B20</f>
        <v>Not Started</v>
      </c>
    </row>
    <row r="23" customFormat="false" ht="18" hidden="false" customHeight="true" outlineLevel="0" collapsed="false">
      <c r="A23" s="3" t="s">
        <v>48</v>
      </c>
      <c r="B23" s="4" t="s">
        <v>49</v>
      </c>
      <c r="C23" s="4"/>
      <c r="D23" s="3" t="s">
        <v>50</v>
      </c>
      <c r="E23" s="3" t="str">
        <f aca="false">'SA-9-5'!B20</f>
        <v>Not Started</v>
      </c>
    </row>
    <row r="24" customFormat="false" ht="18" hidden="false" customHeight="true" outlineLevel="0" collapsed="false">
      <c r="A24" s="3" t="s">
        <v>51</v>
      </c>
      <c r="B24" s="4" t="s">
        <v>52</v>
      </c>
      <c r="C24" s="4"/>
      <c r="D24" s="3" t="s">
        <v>51</v>
      </c>
      <c r="E24" s="3" t="str">
        <f aca="false">'SC-4'!B20</f>
        <v>Not Started</v>
      </c>
    </row>
    <row r="25" customFormat="false" ht="18" hidden="false" customHeight="true" outlineLevel="0" collapsed="false">
      <c r="A25" s="3" t="s">
        <v>53</v>
      </c>
      <c r="B25" s="4" t="s">
        <v>54</v>
      </c>
      <c r="C25" s="4"/>
      <c r="D25" s="3" t="s">
        <v>53</v>
      </c>
      <c r="E25" s="3" t="str">
        <f aca="false">'SC-13'!B20</f>
        <v>Not Started</v>
      </c>
    </row>
    <row r="26" customFormat="false" ht="18" hidden="false" customHeight="true" outlineLevel="0" collapsed="false">
      <c r="A26" s="3" t="s">
        <v>55</v>
      </c>
      <c r="B26" s="4" t="s">
        <v>56</v>
      </c>
      <c r="C26" s="4"/>
      <c r="D26" s="3" t="s">
        <v>55</v>
      </c>
      <c r="E26" s="3" t="str">
        <f aca="false">'SC-28'!B20</f>
        <v>Not Started</v>
      </c>
    </row>
    <row r="27" customFormat="false" ht="18" hidden="false" customHeight="true" outlineLevel="0" collapsed="false">
      <c r="A27" s="3" t="s">
        <v>57</v>
      </c>
      <c r="B27" s="4" t="s">
        <v>56</v>
      </c>
      <c r="C27" s="4"/>
      <c r="D27" s="3" t="s">
        <v>58</v>
      </c>
      <c r="E27" s="3" t="str">
        <f aca="false">'SC-28-1'!B20</f>
        <v>Not Started</v>
      </c>
    </row>
    <row r="28" customFormat="false" ht="18" hidden="false" customHeight="true" outlineLevel="0" collapsed="false">
      <c r="A28" s="3" t="s">
        <v>59</v>
      </c>
      <c r="B28" s="4" t="s">
        <v>60</v>
      </c>
      <c r="C28" s="4"/>
      <c r="D28" s="3" t="s">
        <v>61</v>
      </c>
      <c r="E28" s="3" t="str">
        <f aca="false">'SI-4-2'!B20</f>
        <v>Not Started</v>
      </c>
    </row>
    <row r="29" customFormat="false" ht="18" hidden="false" customHeight="true" outlineLevel="0" collapsed="false">
      <c r="A29" s="3" t="s">
        <v>62</v>
      </c>
      <c r="B29" s="4" t="s">
        <v>63</v>
      </c>
      <c r="C29" s="4"/>
      <c r="D29" s="3" t="s">
        <v>62</v>
      </c>
      <c r="E29" s="3" t="str">
        <f aca="false">'SI-6'!B20</f>
        <v>Not Started</v>
      </c>
    </row>
    <row r="31" customFormat="false" ht="21.75" hidden="false" customHeight="true" outlineLevel="0" collapsed="false">
      <c r="A31" s="5" t="s">
        <v>64</v>
      </c>
      <c r="B31" s="5"/>
      <c r="C31" s="5"/>
      <c r="D31" s="5"/>
      <c r="E31" s="5"/>
    </row>
    <row r="32" customFormat="false" ht="19.5" hidden="false" customHeight="true" outlineLevel="0" collapsed="false">
      <c r="A32" s="6" t="s">
        <v>65</v>
      </c>
      <c r="B32" s="6"/>
      <c r="C32" s="6"/>
      <c r="D32" s="6"/>
      <c r="E32" s="7" t="n">
        <f aca="false">27</f>
        <v>27</v>
      </c>
    </row>
    <row r="33" customFormat="false" ht="19.5" hidden="false" customHeight="true" outlineLevel="0" collapsed="false">
      <c r="A33" s="6" t="s">
        <v>66</v>
      </c>
      <c r="B33" s="6"/>
      <c r="C33" s="6"/>
      <c r="D33" s="6"/>
      <c r="E33" s="7" t="n">
        <f aca="false">COUNTIF(E3:E29,"Not Started")</f>
        <v>27</v>
      </c>
    </row>
    <row r="34" customFormat="false" ht="19.5" hidden="false" customHeight="true" outlineLevel="0" collapsed="false">
      <c r="A34" s="6" t="s">
        <v>67</v>
      </c>
      <c r="B34" s="6"/>
      <c r="C34" s="6"/>
      <c r="D34" s="6"/>
      <c r="E34" s="7" t="n">
        <f aca="false">COUNTIF(E3:E29,"In Progress")</f>
        <v>0</v>
      </c>
    </row>
    <row r="35" customFormat="false" ht="19.5" hidden="false" customHeight="true" outlineLevel="0" collapsed="false">
      <c r="A35" s="6" t="s">
        <v>68</v>
      </c>
      <c r="B35" s="6"/>
      <c r="C35" s="6"/>
      <c r="D35" s="6"/>
      <c r="E35" s="7" t="n">
        <f aca="false">COUNTIF(E3:E29,"Evidence Provided")</f>
        <v>0</v>
      </c>
    </row>
    <row r="36" customFormat="false" ht="19.5" hidden="false" customHeight="true" outlineLevel="0" collapsed="false">
      <c r="A36" s="6" t="s">
        <v>69</v>
      </c>
      <c r="B36" s="6"/>
      <c r="C36" s="6"/>
      <c r="D36" s="6"/>
      <c r="E36" s="7" t="n">
        <f aca="false">COUNTIF(E3:E29,"Under Review")</f>
        <v>0</v>
      </c>
    </row>
    <row r="37" customFormat="false" ht="19.5" hidden="false" customHeight="true" outlineLevel="0" collapsed="false">
      <c r="A37" s="6" t="s">
        <v>70</v>
      </c>
      <c r="B37" s="6"/>
      <c r="C37" s="6"/>
      <c r="D37" s="6"/>
      <c r="E37" s="7" t="n">
        <f aca="false">COUNTIF(E3:E29,"Passed")</f>
        <v>0</v>
      </c>
    </row>
    <row r="38" customFormat="false" ht="19.5" hidden="false" customHeight="true" outlineLevel="0" collapsed="false">
      <c r="A38" s="6" t="s">
        <v>71</v>
      </c>
      <c r="B38" s="6"/>
      <c r="C38" s="6"/>
      <c r="D38" s="6"/>
      <c r="E38" s="7" t="n">
        <f aca="false">COUNTIF(E3:E29,"Failed")</f>
        <v>0</v>
      </c>
    </row>
    <row r="39" customFormat="false" ht="19.5" hidden="false" customHeight="true" outlineLevel="0" collapsed="false">
      <c r="A39" s="6" t="s">
        <v>72</v>
      </c>
      <c r="B39" s="6"/>
      <c r="C39" s="6"/>
      <c r="D39" s="6"/>
      <c r="E39" s="7" t="n">
        <f aca="false">COUNTIF(E3:E29,"Accepted Exception")</f>
        <v>0</v>
      </c>
    </row>
    <row r="40" customFormat="false" ht="19.5" hidden="false" customHeight="true" outlineLevel="0" collapsed="false">
      <c r="A40" s="6" t="s">
        <v>73</v>
      </c>
      <c r="B40" s="6"/>
      <c r="C40" s="6"/>
      <c r="D40" s="6"/>
      <c r="E40" s="8" t="n">
        <f aca="false">IFERROR(COUNTIF(E3:E29,"Passed")/27,0)</f>
        <v>0</v>
      </c>
    </row>
    <row r="41" customFormat="false" ht="19.5" hidden="false" customHeight="true" outlineLevel="0" collapsed="false">
      <c r="A41" s="6" t="s">
        <v>74</v>
      </c>
      <c r="B41" s="6"/>
      <c r="C41" s="6"/>
      <c r="D41" s="6"/>
      <c r="E41" s="8" t="n">
        <f aca="false">IFERROR(COUNTIF(E3:E29,"Not Started")/27,0)</f>
        <v>1</v>
      </c>
    </row>
  </sheetData>
  <mergeCells count="12">
    <mergeCell ref="A1:E1"/>
    <mergeCell ref="A31:E31"/>
    <mergeCell ref="A32:D32"/>
    <mergeCell ref="A33:D33"/>
    <mergeCell ref="A34:D34"/>
    <mergeCell ref="A35:D35"/>
    <mergeCell ref="A36:D36"/>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75</v>
      </c>
      <c r="B1" s="1"/>
      <c r="C1" s="1"/>
      <c r="D1" s="1"/>
      <c r="E1" s="1"/>
    </row>
    <row r="2" customFormat="false" ht="21.75" hidden="false" customHeight="true" outlineLevel="0" collapsed="false">
      <c r="A2" s="2" t="s">
        <v>76</v>
      </c>
      <c r="B2" s="2" t="s">
        <v>77</v>
      </c>
      <c r="C2" s="2" t="s">
        <v>78</v>
      </c>
      <c r="D2" s="2" t="s">
        <v>79</v>
      </c>
      <c r="E2" s="2" t="s">
        <v>80</v>
      </c>
    </row>
    <row r="3" customFormat="false" ht="18" hidden="false" customHeight="true" outlineLevel="0" collapsed="false">
      <c r="A3" s="3" t="s">
        <v>6</v>
      </c>
      <c r="B3" s="4" t="s">
        <v>81</v>
      </c>
      <c r="C3" s="4"/>
      <c r="D3" s="3" t="s">
        <v>6</v>
      </c>
      <c r="E3" s="3" t="str">
        <f aca="false">'AU-2'!E20</f>
        <v>Non commencé</v>
      </c>
    </row>
    <row r="4" customFormat="false" ht="18" hidden="false" customHeight="true" outlineLevel="0" collapsed="false">
      <c r="A4" s="3" t="s">
        <v>8</v>
      </c>
      <c r="B4" s="4" t="s">
        <v>82</v>
      </c>
      <c r="C4" s="4"/>
      <c r="D4" s="3" t="s">
        <v>8</v>
      </c>
      <c r="E4" s="3" t="str">
        <f aca="false">'AU-3'!E20</f>
        <v>Non commencé</v>
      </c>
    </row>
    <row r="5" customFormat="false" ht="18" hidden="false" customHeight="true" outlineLevel="0" collapsed="false">
      <c r="A5" s="3" t="s">
        <v>10</v>
      </c>
      <c r="B5" s="4" t="s">
        <v>82</v>
      </c>
      <c r="C5" s="4"/>
      <c r="D5" s="3" t="s">
        <v>11</v>
      </c>
      <c r="E5" s="3" t="str">
        <f aca="false">'AU-3-1'!E20</f>
        <v>Non commencé</v>
      </c>
    </row>
    <row r="6" customFormat="false" ht="18" hidden="false" customHeight="true" outlineLevel="0" collapsed="false">
      <c r="A6" s="3" t="s">
        <v>12</v>
      </c>
      <c r="B6" s="4" t="s">
        <v>83</v>
      </c>
      <c r="C6" s="4"/>
      <c r="D6" s="3" t="s">
        <v>14</v>
      </c>
      <c r="E6" s="3" t="str">
        <f aca="false">'AU-9-2'!E20</f>
        <v>Non commencé</v>
      </c>
    </row>
    <row r="7" customFormat="false" ht="18" hidden="false" customHeight="true" outlineLevel="0" collapsed="false">
      <c r="A7" s="3" t="s">
        <v>15</v>
      </c>
      <c r="B7" s="4" t="s">
        <v>84</v>
      </c>
      <c r="C7" s="4"/>
      <c r="D7" s="3" t="s">
        <v>15</v>
      </c>
      <c r="E7" s="3" t="str">
        <f aca="false">'AU-11'!E20</f>
        <v>Non commencé</v>
      </c>
    </row>
    <row r="8" customFormat="false" ht="18" hidden="false" customHeight="true" outlineLevel="0" collapsed="false">
      <c r="A8" s="3" t="s">
        <v>17</v>
      </c>
      <c r="B8" s="4" t="s">
        <v>85</v>
      </c>
      <c r="C8" s="4"/>
      <c r="D8" s="3" t="s">
        <v>17</v>
      </c>
      <c r="E8" s="3" t="str">
        <f aca="false">'AU-12'!E20</f>
        <v>Non commencé</v>
      </c>
    </row>
    <row r="9" customFormat="false" ht="18" hidden="false" customHeight="true" outlineLevel="0" collapsed="false">
      <c r="A9" s="3" t="s">
        <v>19</v>
      </c>
      <c r="B9" s="4" t="s">
        <v>86</v>
      </c>
      <c r="C9" s="4"/>
      <c r="D9" s="3" t="s">
        <v>21</v>
      </c>
      <c r="E9" s="3" t="str">
        <f aca="false">'CM-2-3'!E20</f>
        <v>Non commencé</v>
      </c>
    </row>
    <row r="10" customFormat="false" ht="18" hidden="false" customHeight="true" outlineLevel="0" collapsed="false">
      <c r="A10" s="3" t="s">
        <v>22</v>
      </c>
      <c r="B10" s="4" t="s">
        <v>87</v>
      </c>
      <c r="C10" s="4"/>
      <c r="D10" s="3" t="s">
        <v>22</v>
      </c>
      <c r="E10" s="3" t="str">
        <f aca="false">'CM-6'!E20</f>
        <v>Non commencé</v>
      </c>
    </row>
    <row r="11" customFormat="false" ht="18" hidden="false" customHeight="true" outlineLevel="0" collapsed="false">
      <c r="A11" s="3" t="s">
        <v>24</v>
      </c>
      <c r="B11" s="4" t="s">
        <v>88</v>
      </c>
      <c r="C11" s="4"/>
      <c r="D11" s="3" t="s">
        <v>24</v>
      </c>
      <c r="E11" s="3" t="str">
        <f aca="false">'CM-7'!E20</f>
        <v>Non commencé</v>
      </c>
    </row>
    <row r="12" customFormat="false" ht="18" hidden="false" customHeight="true" outlineLevel="0" collapsed="false">
      <c r="A12" s="3" t="s">
        <v>26</v>
      </c>
      <c r="B12" s="4" t="s">
        <v>88</v>
      </c>
      <c r="C12" s="4"/>
      <c r="D12" s="3" t="s">
        <v>27</v>
      </c>
      <c r="E12" s="3" t="str">
        <f aca="false">'CM-7-1'!E20</f>
        <v>Non commencé</v>
      </c>
    </row>
    <row r="13" customFormat="false" ht="18" hidden="false" customHeight="true" outlineLevel="0" collapsed="false">
      <c r="A13" s="3" t="s">
        <v>28</v>
      </c>
      <c r="B13" s="4" t="s">
        <v>89</v>
      </c>
      <c r="C13" s="4"/>
      <c r="D13" s="3" t="s">
        <v>28</v>
      </c>
      <c r="E13" s="3" t="str">
        <f aca="false">'CP-6'!E20</f>
        <v>Non commencé</v>
      </c>
    </row>
    <row r="14" customFormat="false" ht="18" hidden="false" customHeight="true" outlineLevel="0" collapsed="false">
      <c r="A14" s="3" t="s">
        <v>30</v>
      </c>
      <c r="B14" s="4" t="s">
        <v>89</v>
      </c>
      <c r="C14" s="4"/>
      <c r="D14" s="3" t="s">
        <v>31</v>
      </c>
      <c r="E14" s="3" t="str">
        <f aca="false">'CP-6-2'!E20</f>
        <v>Non commencé</v>
      </c>
    </row>
    <row r="15" customFormat="false" ht="18" hidden="false" customHeight="true" outlineLevel="0" collapsed="false">
      <c r="A15" s="3" t="s">
        <v>32</v>
      </c>
      <c r="B15" s="4" t="s">
        <v>90</v>
      </c>
      <c r="C15" s="4"/>
      <c r="D15" s="3" t="s">
        <v>32</v>
      </c>
      <c r="E15" s="3" t="str">
        <f aca="false">'CP-9'!E20</f>
        <v>Non commencé</v>
      </c>
    </row>
    <row r="16" customFormat="false" ht="18" hidden="false" customHeight="true" outlineLevel="0" collapsed="false">
      <c r="A16" s="3" t="s">
        <v>34</v>
      </c>
      <c r="B16" s="4" t="s">
        <v>90</v>
      </c>
      <c r="C16" s="4"/>
      <c r="D16" s="3" t="s">
        <v>35</v>
      </c>
      <c r="E16" s="3" t="str">
        <f aca="false">'CP-9-1'!E20</f>
        <v>Non commencé</v>
      </c>
    </row>
    <row r="17" customFormat="false" ht="18" hidden="false" customHeight="true" outlineLevel="0" collapsed="false">
      <c r="A17" s="3" t="s">
        <v>36</v>
      </c>
      <c r="B17" s="4" t="s">
        <v>90</v>
      </c>
      <c r="C17" s="4"/>
      <c r="D17" s="3" t="s">
        <v>37</v>
      </c>
      <c r="E17" s="3" t="str">
        <f aca="false">'CP-9-2'!E20</f>
        <v>Non commencé</v>
      </c>
    </row>
    <row r="18" customFormat="false" ht="18" hidden="false" customHeight="true" outlineLevel="0" collapsed="false">
      <c r="A18" s="3" t="s">
        <v>38</v>
      </c>
      <c r="B18" s="4" t="s">
        <v>90</v>
      </c>
      <c r="C18" s="4"/>
      <c r="D18" s="3" t="s">
        <v>39</v>
      </c>
      <c r="E18" s="3" t="str">
        <f aca="false">'CP-9-3'!E20</f>
        <v>Non commencé</v>
      </c>
    </row>
    <row r="19" customFormat="false" ht="18" hidden="false" customHeight="true" outlineLevel="0" collapsed="false">
      <c r="A19" s="3" t="s">
        <v>40</v>
      </c>
      <c r="B19" s="4" t="s">
        <v>90</v>
      </c>
      <c r="C19" s="4"/>
      <c r="D19" s="3" t="s">
        <v>41</v>
      </c>
      <c r="E19" s="3" t="str">
        <f aca="false">'CP-9-5'!E20</f>
        <v>Non commencé</v>
      </c>
    </row>
    <row r="20" customFormat="false" ht="18" hidden="false" customHeight="true" outlineLevel="0" collapsed="false">
      <c r="A20" s="3" t="s">
        <v>42</v>
      </c>
      <c r="B20" s="4" t="s">
        <v>90</v>
      </c>
      <c r="C20" s="4"/>
      <c r="D20" s="3" t="s">
        <v>43</v>
      </c>
      <c r="E20" s="3" t="str">
        <f aca="false">'CP-9-7'!E20</f>
        <v>Non commencé</v>
      </c>
    </row>
    <row r="21" customFormat="false" ht="18" hidden="false" customHeight="true" outlineLevel="0" collapsed="false">
      <c r="A21" s="3" t="s">
        <v>44</v>
      </c>
      <c r="B21" s="4" t="s">
        <v>91</v>
      </c>
      <c r="C21" s="4"/>
      <c r="D21" s="3" t="s">
        <v>44</v>
      </c>
      <c r="E21" s="3" t="str">
        <f aca="false">'CP-10'!E20</f>
        <v>Non commencé</v>
      </c>
    </row>
    <row r="22" customFormat="false" ht="18" hidden="false" customHeight="true" outlineLevel="0" collapsed="false">
      <c r="A22" s="3" t="s">
        <v>46</v>
      </c>
      <c r="B22" s="4" t="s">
        <v>91</v>
      </c>
      <c r="C22" s="4"/>
      <c r="D22" s="3" t="s">
        <v>47</v>
      </c>
      <c r="E22" s="3" t="str">
        <f aca="false">'CP-10-4'!E20</f>
        <v>Non commencé</v>
      </c>
    </row>
    <row r="23" customFormat="false" ht="18" hidden="false" customHeight="true" outlineLevel="0" collapsed="false">
      <c r="A23" s="3" t="s">
        <v>48</v>
      </c>
      <c r="B23" s="4" t="s">
        <v>92</v>
      </c>
      <c r="C23" s="4"/>
      <c r="D23" s="3" t="s">
        <v>50</v>
      </c>
      <c r="E23" s="3" t="str">
        <f aca="false">'SA-9-5'!E20</f>
        <v>Non commencé</v>
      </c>
    </row>
    <row r="24" customFormat="false" ht="18" hidden="false" customHeight="true" outlineLevel="0" collapsed="false">
      <c r="A24" s="3" t="s">
        <v>51</v>
      </c>
      <c r="B24" s="4" t="s">
        <v>93</v>
      </c>
      <c r="C24" s="4"/>
      <c r="D24" s="3" t="s">
        <v>51</v>
      </c>
      <c r="E24" s="3" t="str">
        <f aca="false">'SC-4'!E20</f>
        <v>Non commencé</v>
      </c>
    </row>
    <row r="25" customFormat="false" ht="18" hidden="false" customHeight="true" outlineLevel="0" collapsed="false">
      <c r="A25" s="3" t="s">
        <v>53</v>
      </c>
      <c r="B25" s="4" t="s">
        <v>94</v>
      </c>
      <c r="C25" s="4"/>
      <c r="D25" s="3" t="s">
        <v>53</v>
      </c>
      <c r="E25" s="3" t="str">
        <f aca="false">'SC-13'!E20</f>
        <v>Non commencé</v>
      </c>
    </row>
    <row r="26" customFormat="false" ht="18" hidden="false" customHeight="true" outlineLevel="0" collapsed="false">
      <c r="A26" s="3" t="s">
        <v>55</v>
      </c>
      <c r="B26" s="4" t="s">
        <v>95</v>
      </c>
      <c r="C26" s="4"/>
      <c r="D26" s="3" t="s">
        <v>55</v>
      </c>
      <c r="E26" s="3" t="str">
        <f aca="false">'SC-28'!E20</f>
        <v>Non commencé</v>
      </c>
    </row>
    <row r="27" customFormat="false" ht="18" hidden="false" customHeight="true" outlineLevel="0" collapsed="false">
      <c r="A27" s="3" t="s">
        <v>57</v>
      </c>
      <c r="B27" s="4" t="s">
        <v>95</v>
      </c>
      <c r="C27" s="4"/>
      <c r="D27" s="3" t="s">
        <v>58</v>
      </c>
      <c r="E27" s="3" t="str">
        <f aca="false">'SC-28-1'!E20</f>
        <v>Non commencé</v>
      </c>
    </row>
    <row r="28" customFormat="false" ht="18" hidden="false" customHeight="true" outlineLevel="0" collapsed="false">
      <c r="A28" s="3" t="s">
        <v>59</v>
      </c>
      <c r="B28" s="4" t="s">
        <v>96</v>
      </c>
      <c r="C28" s="4"/>
      <c r="D28" s="3" t="s">
        <v>61</v>
      </c>
      <c r="E28" s="3" t="str">
        <f aca="false">'SI-4-2'!E20</f>
        <v>Non commencé</v>
      </c>
    </row>
    <row r="29" customFormat="false" ht="18" hidden="false" customHeight="true" outlineLevel="0" collapsed="false">
      <c r="A29" s="3" t="s">
        <v>62</v>
      </c>
      <c r="B29" s="4" t="s">
        <v>97</v>
      </c>
      <c r="C29" s="4"/>
      <c r="D29" s="3" t="s">
        <v>62</v>
      </c>
      <c r="E29" s="3" t="str">
        <f aca="false">'SI-6'!E20</f>
        <v>Non commencé</v>
      </c>
    </row>
    <row r="31" customFormat="false" ht="21.75" hidden="false" customHeight="true" outlineLevel="0" collapsed="false">
      <c r="A31" s="5" t="s">
        <v>98</v>
      </c>
      <c r="B31" s="5"/>
      <c r="C31" s="5"/>
      <c r="D31" s="5"/>
      <c r="E31" s="5"/>
    </row>
    <row r="32" customFormat="false" ht="19.5" hidden="false" customHeight="true" outlineLevel="0" collapsed="false">
      <c r="A32" s="6" t="s">
        <v>99</v>
      </c>
      <c r="B32" s="6"/>
      <c r="C32" s="6"/>
      <c r="D32" s="6"/>
      <c r="E32" s="7" t="n">
        <f aca="false">27</f>
        <v>27</v>
      </c>
    </row>
    <row r="33" customFormat="false" ht="19.5" hidden="false" customHeight="true" outlineLevel="0" collapsed="false">
      <c r="A33" s="6" t="s">
        <v>100</v>
      </c>
      <c r="B33" s="6"/>
      <c r="C33" s="6"/>
      <c r="D33" s="6"/>
      <c r="E33" s="7" t="n">
        <f aca="false">COUNTIF(E3:E29,"Non commencé")</f>
        <v>27</v>
      </c>
    </row>
    <row r="34" customFormat="false" ht="19.5" hidden="false" customHeight="true" outlineLevel="0" collapsed="false">
      <c r="A34" s="6" t="s">
        <v>101</v>
      </c>
      <c r="B34" s="6"/>
      <c r="C34" s="6"/>
      <c r="D34" s="6"/>
      <c r="E34" s="7" t="n">
        <f aca="false">COUNTIF(E3:E29,"En cours")</f>
        <v>0</v>
      </c>
    </row>
    <row r="35" customFormat="false" ht="19.5" hidden="false" customHeight="true" outlineLevel="0" collapsed="false">
      <c r="A35" s="6" t="s">
        <v>102</v>
      </c>
      <c r="B35" s="6"/>
      <c r="C35" s="6"/>
      <c r="D35" s="6"/>
      <c r="E35" s="7" t="n">
        <f aca="false">COUNTIF(E3:E29,"Preuve fournie")</f>
        <v>0</v>
      </c>
    </row>
    <row r="36" customFormat="false" ht="19.5" hidden="false" customHeight="true" outlineLevel="0" collapsed="false">
      <c r="A36" s="6" t="s">
        <v>103</v>
      </c>
      <c r="B36" s="6"/>
      <c r="C36" s="6"/>
      <c r="D36" s="6"/>
      <c r="E36" s="7" t="n">
        <f aca="false">COUNTIF(E3:E29,"En révision")</f>
        <v>0</v>
      </c>
    </row>
    <row r="37" customFormat="false" ht="19.5" hidden="false" customHeight="true" outlineLevel="0" collapsed="false">
      <c r="A37" s="6" t="s">
        <v>104</v>
      </c>
      <c r="B37" s="6"/>
      <c r="C37" s="6"/>
      <c r="D37" s="6"/>
      <c r="E37" s="7" t="n">
        <f aca="false">COUNTIF(E3:E29,"Réussi")</f>
        <v>0</v>
      </c>
    </row>
    <row r="38" customFormat="false" ht="19.5" hidden="false" customHeight="true" outlineLevel="0" collapsed="false">
      <c r="A38" s="6" t="s">
        <v>105</v>
      </c>
      <c r="B38" s="6"/>
      <c r="C38" s="6"/>
      <c r="D38" s="6"/>
      <c r="E38" s="7" t="n">
        <f aca="false">COUNTIF(E3:E29,"Échec")</f>
        <v>0</v>
      </c>
    </row>
    <row r="39" customFormat="false" ht="19.5" hidden="false" customHeight="true" outlineLevel="0" collapsed="false">
      <c r="A39" s="6" t="s">
        <v>106</v>
      </c>
      <c r="B39" s="6"/>
      <c r="C39" s="6"/>
      <c r="D39" s="6"/>
      <c r="E39" s="7" t="n">
        <f aca="false">COUNTIF(E3:E29,"Exception acceptée")</f>
        <v>0</v>
      </c>
    </row>
    <row r="40" customFormat="false" ht="19.5" hidden="false" customHeight="true" outlineLevel="0" collapsed="false">
      <c r="A40" s="6" t="s">
        <v>107</v>
      </c>
      <c r="B40" s="6"/>
      <c r="C40" s="6"/>
      <c r="D40" s="6"/>
      <c r="E40" s="8" t="n">
        <f aca="false">IFERROR(COUNTIF(E3:E29,"Réussi")/27,0)</f>
        <v>0</v>
      </c>
    </row>
    <row r="41" customFormat="false" ht="19.5" hidden="false" customHeight="true" outlineLevel="0" collapsed="false">
      <c r="A41" s="6" t="s">
        <v>108</v>
      </c>
      <c r="B41" s="6"/>
      <c r="C41" s="6"/>
      <c r="D41" s="6"/>
      <c r="E41" s="8" t="n">
        <f aca="false">IFERROR(COUNTIF(E3:E29,"Non commencé")/27,0)</f>
        <v>1</v>
      </c>
    </row>
  </sheetData>
  <mergeCells count="12">
    <mergeCell ref="A1:E1"/>
    <mergeCell ref="A31:E31"/>
    <mergeCell ref="A32:D32"/>
    <mergeCell ref="A33:D33"/>
    <mergeCell ref="A34:D34"/>
    <mergeCell ref="A35:D35"/>
    <mergeCell ref="A36:D36"/>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109</v>
      </c>
      <c r="B1" s="9"/>
      <c r="D1" s="9" t="s">
        <v>110</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6</v>
      </c>
      <c r="D3" s="11" t="s">
        <v>114</v>
      </c>
      <c r="E3" s="12" t="s">
        <v>6</v>
      </c>
    </row>
    <row r="4" customFormat="false" ht="21.75" hidden="false" customHeight="true" outlineLevel="0" collapsed="false">
      <c r="A4" s="11" t="s">
        <v>115</v>
      </c>
      <c r="B4" s="12" t="s">
        <v>7</v>
      </c>
      <c r="D4" s="11" t="s">
        <v>116</v>
      </c>
      <c r="E4" s="12" t="s">
        <v>81</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234" hidden="false" customHeight="true" outlineLevel="0" collapsed="false">
      <c r="A8" s="11" t="s">
        <v>125</v>
      </c>
      <c r="B8" s="12" t="s">
        <v>126</v>
      </c>
      <c r="D8" s="11" t="s">
        <v>127</v>
      </c>
      <c r="E8" s="12" t="s">
        <v>128</v>
      </c>
    </row>
    <row r="9" customFormat="false" ht="300" hidden="false" customHeight="true" outlineLevel="0" collapsed="false">
      <c r="A9" s="11" t="s">
        <v>129</v>
      </c>
      <c r="B9" s="12" t="s">
        <v>130</v>
      </c>
      <c r="D9" s="11" t="s">
        <v>131</v>
      </c>
      <c r="E9" s="12" t="s">
        <v>132</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136</v>
      </c>
      <c r="D11" s="11" t="s">
        <v>135</v>
      </c>
      <c r="E11" s="12" t="s">
        <v>136</v>
      </c>
    </row>
    <row r="12" customFormat="false" ht="21.75" hidden="false" customHeight="true" outlineLevel="0" collapsed="false">
      <c r="A12" s="11" t="s">
        <v>137</v>
      </c>
      <c r="B12" s="12" t="s">
        <v>6</v>
      </c>
      <c r="D12" s="11" t="s">
        <v>138</v>
      </c>
      <c r="E12" s="12" t="s">
        <v>6</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154</v>
      </c>
      <c r="B1" s="9"/>
      <c r="D1" s="9" t="s">
        <v>155</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8</v>
      </c>
      <c r="D3" s="11" t="s">
        <v>114</v>
      </c>
      <c r="E3" s="12" t="s">
        <v>8</v>
      </c>
    </row>
    <row r="4" customFormat="false" ht="21.75" hidden="false" customHeight="true" outlineLevel="0" collapsed="false">
      <c r="A4" s="11" t="s">
        <v>115</v>
      </c>
      <c r="B4" s="12" t="s">
        <v>9</v>
      </c>
      <c r="D4" s="11" t="s">
        <v>116</v>
      </c>
      <c r="E4" s="12" t="s">
        <v>82</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64.5" hidden="false" customHeight="true" outlineLevel="0" collapsed="false">
      <c r="A8" s="11" t="s">
        <v>125</v>
      </c>
      <c r="B8" s="12" t="s">
        <v>156</v>
      </c>
      <c r="D8" s="11" t="s">
        <v>127</v>
      </c>
      <c r="E8" s="12" t="s">
        <v>157</v>
      </c>
    </row>
    <row r="9" customFormat="false" ht="129.75" hidden="false" customHeight="true" outlineLevel="0" collapsed="false">
      <c r="A9" s="11" t="s">
        <v>129</v>
      </c>
      <c r="B9" s="12" t="s">
        <v>158</v>
      </c>
      <c r="D9" s="11" t="s">
        <v>131</v>
      </c>
      <c r="E9" s="12" t="s">
        <v>159</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160</v>
      </c>
      <c r="D11" s="11" t="s">
        <v>135</v>
      </c>
      <c r="E11" s="12" t="s">
        <v>160</v>
      </c>
    </row>
    <row r="12" customFormat="false" ht="21.75" hidden="false" customHeight="true" outlineLevel="0" collapsed="false">
      <c r="A12" s="11" t="s">
        <v>137</v>
      </c>
      <c r="B12" s="12" t="s">
        <v>8</v>
      </c>
      <c r="D12" s="11" t="s">
        <v>138</v>
      </c>
      <c r="E12" s="12" t="s">
        <v>8</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161</v>
      </c>
      <c r="B1" s="9"/>
      <c r="D1" s="9" t="s">
        <v>162</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10</v>
      </c>
      <c r="D3" s="11" t="s">
        <v>114</v>
      </c>
      <c r="E3" s="12" t="s">
        <v>10</v>
      </c>
    </row>
    <row r="4" customFormat="false" ht="21.75" hidden="false" customHeight="true" outlineLevel="0" collapsed="false">
      <c r="A4" s="11" t="s">
        <v>115</v>
      </c>
      <c r="B4" s="12" t="s">
        <v>9</v>
      </c>
      <c r="D4" s="11" t="s">
        <v>116</v>
      </c>
      <c r="E4" s="12" t="s">
        <v>82</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03.5" hidden="false" customHeight="true" outlineLevel="0" collapsed="false">
      <c r="A8" s="11" t="s">
        <v>125</v>
      </c>
      <c r="B8" s="12" t="s">
        <v>163</v>
      </c>
      <c r="D8" s="11" t="s">
        <v>127</v>
      </c>
      <c r="E8" s="12" t="s">
        <v>164</v>
      </c>
    </row>
    <row r="9" customFormat="false" ht="181.5" hidden="false" customHeight="true" outlineLevel="0" collapsed="false">
      <c r="A9" s="11" t="s">
        <v>129</v>
      </c>
      <c r="B9" s="12" t="s">
        <v>165</v>
      </c>
      <c r="D9" s="11" t="s">
        <v>131</v>
      </c>
      <c r="E9" s="12" t="s">
        <v>166</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167</v>
      </c>
      <c r="D11" s="11" t="s">
        <v>135</v>
      </c>
      <c r="E11" s="12" t="s">
        <v>167</v>
      </c>
    </row>
    <row r="12" customFormat="false" ht="21.75" hidden="false" customHeight="true" outlineLevel="0" collapsed="false">
      <c r="A12" s="11" t="s">
        <v>137</v>
      </c>
      <c r="B12" s="12" t="s">
        <v>10</v>
      </c>
      <c r="D12" s="11" t="s">
        <v>138</v>
      </c>
      <c r="E12" s="12" t="s">
        <v>10</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168</v>
      </c>
      <c r="B1" s="9"/>
      <c r="D1" s="9" t="s">
        <v>169</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12</v>
      </c>
      <c r="D3" s="11" t="s">
        <v>114</v>
      </c>
      <c r="E3" s="12" t="s">
        <v>12</v>
      </c>
    </row>
    <row r="4" customFormat="false" ht="21.75" hidden="false" customHeight="true" outlineLevel="0" collapsed="false">
      <c r="A4" s="11" t="s">
        <v>115</v>
      </c>
      <c r="B4" s="12" t="s">
        <v>13</v>
      </c>
      <c r="D4" s="11" t="s">
        <v>116</v>
      </c>
      <c r="E4" s="12" t="s">
        <v>83</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64.5" hidden="false" customHeight="true" outlineLevel="0" collapsed="false">
      <c r="A8" s="11" t="s">
        <v>125</v>
      </c>
      <c r="B8" s="12" t="s">
        <v>170</v>
      </c>
      <c r="D8" s="11" t="s">
        <v>127</v>
      </c>
      <c r="E8" s="12" t="s">
        <v>171</v>
      </c>
    </row>
    <row r="9" customFormat="false" ht="51.75" hidden="false" customHeight="true" outlineLevel="0" collapsed="false">
      <c r="A9" s="11" t="s">
        <v>129</v>
      </c>
      <c r="B9" s="12" t="s">
        <v>172</v>
      </c>
      <c r="D9" s="11" t="s">
        <v>131</v>
      </c>
      <c r="E9" s="12" t="s">
        <v>173</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174</v>
      </c>
      <c r="D11" s="11" t="s">
        <v>135</v>
      </c>
      <c r="E11" s="12" t="s">
        <v>174</v>
      </c>
    </row>
    <row r="12" customFormat="false" ht="21.75" hidden="false" customHeight="true" outlineLevel="0" collapsed="false">
      <c r="A12" s="11" t="s">
        <v>137</v>
      </c>
      <c r="B12" s="12" t="s">
        <v>12</v>
      </c>
      <c r="D12" s="11" t="s">
        <v>138</v>
      </c>
      <c r="E12" s="12" t="s">
        <v>12</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175</v>
      </c>
      <c r="B1" s="9"/>
      <c r="D1" s="9" t="s">
        <v>176</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15</v>
      </c>
      <c r="D3" s="11" t="s">
        <v>114</v>
      </c>
      <c r="E3" s="12" t="s">
        <v>15</v>
      </c>
    </row>
    <row r="4" customFormat="false" ht="21.75" hidden="false" customHeight="true" outlineLevel="0" collapsed="false">
      <c r="A4" s="11" t="s">
        <v>115</v>
      </c>
      <c r="B4" s="12" t="s">
        <v>16</v>
      </c>
      <c r="D4" s="11" t="s">
        <v>116</v>
      </c>
      <c r="E4" s="12" t="s">
        <v>84</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03.5" hidden="false" customHeight="true" outlineLevel="0" collapsed="false">
      <c r="A8" s="11" t="s">
        <v>125</v>
      </c>
      <c r="B8" s="12" t="s">
        <v>177</v>
      </c>
      <c r="D8" s="11" t="s">
        <v>127</v>
      </c>
      <c r="E8" s="12" t="s">
        <v>178</v>
      </c>
    </row>
    <row r="9" customFormat="false" ht="129.75" hidden="false" customHeight="true" outlineLevel="0" collapsed="false">
      <c r="A9" s="11" t="s">
        <v>129</v>
      </c>
      <c r="B9" s="12" t="s">
        <v>179</v>
      </c>
      <c r="D9" s="11" t="s">
        <v>131</v>
      </c>
      <c r="E9" s="12" t="s">
        <v>180</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181</v>
      </c>
      <c r="D11" s="11" t="s">
        <v>135</v>
      </c>
      <c r="E11" s="12" t="s">
        <v>181</v>
      </c>
    </row>
    <row r="12" customFormat="false" ht="21.75" hidden="false" customHeight="true" outlineLevel="0" collapsed="false">
      <c r="A12" s="11" t="s">
        <v>137</v>
      </c>
      <c r="B12" s="12" t="s">
        <v>15</v>
      </c>
      <c r="D12" s="11" t="s">
        <v>138</v>
      </c>
      <c r="E12" s="12" t="s">
        <v>15</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182</v>
      </c>
      <c r="B1" s="9"/>
      <c r="D1" s="9" t="s">
        <v>183</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17</v>
      </c>
      <c r="D3" s="11" t="s">
        <v>114</v>
      </c>
      <c r="E3" s="12" t="s">
        <v>17</v>
      </c>
    </row>
    <row r="4" customFormat="false" ht="21.75" hidden="false" customHeight="true" outlineLevel="0" collapsed="false">
      <c r="A4" s="11" t="s">
        <v>115</v>
      </c>
      <c r="B4" s="12" t="s">
        <v>18</v>
      </c>
      <c r="D4" s="11" t="s">
        <v>116</v>
      </c>
      <c r="E4" s="12" t="s">
        <v>85</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17" hidden="false" customHeight="true" outlineLevel="0" collapsed="false">
      <c r="A8" s="11" t="s">
        <v>125</v>
      </c>
      <c r="B8" s="12" t="s">
        <v>184</v>
      </c>
      <c r="D8" s="11" t="s">
        <v>127</v>
      </c>
      <c r="E8" s="12" t="s">
        <v>185</v>
      </c>
    </row>
    <row r="9" customFormat="false" ht="90.75" hidden="false" customHeight="true" outlineLevel="0" collapsed="false">
      <c r="A9" s="11" t="s">
        <v>129</v>
      </c>
      <c r="B9" s="12" t="s">
        <v>186</v>
      </c>
      <c r="D9" s="11" t="s">
        <v>131</v>
      </c>
      <c r="E9" s="12" t="s">
        <v>187</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188</v>
      </c>
      <c r="D11" s="11" t="s">
        <v>135</v>
      </c>
      <c r="E11" s="12" t="s">
        <v>188</v>
      </c>
    </row>
    <row r="12" customFormat="false" ht="21.75" hidden="false" customHeight="true" outlineLevel="0" collapsed="false">
      <c r="A12" s="11" t="s">
        <v>137</v>
      </c>
      <c r="B12" s="12" t="s">
        <v>17</v>
      </c>
      <c r="D12" s="11" t="s">
        <v>138</v>
      </c>
      <c r="E12" s="12" t="s">
        <v>17</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189</v>
      </c>
      <c r="B1" s="9"/>
      <c r="D1" s="9" t="s">
        <v>190</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19</v>
      </c>
      <c r="D3" s="11" t="s">
        <v>114</v>
      </c>
      <c r="E3" s="12" t="s">
        <v>19</v>
      </c>
    </row>
    <row r="4" customFormat="false" ht="21.75" hidden="false" customHeight="true" outlineLevel="0" collapsed="false">
      <c r="A4" s="11" t="s">
        <v>115</v>
      </c>
      <c r="B4" s="12" t="s">
        <v>20</v>
      </c>
      <c r="D4" s="11" t="s">
        <v>116</v>
      </c>
      <c r="E4" s="12" t="s">
        <v>86</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51.75" hidden="false" customHeight="true" outlineLevel="0" collapsed="false">
      <c r="A8" s="11" t="s">
        <v>125</v>
      </c>
      <c r="B8" s="12" t="s">
        <v>191</v>
      </c>
      <c r="D8" s="11" t="s">
        <v>127</v>
      </c>
      <c r="E8" s="12" t="s">
        <v>192</v>
      </c>
    </row>
    <row r="9" customFormat="false" ht="51.75" hidden="false" customHeight="true" outlineLevel="0" collapsed="false">
      <c r="A9" s="11" t="s">
        <v>129</v>
      </c>
      <c r="B9" s="12" t="s">
        <v>193</v>
      </c>
      <c r="D9" s="11" t="s">
        <v>131</v>
      </c>
      <c r="E9" s="12" t="s">
        <v>194</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195</v>
      </c>
      <c r="D11" s="11" t="s">
        <v>135</v>
      </c>
      <c r="E11" s="12" t="s">
        <v>195</v>
      </c>
    </row>
    <row r="12" customFormat="false" ht="21.75" hidden="false" customHeight="true" outlineLevel="0" collapsed="false">
      <c r="A12" s="11" t="s">
        <v>137</v>
      </c>
      <c r="B12" s="12" t="s">
        <v>19</v>
      </c>
      <c r="D12" s="11" t="s">
        <v>138</v>
      </c>
      <c r="E12" s="12" t="s">
        <v>19</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196</v>
      </c>
      <c r="B1" s="9"/>
      <c r="D1" s="9" t="s">
        <v>197</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22</v>
      </c>
      <c r="D3" s="11" t="s">
        <v>114</v>
      </c>
      <c r="E3" s="12" t="s">
        <v>22</v>
      </c>
    </row>
    <row r="4" customFormat="false" ht="21.75" hidden="false" customHeight="true" outlineLevel="0" collapsed="false">
      <c r="A4" s="11" t="s">
        <v>115</v>
      </c>
      <c r="B4" s="12" t="s">
        <v>23</v>
      </c>
      <c r="D4" s="11" t="s">
        <v>116</v>
      </c>
      <c r="E4" s="12" t="s">
        <v>87</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68.75" hidden="false" customHeight="true" outlineLevel="0" collapsed="false">
      <c r="A8" s="11" t="s">
        <v>125</v>
      </c>
      <c r="B8" s="12" t="s">
        <v>198</v>
      </c>
      <c r="D8" s="11" t="s">
        <v>127</v>
      </c>
      <c r="E8" s="12" t="s">
        <v>199</v>
      </c>
    </row>
    <row r="9" customFormat="false" ht="300" hidden="false" customHeight="true" outlineLevel="0" collapsed="false">
      <c r="A9" s="11" t="s">
        <v>129</v>
      </c>
      <c r="B9" s="12" t="s">
        <v>200</v>
      </c>
      <c r="D9" s="11" t="s">
        <v>131</v>
      </c>
      <c r="E9" s="12" t="s">
        <v>201</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202</v>
      </c>
      <c r="D11" s="11" t="s">
        <v>135</v>
      </c>
      <c r="E11" s="12" t="s">
        <v>202</v>
      </c>
    </row>
    <row r="12" customFormat="false" ht="21.75" hidden="false" customHeight="true" outlineLevel="0" collapsed="false">
      <c r="A12" s="11" t="s">
        <v>137</v>
      </c>
      <c r="B12" s="12" t="s">
        <v>22</v>
      </c>
      <c r="D12" s="11" t="s">
        <v>138</v>
      </c>
      <c r="E12" s="12" t="s">
        <v>22</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203</v>
      </c>
      <c r="B1" s="9"/>
      <c r="D1" s="9" t="s">
        <v>204</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24</v>
      </c>
      <c r="D3" s="11" t="s">
        <v>114</v>
      </c>
      <c r="E3" s="12" t="s">
        <v>24</v>
      </c>
    </row>
    <row r="4" customFormat="false" ht="21.75" hidden="false" customHeight="true" outlineLevel="0" collapsed="false">
      <c r="A4" s="11" t="s">
        <v>115</v>
      </c>
      <c r="B4" s="12" t="s">
        <v>25</v>
      </c>
      <c r="D4" s="11" t="s">
        <v>116</v>
      </c>
      <c r="E4" s="12" t="s">
        <v>88</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78" hidden="false" customHeight="true" outlineLevel="0" collapsed="false">
      <c r="A8" s="11" t="s">
        <v>125</v>
      </c>
      <c r="B8" s="12" t="s">
        <v>205</v>
      </c>
      <c r="D8" s="11" t="s">
        <v>127</v>
      </c>
      <c r="E8" s="12" t="s">
        <v>206</v>
      </c>
    </row>
    <row r="9" customFormat="false" ht="300" hidden="false" customHeight="true" outlineLevel="0" collapsed="false">
      <c r="A9" s="11" t="s">
        <v>129</v>
      </c>
      <c r="B9" s="12" t="s">
        <v>207</v>
      </c>
      <c r="D9" s="11" t="s">
        <v>131</v>
      </c>
      <c r="E9" s="12" t="s">
        <v>208</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209</v>
      </c>
      <c r="D11" s="11" t="s">
        <v>135</v>
      </c>
      <c r="E11" s="12" t="s">
        <v>209</v>
      </c>
    </row>
    <row r="12" customFormat="false" ht="21.75" hidden="false" customHeight="true" outlineLevel="0" collapsed="false">
      <c r="A12" s="11" t="s">
        <v>137</v>
      </c>
      <c r="B12" s="12" t="s">
        <v>24</v>
      </c>
      <c r="D12" s="11" t="s">
        <v>138</v>
      </c>
      <c r="E12" s="12" t="s">
        <v>24</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210</v>
      </c>
      <c r="B1" s="9"/>
      <c r="D1" s="9" t="s">
        <v>211</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26</v>
      </c>
      <c r="D3" s="11" t="s">
        <v>114</v>
      </c>
      <c r="E3" s="12" t="s">
        <v>26</v>
      </c>
    </row>
    <row r="4" customFormat="false" ht="21.75" hidden="false" customHeight="true" outlineLevel="0" collapsed="false">
      <c r="A4" s="11" t="s">
        <v>115</v>
      </c>
      <c r="B4" s="12" t="s">
        <v>25</v>
      </c>
      <c r="D4" s="11" t="s">
        <v>116</v>
      </c>
      <c r="E4" s="12" t="s">
        <v>88</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78" hidden="false" customHeight="true" outlineLevel="0" collapsed="false">
      <c r="A8" s="11" t="s">
        <v>125</v>
      </c>
      <c r="B8" s="12" t="s">
        <v>212</v>
      </c>
      <c r="D8" s="11" t="s">
        <v>127</v>
      </c>
      <c r="E8" s="12" t="s">
        <v>213</v>
      </c>
    </row>
    <row r="9" customFormat="false" ht="64.5" hidden="false" customHeight="true" outlineLevel="0" collapsed="false">
      <c r="A9" s="11" t="s">
        <v>129</v>
      </c>
      <c r="B9" s="12" t="s">
        <v>214</v>
      </c>
      <c r="D9" s="11" t="s">
        <v>131</v>
      </c>
      <c r="E9" s="12" t="s">
        <v>215</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216</v>
      </c>
      <c r="D11" s="11" t="s">
        <v>135</v>
      </c>
      <c r="E11" s="12" t="s">
        <v>216</v>
      </c>
    </row>
    <row r="12" customFormat="false" ht="21.75" hidden="false" customHeight="true" outlineLevel="0" collapsed="false">
      <c r="A12" s="11" t="s">
        <v>137</v>
      </c>
      <c r="B12" s="12" t="s">
        <v>26</v>
      </c>
      <c r="D12" s="11" t="s">
        <v>138</v>
      </c>
      <c r="E12" s="12" t="s">
        <v>26</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217</v>
      </c>
      <c r="B1" s="9"/>
      <c r="D1" s="9" t="s">
        <v>218</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28</v>
      </c>
      <c r="D3" s="11" t="s">
        <v>114</v>
      </c>
      <c r="E3" s="12" t="s">
        <v>28</v>
      </c>
    </row>
    <row r="4" customFormat="false" ht="21.75" hidden="false" customHeight="true" outlineLevel="0" collapsed="false">
      <c r="A4" s="11" t="s">
        <v>115</v>
      </c>
      <c r="B4" s="12" t="s">
        <v>29</v>
      </c>
      <c r="D4" s="11" t="s">
        <v>116</v>
      </c>
      <c r="E4" s="12" t="s">
        <v>89</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64.5" hidden="false" customHeight="true" outlineLevel="0" collapsed="false">
      <c r="A8" s="11" t="s">
        <v>125</v>
      </c>
      <c r="B8" s="12" t="s">
        <v>219</v>
      </c>
      <c r="D8" s="11" t="s">
        <v>127</v>
      </c>
      <c r="E8" s="12" t="s">
        <v>220</v>
      </c>
    </row>
    <row r="9" customFormat="false" ht="168.75" hidden="false" customHeight="true" outlineLevel="0" collapsed="false">
      <c r="A9" s="11" t="s">
        <v>129</v>
      </c>
      <c r="B9" s="12" t="s">
        <v>221</v>
      </c>
      <c r="D9" s="11" t="s">
        <v>131</v>
      </c>
      <c r="E9" s="12" t="s">
        <v>222</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223</v>
      </c>
      <c r="D11" s="11" t="s">
        <v>135</v>
      </c>
      <c r="E11" s="12" t="s">
        <v>223</v>
      </c>
    </row>
    <row r="12" customFormat="false" ht="21.75" hidden="false" customHeight="true" outlineLevel="0" collapsed="false">
      <c r="A12" s="11" t="s">
        <v>137</v>
      </c>
      <c r="B12" s="12" t="s">
        <v>28</v>
      </c>
      <c r="D12" s="11" t="s">
        <v>138</v>
      </c>
      <c r="E12" s="12" t="s">
        <v>28</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224</v>
      </c>
      <c r="B1" s="9"/>
      <c r="D1" s="9" t="s">
        <v>225</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30</v>
      </c>
      <c r="D3" s="11" t="s">
        <v>114</v>
      </c>
      <c r="E3" s="12" t="s">
        <v>30</v>
      </c>
    </row>
    <row r="4" customFormat="false" ht="21.75" hidden="false" customHeight="true" outlineLevel="0" collapsed="false">
      <c r="A4" s="11" t="s">
        <v>115</v>
      </c>
      <c r="B4" s="12" t="s">
        <v>29</v>
      </c>
      <c r="D4" s="11" t="s">
        <v>116</v>
      </c>
      <c r="E4" s="12" t="s">
        <v>89</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51.75" hidden="false" customHeight="true" outlineLevel="0" collapsed="false">
      <c r="A8" s="11" t="s">
        <v>125</v>
      </c>
      <c r="B8" s="12" t="s">
        <v>226</v>
      </c>
      <c r="D8" s="11" t="s">
        <v>127</v>
      </c>
      <c r="E8" s="12" t="s">
        <v>227</v>
      </c>
    </row>
    <row r="9" customFormat="false" ht="45" hidden="false" customHeight="true" outlineLevel="0" collapsed="false">
      <c r="A9" s="11" t="s">
        <v>129</v>
      </c>
      <c r="B9" s="12"/>
      <c r="D9" s="11" t="s">
        <v>131</v>
      </c>
      <c r="E9" s="12"/>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228</v>
      </c>
      <c r="D11" s="11" t="s">
        <v>135</v>
      </c>
      <c r="E11" s="12" t="s">
        <v>228</v>
      </c>
    </row>
    <row r="12" customFormat="false" ht="21.75" hidden="false" customHeight="true" outlineLevel="0" collapsed="false">
      <c r="A12" s="11" t="s">
        <v>137</v>
      </c>
      <c r="B12" s="12" t="s">
        <v>30</v>
      </c>
      <c r="D12" s="11" t="s">
        <v>138</v>
      </c>
      <c r="E12" s="12" t="s">
        <v>30</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229</v>
      </c>
      <c r="B1" s="9"/>
      <c r="D1" s="9" t="s">
        <v>230</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32</v>
      </c>
      <c r="D3" s="11" t="s">
        <v>114</v>
      </c>
      <c r="E3" s="12" t="s">
        <v>32</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68.75" hidden="false" customHeight="true" outlineLevel="0" collapsed="false">
      <c r="A8" s="11" t="s">
        <v>125</v>
      </c>
      <c r="B8" s="12" t="s">
        <v>231</v>
      </c>
      <c r="D8" s="11" t="s">
        <v>127</v>
      </c>
      <c r="E8" s="12" t="s">
        <v>232</v>
      </c>
    </row>
    <row r="9" customFormat="false" ht="156" hidden="false" customHeight="true" outlineLevel="0" collapsed="false">
      <c r="A9" s="11" t="s">
        <v>129</v>
      </c>
      <c r="B9" s="12" t="s">
        <v>233</v>
      </c>
      <c r="D9" s="11" t="s">
        <v>131</v>
      </c>
      <c r="E9" s="12" t="s">
        <v>234</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235</v>
      </c>
      <c r="D11" s="11" t="s">
        <v>135</v>
      </c>
      <c r="E11" s="12" t="s">
        <v>235</v>
      </c>
    </row>
    <row r="12" customFormat="false" ht="21.75" hidden="false" customHeight="true" outlineLevel="0" collapsed="false">
      <c r="A12" s="11" t="s">
        <v>137</v>
      </c>
      <c r="B12" s="12" t="s">
        <v>32</v>
      </c>
      <c r="D12" s="11" t="s">
        <v>138</v>
      </c>
      <c r="E12" s="12" t="s">
        <v>32</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236</v>
      </c>
      <c r="B1" s="9"/>
      <c r="D1" s="9" t="s">
        <v>237</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34</v>
      </c>
      <c r="D3" s="11" t="s">
        <v>114</v>
      </c>
      <c r="E3" s="12" t="s">
        <v>34</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51.75" hidden="false" customHeight="true" outlineLevel="0" collapsed="false">
      <c r="A8" s="11" t="s">
        <v>125</v>
      </c>
      <c r="B8" s="12" t="s">
        <v>238</v>
      </c>
      <c r="D8" s="11" t="s">
        <v>127</v>
      </c>
      <c r="E8" s="12" t="s">
        <v>239</v>
      </c>
    </row>
    <row r="9" customFormat="false" ht="45" hidden="false" customHeight="true" outlineLevel="0" collapsed="false">
      <c r="A9" s="11" t="s">
        <v>129</v>
      </c>
      <c r="B9" s="12" t="s">
        <v>240</v>
      </c>
      <c r="D9" s="11" t="s">
        <v>131</v>
      </c>
      <c r="E9" s="12" t="s">
        <v>241</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242</v>
      </c>
      <c r="D11" s="11" t="s">
        <v>135</v>
      </c>
      <c r="E11" s="12" t="s">
        <v>242</v>
      </c>
    </row>
    <row r="12" customFormat="false" ht="21.75" hidden="false" customHeight="true" outlineLevel="0" collapsed="false">
      <c r="A12" s="11" t="s">
        <v>137</v>
      </c>
      <c r="B12" s="12" t="s">
        <v>34</v>
      </c>
      <c r="D12" s="11" t="s">
        <v>138</v>
      </c>
      <c r="E12" s="12" t="s">
        <v>34</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243</v>
      </c>
      <c r="B1" s="9"/>
      <c r="D1" s="9" t="s">
        <v>244</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36</v>
      </c>
      <c r="D3" s="11" t="s">
        <v>114</v>
      </c>
      <c r="E3" s="12" t="s">
        <v>36</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51.75" hidden="false" customHeight="true" outlineLevel="0" collapsed="false">
      <c r="A8" s="11" t="s">
        <v>125</v>
      </c>
      <c r="B8" s="12" t="s">
        <v>245</v>
      </c>
      <c r="D8" s="11" t="s">
        <v>127</v>
      </c>
      <c r="E8" s="12" t="s">
        <v>246</v>
      </c>
    </row>
    <row r="9" customFormat="false" ht="45" hidden="false" customHeight="true" outlineLevel="0" collapsed="false">
      <c r="A9" s="11" t="s">
        <v>129</v>
      </c>
      <c r="B9" s="12" t="s">
        <v>240</v>
      </c>
      <c r="D9" s="11" t="s">
        <v>131</v>
      </c>
      <c r="E9" s="12" t="s">
        <v>241</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247</v>
      </c>
      <c r="D11" s="11" t="s">
        <v>135</v>
      </c>
      <c r="E11" s="12" t="s">
        <v>247</v>
      </c>
    </row>
    <row r="12" customFormat="false" ht="21.75" hidden="false" customHeight="true" outlineLevel="0" collapsed="false">
      <c r="A12" s="11" t="s">
        <v>137</v>
      </c>
      <c r="B12" s="12" t="s">
        <v>36</v>
      </c>
      <c r="D12" s="11" t="s">
        <v>138</v>
      </c>
      <c r="E12" s="12" t="s">
        <v>36</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248</v>
      </c>
      <c r="B1" s="9"/>
      <c r="D1" s="9" t="s">
        <v>249</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38</v>
      </c>
      <c r="D3" s="11" t="s">
        <v>114</v>
      </c>
      <c r="E3" s="12" t="s">
        <v>38</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64.5" hidden="false" customHeight="true" outlineLevel="0" collapsed="false">
      <c r="A8" s="11" t="s">
        <v>125</v>
      </c>
      <c r="B8" s="12" t="s">
        <v>250</v>
      </c>
      <c r="D8" s="11" t="s">
        <v>127</v>
      </c>
      <c r="E8" s="12" t="s">
        <v>251</v>
      </c>
    </row>
    <row r="9" customFormat="false" ht="103.5" hidden="false" customHeight="true" outlineLevel="0" collapsed="false">
      <c r="A9" s="11" t="s">
        <v>129</v>
      </c>
      <c r="B9" s="12" t="s">
        <v>252</v>
      </c>
      <c r="D9" s="11" t="s">
        <v>131</v>
      </c>
      <c r="E9" s="12" t="s">
        <v>253</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254</v>
      </c>
      <c r="D11" s="11" t="s">
        <v>135</v>
      </c>
      <c r="E11" s="12" t="s">
        <v>254</v>
      </c>
    </row>
    <row r="12" customFormat="false" ht="21.75" hidden="false" customHeight="true" outlineLevel="0" collapsed="false">
      <c r="A12" s="11" t="s">
        <v>137</v>
      </c>
      <c r="B12" s="12" t="s">
        <v>38</v>
      </c>
      <c r="D12" s="11" t="s">
        <v>138</v>
      </c>
      <c r="E12" s="12" t="s">
        <v>38</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255</v>
      </c>
      <c r="B1" s="9"/>
      <c r="D1" s="9" t="s">
        <v>256</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40</v>
      </c>
      <c r="D3" s="11" t="s">
        <v>114</v>
      </c>
      <c r="E3" s="12" t="s">
        <v>40</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64.5" hidden="false" customHeight="true" outlineLevel="0" collapsed="false">
      <c r="A8" s="11" t="s">
        <v>125</v>
      </c>
      <c r="B8" s="12" t="s">
        <v>257</v>
      </c>
      <c r="D8" s="11" t="s">
        <v>127</v>
      </c>
      <c r="E8" s="12" t="s">
        <v>258</v>
      </c>
    </row>
    <row r="9" customFormat="false" ht="45" hidden="false" customHeight="true" outlineLevel="0" collapsed="false">
      <c r="A9" s="11" t="s">
        <v>129</v>
      </c>
      <c r="B9" s="12" t="s">
        <v>259</v>
      </c>
      <c r="D9" s="11" t="s">
        <v>131</v>
      </c>
      <c r="E9" s="12" t="s">
        <v>260</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261</v>
      </c>
      <c r="D11" s="11" t="s">
        <v>135</v>
      </c>
      <c r="E11" s="12" t="s">
        <v>261</v>
      </c>
    </row>
    <row r="12" customFormat="false" ht="21.75" hidden="false" customHeight="true" outlineLevel="0" collapsed="false">
      <c r="A12" s="11" t="s">
        <v>137</v>
      </c>
      <c r="B12" s="12" t="s">
        <v>40</v>
      </c>
      <c r="D12" s="11" t="s">
        <v>138</v>
      </c>
      <c r="E12" s="12" t="s">
        <v>40</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262</v>
      </c>
      <c r="B1" s="9"/>
      <c r="D1" s="9" t="s">
        <v>263</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42</v>
      </c>
      <c r="D3" s="11" t="s">
        <v>114</v>
      </c>
      <c r="E3" s="12" t="s">
        <v>42</v>
      </c>
    </row>
    <row r="4" customFormat="false" ht="21.75" hidden="false" customHeight="true" outlineLevel="0" collapsed="false">
      <c r="A4" s="11" t="s">
        <v>115</v>
      </c>
      <c r="B4" s="12" t="s">
        <v>33</v>
      </c>
      <c r="D4" s="11" t="s">
        <v>116</v>
      </c>
      <c r="E4" s="12" t="s">
        <v>90</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45" hidden="false" customHeight="true" outlineLevel="0" collapsed="false">
      <c r="A8" s="11" t="s">
        <v>125</v>
      </c>
      <c r="B8" s="12" t="s">
        <v>264</v>
      </c>
      <c r="D8" s="11" t="s">
        <v>127</v>
      </c>
      <c r="E8" s="12" t="s">
        <v>265</v>
      </c>
    </row>
    <row r="9" customFormat="false" ht="117" hidden="false" customHeight="true" outlineLevel="0" collapsed="false">
      <c r="A9" s="11" t="s">
        <v>129</v>
      </c>
      <c r="B9" s="12" t="s">
        <v>266</v>
      </c>
      <c r="D9" s="11" t="s">
        <v>131</v>
      </c>
      <c r="E9" s="12" t="s">
        <v>267</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268</v>
      </c>
      <c r="D11" s="11" t="s">
        <v>135</v>
      </c>
      <c r="E11" s="12" t="s">
        <v>268</v>
      </c>
    </row>
    <row r="12" customFormat="false" ht="21.75" hidden="false" customHeight="true" outlineLevel="0" collapsed="false">
      <c r="A12" s="11" t="s">
        <v>137</v>
      </c>
      <c r="B12" s="12" t="s">
        <v>42</v>
      </c>
      <c r="D12" s="11" t="s">
        <v>138</v>
      </c>
      <c r="E12" s="12" t="s">
        <v>42</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269</v>
      </c>
      <c r="B1" s="9"/>
      <c r="D1" s="9" t="s">
        <v>270</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44</v>
      </c>
      <c r="D3" s="11" t="s">
        <v>114</v>
      </c>
      <c r="E3" s="12" t="s">
        <v>44</v>
      </c>
    </row>
    <row r="4" customFormat="false" ht="21.75" hidden="false" customHeight="true" outlineLevel="0" collapsed="false">
      <c r="A4" s="11" t="s">
        <v>115</v>
      </c>
      <c r="B4" s="12" t="s">
        <v>45</v>
      </c>
      <c r="D4" s="11" t="s">
        <v>116</v>
      </c>
      <c r="E4" s="12" t="s">
        <v>91</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45" hidden="false" customHeight="true" outlineLevel="0" collapsed="false">
      <c r="A8" s="11" t="s">
        <v>125</v>
      </c>
      <c r="B8" s="12" t="s">
        <v>271</v>
      </c>
      <c r="D8" s="11" t="s">
        <v>127</v>
      </c>
      <c r="E8" s="12" t="s">
        <v>272</v>
      </c>
    </row>
    <row r="9" customFormat="false" ht="246.75" hidden="false" customHeight="true" outlineLevel="0" collapsed="false">
      <c r="A9" s="11" t="s">
        <v>129</v>
      </c>
      <c r="B9" s="12" t="s">
        <v>273</v>
      </c>
      <c r="D9" s="11" t="s">
        <v>131</v>
      </c>
      <c r="E9" s="12" t="s">
        <v>274</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275</v>
      </c>
      <c r="D11" s="11" t="s">
        <v>135</v>
      </c>
      <c r="E11" s="12" t="s">
        <v>275</v>
      </c>
    </row>
    <row r="12" customFormat="false" ht="21.75" hidden="false" customHeight="true" outlineLevel="0" collapsed="false">
      <c r="A12" s="11" t="s">
        <v>137</v>
      </c>
      <c r="B12" s="12" t="s">
        <v>44</v>
      </c>
      <c r="D12" s="11" t="s">
        <v>138</v>
      </c>
      <c r="E12" s="12" t="s">
        <v>44</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276</v>
      </c>
      <c r="B1" s="9"/>
      <c r="D1" s="9" t="s">
        <v>277</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46</v>
      </c>
      <c r="D3" s="11" t="s">
        <v>114</v>
      </c>
      <c r="E3" s="12" t="s">
        <v>46</v>
      </c>
    </row>
    <row r="4" customFormat="false" ht="21.75" hidden="false" customHeight="true" outlineLevel="0" collapsed="false">
      <c r="A4" s="11" t="s">
        <v>115</v>
      </c>
      <c r="B4" s="12" t="s">
        <v>45</v>
      </c>
      <c r="D4" s="11" t="s">
        <v>116</v>
      </c>
      <c r="E4" s="12" t="s">
        <v>91</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78" hidden="false" customHeight="true" outlineLevel="0" collapsed="false">
      <c r="A8" s="11" t="s">
        <v>125</v>
      </c>
      <c r="B8" s="12" t="s">
        <v>278</v>
      </c>
      <c r="D8" s="11" t="s">
        <v>127</v>
      </c>
      <c r="E8" s="12" t="s">
        <v>279</v>
      </c>
    </row>
    <row r="9" customFormat="false" ht="45" hidden="false" customHeight="true" outlineLevel="0" collapsed="false">
      <c r="A9" s="11" t="s">
        <v>129</v>
      </c>
      <c r="B9" s="12" t="s">
        <v>280</v>
      </c>
      <c r="D9" s="11" t="s">
        <v>131</v>
      </c>
      <c r="E9" s="12" t="s">
        <v>281</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282</v>
      </c>
      <c r="D11" s="11" t="s">
        <v>135</v>
      </c>
      <c r="E11" s="12" t="s">
        <v>282</v>
      </c>
    </row>
    <row r="12" customFormat="false" ht="21.75" hidden="false" customHeight="true" outlineLevel="0" collapsed="false">
      <c r="A12" s="11" t="s">
        <v>137</v>
      </c>
      <c r="B12" s="12" t="s">
        <v>46</v>
      </c>
      <c r="D12" s="11" t="s">
        <v>138</v>
      </c>
      <c r="E12" s="12" t="s">
        <v>46</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283</v>
      </c>
      <c r="B1" s="9"/>
      <c r="D1" s="9" t="s">
        <v>284</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48</v>
      </c>
      <c r="D3" s="11" t="s">
        <v>114</v>
      </c>
      <c r="E3" s="12" t="s">
        <v>48</v>
      </c>
    </row>
    <row r="4" customFormat="false" ht="21.75" hidden="false" customHeight="true" outlineLevel="0" collapsed="false">
      <c r="A4" s="11" t="s">
        <v>115</v>
      </c>
      <c r="B4" s="12" t="s">
        <v>49</v>
      </c>
      <c r="D4" s="11" t="s">
        <v>116</v>
      </c>
      <c r="E4" s="12" t="s">
        <v>92</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03.5" hidden="false" customHeight="true" outlineLevel="0" collapsed="false">
      <c r="A8" s="11" t="s">
        <v>125</v>
      </c>
      <c r="B8" s="12" t="s">
        <v>285</v>
      </c>
      <c r="D8" s="11" t="s">
        <v>127</v>
      </c>
      <c r="E8" s="12" t="s">
        <v>286</v>
      </c>
    </row>
    <row r="9" customFormat="false" ht="234" hidden="false" customHeight="true" outlineLevel="0" collapsed="false">
      <c r="A9" s="11" t="s">
        <v>129</v>
      </c>
      <c r="B9" s="12" t="s">
        <v>287</v>
      </c>
      <c r="D9" s="11" t="s">
        <v>131</v>
      </c>
      <c r="E9" s="12" t="s">
        <v>288</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289</v>
      </c>
      <c r="D11" s="11" t="s">
        <v>135</v>
      </c>
      <c r="E11" s="12" t="s">
        <v>289</v>
      </c>
    </row>
    <row r="12" customFormat="false" ht="21.75" hidden="false" customHeight="true" outlineLevel="0" collapsed="false">
      <c r="A12" s="11" t="s">
        <v>137</v>
      </c>
      <c r="B12" s="12" t="s">
        <v>48</v>
      </c>
      <c r="D12" s="11" t="s">
        <v>138</v>
      </c>
      <c r="E12" s="12" t="s">
        <v>48</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290</v>
      </c>
      <c r="B1" s="9"/>
      <c r="D1" s="9" t="s">
        <v>291</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51</v>
      </c>
      <c r="D3" s="11" t="s">
        <v>114</v>
      </c>
      <c r="E3" s="12" t="s">
        <v>51</v>
      </c>
    </row>
    <row r="4" customFormat="false" ht="21.75" hidden="false" customHeight="true" outlineLevel="0" collapsed="false">
      <c r="A4" s="11" t="s">
        <v>115</v>
      </c>
      <c r="B4" s="12" t="s">
        <v>52</v>
      </c>
      <c r="D4" s="11" t="s">
        <v>116</v>
      </c>
      <c r="E4" s="12" t="s">
        <v>93</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45" hidden="false" customHeight="true" outlineLevel="0" collapsed="false">
      <c r="A8" s="11" t="s">
        <v>125</v>
      </c>
      <c r="B8" s="12" t="s">
        <v>292</v>
      </c>
      <c r="D8" s="11" t="s">
        <v>127</v>
      </c>
      <c r="E8" s="12" t="s">
        <v>293</v>
      </c>
    </row>
    <row r="9" customFormat="false" ht="220.5" hidden="false" customHeight="true" outlineLevel="0" collapsed="false">
      <c r="A9" s="11" t="s">
        <v>129</v>
      </c>
      <c r="B9" s="12" t="s">
        <v>294</v>
      </c>
      <c r="D9" s="11" t="s">
        <v>131</v>
      </c>
      <c r="E9" s="12" t="s">
        <v>295</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296</v>
      </c>
      <c r="D11" s="11" t="s">
        <v>135</v>
      </c>
      <c r="E11" s="12" t="s">
        <v>296</v>
      </c>
    </row>
    <row r="12" customFormat="false" ht="21.75" hidden="false" customHeight="true" outlineLevel="0" collapsed="false">
      <c r="A12" s="11" t="s">
        <v>137</v>
      </c>
      <c r="B12" s="12" t="s">
        <v>51</v>
      </c>
      <c r="D12" s="11" t="s">
        <v>138</v>
      </c>
      <c r="E12" s="12" t="s">
        <v>51</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297</v>
      </c>
      <c r="B1" s="9"/>
      <c r="D1" s="9" t="s">
        <v>298</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53</v>
      </c>
      <c r="D3" s="11" t="s">
        <v>114</v>
      </c>
      <c r="E3" s="12" t="s">
        <v>53</v>
      </c>
    </row>
    <row r="4" customFormat="false" ht="21.75" hidden="false" customHeight="true" outlineLevel="0" collapsed="false">
      <c r="A4" s="11" t="s">
        <v>115</v>
      </c>
      <c r="B4" s="12" t="s">
        <v>54</v>
      </c>
      <c r="D4" s="11" t="s">
        <v>116</v>
      </c>
      <c r="E4" s="12" t="s">
        <v>94</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45" hidden="false" customHeight="true" outlineLevel="0" collapsed="false">
      <c r="A8" s="11" t="s">
        <v>125</v>
      </c>
      <c r="B8" s="12" t="s">
        <v>299</v>
      </c>
      <c r="D8" s="11" t="s">
        <v>127</v>
      </c>
      <c r="E8" s="12" t="s">
        <v>300</v>
      </c>
    </row>
    <row r="9" customFormat="false" ht="234" hidden="false" customHeight="true" outlineLevel="0" collapsed="false">
      <c r="A9" s="11" t="s">
        <v>129</v>
      </c>
      <c r="B9" s="12" t="s">
        <v>301</v>
      </c>
      <c r="D9" s="11" t="s">
        <v>131</v>
      </c>
      <c r="E9" s="12" t="s">
        <v>302</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303</v>
      </c>
      <c r="D11" s="11" t="s">
        <v>135</v>
      </c>
      <c r="E11" s="12" t="s">
        <v>303</v>
      </c>
    </row>
    <row r="12" customFormat="false" ht="21.75" hidden="false" customHeight="true" outlineLevel="0" collapsed="false">
      <c r="A12" s="11" t="s">
        <v>137</v>
      </c>
      <c r="B12" s="12" t="s">
        <v>53</v>
      </c>
      <c r="D12" s="11" t="s">
        <v>138</v>
      </c>
      <c r="E12" s="12" t="s">
        <v>53</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304</v>
      </c>
      <c r="B1" s="9"/>
      <c r="D1" s="9" t="s">
        <v>305</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55</v>
      </c>
      <c r="D3" s="11" t="s">
        <v>114</v>
      </c>
      <c r="E3" s="12" t="s">
        <v>55</v>
      </c>
    </row>
    <row r="4" customFormat="false" ht="21.75" hidden="false" customHeight="true" outlineLevel="0" collapsed="false">
      <c r="A4" s="11" t="s">
        <v>115</v>
      </c>
      <c r="B4" s="12" t="s">
        <v>56</v>
      </c>
      <c r="D4" s="11" t="s">
        <v>116</v>
      </c>
      <c r="E4" s="12" t="s">
        <v>95</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51.75" hidden="false" customHeight="true" outlineLevel="0" collapsed="false">
      <c r="A8" s="11" t="s">
        <v>125</v>
      </c>
      <c r="B8" s="12" t="s">
        <v>306</v>
      </c>
      <c r="D8" s="11" t="s">
        <v>127</v>
      </c>
      <c r="E8" s="12" t="s">
        <v>307</v>
      </c>
    </row>
    <row r="9" customFormat="false" ht="259.5" hidden="false" customHeight="true" outlineLevel="0" collapsed="false">
      <c r="A9" s="11" t="s">
        <v>129</v>
      </c>
      <c r="B9" s="12" t="s">
        <v>308</v>
      </c>
      <c r="D9" s="11" t="s">
        <v>131</v>
      </c>
      <c r="E9" s="12" t="s">
        <v>309</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310</v>
      </c>
      <c r="D11" s="11" t="s">
        <v>135</v>
      </c>
      <c r="E11" s="12" t="s">
        <v>310</v>
      </c>
    </row>
    <row r="12" customFormat="false" ht="21.75" hidden="false" customHeight="true" outlineLevel="0" collapsed="false">
      <c r="A12" s="11" t="s">
        <v>137</v>
      </c>
      <c r="B12" s="12" t="s">
        <v>55</v>
      </c>
      <c r="D12" s="11" t="s">
        <v>138</v>
      </c>
      <c r="E12" s="12" t="s">
        <v>55</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311</v>
      </c>
      <c r="B1" s="9"/>
      <c r="D1" s="9" t="s">
        <v>312</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57</v>
      </c>
      <c r="D3" s="11" t="s">
        <v>114</v>
      </c>
      <c r="E3" s="12" t="s">
        <v>57</v>
      </c>
    </row>
    <row r="4" customFormat="false" ht="21.75" hidden="false" customHeight="true" outlineLevel="0" collapsed="false">
      <c r="A4" s="11" t="s">
        <v>115</v>
      </c>
      <c r="B4" s="12" t="s">
        <v>56</v>
      </c>
      <c r="D4" s="11" t="s">
        <v>116</v>
      </c>
      <c r="E4" s="12" t="s">
        <v>95</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78" hidden="false" customHeight="true" outlineLevel="0" collapsed="false">
      <c r="A8" s="11" t="s">
        <v>125</v>
      </c>
      <c r="B8" s="12" t="s">
        <v>313</v>
      </c>
      <c r="D8" s="11" t="s">
        <v>127</v>
      </c>
      <c r="E8" s="12" t="s">
        <v>314</v>
      </c>
    </row>
    <row r="9" customFormat="false" ht="207.75" hidden="false" customHeight="true" outlineLevel="0" collapsed="false">
      <c r="A9" s="11" t="s">
        <v>129</v>
      </c>
      <c r="B9" s="12" t="s">
        <v>315</v>
      </c>
      <c r="D9" s="11" t="s">
        <v>131</v>
      </c>
      <c r="E9" s="12" t="s">
        <v>316</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317</v>
      </c>
      <c r="D11" s="11" t="s">
        <v>135</v>
      </c>
      <c r="E11" s="12" t="s">
        <v>317</v>
      </c>
    </row>
    <row r="12" customFormat="false" ht="21.75" hidden="false" customHeight="true" outlineLevel="0" collapsed="false">
      <c r="A12" s="11" t="s">
        <v>137</v>
      </c>
      <c r="B12" s="12" t="s">
        <v>57</v>
      </c>
      <c r="D12" s="11" t="s">
        <v>138</v>
      </c>
      <c r="E12" s="12" t="s">
        <v>57</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318</v>
      </c>
      <c r="B1" s="9"/>
      <c r="D1" s="9" t="s">
        <v>319</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59</v>
      </c>
      <c r="D3" s="11" t="s">
        <v>114</v>
      </c>
      <c r="E3" s="12" t="s">
        <v>59</v>
      </c>
    </row>
    <row r="4" customFormat="false" ht="21.75" hidden="false" customHeight="true" outlineLevel="0" collapsed="false">
      <c r="A4" s="11" t="s">
        <v>115</v>
      </c>
      <c r="B4" s="12" t="s">
        <v>60</v>
      </c>
      <c r="D4" s="11" t="s">
        <v>116</v>
      </c>
      <c r="E4" s="12" t="s">
        <v>96</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45" hidden="false" customHeight="true" outlineLevel="0" collapsed="false">
      <c r="A8" s="11" t="s">
        <v>125</v>
      </c>
      <c r="B8" s="12" t="s">
        <v>320</v>
      </c>
      <c r="D8" s="11" t="s">
        <v>127</v>
      </c>
      <c r="E8" s="12" t="s">
        <v>321</v>
      </c>
    </row>
    <row r="9" customFormat="false" ht="78" hidden="false" customHeight="true" outlineLevel="0" collapsed="false">
      <c r="A9" s="11" t="s">
        <v>129</v>
      </c>
      <c r="B9" s="12" t="s">
        <v>322</v>
      </c>
      <c r="D9" s="11" t="s">
        <v>131</v>
      </c>
      <c r="E9" s="12" t="s">
        <v>323</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324</v>
      </c>
      <c r="D11" s="11" t="s">
        <v>135</v>
      </c>
      <c r="E11" s="12" t="s">
        <v>324</v>
      </c>
    </row>
    <row r="12" customFormat="false" ht="21.75" hidden="false" customHeight="true" outlineLevel="0" collapsed="false">
      <c r="A12" s="11" t="s">
        <v>137</v>
      </c>
      <c r="B12" s="12" t="s">
        <v>59</v>
      </c>
      <c r="D12" s="11" t="s">
        <v>138</v>
      </c>
      <c r="E12" s="12" t="s">
        <v>59</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325</v>
      </c>
      <c r="B1" s="9"/>
      <c r="D1" s="9" t="s">
        <v>326</v>
      </c>
      <c r="E1" s="9"/>
    </row>
    <row r="2" customFormat="false" ht="19.5" hidden="false" customHeight="true" outlineLevel="0" collapsed="false">
      <c r="A2" s="10" t="s">
        <v>111</v>
      </c>
      <c r="B2" s="10"/>
      <c r="D2" s="10" t="s">
        <v>112</v>
      </c>
      <c r="E2" s="10"/>
    </row>
    <row r="3" customFormat="false" ht="21.75" hidden="false" customHeight="true" outlineLevel="0" collapsed="false">
      <c r="A3" s="11" t="s">
        <v>113</v>
      </c>
      <c r="B3" s="12" t="s">
        <v>62</v>
      </c>
      <c r="D3" s="11" t="s">
        <v>114</v>
      </c>
      <c r="E3" s="12" t="s">
        <v>62</v>
      </c>
    </row>
    <row r="4" customFormat="false" ht="21.75" hidden="false" customHeight="true" outlineLevel="0" collapsed="false">
      <c r="A4" s="11" t="s">
        <v>115</v>
      </c>
      <c r="B4" s="12" t="s">
        <v>63</v>
      </c>
      <c r="D4" s="11" t="s">
        <v>116</v>
      </c>
      <c r="E4" s="12" t="s">
        <v>97</v>
      </c>
    </row>
    <row r="5" customFormat="false" ht="21.75" hidden="false" customHeight="true" outlineLevel="0" collapsed="false">
      <c r="A5" s="11" t="s">
        <v>117</v>
      </c>
      <c r="B5" s="12" t="s">
        <v>118</v>
      </c>
      <c r="D5" s="11" t="s">
        <v>119</v>
      </c>
      <c r="E5" s="12" t="s">
        <v>120</v>
      </c>
    </row>
    <row r="6" customFormat="false" ht="21.75" hidden="false" customHeight="true" outlineLevel="0" collapsed="false">
      <c r="A6" s="11" t="s">
        <v>121</v>
      </c>
      <c r="B6" s="12"/>
      <c r="D6" s="11" t="s">
        <v>122</v>
      </c>
      <c r="E6" s="12"/>
    </row>
    <row r="7" customFormat="false" ht="21.75" hidden="false" customHeight="true" outlineLevel="0" collapsed="false">
      <c r="A7" s="11" t="s">
        <v>123</v>
      </c>
      <c r="B7" s="12"/>
      <c r="D7" s="11" t="s">
        <v>124</v>
      </c>
      <c r="E7" s="12"/>
    </row>
    <row r="8" customFormat="false" ht="142.5" hidden="false" customHeight="true" outlineLevel="0" collapsed="false">
      <c r="A8" s="11" t="s">
        <v>125</v>
      </c>
      <c r="B8" s="12" t="s">
        <v>327</v>
      </c>
      <c r="D8" s="11" t="s">
        <v>127</v>
      </c>
      <c r="E8" s="12" t="s">
        <v>328</v>
      </c>
    </row>
    <row r="9" customFormat="false" ht="90.75" hidden="false" customHeight="true" outlineLevel="0" collapsed="false">
      <c r="A9" s="11" t="s">
        <v>129</v>
      </c>
      <c r="B9" s="12" t="s">
        <v>329</v>
      </c>
      <c r="D9" s="11" t="s">
        <v>131</v>
      </c>
      <c r="E9" s="12" t="s">
        <v>330</v>
      </c>
    </row>
    <row r="10" customFormat="false" ht="19.5" hidden="false" customHeight="true" outlineLevel="0" collapsed="false">
      <c r="A10" s="10" t="s">
        <v>133</v>
      </c>
      <c r="B10" s="10"/>
      <c r="D10" s="10" t="s">
        <v>134</v>
      </c>
      <c r="E10" s="10"/>
    </row>
    <row r="11" customFormat="false" ht="21.75" hidden="false" customHeight="true" outlineLevel="0" collapsed="false">
      <c r="A11" s="11" t="s">
        <v>135</v>
      </c>
      <c r="B11" s="12" t="s">
        <v>331</v>
      </c>
      <c r="D11" s="11" t="s">
        <v>135</v>
      </c>
      <c r="E11" s="12" t="s">
        <v>331</v>
      </c>
    </row>
    <row r="12" customFormat="false" ht="21.75" hidden="false" customHeight="true" outlineLevel="0" collapsed="false">
      <c r="A12" s="11" t="s">
        <v>137</v>
      </c>
      <c r="B12" s="12" t="s">
        <v>62</v>
      </c>
      <c r="D12" s="11" t="s">
        <v>138</v>
      </c>
      <c r="E12" s="12" t="s">
        <v>62</v>
      </c>
    </row>
    <row r="13" customFormat="false" ht="21.75" hidden="false" customHeight="true" outlineLevel="0" collapsed="false">
      <c r="A13" s="11" t="s">
        <v>139</v>
      </c>
      <c r="B13" s="12"/>
      <c r="D13" s="11" t="s">
        <v>140</v>
      </c>
      <c r="E13" s="12"/>
    </row>
    <row r="14" customFormat="false" ht="54.75" hidden="false" customHeight="true" outlineLevel="0" collapsed="false">
      <c r="A14" s="11" t="s">
        <v>141</v>
      </c>
      <c r="B14" s="12"/>
      <c r="D14" s="11" t="s">
        <v>142</v>
      </c>
      <c r="E14" s="12"/>
    </row>
    <row r="15" customFormat="false" ht="54.75" hidden="false" customHeight="true" outlineLevel="0" collapsed="false">
      <c r="A15" s="11" t="s">
        <v>143</v>
      </c>
      <c r="B15" s="12"/>
      <c r="D15" s="11" t="s">
        <v>144</v>
      </c>
      <c r="E15" s="12"/>
    </row>
    <row r="16" customFormat="false" ht="54.75" hidden="false" customHeight="true" outlineLevel="0" collapsed="false">
      <c r="A16" s="11" t="s">
        <v>68</v>
      </c>
      <c r="B16" s="12"/>
      <c r="D16" s="11" t="s">
        <v>102</v>
      </c>
      <c r="E16" s="12"/>
    </row>
    <row r="17" customFormat="false" ht="24.75" hidden="false" customHeight="true" outlineLevel="0" collapsed="false">
      <c r="A17" s="11" t="s">
        <v>145</v>
      </c>
      <c r="B17" s="12"/>
      <c r="D17" s="11" t="s">
        <v>146</v>
      </c>
      <c r="E17" s="12"/>
    </row>
    <row r="18" customFormat="false" ht="24.75" hidden="false" customHeight="true" outlineLevel="0" collapsed="false">
      <c r="A18" s="11" t="s">
        <v>147</v>
      </c>
      <c r="B18" s="12"/>
      <c r="D18" s="11" t="s">
        <v>148</v>
      </c>
      <c r="E18" s="12"/>
    </row>
    <row r="19" customFormat="false" ht="24.75" hidden="false" customHeight="true" outlineLevel="0" collapsed="false">
      <c r="A19" s="11" t="s">
        <v>149</v>
      </c>
      <c r="B19" s="12"/>
      <c r="D19" s="11" t="s">
        <v>150</v>
      </c>
      <c r="E19" s="12"/>
    </row>
    <row r="20" customFormat="false" ht="21.75" hidden="false" customHeight="true" outlineLevel="0" collapsed="false">
      <c r="A20" s="11" t="s">
        <v>5</v>
      </c>
      <c r="B20" s="12" t="s">
        <v>66</v>
      </c>
      <c r="D20" s="11" t="s">
        <v>80</v>
      </c>
      <c r="E20" s="12" t="s">
        <v>151</v>
      </c>
    </row>
    <row r="21" customFormat="false" ht="54.75" hidden="false" customHeight="true" outlineLevel="0" collapsed="false">
      <c r="A21" s="11" t="s">
        <v>152</v>
      </c>
      <c r="B21" s="12"/>
      <c r="D21" s="11" t="s">
        <v>153</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2026-05-29T18:34:03Z</dcterms:created>
  <dc:creator>openpyxl</dc:creator>
  <dc:description/>
  <dc:language>en-US</dc:language>
  <cp:lastModifiedBy/>
  <dcterms:modified xsi:type="dcterms:W3CDTF">2026-05-29T18:34:04Z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