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BLEAU_DE_BORD" sheetId="2" state="visible" r:id="rId4"/>
    <sheet name="AU-2" sheetId="3" state="visible" r:id="rId5"/>
    <sheet name="AU-3" sheetId="4" state="visible" r:id="rId6"/>
    <sheet name="AU-3-1" sheetId="5" state="visible" r:id="rId7"/>
    <sheet name="AU-9-2" sheetId="6" state="visible" r:id="rId8"/>
    <sheet name="AU-12" sheetId="7" state="visible" r:id="rId9"/>
    <sheet name="CM-6" sheetId="8" state="visible" r:id="rId10"/>
    <sheet name="CM-7" sheetId="9" state="visible" r:id="rId11"/>
    <sheet name="CM-7-1" sheetId="10" state="visible" r:id="rId12"/>
    <sheet name="CP-7" sheetId="11" state="visible" r:id="rId13"/>
    <sheet name="CP-7-4" sheetId="12" state="visible" r:id="rId14"/>
    <sheet name="CP-10" sheetId="13" state="visible" r:id="rId15"/>
    <sheet name="CP-10-4" sheetId="14" state="visible" r:id="rId16"/>
    <sheet name="SA-9-5" sheetId="15" state="visible" r:id="rId17"/>
    <sheet name="SI-4-2" sheetId="16" state="visible" r:id="rId18"/>
    <sheet name="SI-6"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<sst xmlns="http://schemas.openxmlformats.org/spreadsheetml/2006/main" count="994" uniqueCount="221">
  <si>
    <t xml:space="preserve">DASHBOARD — PBMM Evidence: AI + Machine Learning</t>
  </si>
  <si>
    <t xml:space="preserve">Control ID</t>
  </si>
  <si>
    <t xml:space="preserve">Control Name</t>
  </si>
  <si>
    <t xml:space="preserve">Primary Tool</t>
  </si>
  <si>
    <t xml:space="preserve">Tab</t>
  </si>
  <si>
    <t xml:space="preserve">Status</t>
  </si>
  <si>
    <t xml:space="preserve">AU-2</t>
  </si>
  <si>
    <t xml:space="preserve">Auditable Events</t>
  </si>
  <si>
    <t xml:space="preserve">AU-3</t>
  </si>
  <si>
    <t xml:space="preserve">Content of Audit Records</t>
  </si>
  <si>
    <t xml:space="preserve">AU-3(1)</t>
  </si>
  <si>
    <t xml:space="preserve">AU-3-1</t>
  </si>
  <si>
    <t xml:space="preserve">AU-9(2)</t>
  </si>
  <si>
    <t xml:space="preserve">Protection of Audit Information</t>
  </si>
  <si>
    <t xml:space="preserve">AU-9-2</t>
  </si>
  <si>
    <t xml:space="preserve">AU-12</t>
  </si>
  <si>
    <t xml:space="preserve">Audit Generation</t>
  </si>
  <si>
    <t xml:space="preserve">CM-6</t>
  </si>
  <si>
    <t xml:space="preserve">Configuration Settings</t>
  </si>
  <si>
    <t xml:space="preserve">CM-7</t>
  </si>
  <si>
    <t xml:space="preserve">Least Functionality</t>
  </si>
  <si>
    <t xml:space="preserve">CM-7(1)</t>
  </si>
  <si>
    <t xml:space="preserve">CM-7-1</t>
  </si>
  <si>
    <t xml:space="preserve">CP-7</t>
  </si>
  <si>
    <t xml:space="preserve">Alternate Processing Site</t>
  </si>
  <si>
    <t xml:space="preserve">CP-7(4)</t>
  </si>
  <si>
    <t xml:space="preserve">CP-7-4</t>
  </si>
  <si>
    <t xml:space="preserve">CP-10</t>
  </si>
  <si>
    <t xml:space="preserve">Information System Recovery and Reconstitution</t>
  </si>
  <si>
    <t xml:space="preserve">CP-10(4)</t>
  </si>
  <si>
    <t xml:space="preserve">CP-10-4</t>
  </si>
  <si>
    <t xml:space="preserve">SA-9(5)</t>
  </si>
  <si>
    <t xml:space="preserve">External Information System Services</t>
  </si>
  <si>
    <t xml:space="preserve">SA-9-5</t>
  </si>
  <si>
    <t xml:space="preserve">SI-4(2)</t>
  </si>
  <si>
    <t xml:space="preserve">Information System Monitoring</t>
  </si>
  <si>
    <t xml:space="preserve">SI-4-2</t>
  </si>
  <si>
    <t xml:space="preserve">SI-6</t>
  </si>
  <si>
    <t xml:space="preserve">Security Functional Verification</t>
  </si>
  <si>
    <t xml:space="preserve">Completion Metrics</t>
  </si>
  <si>
    <t xml:space="preserve">Total Controls</t>
  </si>
  <si>
    <t xml:space="preserve">Not Started</t>
  </si>
  <si>
    <t xml:space="preserve">In Progress</t>
  </si>
  <si>
    <t xml:space="preserve">Evidence Provided</t>
  </si>
  <si>
    <t xml:space="preserve">Under Review</t>
  </si>
  <si>
    <t xml:space="preserve">Passed</t>
  </si>
  <si>
    <t xml:space="preserve">Failed</t>
  </si>
  <si>
    <t xml:space="preserve">Accepted Exception</t>
  </si>
  <si>
    <t xml:space="preserve">% Complete</t>
  </si>
  <si>
    <t xml:space="preserve">% Not Started</t>
  </si>
  <si>
    <t xml:space="preserve">TABLEAU DE BORD — Suivi PBMM : AI + Machine Learning</t>
  </si>
  <si>
    <t xml:space="preserve">ID Contrôle</t>
  </si>
  <si>
    <t xml:space="preserve">Nom du contrôle</t>
  </si>
  <si>
    <t xml:space="preserve">Outil principal</t>
  </si>
  <si>
    <t xml:space="preserve">Onglet</t>
  </si>
  <si>
    <t xml:space="preserve">Statut</t>
  </si>
  <si>
    <t xml:space="preserve">Événements vérifiables</t>
  </si>
  <si>
    <t xml:space="preserve">Contenu des enregistrements de vérification</t>
  </si>
  <si>
    <t xml:space="preserve">Protection des renseignements de vérification</t>
  </si>
  <si>
    <t xml:space="preserve">Génération des vérifications</t>
  </si>
  <si>
    <t xml:space="preserve">Paramètres de configuration</t>
  </si>
  <si>
    <t xml:space="preserve">Moindre fonctionnalité</t>
  </si>
  <si>
    <t xml:space="preserve">Site de traitement auxiliaire</t>
  </si>
  <si>
    <t xml:space="preserve">Reprise et reconstitution du système d’information</t>
  </si>
  <si>
    <t xml:space="preserve">Services de systèmes d’information externes</t>
  </si>
  <si>
    <t xml:space="preserve">Surveillance du système d’information</t>
  </si>
  <si>
    <t xml:space="preserve">Vérification fonctionnelle de la sécurité</t>
  </si>
  <si>
    <t xml:space="preserve">Métriques de complétude</t>
  </si>
  <si>
    <t xml:space="preserve">Nombre total de contrôles</t>
  </si>
  <si>
    <t xml:space="preserve">Non commencés</t>
  </si>
  <si>
    <t xml:space="preserve">En cours</t>
  </si>
  <si>
    <t xml:space="preserve">Preuve fournie</t>
  </si>
  <si>
    <t xml:space="preserve">En révision</t>
  </si>
  <si>
    <t xml:space="preserve">Réussi</t>
  </si>
  <si>
    <t xml:space="preserve">Échec</t>
  </si>
  <si>
    <t xml:space="preserve">Exception acceptée</t>
  </si>
  <si>
    <t xml:space="preserve">% Complété</t>
  </si>
  <si>
    <t xml:space="preserve">% Non commencés</t>
  </si>
  <si>
    <t xml:space="preserve">Control AU-2 — Evidence Tracking</t>
  </si>
  <si>
    <t xml:space="preserve">Contrôle AU-2 — Suivi des preuves</t>
  </si>
  <si>
    <t xml:space="preserve">Control Information</t>
  </si>
  <si>
    <t xml:space="preserve">Informations du contrôle</t>
  </si>
  <si>
    <t xml:space="preserve">Control Identifier</t>
  </si>
  <si>
    <t xml:space="preserve">Identifiant du contrôle</t>
  </si>
  <si>
    <t xml:space="preserve">Family</t>
  </si>
  <si>
    <t xml:space="preserve">Famille</t>
  </si>
  <si>
    <t xml:space="preserve">Profile</t>
  </si>
  <si>
    <t xml:space="preserve">CCCS Medium / PBMM Moderate</t>
  </si>
  <si>
    <t xml:space="preserve">Profil</t>
  </si>
  <si>
    <t xml:space="preserve">CCCS Moyen / PBMM Modéré</t>
  </si>
  <si>
    <t xml:space="preserve">Primary Evidence Tool</t>
  </si>
  <si>
    <t xml:space="preserve">Outil de preuve principal</t>
  </si>
  <si>
    <t xml:space="preserve">Contributing Tools</t>
  </si>
  <si>
    <t xml:space="preserve">Outils contributeurs</t>
  </si>
  <si>
    <t xml:space="preserve">Control Description</t>
  </si>
  <si>
    <t xml:space="preserve">(A)
The organization determines that the information system is capable of auditing the following events: Successful and unsuccessful account logon events, account management events, object access, policy change, privilege functions, process tracking, and system events.  For Web applications: all administrator activity, authentication checks, authorization checks, data deletions, data access, data changes, and permission changes.
(B)
The organization coordinates the security audit function with other organizational entities requiring audit-related information to enhance mutual support and to help guide the selection of auditable events.
(C)
The organization provides a rationale for why the auditable events are deemed to be adequate to support after-the-fact investigations of security incidents.
(D)
The organization determines what organizationally-defined audited events (a subset of the auditable events defined in AU-2 a.) and the frequency of (or situation requiring) auditing for each identified event.</t>
  </si>
  <si>
    <t xml:space="preserve">Description du contrôle</t>
  </si>
  <si>
    <t xml:space="preserve">(A) L’organisation détermine que le système d’information est capable de vérifier les événements suivants : événements d’ouverture de compte, réussis ou non, événements de gestion de compte, accès aux objets, changement de politique, fonctions de privilèges, suivi des processus et événements du système.  Pour les applications Web : toutes les activités des administrateurs, les vérifications d’authentification, les vérifications d’autorisation, les suppressions de données, l’accès aux données, les changements de données et les changements d’autorisation.
(B) L’organisation coordonne la fonction de vérification de la sécurité avec d’autres entités organisationnelles qui ont besoin de renseignements liés à la vérification pour améliorer le soutien mutuel et aider à orienter le choix des événements vérifiables.
(C) L’organisation explique la raison pour laquelle les événements vérifiables sont jugés adéquats pour appuyer les enquêtes effectuées à la suite des incidents de sécurité.
(D) L’organisation détermine les événements définis par l’organisation qui sont vérifiés (un sous-ensemble des événements vérifiables définis dans AU-2 a.) et la fréquence (ou la situation exigeant) des vérifications pour chaque événement identifié.</t>
  </si>
  <si>
    <t xml:space="preserve">Supplemental Guidance</t>
  </si>
  <si>
    <t xml:space="preserve">An event is any observable occurrence in an organizational information system. Organizations identify audit events as those events which are significant and relevant to the security of information systems and the environments in which those systems operate in order to meet specific and ongoing audit needs. Audit events can include, for example, password changes, failed logons, or failed accesses related to information systems, administrative privilege usage, or third-party credential usage. In determining the set of auditable events, organizations consider the auditing appropriate for each of the security controls to be implemented. To balance auditing requirements with other information system needs, this control also requires identifying that subset of auditable events that are audited at a given point in time. For example, organizations may determine that information systems must have the capability to log every file access both successful and unsuccessful, but not activate that capability except for specific circumstances due to the potential burden on system performance. Auditing requirements, including the need for auditable events, may be referenced in other security controls and control enhancements. Organizations also include auditable events that are required by applicable organizational policies, directives, and standards. Audit records can be generated at various levels of abstraction, including at the packet level as information traverses the network. Selecting the appropriate level of abstraction is a critical aspect of an audit capability and can facilitate the identification of root causes to problems. Organizations consider in the definition of auditable events, the auditing necessary to cover related events such as the steps in distributed, transaction-based processes (e.g., processes that are distributed across multiple organizations) and actions that occur in service-oriented architectures. 
The information system audits the following privileged user/process events at a minimum: 
(a) Successful and unsuccessful attempts to access, modify, or delete security objects (Security objects include audit data, system configuration files and file or users’ formal access permissions.) 
(b) Successful and unsuccessful logon attempts
(c) Privileged activities or other system level access (see notes for AU-2 (4))
(d) Starting and ending time for user access to the system
(e) Concurrent logons from different workstations
(f) All program initiations  (see notes for AU-2 (4))
In addition, the information system audits the following unprivileged user/process events at a minimum:
(a) Successful and unsuccessful attempts to access, modify, or delete security objects
(b) Successful and unsuccessful logon attempts
(c) Starting and ending time for user access to the system
(d) Concurrent logons from different workstations
Related controls: AC-6, AC-17, AU-3, AU-12, MA-4, MP-2, MP-4, SI-4</t>
  </si>
  <si>
    <t xml:space="preserve">Directives supplémentaires</t>
  </si>
  <si>
    <t xml:space="preserve">Un événement est toute occurrence observable dans un système d’information organisationnel. Les organisations désignent les événements vérifiables comme étant des événements importants et pertinents pour la sécurité des systèmes d’information et des environnements dans lesquels ces systèmes sont utilisés afin de répondre à des exigences de vérification particulières et continues. Les événements vérifiés peuvent comprendre, par exemple, les changements de mot de passe, les échecs d’ouverture de session ou les échecs accès liés aux systèmes d’information, l’utilisation des privilèges administratifs ou l’utilisation de justificatifs d’identité par des tiers. Lorsqu’elles déterminent l’ensemble des événements vérifiables, les organisations considèrent que la vérification est appropriée pour chacun des contrôles de sécurité à mettre en œuvre. Pour assurer l’équilibre entre les exigences en matière de vérification et les autres besoins du système d’information, ce contrôle exige également de déterminer le sous-ensemble d’événements vérifiables qui sont vérifiés à un moment donné. Par exemple, les organisations peuvent déterminer que les systèmes d’information doivent avoir la capacité d’enregistrer chaque accès aux fichiers, qu’il soit réussi ou non, mais n’activeront cette capacité que dans des circonstances particulières en raison du fardeau potentiel sur le rendement du système. Les exigences en matière de vérification, y compris la nécessité de déterminer des événements vérifiables, peuvent être mentionnées dans d’autres contrôles et améliorations des contrôles de sécurité. Les organisations incluent également les événements vérifiables qui sont exigés par les politiques, les directives et les normes organisationnelles applicables. Les enregistrements de vérification peuvent être générés à divers niveaux d’abstraction, y compris au niveau des paquets, à mesure que l’information traverse le réseau. Le choix du niveau d’abstraction approprié est un aspect essentiel d’une capacité de vérification et peut faciliter l’identification des causes profondes des problèmes. Dans la définition des événements vérifiables, les organisations prennent en compte la vérification nécessaire pour couvrir les événements connexes, comme les étapes des processus distribués, fondés sur les transactions (p. ex., les processus qui sont répartis entre de multiples organisations) et les actions qui ont lieu dans les architectures orientées service. 
Le système d’information vérifie au minimum les événements suivants liés aux utilisateurs/processus privilégiés : 
(a) Tentatives réussies et infructueuses d’accéder aux objets de sécurité, de les modifier ou de les supprimer (les objets de sécurité comprennent les données de vérification, les fichiers de configuration de système et les autorisations d’accès officielles des utilisateurs). 
(b) Tentatives d’ouverture de session réussies et infructueuses
(c) Activités privilégiées ou autre accès au niveau du système (voir les notes pour AU-2 [4])
(d) Heures de début et de fin de l’accès des utilisateurs au système
(e) Ouvertures de session simultanées à partir de différents postes de travail
(f) Tous les lancements de programmes (voir les notes pour AU-2 [4])
De plus, le système d’information vérifie au minimum les événements suivants liés aux utilisateurs/processus non privilégiés :
(a) Tentatives réussies et infructueuses d’accès, de modification ou de suppression d’objets de sécurité
(b) Tentatives d’ouverture de session réussies et infructueuses
(c) Heures de début et de fin de l’accès de l’utilisateur au système
(d) Ouvertures de session simultanées à partir de différents postes de travail
Contrôles connexes : AC-6, AC-17, AU-3, AU-12, MA-4, MP-2, MP-4, SI-4</t>
  </si>
  <si>
    <t xml:space="preserve">Test Case</t>
  </si>
  <si>
    <t xml:space="preserve">Cas de test</t>
  </si>
  <si>
    <t xml:space="preserve">Test</t>
  </si>
  <si>
    <t xml:space="preserve">TEST-AU-2</t>
  </si>
  <si>
    <t xml:space="preserve">Requirement ID</t>
  </si>
  <si>
    <t xml:space="preserve">ID Exigence</t>
  </si>
  <si>
    <t xml:space="preserve">Component</t>
  </si>
  <si>
    <t xml:space="preserve">Composant</t>
  </si>
  <si>
    <t xml:space="preserve">Requirement</t>
  </si>
  <si>
    <t xml:space="preserve">Exigence</t>
  </si>
  <si>
    <t xml:space="preserve">Contextual Design Description</t>
  </si>
  <si>
    <t xml:space="preserve">Description contextuelle du design</t>
  </si>
  <si>
    <t xml:space="preserve">Preparer Sign Off (Initials, Date)</t>
  </si>
  <si>
    <t xml:space="preserve">Signataire préparateur (Initiales, Date)</t>
  </si>
  <si>
    <t xml:space="preserve">Owner Sign Off (Initials, Date)</t>
  </si>
  <si>
    <t xml:space="preserve">Signataire propriétaire (Initiales, Date)</t>
  </si>
  <si>
    <t xml:space="preserve">Assessor Sign Off (Initials, Date)</t>
  </si>
  <si>
    <t xml:space="preserve">Signataire évaluateur (Initiales, Date)</t>
  </si>
  <si>
    <t xml:space="preserve">Non commencé</t>
  </si>
  <si>
    <t xml:space="preserve">Comments</t>
  </si>
  <si>
    <t xml:space="preserve">Commentaires</t>
  </si>
  <si>
    <t xml:space="preserve">Control AU-3 — Evidence Tracking</t>
  </si>
  <si>
    <t xml:space="preserve">Contrôle AU-3 — Suivi des preuves</t>
  </si>
  <si>
    <t xml:space="preserve">(A)
The information system generates audit records containing information that establishes what type of event occurred, when the event occurred, where the event occurred, the source of the event, the outcome of the event, and the identity of any individuals or subjects associated with the event.</t>
  </si>
  <si>
    <t xml:space="preserve">(A) Le système d’information génère des enregistrements de vérification qui contiennent les renseignements permettant d’établir le type d’événement qui a eu lieu, le moment et l’endroit où l’événement a eu lieu, la source de l’événement, le résultat de l’événement, ainsi que l’identité de toute personne ou de tout sujet associé à l’événement.</t>
  </si>
  <si>
    <t xml:space="preserve">Audit record content that may be necessary to satisfy the requirement of this control, includes, for example, time stamps, source and destination addresses, user/process identifiers, event descriptions, success/fail indications, filenames involved, and access control or flow control rules invoked. Event outcomes can include indicators of event success or failure and event-specific results (e.g., the security state of the information system after the event occurred). Related controls: AU-2, AU-8, AU-12, SI-11</t>
  </si>
  <si>
    <t xml:space="preserve">Le contenu des enregistrements de vérification qui peut être nécessaire pour satisfaire à l’exigence de ce contrôle comprend, par exemple, les estampilles temporelles, les adresses de source et de destination, les identifiants d’utilisateurs ou de processus, les descriptions d’événements, les indications de réussite ou d’échec, les noms des fichiers en cause et les règles de contrôle d’accès ou de flux invoquées. Les résultats de l’événement peuvent comprendre des indicateurs de réussite ou d’échec de l’événement et des résultats propres à l’événement (p. ex., l’état de sécurité du système d’information après l’événement). Contrôles connexes : AU-2, AU-8, AU-12, SI-11</t>
  </si>
  <si>
    <t xml:space="preserve">TEST-AU-3</t>
  </si>
  <si>
    <t xml:space="preserve">Control AU-3(1) — Evidence Tracking</t>
  </si>
  <si>
    <t xml:space="preserve">Contrôle AU-3(1) — Suivi des preuves</t>
  </si>
  <si>
    <t xml:space="preserve">CONTENT OF AUDIT RECORDS | ADDITIONAL AUDIT INFORMATION
The information system generates audit records containing the following additional information: session, connection, transaction, or activity duration; for client-server transactions, the number of bytes received and bytes sent; additional informational messages to diagnose or identify the event; characteristics that describe or identify the object or resource being acted upon.</t>
  </si>
  <si>
    <t xml:space="preserve">CONTENU DES ENREGISTREMENTS DE VÉRIFICATION | RENSEIGNEMENTS DE VÉRIFICATION SUPPLÉMENTAIRES
Le système d’information génère des enregistrements de vérification contenant les renseignements supplémentaires suivants : la durée de la session, de la connexion, de la transaction ou de l’activité; pour les transactions client-serveur, le nombre d’octets reçus et d’octets envoyés; des messages d’information supplémentaires pour diagnostiquer ou identifier l’événement; les caractéristiques qui décrivent ou identifient l’objet ou la ressource concernés.</t>
  </si>
  <si>
    <t xml:space="preserve">Detailed information that organizations may consider in audit records includes, for example, full text recording of privileged commands or the individual identities of group account users. Organizations consider limiting the additional audit information to only that information explicitly needed for specific audit requirements. This facilitates the use of audit trails and audit logs by not including information that could potentially be misleading or could make it more difficult to locate information of interest.
Additional guidance for enhancement (1): Audit events should always be capable of being associated with an individual identity. Associating audit events with a group or role is insufficient.</t>
  </si>
  <si>
    <t xml:space="preserve">Les renseignements détaillés dont les organisations peuvent tenir compte dans les enregistrements de vérification comprennent, par exemple, l’enregistrement en texte intégral des commandes privilégiées ou les identités individuelles des utilisateurs de comptes de groupe. Les organisations devraient envisager de limiter les renseignements de vérification supplémentaires aux seuls renseignements explicitement nécessaires pour répondre à des exigences de vérification particulières. Cela facilitera l’utilisation des pistes de vérification et des journaux de vérification en n’incluant pas les renseignements qui pourraient être trompeurs ou rendre plus difficile la recherche de renseignements utiles.
Conseils supplémentaires pour l’amélioration (1) : Les événements vérifiés devraient toujours pouvoir être associés à une identité individuelle. Associer des événements vérifiés à un groupe ou à un rôle est insuffisant.</t>
  </si>
  <si>
    <t xml:space="preserve">TEST-AU-3(1)</t>
  </si>
  <si>
    <t xml:space="preserve">Control AU-9(2) — Evidence Tracking</t>
  </si>
  <si>
    <t xml:space="preserve">Contrôle AU-9(2) — Suivi des preuves</t>
  </si>
  <si>
    <t xml:space="preserve">PROTECTION OF AUDIT INFORMATION | AUDIT BACKUP ON SEPARATE PHYSICAL SYSTEMS / COMPONENTS
The information system backs up audit records at least weekly onto a physically different system or system component than the system or component being audited.</t>
  </si>
  <si>
    <t xml:space="preserve">PROTECTION DES RENSEIGNEMENTS DE VÉRIFICATION | SAUVEGARDE DES VÉRIFICATIONS SUR DES SYSTÈMES/COMPOSANTS PHYSIQUES SÉPARÉS
Le système d’information sauvegarde les enregistrements de vérification au moins une fois par semaine sur un système ou un composant système physiquement différent du système ou du composant faisant l’objet de la vérification.</t>
  </si>
  <si>
    <t xml:space="preserve">This control enhancement helps to ensure that a compromise of the information system being audited does not also result in a compromise of the audit records. Related controls: AU-4, AU-5, AU-11.</t>
  </si>
  <si>
    <t xml:space="preserve">Cette amélioration permet de s’assurer qu’une compromission du système d’information faisant l’objet d’une vérification n’entraîne pas également la compromission des enregistrements de vérification. Contrôles connexes : AU-4, AU-5, AU-11.</t>
  </si>
  <si>
    <t xml:space="preserve">TEST-AU-9(2)</t>
  </si>
  <si>
    <t xml:space="preserve">Control AU-12 — Evidence Tracking</t>
  </si>
  <si>
    <t xml:space="preserve">Contrôle AU-12 — Suivi des preuves</t>
  </si>
  <si>
    <t xml:space="preserve">(A)
The information system provides audit record generation capability for the auditable events defined in AU-2 a. of all information system and network components where audit capability is deployed/available.
(B)
The information system allows organization-defined personnel or roles to select which auditable events are to be audited by specific components of the information system.
(C)
The information system generates audit records for the events defined in AU-2 d. with the content defined in AU-3.</t>
  </si>
  <si>
    <t xml:space="preserve">(A) Le système d’information offre une capacité de génération d’enregistrements de vérification pour les événements vérifiables définis dans AU-2 a. de tous les composants du système d’information et du réseau où la capacité de vérification est déployée/disponible.
(B) Le système d’information permet au personnel ou aux rôles définis par l’organisation de choisir les événements vérifiables qui doivent être vérifiés par des composants précis du système d’information.
(C) Le système d’information génère des enregistrements de vérification pour les événements définis dans AU-2 d. avec le contenu défini dans AU-3.</t>
  </si>
  <si>
    <t xml:space="preserve">Audit records can be generated from many different information system components. The list of audited events is the set of events for which audits are to be generated. These events are typically a subset of all events for which the information system is capable of generating audit records. Related controls: AC-3, AU-2, AU-3, AU-6, AU-7</t>
  </si>
  <si>
    <t xml:space="preserve">Des enregistrements de vérification peuvent être générés à partir de nombreux composants du système d’information. La liste des événements vérifiés est l’ensemble des événements pour lesquels des vérifications doivent être produites. Ces événements sont habituellement un sous-ensemble de tous les événements pour lesquels le système d’information peut générer des enregistrements de vérification. Contrôles connexes : AC-3, AU-2, AU-3, AU-6, AU-7</t>
  </si>
  <si>
    <t xml:space="preserve">TEST-AU-12</t>
  </si>
  <si>
    <t xml:space="preserve">Control CM-6 — Evidence Tracking</t>
  </si>
  <si>
    <t xml:space="preserve">Contrôle CM-6 — Suivi des preuves</t>
  </si>
  <si>
    <t xml:space="preserve">(A)
The organization establishes and documents configuration settings for information technology products employed within the information system using checklists from one or more of the following 
Center for Internet Security (CIS), National Institute of Standards and Technology  (NIST), Defense Information Systems Agency (DISA) that reflect the most restrictive mode consistent with operational requirements.
(B)
The organization implements the configuration settings.
(C)
The organization identifies, documents, and approves any deviations from established configuration settings for any configurable infomation system components.
(D)
The organization monitors and controls changes to the configuration settings in accordance with organizational policies and procedures.</t>
  </si>
  <si>
    <t xml:space="preserve">(A) L’organisation établit et documente les paramètres de configuration des produits de technologie de l’information utilisés dans le système d’information à l’aide de listes de vérification provenant d’un ou de plusieurs des éléments suivants :
Center for Internet Security (CIS), National Institute of Standards and Technology (NIST), Defense Information Systems Agency (DISA), qui reflètent le mode le plus restrictif conformément aux exigences opérationnelles.
(B) L’organisation met en œuvre les paramètres de configuration.
(C) L’organisation identifie, documente et approuve tout écart par rapport aux paramètres de configuration établis pour les composants configurables du système d’information.
(D) L’organisation surveille et contrôle les changements apportés aux paramètres de configuration conformément aux politiques et aux procédures de l’organisation.</t>
  </si>
  <si>
    <t xml:space="preserve">Configuration settings are the set of parameters that can be changed in hardware, software, or firmware components of the information system that affect the security posture and/or functionality of the system. Information technology products for which security-related configuration settings can be defined include, for example, mainframe computers, servers (e.g., database, electronic mail, authentication, web, proxy, file, domain name), workstations, input/output devices (e.g., scanners, copiers, and printers), network components (e.g., firewalls, routers, gateways, voice and data switches, wireless access points, network appliances, sensors), operating systems, middleware, and applications. Security-related parameters are those parameters impacting the security state of information systems including the parameters required to satisfy other security control requirements. Security-related parameters include, for example: (i) registry settings; (ii) account, file, directory permission settings; and (iii) settings for functions, ports, protocols, services, and remote connections. Organizations establish organization-wide configuration settings and subsequently derive specific settings for information systems. The established settings become part of the systems configuration baselineCommon secure configurations (also referred to as security configuration checklists, lockdown and hardening guides, security reference guides, security technical implementation guides (STIG)) provide recognized, standardized, and established benchmarks that stipulate secure configuration settings for specific information technology platforms/products and instructions for configuring those information system components to meet operational requirements. Common secure configurations can be developed by a variety of organizations including, for example, information technology product developers, manufacturers, vendors, consortia, academia, industry, federal government organizations, and others in the public and private sectors. The Security Content Automation Protocol (SCAP) and the defined standards within the protocol (e.g., Common Configuration Enumeration) provide an effective method to uniquely identify, track, and control configuration settings. Related controls: AC-19, CM-2, CM-3, CM-7, SI-4.</t>
  </si>
  <si>
    <t xml:space="preserve">Les paramètres de configuration sont l’ensemble de paramètres qui peuvent être modifiés dans les composants matériels, logiciels ou micrologiciels du système d’information et qui ont une incidence sur la posture de sécurité ou la fonctionnalité du système. Les produits de technologie de l’information pour lesquels les paramètres de configuration liés à la sécurité peuvent être définis comprennent, par exemple, les ordinateurs centraux, les serveurs (p. ex., base de données, courrier électronique, authentification, Web, mandataire, fichiers, noms de domaine), les postes de travail, les périphériques d’entrée et de sortie (p. ex., numériseurs, photocopieurs et imprimantes), les composants de réseau (p. ex., pare-feu, routeurs, passerelles, commutateurs de voix et de données, points d’accès sans fil, outils de réseau, capteurs), les systèmes d’exploitation, les intergiciels et les applications. Les paramètres liés à la sécurité sont les paramètres qui influent sur l’état de sécurité des systèmes d’information, y compris les paramètres requis pour satisfaire à d’autres exigences de contrôle de sécurité. Les paramètres liés à la sécurité comprennent, par exemple : (i) les paramètres des registres; (ii) les paramètres de comptes, de fichiers, d’autorisation de répertoires; (iii) les paramètres des fonctions, des ports, des protocoles, des services et des connexions à distance. Les organisations établissent les paramètres de configuration à l’échelle de l’organisation et en déduisent ensuite les paramètres particuliers pour les systèmes d’information. Les paramètres établis font partie des configurations de base des systèmes Les configurations sécurisées communes (aussi appelées listes de vérification de la configuration de sécurité, guides de verrouillage et de renforcement, guides de référence de sécurité, guides de mise en œuvre technique de la sécurité [STIG]) fournissent des repères reconnus, normalisés et établis qui stipulent les paramètres de configuration sécurisée pour des plateformes/produits de technologie de l’information particuliers et des instructions pour configurer ces composants de système d’information de manière à répondre aux exigences opérationnelles. Les configurations sécurisées communes peuvent être mises au point par diverses organisations, y compris, par exemple, les concepteurs de produits de technologie de l’information, les fabricants, les fournisseurs, les consortiums, le milieu universitaire, l’industrie, les organisations du gouvernement fédéral et d’autres intervenants des secteurs public et privé. Le protocole d’automatisation du contenu de sécurité SCAP (Security Content Automation Protocol) et les normes définies dans le protocole (p. ex., Common Configuration Enumeration) constituent une méthode efficace pour déterminer, suivre et contrôler de façon unique les paramètres de configuration. Contrôles connexes : AC-19, CM-2, CM-3, CM-7, SI-4.</t>
  </si>
  <si>
    <t xml:space="preserve">TEST-CM-6</t>
  </si>
  <si>
    <t xml:space="preserve">Control CM-7 — Evidence Tracking</t>
  </si>
  <si>
    <t xml:space="preserve">Contrôle CM-7 — Suivi des preuves</t>
  </si>
  <si>
    <t xml:space="preserve">(A)
The organization configures the information system to provide only essential capabilities.
(B)
The organization prohibits or restricts the use of identified functions, ports, protocols, and/or services following one or more standards from Center for Internet Security (CIS), National Institute of Standards and Technology  (NIST), or Defense Information Systems Agency (DISA).</t>
  </si>
  <si>
    <t xml:space="preserve">(A) L’organisation configure le système d’information pour n’offrir que les capacités essentielles.
(B) L’organisation interdit ou restreint l’utilisation de fonctions, de ports, de protocoles et/ou de services identifiés en respectant une ou plusieurs normes du Center for Internet Security (CIS), du National Institute of Standards and Technology (NIST) ou de la Defense Information Systems Agency (DISA).</t>
  </si>
  <si>
    <t xml:space="preserve">Information systems can provide a wide variety of functions and services. Some of the functions and services, provided by default, may not be necessary to support essential organizational operations (e.g., key missions, functions). Additionally, it is sometimes convenient to provide multiple services from single information system components, but doing so increases risk over limiting the services provided by any one component. Where feasible, organizations limit component functionality to a single function per device (e.g., email servers or web servers, but not both). Organizations review functions and services provided by information systems or individual components of information systems, to determine which functions and services are candidates for elimination (e.g., Voice over Internet Protocol (VoIP), Instant Messaging, auto-execute, and file sharing). Organizations consider disabling unused or unnecessary physical and logical ports/protocols (e.g., USB, FTP, IPv6, HTTP) on information systems to prevent unauthorized connection of devices, unauthorized transfer of information, or unauthorized tunnelling. Organizations can utilize network scanning tools, intrusion detection and prevention systems, and end-point protections such as firewalls and host-based intrusion detection systems to identify and prevent the use of prohibited functions, ports, protocols, and services. Related controls: AC-6, CM-2, RA-5, SA-5, SC-7</t>
  </si>
  <si>
    <t xml:space="preserve">Les systèmes d’information peuvent offrir une grande variété de fonctions et de services. Certaines fonctions et certains services, fournis par défaut, peuvent ne pas être nécessaires au soutien des opérations essentielles de l’organisation (p. ex., missions et fonctions clés). De plus, il est parfois pratique de fournir plusieurs services à partir de composants uniques du système d’information, mais cela augmente le risque de limiter les services fournis par un seul composant. Dans la mesure du possible, les organisations limitent la fonctionnalité des composants à une seule fonction par dispositif (p. ex., serveurs de courriel ou serveurs Web, mais pas les deux). Les organisations examinent les fonctions et les services fournis par les systèmes d’information ou les composants individuels des systèmes d’information afin de déterminer quelles fonctions et quels services peuvent être éliminés (p. ex., voix sur protocole Internet [VoIP], messagerie instantanée, auto-exécution et partage de fichiers). Les organisations envisagent de désactiver les ports/protocoles physiques et logiques inutilisés ou inutiles (p. ex., USB, FTP, IPv6, HTTP) sur les systèmes d’information afin de prévenir la connexion non autorisée d’appareils, le transfert non autorisé d’information ou la tunnellisation non autorisée. Les organisations peuvent utiliser des outils de balayage de réseau, des systèmes de détection et de prévention des intrusions et des mesures de protection d’extrémité comme des pare-feu et des systèmes de détection des intrusions basés sur l’hôte, pour identifier et prévenir l’utilisation de fonctions, de ports, de protocoles et de services interdits. Contrôles connexes : AC-6, CM-2, RA-5, SA-5, SC-7</t>
  </si>
  <si>
    <t xml:space="preserve">TEST-CM-7</t>
  </si>
  <si>
    <t xml:space="preserve">Control CM-7(1) — Evidence Tracking</t>
  </si>
  <si>
    <t xml:space="preserve">Contrôle CM-7(1) — Suivi des preuves</t>
  </si>
  <si>
    <t xml:space="preserve">LEAST FUNCTIONALITY | PERIODIC REVIEW
The organization reviews the information system at least annually to identify unnecessary and/or non-secure functions, ports, protocols, and services; and
The organization disables all functions, ports, protocols, and services within the information system deemed to be unnecessary and/or nonsecure.</t>
  </si>
  <si>
    <t xml:space="preserve">MOINDRE FONCTIONNALITÉ | EXAMEN PÉRIODIQUE
L’organisation revoit le système d’information au moins une fois par année afin de repérer les fonctions, les ports, les protocoles et les services inutiles ou non sécurisés;
L’organisation désactive toutes les fonctions, tous les ports, tous les protocoles et tous les services du système d’information jugés inutiles ou non sécurisés.</t>
  </si>
  <si>
    <t xml:space="preserve">The organization can either make a determination of the relative security of the function, port, protocol, and/or service or base the security decision on the assessment of other entities. Bluetooth, FTP, and peer-to-peer networking are examples of less than secure protocols. Related controls: AC-18, CM-7, IA-2.</t>
  </si>
  <si>
    <t xml:space="preserve">L’organisation peut soit déterminer la sécurité relative de la fonction, du port, du protocole ou du service, soit baser sa décision en matière de sécurité sur l’évaluation d’autres entités. Bluetooth, FTP et l’interconnexion de réseaux d’égal à égal sont des exemples de protocoles moins sécurisés. Contrôles connexes : AC-18, CM-7, IA-2.</t>
  </si>
  <si>
    <t xml:space="preserve">TEST-CM-7(1)</t>
  </si>
  <si>
    <t xml:space="preserve">Control CP-7 — Evidence Tracking</t>
  </si>
  <si>
    <t xml:space="preserve">Contrôle CP-7 — Suivi des preuves</t>
  </si>
  <si>
    <t xml:space="preserve">(A)
The organization establishes an alternate processing site including necessary agreements to permit the transfer and resumption of organization-defined information system operations for essential missions/business functions within organization-defined time period consistent with recovery time and recovery point objectives when the primary processing capabilities are unavailable.
(B)
The organization ensures that equipment and supplies required to transfer and resume operations are available at the alternate processing site or contracts are in place to support delivery to the site within the organization-defined time period for transfer/resumption.
(C)
The organization ensures that the alternate processing site provides information security safeguards equivalent to that of the primary site.</t>
  </si>
  <si>
    <t xml:space="preserve">(A) L’organisation établit un site de traitement auxiliaire, y compris les ententes nécessaires pour permettre le transfert et la reprise des opérations du système d’information définies par l’organisation pour les missions et les fonctions opérationnelles essentielles à l’intérieur d’une période définie par l’organisation, conformément aux objectifs en matière de délais de reprise et de points de reprise lorsque les capacités de traitement principales ne sont pas disponibles.
(B) L’organisation veille à ce que l’équipement et les fournitures nécessaires au transfert et à la reprise des activités soient disponibles au site de traitement auxiliaire, ou à ce que des contrats soient en place pour soutenir la livraison au site à l’intérieur de la période définie par l’organisation pour le transfert ou la reprise.
(C) L’organisation veille à ce que le site de traitement auxiliaire offre des mesures de sécurité de l’information équivalentes à celles du site principal.</t>
  </si>
  <si>
    <t xml:space="preserve">Alternate processing sites are sites that are geographically distinct from primary processing sites. An alternate processing site provides processing capability in the event that the primary processing site is not available. Items covered by alternate processing site agreements include, for example, environmental conditions at alternate sites, access rules, physical and environmental protection requirements, and coordination for the transfer/assignment of personnel. Requirements are specifically allocated to alternate processing sites that reflect the requirements in contingency plans to maintain essential missions/business functions despite disruption, compromise, or failure in organizational information systems. Related controls: CP-2, CP-6, CP-8, CP-9, CP-10, MA-6</t>
  </si>
  <si>
    <t xml:space="preserve">Les sites de traitement auxiliaires sont des sites qui sont géographiquement séparés des sites de traitement principaux. Un site de traitement auxiliaire offre une capacité de traitement lorsque le site de traitement principal n’est pas disponible. Les éléments couverts par les accords sur les sites de traitement auxiliaires comprennent, par exemple, les conditions environnementales aux sites auxiliaires, les règles d’accès, les exigences en matière de protection physique et environnementale, et la coordination pour le transfert ou l’attribution du personnel. Les exigences spécifiquement attribuées aux sites de traitement auxiliaires reflètent les exigences des plans d’urgence pour maintenir les fonctions opérationnelles et de mission essentielles malgré la perturbation, la compromission ou la défaillance des systèmes d’information organisationnels. Contrôles connexes : CP-2, CP-6, CP-8, CP-9, CP-10, MA-6</t>
  </si>
  <si>
    <t xml:space="preserve">TEST-CP-7</t>
  </si>
  <si>
    <t xml:space="preserve">Control CP-7(4) — Evidence Tracking</t>
  </si>
  <si>
    <t xml:space="preserve">Contrôle CP-7(4) — Suivi des preuves</t>
  </si>
  <si>
    <t xml:space="preserve">ALTERNATE PROCESSING SITE | PREPARATION FOR USE
The organization prepares the alternate processing site so that the site is ready to be used as the operational site supporting essential missions and business functions.</t>
  </si>
  <si>
    <t xml:space="preserve">SITE DE TRAITEMENT AUXILIAIRE | PRÉPARATION À L’UTILISATION
L’organisation prépare le site de traitement auxiliaire de manière à ce que le site soit prêt à être utilisé comme site opérationnel prenant en charge les fonctions opérationnelles et les missions essentielles.</t>
  </si>
  <si>
    <t xml:space="preserve">Site preparation includes, for example, establishing configuration settings for information system components at the alternate processing site consistent with the requirements for such settings at the primary site and ensuring that essential supplies and other logistical considerations are in place. Related controls: CM-2, CM-6.</t>
  </si>
  <si>
    <t xml:space="preserve">La préparation du site comprend, par exemple, l’établissement des paramètres de configuration pour les composants du système d’information au site de traitement auxiliaire, conformément aux exigences pour ces paramètres au site principal, et l’assurance que les fournitures essentielles et autres considérations logistiques sont en place. Contrôles connexes : CM-2, CM-6.</t>
  </si>
  <si>
    <t xml:space="preserve">TEST-CP-7(4)</t>
  </si>
  <si>
    <t xml:space="preserve">Control CP-10 — Evidence Tracking</t>
  </si>
  <si>
    <t xml:space="preserve">Contrôle CP-10 — Suivi des preuves</t>
  </si>
  <si>
    <t xml:space="preserve">(A)
The organization provides for the recovery and reconstitution of the information system to a known state after a disruption, compromise, or failure.</t>
  </si>
  <si>
    <t xml:space="preserve">(A) L’organisation assure la reprise et la reconstitution du système d’information dans un état connu après une perturbation, une compromission ou une défaillance.</t>
  </si>
  <si>
    <t xml:space="preserve">Recovery is executing information system contingency plan activities to restore organizational missions/business functions. Reconstitution takes place following recovery and includes activities for returning organizational information systems to fully operational states. Recovery and reconstitution operations reflect mission and business priorities, recovery point/time and reconstitution objectives, and established organizational metrics consistent with contingency plan requirements. Reconstitution includes the deactivation of any interim information system capabilities that may have been needed during recovery operations. Reconstitution also includes assessments of fully restored information system capabilities, reestablishment of continuous monitoring activities, potential information system reauthorizations, and activities to prepare the systems against future disruptions, compromises, or failures. Recovery/reconstitution capabilities employed by organizations can include both automated mechanisms and manual procedures. Related controls: CA-2, CA-6, CA-7, CP-2, CP-4, CP-6, CP-7, CP-9, SC-24</t>
  </si>
  <si>
    <t xml:space="preserve">La reprise consiste à exécuter les activités du plan d’urgence du système d’information pour restaurer les fonctions opérationnelles et de mission de l’organisation. La reconstitution a lieu après la reprise et comprend les activités permettant de remettre les systèmes d’information organisationnels à l’état pleinement opérationnel. Les opérations de reprise et de reconstitution reflètent les priorités opérationnelles et de mission, les objectifs en matière de délais, de points de reprise et de reconstitution, de même que les paramètres organisationnels établis conformément aux exigences du plan d’urgence. La reconstitution comprend la désactivation de toute capacité provisoire du système d’information ayant pu être nécessaire pendant les opérations de reprise. La reconstitution comprend également l’évaluation des capacités entièrement restaurées du système d’information, le rétablissement des activités de surveillance continue, les réautorisations possibles du système d’information et les activités visant à préparer les systèmes à faire face aux perturbations, compromissions ou défaillances futures. Les capacités de reprise et de reconstitution utilisées par les organisations peuvent comprendre des mécanismes automatisés et des procédures manuelles. Contrôles connexes : CA-2, CA-6, CA-7, CP-2, CP-4, CP-6, CP-7, CP-9, SC-24</t>
  </si>
  <si>
    <t xml:space="preserve">TEST-CP-10</t>
  </si>
  <si>
    <t xml:space="preserve">Control CP-10(4) — Evidence Tracking</t>
  </si>
  <si>
    <t xml:space="preserve">Contrôle CP-10(4) — Suivi des preuves</t>
  </si>
  <si>
    <t xml:space="preserve">INFORMATION SYSTEM RECOVERY AND RECONSTITUTION | RESTORE WITHIN TIME PERIOD
The organization provides the capability to restore information system components within organization-defined restoration time-periods from configuration-controlled and integrity-protected information representing a known, operational state for the components.</t>
  </si>
  <si>
    <t xml:space="preserve">REPRISE ET RECONSTITUTION DU SYSTÈME D’INFORMATION | RESTAURATION DANS LE DÉLAI IMPARTI
L’organisation fournit la capacité de restaurer les composants du système d’information dans les délais de restauration définis par l’organisation à partir de l’information contrôlée par la configuration et protégée par l’intégrité qui représente un état de fonctionnement connu pour les composants.</t>
  </si>
  <si>
    <t xml:space="preserve">Restoration of information system components includes, for example, re-imaging which restores components to known, operational states. Related control: CM-2.</t>
  </si>
  <si>
    <t xml:space="preserve">La restauration des composants du système d’information comprend, par exemple, la reconfiguration permettant de restaurer les composants aux états de fonctionnement connus. Contrôle connexe : CM-2.</t>
  </si>
  <si>
    <t xml:space="preserve">TEST-CP-10(4)</t>
  </si>
  <si>
    <t xml:space="preserve">Control SA-9(5) — Evidence Tracking</t>
  </si>
  <si>
    <t xml:space="preserve">Contrôle SA-9(5) — Suivi des preuves</t>
  </si>
  <si>
    <t xml:space="preserve">EXTERNAL INFORMATION SYSTEMS | PROCESSING, STORAGE, AND SERVICE LOCATION
The organization restricts the location of information processing,  information/data, and information system services to locations witihin Canada based on ITPIN 2017-02 for Direction on Data Residency (https://www.canada.ca/en/treasury-board-secretariat/services/information-technology/policy-implementation-notices/direction-electronic-data-residency.html).</t>
  </si>
  <si>
    <t xml:space="preserve">SYSTÈMES D’INFORMATION EXTERNES | EMPLACEMENT DU TRAITEMENT, DU STOCKAGE ET DES SERVICES
L’organisation restreint la résidence du traitement de l’information, du stockage de l’information et des données, ainsi que des services de systèmes d’information aux endroits situés à l’intérieur du Canada, conformément à l’avis AMPTI 2017-02, Orientation relative à la résidence des données électroniques (https://www.canada.ca/fr/gouvernement/systeme/gouvernement-numerique/technologiques-modernes-nouveaux/orientation-relative-residence-donnees-electroniques.html).</t>
  </si>
  <si>
    <t xml:space="preserve">The location of information processing, information/data storage, or information system services that are critical to organizations can have a direct impact on the ability of those organizations to successfully execute their missions/business functions. This situation exists when external providers control the location of processing, storage or services. The criteria external providers use for the selection of processing, storage, or service locations may be different from organizational criteria. For example, organizations may want to ensure that data/information storage locations are restricted to certain locations to facilitate incident response activities (e.g., forensic analyses, after-the-fact investigations) in case of information security breaches/compromises. Such incident response activities may be adversely affected by the governing laws or protocols in the locations where processing and storage occur and/or the locations from which information system services emanate.</t>
  </si>
  <si>
    <t xml:space="preserve">L’emplacement des services de traitement de l’information et de stockage de l’information et des données ou des services de systèmes d’information qui sont essentiels pour les organisations peut avoir une incidence directe sur la capacité de ces organisations d’exécuter avec succès leurs fonctions opérationnelles et de mission. Cette situation existe lorsque des fournisseurs externes contrôlent l’emplacement du traitement, de l’entreposage ou des services. Les critères utilisés par les fournisseurs externes pour choisir les lieux de traitement, d’entreposage ou de service peuvent être différents des critères de l’organisation. Par exemple, les organisations pourraient vouloir s’assurer que les emplacements de stockage des données ou de l’information se limitent à certains endroits afin de faciliter les activités d’intervention (p. ex., analyses judiciaires, enquêtes après coup) en cas d’incident représentant une atteinte à, ou une compromission de la sécurité de l’information. Ces activités d’intervention en cas d’incident peuvent être affectées négativement par les lois ou les protocoles en vigueur aux endroits où le traitement et l’entreposage ont lieu ou aux endroits d’où proviennent les services de systèmes d’information.</t>
  </si>
  <si>
    <t xml:space="preserve">TEST-SA-9(5)</t>
  </si>
  <si>
    <t xml:space="preserve">Control SI-4(2) — Evidence Tracking</t>
  </si>
  <si>
    <t xml:space="preserve">Contrôle SI-4(2) — Suivi des preuves</t>
  </si>
  <si>
    <t xml:space="preserve">INFORMATION SYSTEM MONITORING | AUTOMATED TOOLS FOR REAL-TIME ANALYSIS
The organization employs automated tools to support near real-time analysis of events.</t>
  </si>
  <si>
    <t xml:space="preserve">SURVEILLANCE DU SYSTÈME D’INFORMATION | OUTILS AUTOMATISÉS POUR L’ANALYSE EN TEMPS RÉEL
L’organisation utilise des outils automatisés pour appuyer l’analyse des événements en temps quasi réel.</t>
  </si>
  <si>
    <t xml:space="preserve">Automated tools include, for example, host-based, network-based, transport-based, or storage-based event monitoring tools or Security Information and Event Management (SIEM) technologies that provide real time analysis of alerts and/or notifications generated by organizational information systems.</t>
  </si>
  <si>
    <t xml:space="preserve">Les outils automatisés comprennent, par exemple, des outils de surveillance des événements basés sur l’hôte, le réseau, le transport ou le stockage, ou des technologies de gestion de l’information et des événements de sécurité (SIEM) qui fournissent une analyse en temps réel des alertes et/ou des notifications générées par les systèmes d’information de l’organisation.</t>
  </si>
  <si>
    <t xml:space="preserve">TEST-SI-4(2)</t>
  </si>
  <si>
    <t xml:space="preserve">Control SI-6 — Evidence Tracking</t>
  </si>
  <si>
    <t xml:space="preserve">Contrôle SI-6 — Suivi des preuves</t>
  </si>
  <si>
    <t xml:space="preserve">(A)
The information system verifies the correct operation of organization-defined security functions.
(B)
The information system performs this verification organization-defined system transitional states including at least system startup and restart and at least monthly.
(C)
The information system notifies organization-defined personnel or roles including system administrators and security personnel of failed security verification tests.
(D)
The information system takes  organization-defined action(s) when anomalies are discovered and notifies system administrators and security personnel.</t>
  </si>
  <si>
    <t xml:space="preserve">(A) Le système d’information vérifie le bon fonctionnement des fonctions de sécurité définies par l’organisation.
(B) Le système d’information effectue cette vérification des phases de transition définies par l’organisation, y compris au moins le démarrage et le redémarrage du système et au moins une fois par mois.
(C) Le système d’information informe le personnel ou les rôles définis par l’organisation, y compris les administrateurs de système et le personnel de sécurité, des tests de vérification de sécurité qui ont échoué.
(D) Le système d’information prend des mesures définies par l’organisation lorsque des anomalies sont découvertes et en informe les administrateurs du système et le personnel de sécurité.</t>
  </si>
  <si>
    <t xml:space="preserve">Transitional states for information systems include, for example, system start-up, restart, shutdown, and abort. Notifications provided by information systems include, for example, electronic alerts to system administrators, messages to local computer consoles, and/or hardware indications such as lights. Related controls: CA-7, CM-6</t>
  </si>
  <si>
    <t xml:space="preserve">Les phases de transition pour les systèmes d’information comprennent, par exemple, le démarrage, le redémarrage, l’arrêt et l’interruption du système. Les notifications fournies par les systèmes d’information comprennent, par exemple, des alertes électroniques aux administrateurs du système, des messages aux consoles d’ordinateurs locales ou des indications matérielles telles que des voyants. Contrôles connexes : CA-7, CM-6</t>
  </si>
  <si>
    <t xml:space="preserve">TEST-SI-6</t>
  </si>
</sst>
</file>

<file path=xl/styles.xml><?xml version="1.0" encoding="utf-8"?>
<styleSheet xmlns="http://schemas.openxmlformats.org/spreadsheetml/2006/main">
  <numFmts count="3">
    <numFmt numFmtId="164" formatCode="General"/>
    <numFmt numFmtId="165" formatCode="General"/>
    <numFmt numFmtId="166" formatCode="0.0%"/>
  </numFmts>
  <fonts count="12">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10"/>
      <color rgb="FFFFFFFF"/>
      <name val="Arial"/>
      <family val="0"/>
      <charset val="1"/>
    </font>
    <font>
      <sz val="9"/>
      <name val="Arial"/>
      <family val="0"/>
      <charset val="1"/>
    </font>
    <font>
      <b val="true"/>
      <sz val="11"/>
      <color rgb="FFFFFFFF"/>
      <name val="Arial"/>
      <family val="0"/>
      <charset val="1"/>
    </font>
    <font>
      <b val="true"/>
      <sz val="10"/>
      <color rgb="FF1F3864"/>
      <name val="Arial"/>
      <family val="0"/>
      <charset val="1"/>
    </font>
    <font>
      <b val="true"/>
      <sz val="10"/>
      <name val="Arial"/>
      <family val="0"/>
      <charset val="1"/>
    </font>
    <font>
      <b val="true"/>
      <sz val="12"/>
      <color rgb="FFFFFFFF"/>
      <name val="Arial"/>
      <family val="0"/>
      <charset val="1"/>
    </font>
    <font>
      <sz val="10"/>
      <color rgb="FF0000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2E6DA4"/>
        <bgColor rgb="FF3366FF"/>
      </patternFill>
    </fill>
    <fill>
      <patternFill patternType="solid">
        <fgColor rgb="FFEBF3FB"/>
        <bgColor rgb="FFFFFFFF"/>
      </patternFill>
    </fill>
    <fill>
      <patternFill patternType="solid">
        <fgColor rgb="FFD6E4F7"/>
        <bgColor rgb="FFEBF3FB"/>
      </patternFill>
    </fill>
    <fill>
      <patternFill patternType="solid">
        <fgColor rgb="FFFFFFFF"/>
        <bgColor rgb="FFEBF3FB"/>
      </patternFill>
    </fill>
  </fills>
  <borders count="2">
    <border diagonalUp="false" diagonalDown="false">
      <left/>
      <right/>
      <top/>
      <bottom/>
      <diagonal/>
    </border>
    <border diagonalUp="false" diagonalDown="false">
      <left style="thin">
        <color rgb="FFB0C4DE"/>
      </left>
      <right style="thin">
        <color rgb="FFB0C4DE"/>
      </right>
      <top style="thin">
        <color rgb="FFB0C4DE"/>
      </top>
      <bottom style="thin">
        <color rgb="FFB0C4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4" fontId="10" fillId="2"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C4DE"/>
      <rgbColor rgb="FF808080"/>
      <rgbColor rgb="FF9999FF"/>
      <rgbColor rgb="FF993366"/>
      <rgbColor rgb="FFFFFFCC"/>
      <rgbColor rgb="FFEBF3FB"/>
      <rgbColor rgb="FF660066"/>
      <rgbColor rgb="FFD99694"/>
      <rgbColor rgb="FF2E6DA4"/>
      <rgbColor rgb="FFD6E4F7"/>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0</v>
      </c>
      <c r="B1" s="1"/>
      <c r="C1" s="1"/>
      <c r="D1" s="1"/>
      <c r="E1" s="1"/>
    </row>
    <row r="2" customFormat="false" ht="21.75" hidden="false" customHeight="true" outlineLevel="0" collapsed="false">
      <c r="A2" s="2" t="s">
        <v>1</v>
      </c>
      <c r="B2" s="2" t="s">
        <v>2</v>
      </c>
      <c r="C2" s="2" t="s">
        <v>3</v>
      </c>
      <c r="D2" s="2" t="s">
        <v>4</v>
      </c>
      <c r="E2" s="2" t="s">
        <v>5</v>
      </c>
    </row>
    <row r="3" customFormat="false" ht="18" hidden="false" customHeight="true" outlineLevel="0" collapsed="false">
      <c r="A3" s="3" t="s">
        <v>6</v>
      </c>
      <c r="B3" s="4" t="s">
        <v>7</v>
      </c>
      <c r="C3" s="4"/>
      <c r="D3" s="3" t="s">
        <v>6</v>
      </c>
      <c r="E3" s="3" t="str">
        <f aca="false">'AU-2'!B20</f>
        <v>Not Started</v>
      </c>
    </row>
    <row r="4" customFormat="false" ht="18" hidden="false" customHeight="true" outlineLevel="0" collapsed="false">
      <c r="A4" s="3" t="s">
        <v>8</v>
      </c>
      <c r="B4" s="4" t="s">
        <v>9</v>
      </c>
      <c r="C4" s="4"/>
      <c r="D4" s="3" t="s">
        <v>8</v>
      </c>
      <c r="E4" s="3" t="str">
        <f aca="false">'AU-3'!B20</f>
        <v>Not Started</v>
      </c>
    </row>
    <row r="5" customFormat="false" ht="18" hidden="false" customHeight="true" outlineLevel="0" collapsed="false">
      <c r="A5" s="3" t="s">
        <v>10</v>
      </c>
      <c r="B5" s="4" t="s">
        <v>9</v>
      </c>
      <c r="C5" s="4"/>
      <c r="D5" s="3" t="s">
        <v>11</v>
      </c>
      <c r="E5" s="3" t="str">
        <f aca="false">'AU-3-1'!B20</f>
        <v>Not Started</v>
      </c>
    </row>
    <row r="6" customFormat="false" ht="18" hidden="false" customHeight="true" outlineLevel="0" collapsed="false">
      <c r="A6" s="3" t="s">
        <v>12</v>
      </c>
      <c r="B6" s="4" t="s">
        <v>13</v>
      </c>
      <c r="C6" s="4"/>
      <c r="D6" s="3" t="s">
        <v>14</v>
      </c>
      <c r="E6" s="3" t="str">
        <f aca="false">'AU-9-2'!B20</f>
        <v>Not Started</v>
      </c>
    </row>
    <row r="7" customFormat="false" ht="18" hidden="false" customHeight="true" outlineLevel="0" collapsed="false">
      <c r="A7" s="3" t="s">
        <v>15</v>
      </c>
      <c r="B7" s="4" t="s">
        <v>16</v>
      </c>
      <c r="C7" s="4"/>
      <c r="D7" s="3" t="s">
        <v>15</v>
      </c>
      <c r="E7" s="3" t="str">
        <f aca="false">'AU-12'!B20</f>
        <v>Not Started</v>
      </c>
    </row>
    <row r="8" customFormat="false" ht="18" hidden="false" customHeight="true" outlineLevel="0" collapsed="false">
      <c r="A8" s="3" t="s">
        <v>17</v>
      </c>
      <c r="B8" s="4" t="s">
        <v>18</v>
      </c>
      <c r="C8" s="4"/>
      <c r="D8" s="3" t="s">
        <v>17</v>
      </c>
      <c r="E8" s="3" t="str">
        <f aca="false">'CM-6'!B20</f>
        <v>Not Started</v>
      </c>
    </row>
    <row r="9" customFormat="false" ht="18" hidden="false" customHeight="true" outlineLevel="0" collapsed="false">
      <c r="A9" s="3" t="s">
        <v>19</v>
      </c>
      <c r="B9" s="4" t="s">
        <v>20</v>
      </c>
      <c r="C9" s="4"/>
      <c r="D9" s="3" t="s">
        <v>19</v>
      </c>
      <c r="E9" s="3" t="str">
        <f aca="false">'CM-7'!B20</f>
        <v>Not Started</v>
      </c>
    </row>
    <row r="10" customFormat="false" ht="18" hidden="false" customHeight="true" outlineLevel="0" collapsed="false">
      <c r="A10" s="3" t="s">
        <v>21</v>
      </c>
      <c r="B10" s="4" t="s">
        <v>20</v>
      </c>
      <c r="C10" s="4"/>
      <c r="D10" s="3" t="s">
        <v>22</v>
      </c>
      <c r="E10" s="3" t="str">
        <f aca="false">'CM-7-1'!B20</f>
        <v>Not Started</v>
      </c>
    </row>
    <row r="11" customFormat="false" ht="18" hidden="false" customHeight="true" outlineLevel="0" collapsed="false">
      <c r="A11" s="3" t="s">
        <v>23</v>
      </c>
      <c r="B11" s="4" t="s">
        <v>24</v>
      </c>
      <c r="C11" s="4"/>
      <c r="D11" s="3" t="s">
        <v>23</v>
      </c>
      <c r="E11" s="3" t="str">
        <f aca="false">'CP-7'!B20</f>
        <v>Not Started</v>
      </c>
    </row>
    <row r="12" customFormat="false" ht="18" hidden="false" customHeight="true" outlineLevel="0" collapsed="false">
      <c r="A12" s="3" t="s">
        <v>25</v>
      </c>
      <c r="B12" s="4" t="s">
        <v>24</v>
      </c>
      <c r="C12" s="4"/>
      <c r="D12" s="3" t="s">
        <v>26</v>
      </c>
      <c r="E12" s="3" t="str">
        <f aca="false">'CP-7-4'!B20</f>
        <v>Not Started</v>
      </c>
    </row>
    <row r="13" customFormat="false" ht="18" hidden="false" customHeight="true" outlineLevel="0" collapsed="false">
      <c r="A13" s="3" t="s">
        <v>27</v>
      </c>
      <c r="B13" s="4" t="s">
        <v>28</v>
      </c>
      <c r="C13" s="4"/>
      <c r="D13" s="3" t="s">
        <v>27</v>
      </c>
      <c r="E13" s="3" t="str">
        <f aca="false">'CP-10'!B20</f>
        <v>Not Started</v>
      </c>
    </row>
    <row r="14" customFormat="false" ht="18" hidden="false" customHeight="true" outlineLevel="0" collapsed="false">
      <c r="A14" s="3" t="s">
        <v>29</v>
      </c>
      <c r="B14" s="4" t="s">
        <v>28</v>
      </c>
      <c r="C14" s="4"/>
      <c r="D14" s="3" t="s">
        <v>30</v>
      </c>
      <c r="E14" s="3" t="str">
        <f aca="false">'CP-10-4'!B20</f>
        <v>Not Started</v>
      </c>
    </row>
    <row r="15" customFormat="false" ht="18" hidden="false" customHeight="true" outlineLevel="0" collapsed="false">
      <c r="A15" s="3" t="s">
        <v>31</v>
      </c>
      <c r="B15" s="4" t="s">
        <v>32</v>
      </c>
      <c r="C15" s="4"/>
      <c r="D15" s="3" t="s">
        <v>33</v>
      </c>
      <c r="E15" s="3" t="str">
        <f aca="false">'SA-9-5'!B20</f>
        <v>Not Started</v>
      </c>
    </row>
    <row r="16" customFormat="false" ht="18" hidden="false" customHeight="true" outlineLevel="0" collapsed="false">
      <c r="A16" s="3" t="s">
        <v>34</v>
      </c>
      <c r="B16" s="4" t="s">
        <v>35</v>
      </c>
      <c r="C16" s="4"/>
      <c r="D16" s="3" t="s">
        <v>36</v>
      </c>
      <c r="E16" s="3" t="str">
        <f aca="false">'SI-4-2'!B20</f>
        <v>Not Started</v>
      </c>
    </row>
    <row r="17" customFormat="false" ht="18" hidden="false" customHeight="true" outlineLevel="0" collapsed="false">
      <c r="A17" s="3" t="s">
        <v>37</v>
      </c>
      <c r="B17" s="4" t="s">
        <v>38</v>
      </c>
      <c r="C17" s="4"/>
      <c r="D17" s="3" t="s">
        <v>37</v>
      </c>
      <c r="E17" s="3" t="str">
        <f aca="false">'SI-6'!B20</f>
        <v>Not Started</v>
      </c>
    </row>
    <row r="19" customFormat="false" ht="21.75" hidden="false" customHeight="true" outlineLevel="0" collapsed="false">
      <c r="A19" s="5" t="s">
        <v>39</v>
      </c>
      <c r="B19" s="5"/>
      <c r="C19" s="5"/>
      <c r="D19" s="5"/>
      <c r="E19" s="5"/>
    </row>
    <row r="20" customFormat="false" ht="19.5" hidden="false" customHeight="true" outlineLevel="0" collapsed="false">
      <c r="A20" s="6" t="s">
        <v>40</v>
      </c>
      <c r="B20" s="6"/>
      <c r="C20" s="6"/>
      <c r="D20" s="6"/>
      <c r="E20" s="7" t="n">
        <f aca="false">15</f>
        <v>15</v>
      </c>
    </row>
    <row r="21" customFormat="false" ht="19.5" hidden="false" customHeight="true" outlineLevel="0" collapsed="false">
      <c r="A21" s="6" t="s">
        <v>41</v>
      </c>
      <c r="B21" s="6"/>
      <c r="C21" s="6"/>
      <c r="D21" s="6"/>
      <c r="E21" s="7" t="n">
        <f aca="false">COUNTIF(E3:E17,"Not Started")</f>
        <v>15</v>
      </c>
    </row>
    <row r="22" customFormat="false" ht="19.5" hidden="false" customHeight="true" outlineLevel="0" collapsed="false">
      <c r="A22" s="6" t="s">
        <v>42</v>
      </c>
      <c r="B22" s="6"/>
      <c r="C22" s="6"/>
      <c r="D22" s="6"/>
      <c r="E22" s="7" t="n">
        <f aca="false">COUNTIF(E3:E17,"In Progress")</f>
        <v>0</v>
      </c>
    </row>
    <row r="23" customFormat="false" ht="19.5" hidden="false" customHeight="true" outlineLevel="0" collapsed="false">
      <c r="A23" s="6" t="s">
        <v>43</v>
      </c>
      <c r="B23" s="6"/>
      <c r="C23" s="6"/>
      <c r="D23" s="6"/>
      <c r="E23" s="7" t="n">
        <f aca="false">COUNTIF(E3:E17,"Evidence Provided")</f>
        <v>0</v>
      </c>
    </row>
    <row r="24" customFormat="false" ht="19.5" hidden="false" customHeight="true" outlineLevel="0" collapsed="false">
      <c r="A24" s="6" t="s">
        <v>44</v>
      </c>
      <c r="B24" s="6"/>
      <c r="C24" s="6"/>
      <c r="D24" s="6"/>
      <c r="E24" s="7" t="n">
        <f aca="false">COUNTIF(E3:E17,"Under Review")</f>
        <v>0</v>
      </c>
    </row>
    <row r="25" customFormat="false" ht="19.5" hidden="false" customHeight="true" outlineLevel="0" collapsed="false">
      <c r="A25" s="6" t="s">
        <v>45</v>
      </c>
      <c r="B25" s="6"/>
      <c r="C25" s="6"/>
      <c r="D25" s="6"/>
      <c r="E25" s="7" t="n">
        <f aca="false">COUNTIF(E3:E17,"Passed")</f>
        <v>0</v>
      </c>
    </row>
    <row r="26" customFormat="false" ht="19.5" hidden="false" customHeight="true" outlineLevel="0" collapsed="false">
      <c r="A26" s="6" t="s">
        <v>46</v>
      </c>
      <c r="B26" s="6"/>
      <c r="C26" s="6"/>
      <c r="D26" s="6"/>
      <c r="E26" s="7" t="n">
        <f aca="false">COUNTIF(E3:E17,"Failed")</f>
        <v>0</v>
      </c>
    </row>
    <row r="27" customFormat="false" ht="19.5" hidden="false" customHeight="true" outlineLevel="0" collapsed="false">
      <c r="A27" s="6" t="s">
        <v>47</v>
      </c>
      <c r="B27" s="6"/>
      <c r="C27" s="6"/>
      <c r="D27" s="6"/>
      <c r="E27" s="7" t="n">
        <f aca="false">COUNTIF(E3:E17,"Accepted Exception")</f>
        <v>0</v>
      </c>
    </row>
    <row r="28" customFormat="false" ht="19.5" hidden="false" customHeight="true" outlineLevel="0" collapsed="false">
      <c r="A28" s="6" t="s">
        <v>48</v>
      </c>
      <c r="B28" s="6"/>
      <c r="C28" s="6"/>
      <c r="D28" s="6"/>
      <c r="E28" s="8" t="n">
        <f aca="false">IFERROR(COUNTIF(E3:E17,"Passed")/15,0)</f>
        <v>0</v>
      </c>
    </row>
    <row r="29" customFormat="false" ht="19.5" hidden="false" customHeight="true" outlineLevel="0" collapsed="false">
      <c r="A29" s="6" t="s">
        <v>49</v>
      </c>
      <c r="B29" s="6"/>
      <c r="C29" s="6"/>
      <c r="D29" s="6"/>
      <c r="E29" s="8" t="n">
        <f aca="false">IFERROR(COUNTIF(E3:E17,"Not Started")/15,0)</f>
        <v>1</v>
      </c>
    </row>
  </sheetData>
  <mergeCells count="12">
    <mergeCell ref="A1:E1"/>
    <mergeCell ref="A19:E19"/>
    <mergeCell ref="A20:D20"/>
    <mergeCell ref="A21:D21"/>
    <mergeCell ref="A22:D22"/>
    <mergeCell ref="A23:D23"/>
    <mergeCell ref="A24:D24"/>
    <mergeCell ref="A25:D25"/>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30"/>
    <col collapsed="false" customWidth="true" hidden="false" outlineLevel="0" max="4" min="4" style="0" width="18"/>
    <col collapsed="false" customWidth="true" hidden="false" outlineLevel="0" max="5" min="5" style="0" width="22"/>
  </cols>
  <sheetData>
    <row r="1" customFormat="false" ht="27.75" hidden="false" customHeight="true" outlineLevel="0" collapsed="false">
      <c r="A1" s="1" t="s">
        <v>50</v>
      </c>
      <c r="B1" s="1"/>
      <c r="C1" s="1"/>
      <c r="D1" s="1"/>
      <c r="E1" s="1"/>
    </row>
    <row r="2" customFormat="false" ht="21.75" hidden="false" customHeight="true" outlineLevel="0" collapsed="false">
      <c r="A2" s="2" t="s">
        <v>51</v>
      </c>
      <c r="B2" s="2" t="s">
        <v>52</v>
      </c>
      <c r="C2" s="2" t="s">
        <v>53</v>
      </c>
      <c r="D2" s="2" t="s">
        <v>54</v>
      </c>
      <c r="E2" s="2" t="s">
        <v>55</v>
      </c>
    </row>
    <row r="3" customFormat="false" ht="18" hidden="false" customHeight="true" outlineLevel="0" collapsed="false">
      <c r="A3" s="3" t="s">
        <v>6</v>
      </c>
      <c r="B3" s="4" t="s">
        <v>56</v>
      </c>
      <c r="C3" s="4"/>
      <c r="D3" s="3" t="s">
        <v>6</v>
      </c>
      <c r="E3" s="3" t="str">
        <f aca="false">'AU-2'!E20</f>
        <v>Non commencé</v>
      </c>
    </row>
    <row r="4" customFormat="false" ht="18" hidden="false" customHeight="true" outlineLevel="0" collapsed="false">
      <c r="A4" s="3" t="s">
        <v>8</v>
      </c>
      <c r="B4" s="4" t="s">
        <v>57</v>
      </c>
      <c r="C4" s="4"/>
      <c r="D4" s="3" t="s">
        <v>8</v>
      </c>
      <c r="E4" s="3" t="str">
        <f aca="false">'AU-3'!E20</f>
        <v>Non commencé</v>
      </c>
    </row>
    <row r="5" customFormat="false" ht="18" hidden="false" customHeight="true" outlineLevel="0" collapsed="false">
      <c r="A5" s="3" t="s">
        <v>10</v>
      </c>
      <c r="B5" s="4" t="s">
        <v>57</v>
      </c>
      <c r="C5" s="4"/>
      <c r="D5" s="3" t="s">
        <v>11</v>
      </c>
      <c r="E5" s="3" t="str">
        <f aca="false">'AU-3-1'!E20</f>
        <v>Non commencé</v>
      </c>
    </row>
    <row r="6" customFormat="false" ht="18" hidden="false" customHeight="true" outlineLevel="0" collapsed="false">
      <c r="A6" s="3" t="s">
        <v>12</v>
      </c>
      <c r="B6" s="4" t="s">
        <v>58</v>
      </c>
      <c r="C6" s="4"/>
      <c r="D6" s="3" t="s">
        <v>14</v>
      </c>
      <c r="E6" s="3" t="str">
        <f aca="false">'AU-9-2'!E20</f>
        <v>Non commencé</v>
      </c>
    </row>
    <row r="7" customFormat="false" ht="18" hidden="false" customHeight="true" outlineLevel="0" collapsed="false">
      <c r="A7" s="3" t="s">
        <v>15</v>
      </c>
      <c r="B7" s="4" t="s">
        <v>59</v>
      </c>
      <c r="C7" s="4"/>
      <c r="D7" s="3" t="s">
        <v>15</v>
      </c>
      <c r="E7" s="3" t="str">
        <f aca="false">'AU-12'!E20</f>
        <v>Non commencé</v>
      </c>
    </row>
    <row r="8" customFormat="false" ht="18" hidden="false" customHeight="true" outlineLevel="0" collapsed="false">
      <c r="A8" s="3" t="s">
        <v>17</v>
      </c>
      <c r="B8" s="4" t="s">
        <v>60</v>
      </c>
      <c r="C8" s="4"/>
      <c r="D8" s="3" t="s">
        <v>17</v>
      </c>
      <c r="E8" s="3" t="str">
        <f aca="false">'CM-6'!E20</f>
        <v>Non commencé</v>
      </c>
    </row>
    <row r="9" customFormat="false" ht="18" hidden="false" customHeight="true" outlineLevel="0" collapsed="false">
      <c r="A9" s="3" t="s">
        <v>19</v>
      </c>
      <c r="B9" s="4" t="s">
        <v>61</v>
      </c>
      <c r="C9" s="4"/>
      <c r="D9" s="3" t="s">
        <v>19</v>
      </c>
      <c r="E9" s="3" t="str">
        <f aca="false">'CM-7'!E20</f>
        <v>Non commencé</v>
      </c>
    </row>
    <row r="10" customFormat="false" ht="18" hidden="false" customHeight="true" outlineLevel="0" collapsed="false">
      <c r="A10" s="3" t="s">
        <v>21</v>
      </c>
      <c r="B10" s="4" t="s">
        <v>61</v>
      </c>
      <c r="C10" s="4"/>
      <c r="D10" s="3" t="s">
        <v>22</v>
      </c>
      <c r="E10" s="3" t="str">
        <f aca="false">'CM-7-1'!E20</f>
        <v>Non commencé</v>
      </c>
    </row>
    <row r="11" customFormat="false" ht="18" hidden="false" customHeight="true" outlineLevel="0" collapsed="false">
      <c r="A11" s="3" t="s">
        <v>23</v>
      </c>
      <c r="B11" s="4" t="s">
        <v>62</v>
      </c>
      <c r="C11" s="4"/>
      <c r="D11" s="3" t="s">
        <v>23</v>
      </c>
      <c r="E11" s="3" t="str">
        <f aca="false">'CP-7'!E20</f>
        <v>Non commencé</v>
      </c>
    </row>
    <row r="12" customFormat="false" ht="18" hidden="false" customHeight="true" outlineLevel="0" collapsed="false">
      <c r="A12" s="3" t="s">
        <v>25</v>
      </c>
      <c r="B12" s="4" t="s">
        <v>62</v>
      </c>
      <c r="C12" s="4"/>
      <c r="D12" s="3" t="s">
        <v>26</v>
      </c>
      <c r="E12" s="3" t="str">
        <f aca="false">'CP-7-4'!E20</f>
        <v>Non commencé</v>
      </c>
    </row>
    <row r="13" customFormat="false" ht="18" hidden="false" customHeight="true" outlineLevel="0" collapsed="false">
      <c r="A13" s="3" t="s">
        <v>27</v>
      </c>
      <c r="B13" s="4" t="s">
        <v>63</v>
      </c>
      <c r="C13" s="4"/>
      <c r="D13" s="3" t="s">
        <v>27</v>
      </c>
      <c r="E13" s="3" t="str">
        <f aca="false">'CP-10'!E20</f>
        <v>Non commencé</v>
      </c>
    </row>
    <row r="14" customFormat="false" ht="18" hidden="false" customHeight="true" outlineLevel="0" collapsed="false">
      <c r="A14" s="3" t="s">
        <v>29</v>
      </c>
      <c r="B14" s="4" t="s">
        <v>63</v>
      </c>
      <c r="C14" s="4"/>
      <c r="D14" s="3" t="s">
        <v>30</v>
      </c>
      <c r="E14" s="3" t="str">
        <f aca="false">'CP-10-4'!E20</f>
        <v>Non commencé</v>
      </c>
    </row>
    <row r="15" customFormat="false" ht="18" hidden="false" customHeight="true" outlineLevel="0" collapsed="false">
      <c r="A15" s="3" t="s">
        <v>31</v>
      </c>
      <c r="B15" s="4" t="s">
        <v>64</v>
      </c>
      <c r="C15" s="4"/>
      <c r="D15" s="3" t="s">
        <v>33</v>
      </c>
      <c r="E15" s="3" t="str">
        <f aca="false">'SA-9-5'!E20</f>
        <v>Non commencé</v>
      </c>
    </row>
    <row r="16" customFormat="false" ht="18" hidden="false" customHeight="true" outlineLevel="0" collapsed="false">
      <c r="A16" s="3" t="s">
        <v>34</v>
      </c>
      <c r="B16" s="4" t="s">
        <v>65</v>
      </c>
      <c r="C16" s="4"/>
      <c r="D16" s="3" t="s">
        <v>36</v>
      </c>
      <c r="E16" s="3" t="str">
        <f aca="false">'SI-4-2'!E20</f>
        <v>Non commencé</v>
      </c>
    </row>
    <row r="17" customFormat="false" ht="18" hidden="false" customHeight="true" outlineLevel="0" collapsed="false">
      <c r="A17" s="3" t="s">
        <v>37</v>
      </c>
      <c r="B17" s="4" t="s">
        <v>66</v>
      </c>
      <c r="C17" s="4"/>
      <c r="D17" s="3" t="s">
        <v>37</v>
      </c>
      <c r="E17" s="3" t="str">
        <f aca="false">'SI-6'!E20</f>
        <v>Non commencé</v>
      </c>
    </row>
    <row r="19" customFormat="false" ht="21.75" hidden="false" customHeight="true" outlineLevel="0" collapsed="false">
      <c r="A19" s="5" t="s">
        <v>67</v>
      </c>
      <c r="B19" s="5"/>
      <c r="C19" s="5"/>
      <c r="D19" s="5"/>
      <c r="E19" s="5"/>
    </row>
    <row r="20" customFormat="false" ht="19.5" hidden="false" customHeight="true" outlineLevel="0" collapsed="false">
      <c r="A20" s="6" t="s">
        <v>68</v>
      </c>
      <c r="B20" s="6"/>
      <c r="C20" s="6"/>
      <c r="D20" s="6"/>
      <c r="E20" s="7" t="n">
        <f aca="false">15</f>
        <v>15</v>
      </c>
    </row>
    <row r="21" customFormat="false" ht="19.5" hidden="false" customHeight="true" outlineLevel="0" collapsed="false">
      <c r="A21" s="6" t="s">
        <v>69</v>
      </c>
      <c r="B21" s="6"/>
      <c r="C21" s="6"/>
      <c r="D21" s="6"/>
      <c r="E21" s="7" t="n">
        <f aca="false">COUNTIF(E3:E17,"Non commencé")</f>
        <v>15</v>
      </c>
    </row>
    <row r="22" customFormat="false" ht="19.5" hidden="false" customHeight="true" outlineLevel="0" collapsed="false">
      <c r="A22" s="6" t="s">
        <v>70</v>
      </c>
      <c r="B22" s="6"/>
      <c r="C22" s="6"/>
      <c r="D22" s="6"/>
      <c r="E22" s="7" t="n">
        <f aca="false">COUNTIF(E3:E17,"En cours")</f>
        <v>0</v>
      </c>
    </row>
    <row r="23" customFormat="false" ht="19.5" hidden="false" customHeight="true" outlineLevel="0" collapsed="false">
      <c r="A23" s="6" t="s">
        <v>71</v>
      </c>
      <c r="B23" s="6"/>
      <c r="C23" s="6"/>
      <c r="D23" s="6"/>
      <c r="E23" s="7" t="n">
        <f aca="false">COUNTIF(E3:E17,"Preuve fournie")</f>
        <v>0</v>
      </c>
    </row>
    <row r="24" customFormat="false" ht="19.5" hidden="false" customHeight="true" outlineLevel="0" collapsed="false">
      <c r="A24" s="6" t="s">
        <v>72</v>
      </c>
      <c r="B24" s="6"/>
      <c r="C24" s="6"/>
      <c r="D24" s="6"/>
      <c r="E24" s="7" t="n">
        <f aca="false">COUNTIF(E3:E17,"En révision")</f>
        <v>0</v>
      </c>
    </row>
    <row r="25" customFormat="false" ht="19.5" hidden="false" customHeight="true" outlineLevel="0" collapsed="false">
      <c r="A25" s="6" t="s">
        <v>73</v>
      </c>
      <c r="B25" s="6"/>
      <c r="C25" s="6"/>
      <c r="D25" s="6"/>
      <c r="E25" s="7" t="n">
        <f aca="false">COUNTIF(E3:E17,"Réussi")</f>
        <v>0</v>
      </c>
    </row>
    <row r="26" customFormat="false" ht="19.5" hidden="false" customHeight="true" outlineLevel="0" collapsed="false">
      <c r="A26" s="6" t="s">
        <v>74</v>
      </c>
      <c r="B26" s="6"/>
      <c r="C26" s="6"/>
      <c r="D26" s="6"/>
      <c r="E26" s="7" t="n">
        <f aca="false">COUNTIF(E3:E17,"Échec")</f>
        <v>0</v>
      </c>
    </row>
    <row r="27" customFormat="false" ht="19.5" hidden="false" customHeight="true" outlineLevel="0" collapsed="false">
      <c r="A27" s="6" t="s">
        <v>75</v>
      </c>
      <c r="B27" s="6"/>
      <c r="C27" s="6"/>
      <c r="D27" s="6"/>
      <c r="E27" s="7" t="n">
        <f aca="false">COUNTIF(E3:E17,"Exception acceptée")</f>
        <v>0</v>
      </c>
    </row>
    <row r="28" customFormat="false" ht="19.5" hidden="false" customHeight="true" outlineLevel="0" collapsed="false">
      <c r="A28" s="6" t="s">
        <v>76</v>
      </c>
      <c r="B28" s="6"/>
      <c r="C28" s="6"/>
      <c r="D28" s="6"/>
      <c r="E28" s="8" t="n">
        <f aca="false">IFERROR(COUNTIF(E3:E17,"Réussi")/15,0)</f>
        <v>0</v>
      </c>
    </row>
    <row r="29" customFormat="false" ht="19.5" hidden="false" customHeight="true" outlineLevel="0" collapsed="false">
      <c r="A29" s="6" t="s">
        <v>77</v>
      </c>
      <c r="B29" s="6"/>
      <c r="C29" s="6"/>
      <c r="D29" s="6"/>
      <c r="E29" s="8" t="n">
        <f aca="false">IFERROR(COUNTIF(E3:E17,"Non commencé")/15,0)</f>
        <v>1</v>
      </c>
    </row>
  </sheetData>
  <mergeCells count="12">
    <mergeCell ref="A1:E1"/>
    <mergeCell ref="A19:E19"/>
    <mergeCell ref="A20:D20"/>
    <mergeCell ref="A21:D21"/>
    <mergeCell ref="A22:D22"/>
    <mergeCell ref="A23:D23"/>
    <mergeCell ref="A24:D24"/>
    <mergeCell ref="A25:D25"/>
    <mergeCell ref="A26:D26"/>
    <mergeCell ref="A27:D27"/>
    <mergeCell ref="A28:D28"/>
    <mergeCell ref="A29:D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78</v>
      </c>
      <c r="B1" s="9"/>
      <c r="D1" s="9" t="s">
        <v>79</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6</v>
      </c>
      <c r="D3" s="11" t="s">
        <v>83</v>
      </c>
      <c r="E3" s="12" t="s">
        <v>6</v>
      </c>
    </row>
    <row r="4" customFormat="false" ht="21.75" hidden="false" customHeight="true" outlineLevel="0" collapsed="false">
      <c r="A4" s="11" t="s">
        <v>84</v>
      </c>
      <c r="B4" s="12" t="s">
        <v>7</v>
      </c>
      <c r="D4" s="11" t="s">
        <v>85</v>
      </c>
      <c r="E4" s="12" t="s">
        <v>56</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234" hidden="false" customHeight="true" outlineLevel="0" collapsed="false">
      <c r="A8" s="11" t="s">
        <v>94</v>
      </c>
      <c r="B8" s="12" t="s">
        <v>95</v>
      </c>
      <c r="D8" s="11" t="s">
        <v>96</v>
      </c>
      <c r="E8" s="12" t="s">
        <v>97</v>
      </c>
    </row>
    <row r="9" customFormat="false" ht="300" hidden="false" customHeight="true" outlineLevel="0" collapsed="false">
      <c r="A9" s="11" t="s">
        <v>98</v>
      </c>
      <c r="B9" s="12" t="s">
        <v>99</v>
      </c>
      <c r="D9" s="11" t="s">
        <v>100</v>
      </c>
      <c r="E9" s="12" t="s">
        <v>101</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105</v>
      </c>
      <c r="D11" s="11" t="s">
        <v>104</v>
      </c>
      <c r="E11" s="12" t="s">
        <v>105</v>
      </c>
    </row>
    <row r="12" customFormat="false" ht="21.75" hidden="false" customHeight="true" outlineLevel="0" collapsed="false">
      <c r="A12" s="11" t="s">
        <v>106</v>
      </c>
      <c r="B12" s="12" t="s">
        <v>6</v>
      </c>
      <c r="D12" s="11" t="s">
        <v>107</v>
      </c>
      <c r="E12" s="12" t="s">
        <v>6</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123</v>
      </c>
      <c r="B1" s="9"/>
      <c r="D1" s="9" t="s">
        <v>124</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8</v>
      </c>
      <c r="D3" s="11" t="s">
        <v>83</v>
      </c>
      <c r="E3" s="12" t="s">
        <v>8</v>
      </c>
    </row>
    <row r="4" customFormat="false" ht="21.75" hidden="false" customHeight="true" outlineLevel="0" collapsed="false">
      <c r="A4" s="11" t="s">
        <v>84</v>
      </c>
      <c r="B4" s="12" t="s">
        <v>9</v>
      </c>
      <c r="D4" s="11" t="s">
        <v>85</v>
      </c>
      <c r="E4" s="12" t="s">
        <v>57</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64.5" hidden="false" customHeight="true" outlineLevel="0" collapsed="false">
      <c r="A8" s="11" t="s">
        <v>94</v>
      </c>
      <c r="B8" s="12" t="s">
        <v>125</v>
      </c>
      <c r="D8" s="11" t="s">
        <v>96</v>
      </c>
      <c r="E8" s="12" t="s">
        <v>126</v>
      </c>
    </row>
    <row r="9" customFormat="false" ht="129.75" hidden="false" customHeight="true" outlineLevel="0" collapsed="false">
      <c r="A9" s="11" t="s">
        <v>98</v>
      </c>
      <c r="B9" s="12" t="s">
        <v>127</v>
      </c>
      <c r="D9" s="11" t="s">
        <v>100</v>
      </c>
      <c r="E9" s="12" t="s">
        <v>128</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129</v>
      </c>
      <c r="D11" s="11" t="s">
        <v>104</v>
      </c>
      <c r="E11" s="12" t="s">
        <v>129</v>
      </c>
    </row>
    <row r="12" customFormat="false" ht="21.75" hidden="false" customHeight="true" outlineLevel="0" collapsed="false">
      <c r="A12" s="11" t="s">
        <v>106</v>
      </c>
      <c r="B12" s="12" t="s">
        <v>8</v>
      </c>
      <c r="D12" s="11" t="s">
        <v>107</v>
      </c>
      <c r="E12" s="12" t="s">
        <v>8</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130</v>
      </c>
      <c r="B1" s="9"/>
      <c r="D1" s="9" t="s">
        <v>131</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10</v>
      </c>
      <c r="D3" s="11" t="s">
        <v>83</v>
      </c>
      <c r="E3" s="12" t="s">
        <v>10</v>
      </c>
    </row>
    <row r="4" customFormat="false" ht="21.75" hidden="false" customHeight="true" outlineLevel="0" collapsed="false">
      <c r="A4" s="11" t="s">
        <v>84</v>
      </c>
      <c r="B4" s="12" t="s">
        <v>9</v>
      </c>
      <c r="D4" s="11" t="s">
        <v>85</v>
      </c>
      <c r="E4" s="12" t="s">
        <v>57</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103.5" hidden="false" customHeight="true" outlineLevel="0" collapsed="false">
      <c r="A8" s="11" t="s">
        <v>94</v>
      </c>
      <c r="B8" s="12" t="s">
        <v>132</v>
      </c>
      <c r="D8" s="11" t="s">
        <v>96</v>
      </c>
      <c r="E8" s="12" t="s">
        <v>133</v>
      </c>
    </row>
    <row r="9" customFormat="false" ht="181.5" hidden="false" customHeight="true" outlineLevel="0" collapsed="false">
      <c r="A9" s="11" t="s">
        <v>98</v>
      </c>
      <c r="B9" s="12" t="s">
        <v>134</v>
      </c>
      <c r="D9" s="11" t="s">
        <v>100</v>
      </c>
      <c r="E9" s="12" t="s">
        <v>135</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136</v>
      </c>
      <c r="D11" s="11" t="s">
        <v>104</v>
      </c>
      <c r="E11" s="12" t="s">
        <v>136</v>
      </c>
    </row>
    <row r="12" customFormat="false" ht="21.75" hidden="false" customHeight="true" outlineLevel="0" collapsed="false">
      <c r="A12" s="11" t="s">
        <v>106</v>
      </c>
      <c r="B12" s="12" t="s">
        <v>10</v>
      </c>
      <c r="D12" s="11" t="s">
        <v>107</v>
      </c>
      <c r="E12" s="12" t="s">
        <v>10</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137</v>
      </c>
      <c r="B1" s="9"/>
      <c r="D1" s="9" t="s">
        <v>138</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12</v>
      </c>
      <c r="D3" s="11" t="s">
        <v>83</v>
      </c>
      <c r="E3" s="12" t="s">
        <v>12</v>
      </c>
    </row>
    <row r="4" customFormat="false" ht="21.75" hidden="false" customHeight="true" outlineLevel="0" collapsed="false">
      <c r="A4" s="11" t="s">
        <v>84</v>
      </c>
      <c r="B4" s="12" t="s">
        <v>13</v>
      </c>
      <c r="D4" s="11" t="s">
        <v>85</v>
      </c>
      <c r="E4" s="12" t="s">
        <v>58</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64.5" hidden="false" customHeight="true" outlineLevel="0" collapsed="false">
      <c r="A8" s="11" t="s">
        <v>94</v>
      </c>
      <c r="B8" s="12" t="s">
        <v>139</v>
      </c>
      <c r="D8" s="11" t="s">
        <v>96</v>
      </c>
      <c r="E8" s="12" t="s">
        <v>140</v>
      </c>
    </row>
    <row r="9" customFormat="false" ht="51.75" hidden="false" customHeight="true" outlineLevel="0" collapsed="false">
      <c r="A9" s="11" t="s">
        <v>98</v>
      </c>
      <c r="B9" s="12" t="s">
        <v>141</v>
      </c>
      <c r="D9" s="11" t="s">
        <v>100</v>
      </c>
      <c r="E9" s="12" t="s">
        <v>142</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143</v>
      </c>
      <c r="D11" s="11" t="s">
        <v>104</v>
      </c>
      <c r="E11" s="12" t="s">
        <v>143</v>
      </c>
    </row>
    <row r="12" customFormat="false" ht="21.75" hidden="false" customHeight="true" outlineLevel="0" collapsed="false">
      <c r="A12" s="11" t="s">
        <v>106</v>
      </c>
      <c r="B12" s="12" t="s">
        <v>12</v>
      </c>
      <c r="D12" s="11" t="s">
        <v>107</v>
      </c>
      <c r="E12" s="12" t="s">
        <v>12</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144</v>
      </c>
      <c r="B1" s="9"/>
      <c r="D1" s="9" t="s">
        <v>145</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15</v>
      </c>
      <c r="D3" s="11" t="s">
        <v>83</v>
      </c>
      <c r="E3" s="12" t="s">
        <v>15</v>
      </c>
    </row>
    <row r="4" customFormat="false" ht="21.75" hidden="false" customHeight="true" outlineLevel="0" collapsed="false">
      <c r="A4" s="11" t="s">
        <v>84</v>
      </c>
      <c r="B4" s="12" t="s">
        <v>16</v>
      </c>
      <c r="D4" s="11" t="s">
        <v>85</v>
      </c>
      <c r="E4" s="12" t="s">
        <v>59</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117" hidden="false" customHeight="true" outlineLevel="0" collapsed="false">
      <c r="A8" s="11" t="s">
        <v>94</v>
      </c>
      <c r="B8" s="12" t="s">
        <v>146</v>
      </c>
      <c r="D8" s="11" t="s">
        <v>96</v>
      </c>
      <c r="E8" s="12" t="s">
        <v>147</v>
      </c>
    </row>
    <row r="9" customFormat="false" ht="90.75" hidden="false" customHeight="true" outlineLevel="0" collapsed="false">
      <c r="A9" s="11" t="s">
        <v>98</v>
      </c>
      <c r="B9" s="12" t="s">
        <v>148</v>
      </c>
      <c r="D9" s="11" t="s">
        <v>100</v>
      </c>
      <c r="E9" s="12" t="s">
        <v>149</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150</v>
      </c>
      <c r="D11" s="11" t="s">
        <v>104</v>
      </c>
      <c r="E11" s="12" t="s">
        <v>150</v>
      </c>
    </row>
    <row r="12" customFormat="false" ht="21.75" hidden="false" customHeight="true" outlineLevel="0" collapsed="false">
      <c r="A12" s="11" t="s">
        <v>106</v>
      </c>
      <c r="B12" s="12" t="s">
        <v>15</v>
      </c>
      <c r="D12" s="11" t="s">
        <v>107</v>
      </c>
      <c r="E12" s="12" t="s">
        <v>15</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151</v>
      </c>
      <c r="B1" s="9"/>
      <c r="D1" s="9" t="s">
        <v>152</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17</v>
      </c>
      <c r="D3" s="11" t="s">
        <v>83</v>
      </c>
      <c r="E3" s="12" t="s">
        <v>17</v>
      </c>
    </row>
    <row r="4" customFormat="false" ht="21.75" hidden="false" customHeight="true" outlineLevel="0" collapsed="false">
      <c r="A4" s="11" t="s">
        <v>84</v>
      </c>
      <c r="B4" s="12" t="s">
        <v>18</v>
      </c>
      <c r="D4" s="11" t="s">
        <v>85</v>
      </c>
      <c r="E4" s="12" t="s">
        <v>60</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168.75" hidden="false" customHeight="true" outlineLevel="0" collapsed="false">
      <c r="A8" s="11" t="s">
        <v>94</v>
      </c>
      <c r="B8" s="12" t="s">
        <v>153</v>
      </c>
      <c r="D8" s="11" t="s">
        <v>96</v>
      </c>
      <c r="E8" s="12" t="s">
        <v>154</v>
      </c>
    </row>
    <row r="9" customFormat="false" ht="300" hidden="false" customHeight="true" outlineLevel="0" collapsed="false">
      <c r="A9" s="11" t="s">
        <v>98</v>
      </c>
      <c r="B9" s="12" t="s">
        <v>155</v>
      </c>
      <c r="D9" s="11" t="s">
        <v>100</v>
      </c>
      <c r="E9" s="12" t="s">
        <v>156</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157</v>
      </c>
      <c r="D11" s="11" t="s">
        <v>104</v>
      </c>
      <c r="E11" s="12" t="s">
        <v>157</v>
      </c>
    </row>
    <row r="12" customFormat="false" ht="21.75" hidden="false" customHeight="true" outlineLevel="0" collapsed="false">
      <c r="A12" s="11" t="s">
        <v>106</v>
      </c>
      <c r="B12" s="12" t="s">
        <v>17</v>
      </c>
      <c r="D12" s="11" t="s">
        <v>107</v>
      </c>
      <c r="E12" s="12" t="s">
        <v>17</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158</v>
      </c>
      <c r="B1" s="9"/>
      <c r="D1" s="9" t="s">
        <v>159</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19</v>
      </c>
      <c r="D3" s="11" t="s">
        <v>83</v>
      </c>
      <c r="E3" s="12" t="s">
        <v>19</v>
      </c>
    </row>
    <row r="4" customFormat="false" ht="21.75" hidden="false" customHeight="true" outlineLevel="0" collapsed="false">
      <c r="A4" s="11" t="s">
        <v>84</v>
      </c>
      <c r="B4" s="12" t="s">
        <v>20</v>
      </c>
      <c r="D4" s="11" t="s">
        <v>85</v>
      </c>
      <c r="E4" s="12" t="s">
        <v>61</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78" hidden="false" customHeight="true" outlineLevel="0" collapsed="false">
      <c r="A8" s="11" t="s">
        <v>94</v>
      </c>
      <c r="B8" s="12" t="s">
        <v>160</v>
      </c>
      <c r="D8" s="11" t="s">
        <v>96</v>
      </c>
      <c r="E8" s="12" t="s">
        <v>161</v>
      </c>
    </row>
    <row r="9" customFormat="false" ht="300" hidden="false" customHeight="true" outlineLevel="0" collapsed="false">
      <c r="A9" s="11" t="s">
        <v>98</v>
      </c>
      <c r="B9" s="12" t="s">
        <v>162</v>
      </c>
      <c r="D9" s="11" t="s">
        <v>100</v>
      </c>
      <c r="E9" s="12" t="s">
        <v>163</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164</v>
      </c>
      <c r="D11" s="11" t="s">
        <v>104</v>
      </c>
      <c r="E11" s="12" t="s">
        <v>164</v>
      </c>
    </row>
    <row r="12" customFormat="false" ht="21.75" hidden="false" customHeight="true" outlineLevel="0" collapsed="false">
      <c r="A12" s="11" t="s">
        <v>106</v>
      </c>
      <c r="B12" s="12" t="s">
        <v>19</v>
      </c>
      <c r="D12" s="11" t="s">
        <v>107</v>
      </c>
      <c r="E12" s="12" t="s">
        <v>19</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165</v>
      </c>
      <c r="B1" s="9"/>
      <c r="D1" s="9" t="s">
        <v>166</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21</v>
      </c>
      <c r="D3" s="11" t="s">
        <v>83</v>
      </c>
      <c r="E3" s="12" t="s">
        <v>21</v>
      </c>
    </row>
    <row r="4" customFormat="false" ht="21.75" hidden="false" customHeight="true" outlineLevel="0" collapsed="false">
      <c r="A4" s="11" t="s">
        <v>84</v>
      </c>
      <c r="B4" s="12" t="s">
        <v>20</v>
      </c>
      <c r="D4" s="11" t="s">
        <v>85</v>
      </c>
      <c r="E4" s="12" t="s">
        <v>61</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78" hidden="false" customHeight="true" outlineLevel="0" collapsed="false">
      <c r="A8" s="11" t="s">
        <v>94</v>
      </c>
      <c r="B8" s="12" t="s">
        <v>167</v>
      </c>
      <c r="D8" s="11" t="s">
        <v>96</v>
      </c>
      <c r="E8" s="12" t="s">
        <v>168</v>
      </c>
    </row>
    <row r="9" customFormat="false" ht="64.5" hidden="false" customHeight="true" outlineLevel="0" collapsed="false">
      <c r="A9" s="11" t="s">
        <v>98</v>
      </c>
      <c r="B9" s="12" t="s">
        <v>169</v>
      </c>
      <c r="D9" s="11" t="s">
        <v>100</v>
      </c>
      <c r="E9" s="12" t="s">
        <v>170</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171</v>
      </c>
      <c r="D11" s="11" t="s">
        <v>104</v>
      </c>
      <c r="E11" s="12" t="s">
        <v>171</v>
      </c>
    </row>
    <row r="12" customFormat="false" ht="21.75" hidden="false" customHeight="true" outlineLevel="0" collapsed="false">
      <c r="A12" s="11" t="s">
        <v>106</v>
      </c>
      <c r="B12" s="12" t="s">
        <v>21</v>
      </c>
      <c r="D12" s="11" t="s">
        <v>107</v>
      </c>
      <c r="E12" s="12" t="s">
        <v>21</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172</v>
      </c>
      <c r="B1" s="9"/>
      <c r="D1" s="9" t="s">
        <v>173</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23</v>
      </c>
      <c r="D3" s="11" t="s">
        <v>83</v>
      </c>
      <c r="E3" s="12" t="s">
        <v>23</v>
      </c>
    </row>
    <row r="4" customFormat="false" ht="21.75" hidden="false" customHeight="true" outlineLevel="0" collapsed="false">
      <c r="A4" s="11" t="s">
        <v>84</v>
      </c>
      <c r="B4" s="12" t="s">
        <v>24</v>
      </c>
      <c r="D4" s="11" t="s">
        <v>85</v>
      </c>
      <c r="E4" s="12" t="s">
        <v>62</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181.5" hidden="false" customHeight="true" outlineLevel="0" collapsed="false">
      <c r="A8" s="11" t="s">
        <v>94</v>
      </c>
      <c r="B8" s="12" t="s">
        <v>174</v>
      </c>
      <c r="D8" s="11" t="s">
        <v>96</v>
      </c>
      <c r="E8" s="12" t="s">
        <v>175</v>
      </c>
    </row>
    <row r="9" customFormat="false" ht="168.75" hidden="false" customHeight="true" outlineLevel="0" collapsed="false">
      <c r="A9" s="11" t="s">
        <v>98</v>
      </c>
      <c r="B9" s="12" t="s">
        <v>176</v>
      </c>
      <c r="D9" s="11" t="s">
        <v>100</v>
      </c>
      <c r="E9" s="12" t="s">
        <v>177</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178</v>
      </c>
      <c r="D11" s="11" t="s">
        <v>104</v>
      </c>
      <c r="E11" s="12" t="s">
        <v>178</v>
      </c>
    </row>
    <row r="12" customFormat="false" ht="21.75" hidden="false" customHeight="true" outlineLevel="0" collapsed="false">
      <c r="A12" s="11" t="s">
        <v>106</v>
      </c>
      <c r="B12" s="12" t="s">
        <v>23</v>
      </c>
      <c r="D12" s="11" t="s">
        <v>107</v>
      </c>
      <c r="E12" s="12" t="s">
        <v>23</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179</v>
      </c>
      <c r="B1" s="9"/>
      <c r="D1" s="9" t="s">
        <v>180</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25</v>
      </c>
      <c r="D3" s="11" t="s">
        <v>83</v>
      </c>
      <c r="E3" s="12" t="s">
        <v>25</v>
      </c>
    </row>
    <row r="4" customFormat="false" ht="21.75" hidden="false" customHeight="true" outlineLevel="0" collapsed="false">
      <c r="A4" s="11" t="s">
        <v>84</v>
      </c>
      <c r="B4" s="12" t="s">
        <v>24</v>
      </c>
      <c r="D4" s="11" t="s">
        <v>85</v>
      </c>
      <c r="E4" s="12" t="s">
        <v>62</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51.75" hidden="false" customHeight="true" outlineLevel="0" collapsed="false">
      <c r="A8" s="11" t="s">
        <v>94</v>
      </c>
      <c r="B8" s="12" t="s">
        <v>181</v>
      </c>
      <c r="D8" s="11" t="s">
        <v>96</v>
      </c>
      <c r="E8" s="12" t="s">
        <v>182</v>
      </c>
    </row>
    <row r="9" customFormat="false" ht="78" hidden="false" customHeight="true" outlineLevel="0" collapsed="false">
      <c r="A9" s="11" t="s">
        <v>98</v>
      </c>
      <c r="B9" s="12" t="s">
        <v>183</v>
      </c>
      <c r="D9" s="11" t="s">
        <v>100</v>
      </c>
      <c r="E9" s="12" t="s">
        <v>184</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185</v>
      </c>
      <c r="D11" s="11" t="s">
        <v>104</v>
      </c>
      <c r="E11" s="12" t="s">
        <v>185</v>
      </c>
    </row>
    <row r="12" customFormat="false" ht="21.75" hidden="false" customHeight="true" outlineLevel="0" collapsed="false">
      <c r="A12" s="11" t="s">
        <v>106</v>
      </c>
      <c r="B12" s="12" t="s">
        <v>25</v>
      </c>
      <c r="D12" s="11" t="s">
        <v>107</v>
      </c>
      <c r="E12" s="12" t="s">
        <v>25</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186</v>
      </c>
      <c r="B1" s="9"/>
      <c r="D1" s="9" t="s">
        <v>187</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27</v>
      </c>
      <c r="D3" s="11" t="s">
        <v>83</v>
      </c>
      <c r="E3" s="12" t="s">
        <v>27</v>
      </c>
    </row>
    <row r="4" customFormat="false" ht="21.75" hidden="false" customHeight="true" outlineLevel="0" collapsed="false">
      <c r="A4" s="11" t="s">
        <v>84</v>
      </c>
      <c r="B4" s="12" t="s">
        <v>28</v>
      </c>
      <c r="D4" s="11" t="s">
        <v>85</v>
      </c>
      <c r="E4" s="12" t="s">
        <v>63</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45" hidden="false" customHeight="true" outlineLevel="0" collapsed="false">
      <c r="A8" s="11" t="s">
        <v>94</v>
      </c>
      <c r="B8" s="12" t="s">
        <v>188</v>
      </c>
      <c r="D8" s="11" t="s">
        <v>96</v>
      </c>
      <c r="E8" s="12" t="s">
        <v>189</v>
      </c>
    </row>
    <row r="9" customFormat="false" ht="246.75" hidden="false" customHeight="true" outlineLevel="0" collapsed="false">
      <c r="A9" s="11" t="s">
        <v>98</v>
      </c>
      <c r="B9" s="12" t="s">
        <v>190</v>
      </c>
      <c r="D9" s="11" t="s">
        <v>100</v>
      </c>
      <c r="E9" s="12" t="s">
        <v>191</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192</v>
      </c>
      <c r="D11" s="11" t="s">
        <v>104</v>
      </c>
      <c r="E11" s="12" t="s">
        <v>192</v>
      </c>
    </row>
    <row r="12" customFormat="false" ht="21.75" hidden="false" customHeight="true" outlineLevel="0" collapsed="false">
      <c r="A12" s="11" t="s">
        <v>106</v>
      </c>
      <c r="B12" s="12" t="s">
        <v>27</v>
      </c>
      <c r="D12" s="11" t="s">
        <v>107</v>
      </c>
      <c r="E12" s="12" t="s">
        <v>27</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193</v>
      </c>
      <c r="B1" s="9"/>
      <c r="D1" s="9" t="s">
        <v>194</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29</v>
      </c>
      <c r="D3" s="11" t="s">
        <v>83</v>
      </c>
      <c r="E3" s="12" t="s">
        <v>29</v>
      </c>
    </row>
    <row r="4" customFormat="false" ht="21.75" hidden="false" customHeight="true" outlineLevel="0" collapsed="false">
      <c r="A4" s="11" t="s">
        <v>84</v>
      </c>
      <c r="B4" s="12" t="s">
        <v>28</v>
      </c>
      <c r="D4" s="11" t="s">
        <v>85</v>
      </c>
      <c r="E4" s="12" t="s">
        <v>63</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78" hidden="false" customHeight="true" outlineLevel="0" collapsed="false">
      <c r="A8" s="11" t="s">
        <v>94</v>
      </c>
      <c r="B8" s="12" t="s">
        <v>195</v>
      </c>
      <c r="D8" s="11" t="s">
        <v>96</v>
      </c>
      <c r="E8" s="12" t="s">
        <v>196</v>
      </c>
    </row>
    <row r="9" customFormat="false" ht="45" hidden="false" customHeight="true" outlineLevel="0" collapsed="false">
      <c r="A9" s="11" t="s">
        <v>98</v>
      </c>
      <c r="B9" s="12" t="s">
        <v>197</v>
      </c>
      <c r="D9" s="11" t="s">
        <v>100</v>
      </c>
      <c r="E9" s="12" t="s">
        <v>198</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199</v>
      </c>
      <c r="D11" s="11" t="s">
        <v>104</v>
      </c>
      <c r="E11" s="12" t="s">
        <v>199</v>
      </c>
    </row>
    <row r="12" customFormat="false" ht="21.75" hidden="false" customHeight="true" outlineLevel="0" collapsed="false">
      <c r="A12" s="11" t="s">
        <v>106</v>
      </c>
      <c r="B12" s="12" t="s">
        <v>29</v>
      </c>
      <c r="D12" s="11" t="s">
        <v>107</v>
      </c>
      <c r="E12" s="12" t="s">
        <v>29</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200</v>
      </c>
      <c r="B1" s="9"/>
      <c r="D1" s="9" t="s">
        <v>201</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31</v>
      </c>
      <c r="D3" s="11" t="s">
        <v>83</v>
      </c>
      <c r="E3" s="12" t="s">
        <v>31</v>
      </c>
    </row>
    <row r="4" customFormat="false" ht="21.75" hidden="false" customHeight="true" outlineLevel="0" collapsed="false">
      <c r="A4" s="11" t="s">
        <v>84</v>
      </c>
      <c r="B4" s="12" t="s">
        <v>32</v>
      </c>
      <c r="D4" s="11" t="s">
        <v>85</v>
      </c>
      <c r="E4" s="12" t="s">
        <v>64</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103.5" hidden="false" customHeight="true" outlineLevel="0" collapsed="false">
      <c r="A8" s="11" t="s">
        <v>94</v>
      </c>
      <c r="B8" s="12" t="s">
        <v>202</v>
      </c>
      <c r="D8" s="11" t="s">
        <v>96</v>
      </c>
      <c r="E8" s="12" t="s">
        <v>203</v>
      </c>
    </row>
    <row r="9" customFormat="false" ht="234" hidden="false" customHeight="true" outlineLevel="0" collapsed="false">
      <c r="A9" s="11" t="s">
        <v>98</v>
      </c>
      <c r="B9" s="12" t="s">
        <v>204</v>
      </c>
      <c r="D9" s="11" t="s">
        <v>100</v>
      </c>
      <c r="E9" s="12" t="s">
        <v>205</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206</v>
      </c>
      <c r="D11" s="11" t="s">
        <v>104</v>
      </c>
      <c r="E11" s="12" t="s">
        <v>206</v>
      </c>
    </row>
    <row r="12" customFormat="false" ht="21.75" hidden="false" customHeight="true" outlineLevel="0" collapsed="false">
      <c r="A12" s="11" t="s">
        <v>106</v>
      </c>
      <c r="B12" s="12" t="s">
        <v>31</v>
      </c>
      <c r="D12" s="11" t="s">
        <v>107</v>
      </c>
      <c r="E12" s="12" t="s">
        <v>31</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5B3D7"/>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207</v>
      </c>
      <c r="B1" s="9"/>
      <c r="D1" s="9" t="s">
        <v>208</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34</v>
      </c>
      <c r="D3" s="11" t="s">
        <v>83</v>
      </c>
      <c r="E3" s="12" t="s">
        <v>34</v>
      </c>
    </row>
    <row r="4" customFormat="false" ht="21.75" hidden="false" customHeight="true" outlineLevel="0" collapsed="false">
      <c r="A4" s="11" t="s">
        <v>84</v>
      </c>
      <c r="B4" s="12" t="s">
        <v>35</v>
      </c>
      <c r="D4" s="11" t="s">
        <v>85</v>
      </c>
      <c r="E4" s="12" t="s">
        <v>65</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45" hidden="false" customHeight="true" outlineLevel="0" collapsed="false">
      <c r="A8" s="11" t="s">
        <v>94</v>
      </c>
      <c r="B8" s="12" t="s">
        <v>209</v>
      </c>
      <c r="D8" s="11" t="s">
        <v>96</v>
      </c>
      <c r="E8" s="12" t="s">
        <v>210</v>
      </c>
    </row>
    <row r="9" customFormat="false" ht="78" hidden="false" customHeight="true" outlineLevel="0" collapsed="false">
      <c r="A9" s="11" t="s">
        <v>98</v>
      </c>
      <c r="B9" s="12" t="s">
        <v>211</v>
      </c>
      <c r="D9" s="11" t="s">
        <v>100</v>
      </c>
      <c r="E9" s="12" t="s">
        <v>212</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213</v>
      </c>
      <c r="D11" s="11" t="s">
        <v>104</v>
      </c>
      <c r="E11" s="12" t="s">
        <v>213</v>
      </c>
    </row>
    <row r="12" customFormat="false" ht="21.75" hidden="false" customHeight="true" outlineLevel="0" collapsed="false">
      <c r="A12" s="11" t="s">
        <v>106</v>
      </c>
      <c r="B12" s="12" t="s">
        <v>34</v>
      </c>
      <c r="D12" s="11" t="s">
        <v>107</v>
      </c>
      <c r="E12" s="12" t="s">
        <v>34</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9694"/>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5"/>
    <col collapsed="false" customWidth="true" hidden="false" outlineLevel="0" max="3" min="3" style="0" width="3"/>
    <col collapsed="false" customWidth="true" hidden="false" outlineLevel="0" max="4" min="4" style="0" width="40"/>
    <col collapsed="false" customWidth="true" hidden="false" outlineLevel="0" max="5" min="5" style="0" width="65"/>
  </cols>
  <sheetData>
    <row r="1" customFormat="false" ht="25.5" hidden="false" customHeight="true" outlineLevel="0" collapsed="false">
      <c r="A1" s="9" t="s">
        <v>214</v>
      </c>
      <c r="B1" s="9"/>
      <c r="D1" s="9" t="s">
        <v>215</v>
      </c>
      <c r="E1" s="9"/>
    </row>
    <row r="2" customFormat="false" ht="19.5" hidden="false" customHeight="true" outlineLevel="0" collapsed="false">
      <c r="A2" s="10" t="s">
        <v>80</v>
      </c>
      <c r="B2" s="10"/>
      <c r="D2" s="10" t="s">
        <v>81</v>
      </c>
      <c r="E2" s="10"/>
    </row>
    <row r="3" customFormat="false" ht="21.75" hidden="false" customHeight="true" outlineLevel="0" collapsed="false">
      <c r="A3" s="11" t="s">
        <v>82</v>
      </c>
      <c r="B3" s="12" t="s">
        <v>37</v>
      </c>
      <c r="D3" s="11" t="s">
        <v>83</v>
      </c>
      <c r="E3" s="12" t="s">
        <v>37</v>
      </c>
    </row>
    <row r="4" customFormat="false" ht="21.75" hidden="false" customHeight="true" outlineLevel="0" collapsed="false">
      <c r="A4" s="11" t="s">
        <v>84</v>
      </c>
      <c r="B4" s="12" t="s">
        <v>38</v>
      </c>
      <c r="D4" s="11" t="s">
        <v>85</v>
      </c>
      <c r="E4" s="12" t="s">
        <v>66</v>
      </c>
    </row>
    <row r="5" customFormat="false" ht="21.75" hidden="false" customHeight="true" outlineLevel="0" collapsed="false">
      <c r="A5" s="11" t="s">
        <v>86</v>
      </c>
      <c r="B5" s="12" t="s">
        <v>87</v>
      </c>
      <c r="D5" s="11" t="s">
        <v>88</v>
      </c>
      <c r="E5" s="12" t="s">
        <v>89</v>
      </c>
    </row>
    <row r="6" customFormat="false" ht="21.75" hidden="false" customHeight="true" outlineLevel="0" collapsed="false">
      <c r="A6" s="11" t="s">
        <v>90</v>
      </c>
      <c r="B6" s="12"/>
      <c r="D6" s="11" t="s">
        <v>91</v>
      </c>
      <c r="E6" s="12"/>
    </row>
    <row r="7" customFormat="false" ht="21.75" hidden="false" customHeight="true" outlineLevel="0" collapsed="false">
      <c r="A7" s="11" t="s">
        <v>92</v>
      </c>
      <c r="B7" s="12"/>
      <c r="D7" s="11" t="s">
        <v>93</v>
      </c>
      <c r="E7" s="12"/>
    </row>
    <row r="8" customFormat="false" ht="142.5" hidden="false" customHeight="true" outlineLevel="0" collapsed="false">
      <c r="A8" s="11" t="s">
        <v>94</v>
      </c>
      <c r="B8" s="12" t="s">
        <v>216</v>
      </c>
      <c r="D8" s="11" t="s">
        <v>96</v>
      </c>
      <c r="E8" s="12" t="s">
        <v>217</v>
      </c>
    </row>
    <row r="9" customFormat="false" ht="90.75" hidden="false" customHeight="true" outlineLevel="0" collapsed="false">
      <c r="A9" s="11" t="s">
        <v>98</v>
      </c>
      <c r="B9" s="12" t="s">
        <v>218</v>
      </c>
      <c r="D9" s="11" t="s">
        <v>100</v>
      </c>
      <c r="E9" s="12" t="s">
        <v>219</v>
      </c>
    </row>
    <row r="10" customFormat="false" ht="19.5" hidden="false" customHeight="true" outlineLevel="0" collapsed="false">
      <c r="A10" s="10" t="s">
        <v>102</v>
      </c>
      <c r="B10" s="10"/>
      <c r="D10" s="10" t="s">
        <v>103</v>
      </c>
      <c r="E10" s="10"/>
    </row>
    <row r="11" customFormat="false" ht="21.75" hidden="false" customHeight="true" outlineLevel="0" collapsed="false">
      <c r="A11" s="11" t="s">
        <v>104</v>
      </c>
      <c r="B11" s="12" t="s">
        <v>220</v>
      </c>
      <c r="D11" s="11" t="s">
        <v>104</v>
      </c>
      <c r="E11" s="12" t="s">
        <v>220</v>
      </c>
    </row>
    <row r="12" customFormat="false" ht="21.75" hidden="false" customHeight="true" outlineLevel="0" collapsed="false">
      <c r="A12" s="11" t="s">
        <v>106</v>
      </c>
      <c r="B12" s="12" t="s">
        <v>37</v>
      </c>
      <c r="D12" s="11" t="s">
        <v>107</v>
      </c>
      <c r="E12" s="12" t="s">
        <v>37</v>
      </c>
    </row>
    <row r="13" customFormat="false" ht="21.75" hidden="false" customHeight="true" outlineLevel="0" collapsed="false">
      <c r="A13" s="11" t="s">
        <v>108</v>
      </c>
      <c r="B13" s="12"/>
      <c r="D13" s="11" t="s">
        <v>109</v>
      </c>
      <c r="E13" s="12"/>
    </row>
    <row r="14" customFormat="false" ht="54.75" hidden="false" customHeight="true" outlineLevel="0" collapsed="false">
      <c r="A14" s="11" t="s">
        <v>110</v>
      </c>
      <c r="B14" s="12"/>
      <c r="D14" s="11" t="s">
        <v>111</v>
      </c>
      <c r="E14" s="12"/>
    </row>
    <row r="15" customFormat="false" ht="54.75" hidden="false" customHeight="true" outlineLevel="0" collapsed="false">
      <c r="A15" s="11" t="s">
        <v>112</v>
      </c>
      <c r="B15" s="12"/>
      <c r="D15" s="11" t="s">
        <v>113</v>
      </c>
      <c r="E15" s="12"/>
    </row>
    <row r="16" customFormat="false" ht="54.75" hidden="false" customHeight="true" outlineLevel="0" collapsed="false">
      <c r="A16" s="11" t="s">
        <v>43</v>
      </c>
      <c r="B16" s="12"/>
      <c r="D16" s="11" t="s">
        <v>71</v>
      </c>
      <c r="E16" s="12"/>
    </row>
    <row r="17" customFormat="false" ht="24.75" hidden="false" customHeight="true" outlineLevel="0" collapsed="false">
      <c r="A17" s="11" t="s">
        <v>114</v>
      </c>
      <c r="B17" s="12"/>
      <c r="D17" s="11" t="s">
        <v>115</v>
      </c>
      <c r="E17" s="12"/>
    </row>
    <row r="18" customFormat="false" ht="24.75" hidden="false" customHeight="true" outlineLevel="0" collapsed="false">
      <c r="A18" s="11" t="s">
        <v>116</v>
      </c>
      <c r="B18" s="12"/>
      <c r="D18" s="11" t="s">
        <v>117</v>
      </c>
      <c r="E18" s="12"/>
    </row>
    <row r="19" customFormat="false" ht="24.75" hidden="false" customHeight="true" outlineLevel="0" collapsed="false">
      <c r="A19" s="11" t="s">
        <v>118</v>
      </c>
      <c r="B19" s="12"/>
      <c r="D19" s="11" t="s">
        <v>119</v>
      </c>
      <c r="E19" s="12"/>
    </row>
    <row r="20" customFormat="false" ht="21.75" hidden="false" customHeight="true" outlineLevel="0" collapsed="false">
      <c r="A20" s="11" t="s">
        <v>5</v>
      </c>
      <c r="B20" s="12" t="s">
        <v>41</v>
      </c>
      <c r="D20" s="11" t="s">
        <v>55</v>
      </c>
      <c r="E20" s="12" t="s">
        <v>120</v>
      </c>
    </row>
    <row r="21" customFormat="false" ht="54.75" hidden="false" customHeight="true" outlineLevel="0" collapsed="false">
      <c r="A21" s="11" t="s">
        <v>121</v>
      </c>
      <c r="B21" s="12"/>
      <c r="D21" s="11" t="s">
        <v>122</v>
      </c>
      <c r="E21" s="12"/>
    </row>
  </sheetData>
  <mergeCells count="6">
    <mergeCell ref="A1:B1"/>
    <mergeCell ref="D1:E1"/>
    <mergeCell ref="A2:B2"/>
    <mergeCell ref="D2:E2"/>
    <mergeCell ref="A10:B10"/>
    <mergeCell ref="D10:E10"/>
  </mergeCells>
  <dataValidations count="2">
    <dataValidation allowBlank="true" errorStyle="stop" operator="between" showDropDown="false" showErrorMessage="false" showInputMessage="false" sqref="B20" type="list">
      <formula1>"Not Started,In Progress,Evidence Provided,Under Review,Passed,Failed,Accepted Exception"</formula1>
      <formula2>0</formula2>
    </dataValidation>
    <dataValidation allowBlank="true" errorStyle="stop" operator="between" showDropDown="false" showErrorMessage="false" showInputMessage="false" sqref="E20" type="list">
      <formula1>"Non commencé,En cours,Preuve fournie,En révision,Réussi,Échec,Exception acceptée"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2026-05-29T18:33:48Z</dcterms:created>
  <dc:creator>openpyxl</dc:creator>
  <dc:description/>
  <dc:language>en-US</dc:language>
  <cp:lastModifiedBy/>
  <dcterms:modified xsi:type="dcterms:W3CDTF">2026-05-29T18:33:49Z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