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56.xml" ContentType="application/vnd.openxmlformats-officedocument.spreadsheetml.worksheet+xml"/>
  <Override PartName="/xl/worksheets/sheet55.xml" ContentType="application/vnd.openxmlformats-officedocument.spreadsheetml.worksheet+xml"/>
  <Override PartName="/xl/worksheets/sheet30.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60.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61.xml" ContentType="application/vnd.openxmlformats-officedocument.spreadsheetml.worksheet+xml"/>
  <Override PartName="/xl/worksheets/sheet19.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59.xml" ContentType="application/vnd.openxmlformats-officedocument.spreadsheetml.worksheet+xml"/>
  <Override PartName="/xl/worksheets/sheet7.xml" ContentType="application/vnd.openxmlformats-officedocument.spreadsheetml.worksheet+xml"/>
  <Override PartName="/xl/worksheets/sheet22.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58.xml" ContentType="application/vnd.openxmlformats-officedocument.spreadsheetml.worksheet+xml"/>
  <Override PartName="/xl/worksheets/sheet57.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C-4" sheetId="3" state="visible" r:id="rId5"/>
    <sheet name="AC-4-21" sheetId="4" state="visible" r:id="rId6"/>
    <sheet name="AC-17-1" sheetId="5" state="visible" r:id="rId7"/>
    <sheet name="AC-17-2" sheetId="6" state="visible" r:id="rId8"/>
    <sheet name="AC-17-3" sheetId="7" state="visible" r:id="rId9"/>
    <sheet name="AC-17-9" sheetId="8" state="visible" r:id="rId10"/>
    <sheet name="AC-17-100" sheetId="9" state="visible" r:id="rId11"/>
    <sheet name="AU-2" sheetId="10" state="visible" r:id="rId12"/>
    <sheet name="AU-3" sheetId="11" state="visible" r:id="rId13"/>
    <sheet name="AU-3-1" sheetId="12" state="visible" r:id="rId14"/>
    <sheet name="AU-9-2" sheetId="13" state="visible" r:id="rId15"/>
    <sheet name="AU-12" sheetId="14" state="visible" r:id="rId16"/>
    <sheet name="CA-3-5" sheetId="15" state="visible" r:id="rId17"/>
    <sheet name="CA-9" sheetId="16" state="visible" r:id="rId18"/>
    <sheet name="CM-6" sheetId="17" state="visible" r:id="rId19"/>
    <sheet name="CM-7" sheetId="18" state="visible" r:id="rId20"/>
    <sheet name="CM-7-1" sheetId="19" state="visible" r:id="rId21"/>
    <sheet name="CM-10" sheetId="20" state="visible" r:id="rId22"/>
    <sheet name="CP-7" sheetId="21" state="visible" r:id="rId23"/>
    <sheet name="CP-7-4" sheetId="22" state="visible" r:id="rId24"/>
    <sheet name="CP-10" sheetId="23" state="visible" r:id="rId25"/>
    <sheet name="CP-10-4" sheetId="24" state="visible" r:id="rId26"/>
    <sheet name="IA-3" sheetId="25" state="visible" r:id="rId27"/>
    <sheet name="MA-4-6" sheetId="26" state="visible" r:id="rId28"/>
    <sheet name="SA-9-5" sheetId="27" state="visible" r:id="rId29"/>
    <sheet name="SC-2" sheetId="28" state="visible" r:id="rId30"/>
    <sheet name="SC-4" sheetId="29" state="visible" r:id="rId31"/>
    <sheet name="SC-5" sheetId="30" state="visible" r:id="rId32"/>
    <sheet name="SC-7" sheetId="31" state="visible" r:id="rId33"/>
    <sheet name="SC-7-3" sheetId="32" state="visible" r:id="rId34"/>
    <sheet name="SC-7-4" sheetId="33" state="visible" r:id="rId35"/>
    <sheet name="SC-7-5" sheetId="34" state="visible" r:id="rId36"/>
    <sheet name="SC-7-8" sheetId="35" state="visible" r:id="rId37"/>
    <sheet name="SC-7-13" sheetId="36" state="visible" r:id="rId38"/>
    <sheet name="SC-7-18" sheetId="37" state="visible" r:id="rId39"/>
    <sheet name="SC-8" sheetId="38" state="visible" r:id="rId40"/>
    <sheet name="SC-8-1" sheetId="39" state="visible" r:id="rId41"/>
    <sheet name="SC-10" sheetId="40" state="visible" r:id="rId42"/>
    <sheet name="SC-12-3" sheetId="41" state="visible" r:id="rId43"/>
    <sheet name="SC-13" sheetId="42" state="visible" r:id="rId44"/>
    <sheet name="SC-18" sheetId="43" state="visible" r:id="rId45"/>
    <sheet name="SC-20" sheetId="44" state="visible" r:id="rId46"/>
    <sheet name="SC-21" sheetId="45" state="visible" r:id="rId47"/>
    <sheet name="SC-22" sheetId="46" state="visible" r:id="rId48"/>
    <sheet name="SC-23" sheetId="47" state="visible" r:id="rId49"/>
    <sheet name="SC-23-1" sheetId="48" state="visible" r:id="rId50"/>
    <sheet name="SC-28" sheetId="49" state="visible" r:id="rId51"/>
    <sheet name="SI-3" sheetId="50" state="visible" r:id="rId52"/>
    <sheet name="SI-4" sheetId="51" state="visible" r:id="rId53"/>
    <sheet name="SI-4-1" sheetId="52" state="visible" r:id="rId54"/>
    <sheet name="SI-4-2" sheetId="53" state="visible" r:id="rId55"/>
    <sheet name="SI-4-4" sheetId="54" state="visible" r:id="rId56"/>
    <sheet name="SI-4-5" sheetId="55" state="visible" r:id="rId57"/>
    <sheet name="SI-4-11" sheetId="56" state="visible" r:id="rId58"/>
    <sheet name="SI-6" sheetId="57" state="visible" r:id="rId59"/>
    <sheet name="SI-8" sheetId="58" state="visible" r:id="rId60"/>
    <sheet name="SI-8-1" sheetId="59" state="visible" r:id="rId61"/>
    <sheet name="SI-8-2" sheetId="60" state="visible" r:id="rId62"/>
    <sheet name="SI-11" sheetId="61" state="visible" r:id="rId6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<sst xmlns="http://schemas.openxmlformats.org/spreadsheetml/2006/main" count="3802" uniqueCount="636">
  <si>
    <t xml:space="preserve">DASHBOARD — PBMM Evidence: Networking</t>
  </si>
  <si>
    <t xml:space="preserve">Control ID</t>
  </si>
  <si>
    <t xml:space="preserve">Control Name</t>
  </si>
  <si>
    <t xml:space="preserve">Primary Tool</t>
  </si>
  <si>
    <t xml:space="preserve">Tab</t>
  </si>
  <si>
    <t xml:space="preserve">Status</t>
  </si>
  <si>
    <t xml:space="preserve">AC-4</t>
  </si>
  <si>
    <t xml:space="preserve">Information Flow Enforcement</t>
  </si>
  <si>
    <t xml:space="preserve">AC-4(21)</t>
  </si>
  <si>
    <t xml:space="preserve">AC-4-21</t>
  </si>
  <si>
    <t xml:space="preserve">AC-17(1)</t>
  </si>
  <si>
    <t xml:space="preserve">Remote Access</t>
  </si>
  <si>
    <t xml:space="preserve">AC-17-1</t>
  </si>
  <si>
    <t xml:space="preserve">AC-17(2)</t>
  </si>
  <si>
    <t xml:space="preserve">AC-17-2</t>
  </si>
  <si>
    <t xml:space="preserve">AC-17(3)</t>
  </si>
  <si>
    <t xml:space="preserve">AC-17-3</t>
  </si>
  <si>
    <t xml:space="preserve">AC-17(9)</t>
  </si>
  <si>
    <t xml:space="preserve">AC-17-9</t>
  </si>
  <si>
    <t xml:space="preserve">AC-17(100)</t>
  </si>
  <si>
    <t xml:space="preserve">AC-17-100</t>
  </si>
  <si>
    <t xml:space="preserve">AU-2</t>
  </si>
  <si>
    <t xml:space="preserve">Auditable Events</t>
  </si>
  <si>
    <t xml:space="preserve">AU-3</t>
  </si>
  <si>
    <t xml:space="preserve">Content of Audit Records</t>
  </si>
  <si>
    <t xml:space="preserve">AU-3(1)</t>
  </si>
  <si>
    <t xml:space="preserve">AU-3-1</t>
  </si>
  <si>
    <t xml:space="preserve">AU-9(2)</t>
  </si>
  <si>
    <t xml:space="preserve">Protection of Audit Information</t>
  </si>
  <si>
    <t xml:space="preserve">AU-9-2</t>
  </si>
  <si>
    <t xml:space="preserve">AU-12</t>
  </si>
  <si>
    <t xml:space="preserve">Audit Generation</t>
  </si>
  <si>
    <t xml:space="preserve">CA-3(5)</t>
  </si>
  <si>
    <t xml:space="preserve">Information System Connections</t>
  </si>
  <si>
    <t xml:space="preserve">CA-3-5</t>
  </si>
  <si>
    <t xml:space="preserve">CA-9</t>
  </si>
  <si>
    <t xml:space="preserve">Internal System Connections</t>
  </si>
  <si>
    <t xml:space="preserve">CM-6</t>
  </si>
  <si>
    <t xml:space="preserve">Configuration Settings</t>
  </si>
  <si>
    <t xml:space="preserve">CM-7</t>
  </si>
  <si>
    <t xml:space="preserve">Least Functionality</t>
  </si>
  <si>
    <t xml:space="preserve">CM-7(1)</t>
  </si>
  <si>
    <t xml:space="preserve">CM-7-1</t>
  </si>
  <si>
    <t xml:space="preserve">CM-10</t>
  </si>
  <si>
    <t xml:space="preserve">Software Usage Restrictions</t>
  </si>
  <si>
    <t xml:space="preserve">CP-7</t>
  </si>
  <si>
    <t xml:space="preserve">Alternate Processing Site</t>
  </si>
  <si>
    <t xml:space="preserve">CP-7(4)</t>
  </si>
  <si>
    <t xml:space="preserve">CP-7-4</t>
  </si>
  <si>
    <t xml:space="preserve">CP-10</t>
  </si>
  <si>
    <t xml:space="preserve">Information System Recovery and Reconstitution</t>
  </si>
  <si>
    <t xml:space="preserve">CP-10(4)</t>
  </si>
  <si>
    <t xml:space="preserve">CP-10-4</t>
  </si>
  <si>
    <t xml:space="preserve">IA-3</t>
  </si>
  <si>
    <t xml:space="preserve">Device Identification and Authentication</t>
  </si>
  <si>
    <t xml:space="preserve">MA-4(6)</t>
  </si>
  <si>
    <t xml:space="preserve">Non-Local Maintenance</t>
  </si>
  <si>
    <t xml:space="preserve">MA-4-6</t>
  </si>
  <si>
    <t xml:space="preserve">SA-9(5)</t>
  </si>
  <si>
    <t xml:space="preserve">External Information System Services</t>
  </si>
  <si>
    <t xml:space="preserve">SA-9-5</t>
  </si>
  <si>
    <t xml:space="preserve">SC-2</t>
  </si>
  <si>
    <t xml:space="preserve">Application Partitioning</t>
  </si>
  <si>
    <t xml:space="preserve">SC-4</t>
  </si>
  <si>
    <t xml:space="preserve">Information in Shared Resources</t>
  </si>
  <si>
    <t xml:space="preserve">SC-5</t>
  </si>
  <si>
    <t xml:space="preserve">Denial of Service Protection</t>
  </si>
  <si>
    <t xml:space="preserve">SC-7</t>
  </si>
  <si>
    <t xml:space="preserve">Boundary Protection</t>
  </si>
  <si>
    <t xml:space="preserve">SC-7(3)</t>
  </si>
  <si>
    <t xml:space="preserve">SC-7-3</t>
  </si>
  <si>
    <t xml:space="preserve">SC-7(4)</t>
  </si>
  <si>
    <t xml:space="preserve">SC-7-4</t>
  </si>
  <si>
    <t xml:space="preserve">SC-7(5)</t>
  </si>
  <si>
    <t xml:space="preserve">SC-7-5</t>
  </si>
  <si>
    <t xml:space="preserve">SC-7(8)</t>
  </si>
  <si>
    <t xml:space="preserve">SC-7-8</t>
  </si>
  <si>
    <t xml:space="preserve">SC-7(13)</t>
  </si>
  <si>
    <t xml:space="preserve">SC-7-13</t>
  </si>
  <si>
    <t xml:space="preserve">SC-7(18)</t>
  </si>
  <si>
    <t xml:space="preserve">SC-7-18</t>
  </si>
  <si>
    <t xml:space="preserve">SC-8</t>
  </si>
  <si>
    <t xml:space="preserve">Transmission Confidentiality and Integrity</t>
  </si>
  <si>
    <t xml:space="preserve">SC-8(1)</t>
  </si>
  <si>
    <t xml:space="preserve">SC-8-1</t>
  </si>
  <si>
    <t xml:space="preserve">SC-10</t>
  </si>
  <si>
    <t xml:space="preserve">Network Disconnect</t>
  </si>
  <si>
    <t xml:space="preserve">SC-12(3)</t>
  </si>
  <si>
    <t xml:space="preserve">Cryptographic Key Establishment and Management</t>
  </si>
  <si>
    <t xml:space="preserve">SC-12-3</t>
  </si>
  <si>
    <t xml:space="preserve">SC-13</t>
  </si>
  <si>
    <t xml:space="preserve">Cryptographic Protection</t>
  </si>
  <si>
    <t xml:space="preserve">SC-18</t>
  </si>
  <si>
    <t xml:space="preserve">Mobile Code</t>
  </si>
  <si>
    <t xml:space="preserve">SC-20</t>
  </si>
  <si>
    <t xml:space="preserve">Secure Name / Address Resolution Service (Authoritative Source)</t>
  </si>
  <si>
    <t xml:space="preserve">SC-21</t>
  </si>
  <si>
    <t xml:space="preserve">Secure Name / Address Resolution Service (Recursive or Caching Resolver)</t>
  </si>
  <si>
    <t xml:space="preserve">SC-22</t>
  </si>
  <si>
    <t xml:space="preserve">Architecture and Provisioning for Name / Address Resolution Service</t>
  </si>
  <si>
    <t xml:space="preserve">SC-23</t>
  </si>
  <si>
    <t xml:space="preserve">Session Authenticity</t>
  </si>
  <si>
    <t xml:space="preserve">SC-23(1)</t>
  </si>
  <si>
    <t xml:space="preserve">SC-23-1</t>
  </si>
  <si>
    <t xml:space="preserve">SC-28</t>
  </si>
  <si>
    <t xml:space="preserve">Protection of Information At Rest</t>
  </si>
  <si>
    <t xml:space="preserve">SI-3</t>
  </si>
  <si>
    <t xml:space="preserve">Malicious Code Protection</t>
  </si>
  <si>
    <t xml:space="preserve">SI-4</t>
  </si>
  <si>
    <t xml:space="preserve">Information System Monitoring</t>
  </si>
  <si>
    <t xml:space="preserve">SI-4(1)</t>
  </si>
  <si>
    <t xml:space="preserve">SI-4-1</t>
  </si>
  <si>
    <t xml:space="preserve">SI-4(2)</t>
  </si>
  <si>
    <t xml:space="preserve">SI-4-2</t>
  </si>
  <si>
    <t xml:space="preserve">SI-4(4)</t>
  </si>
  <si>
    <t xml:space="preserve">SI-4-4</t>
  </si>
  <si>
    <t xml:space="preserve">SI-4(5)</t>
  </si>
  <si>
    <t xml:space="preserve">SI-4-5</t>
  </si>
  <si>
    <t xml:space="preserve">SI-4(11)</t>
  </si>
  <si>
    <t xml:space="preserve">SI-4-11</t>
  </si>
  <si>
    <t xml:space="preserve">SI-6</t>
  </si>
  <si>
    <t xml:space="preserve">Security Functional Verification</t>
  </si>
  <si>
    <t xml:space="preserve">SI-8</t>
  </si>
  <si>
    <t xml:space="preserve">Spam Protection</t>
  </si>
  <si>
    <t xml:space="preserve">SI-8(1)</t>
  </si>
  <si>
    <t xml:space="preserve">SI-8-1</t>
  </si>
  <si>
    <t xml:space="preserve">SI-8(2)</t>
  </si>
  <si>
    <t xml:space="preserve">SI-8-2</t>
  </si>
  <si>
    <t xml:space="preserve">SI-11</t>
  </si>
  <si>
    <t xml:space="preserve">Error Handling</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</si>
  <si>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</si>
  <si>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</si>
  <si>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</si>
  <si>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</si>
  <si>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</si>
  <si>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</si>
  <si>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</si>
  <si>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</si>
  <si>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</si>
  <si>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</si>
  <si>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</si>
  <si>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Networking</t>
  </si>
  <si>
    <t xml:space="preserve">ID Contrôle</t>
  </si>
  <si>
    <t xml:space="preserve">Nom du contrôle</t>
  </si>
  <si>
    <t xml:space="preserve">Outil principal</t>
  </si>
  <si>
    <t xml:space="preserve">Onglet</t>
  </si>
  <si>
    <t xml:space="preserve">Statut</t>
  </si>
  <si>
    <t xml:space="preserve">Application des contrôles du flux d’information</t>
  </si>
  <si>
    <t xml:space="preserve">Accès à distance</t>
  </si>
  <si>
    <t xml:space="preserve">Événements vérifiables</t>
  </si>
  <si>
    <t xml:space="preserve">Contenu des enregistrements de vérification</t>
  </si>
  <si>
    <t xml:space="preserve">Protection des renseignements de vérification</t>
  </si>
  <si>
    <t xml:space="preserve">Génération des vérifications</t>
  </si>
  <si>
    <t xml:space="preserve">Connexions aux systèmes d’information</t>
  </si>
  <si>
    <t xml:space="preserve">Connexions internes au système</t>
  </si>
  <si>
    <t xml:space="preserve">Paramètres de configuration</t>
  </si>
  <si>
    <t xml:space="preserve">Moindre fonctionnalité</t>
  </si>
  <si>
    <t xml:space="preserve">Restrictions d’utilisation des logiciels</t>
  </si>
  <si>
    <t xml:space="preserve">Site de traitement auxiliaire</t>
  </si>
  <si>
    <t xml:space="preserve">Reprise et reconstitution du système d’information</t>
  </si>
  <si>
    <t xml:space="preserve">Identification et authentification des dispositifs</t>
  </si>
  <si>
    <t xml:space="preserve">Maintenance non locale</t>
  </si>
  <si>
    <t xml:space="preserve">Services de systèmes d’information externes</t>
  </si>
  <si>
    <t xml:space="preserve">Partitionnement des applications</t>
  </si>
  <si>
    <t xml:space="preserve">Information dans les ressources partagées</t>
  </si>
  <si>
    <t xml:space="preserve">Protection contre le déni de service</t>
  </si>
  <si>
    <t xml:space="preserve">Protection des frontières</t>
  </si>
  <si>
    <t xml:space="preserve">Confidentialité et intégrité des transmissions</t>
  </si>
  <si>
    <t xml:space="preserve">Débranchement du réseau</t>
  </si>
  <si>
    <t xml:space="preserve">Établissement et gestion des clés cryptographiques</t>
  </si>
  <si>
    <t xml:space="preserve">Protection cryptographique</t>
  </si>
  <si>
    <t xml:space="preserve">Code mobile</t>
  </si>
  <si>
    <t xml:space="preserve">Service sécurisé de résolution de nom et d’adresse (source reconnue)</t>
  </si>
  <si>
    <t xml:space="preserve">Service sécurisé de résolution de nom et d’adresse (résolveur récursif ou de mise en cache)</t>
  </si>
  <si>
    <t xml:space="preserve">Architecture et provisionnement du service de résolution de nom et d’adresse</t>
  </si>
  <si>
    <t xml:space="preserve">Authenticité des sessions</t>
  </si>
  <si>
    <t xml:space="preserve">Protection de l’information inactive</t>
  </si>
  <si>
    <t xml:space="preserve">Protection contre le code malveillant</t>
  </si>
  <si>
    <t xml:space="preserve">Surveillance du système d’information</t>
  </si>
  <si>
    <t xml:space="preserve">Vérification fonctionnelle de la sécurité</t>
  </si>
  <si>
    <t xml:space="preserve">Protection contre les pourriels</t>
  </si>
  <si>
    <t xml:space="preserve">Traitement des erreurs</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</si>
  <si>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</si>
  <si>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</si>
  <si>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</si>
  <si>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</si>
  <si>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</si>
  <si>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</si>
  <si>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</si>
  <si>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</si>
  <si>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</si>
  <si>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</si>
  <si>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</si>
  <si>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AC-4 — Evidence Tracking</t>
  </si>
  <si>
    <t xml:space="preserve">Contrôle AC-4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</si>
  <si>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</si>
  <si>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</si>
  <si>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</si>
  <si>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</si>
  <si>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</si>
  <si>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</si>
  <si>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</si>
  <si>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</si>
  <si>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</si>
  <si>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</si>
  <si>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</si>
  <si>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</si>
  <si>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</si>
  <si>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</si>
  <si>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</si>
  <si>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information system enforces approved authorizations for controlling the flow of information within the system and between interconnected systems based on deny all, approve by exception information flow policies.</t>
  </si>
  <si>
    <t xml:space="preserve">Description du contrôle</t>
  </si>
  <si>
    <t xml:space="preserve">(A) Le système d’information applique les autorisations approuvées pour contrôler le flux d’information à l’intérieur du système et entre les systèmes interconnectés en fonction des politiques « Refuser tous, approuver par exception » concernant les flux d’information.</t>
  </si>
  <si>
    <t xml:space="preserve">Supplemental Guidance</t>
  </si>
  <si>
    <t xml:space="preserve">Information flow control regulates where information is allowed to travel within an information system and between information systems (as opposed to who is allowed to access the information) and without explicit regard to subsequent accesses to that information. Flow control restrictions include, for example, keeping export-controlled information from being transmitted in the clear to the Internet, blocking outside traffic that claims to be from within the organization, restricting web requests to the Internet that are not from the internal web proxy server, and limiting information transfers between organizations based on data structures and content. Transferring information between information systems representing different security domains with different security policies introduces risk that such transfers violate one or more domain security policies. In such situations, information owners/stewards provide guidance at designated policy enforcement points between interconnected systems. Organizations should consider mandating specific architectural solutions when required to enforce specific security policies. Enforcement includes, for example: (i) prohibiting information transfers between interconnected systems (i.e., allowing access only); (ii) employing hardware mechanisms to enforce one-way information flows; and (iii) implementing trustworthy re-grading mechanisms to reassign security attributes and security labels.
Organizations commonly employ information flow control policies and enforcement mechanisms to control the flow of information between designated sources and destinations (e.g., networks, individuals, and devices) within information systems and between interconnected systems. Flow control is based on the characteristics of the information and/or the information path. Enforcement occurs, for example, in boundary protection devices (e.g., gateways, routers, guards, encrypted tunnels, firewalls) that employ rule sets or establish configuration settings that restrict information system services, provide a packet-filtering capability based on header information, or message-filtering capability based on message content (e.g., implementing key word searches or using document characteristics). Organizations also consider the trustworthiness of filtering/inspection mechanisms (i.e., hardware, firmware, and software components) that are critical to information flow enforcement. Related controls: AC-3, AC-17, AC-19, AC-21, CM-6, CM-7, SA-8, SC-2, SC-5, SC-7, SC-18.</t>
  </si>
  <si>
    <t xml:space="preserve">Directives supplémentaires</t>
  </si>
  <si>
    <t xml:space="preserve">Le contrôle du flux d’information détermine les endroits auxquels l’information peut être acheminée au sein d’un système d’information et entre des systèmes d’information (et non les personnes autorisées à accéder à l’information) et sans égard explicite aux accès subséquents à cette information. Les restrictions en matière de contrôle du flux consistent, par exemple, à empêcher la transmission en clair sur l’Internet de l’information dont l’exportation est contrôlée, à bloquer le trafic extérieur qui prétend provenir de l’intérieur de l’organisation, à restreindre les demandes Web à l’Internet qui ne proviennent pas du serveur mandataire Web interne, et à limiter les transferts d’information entre les organisations en fonction des structures et du contenu des données. Les transferts d’information entre systèmes d’information représentant différents domaines de sécurité avec différentes politiques de sécurité présentent le risque que de tels transferts contreviennent à une ou plusieurs politiques de sécurité de domaine. Dans de telles situations, les propriétaires/gardiens de l’information donnent des conseils aux points désignés d’application des politiques entre les systèmes interconnectés. Les organisations devraient envisager d’imposer des solutions architecturales particulières au besoin pour appliquer des politiques de sécurité particulières. L’application des contrôles consiste notamment à : (i) interdire le transfert d’information entre des systèmes interconnectés (c.-à-d. permettre l’accès seulement); (ii) utiliser des mécanismes matériels pour imposer les flux d’information unidirectionnels; et (iii) mettre en œuvre des mécanismes de réévaluation fiables pour réaffecter les attributs de sécurité et les étiquettes de sécurité.
Les organisations utilisent couramment des politiques de contrôle du flux d’information et des mécanismes d’application entre des sources et des destinations désignées (p. ex., les réseaux, les personnes et les périphériques) au sein des systèmes d’information et entre les systèmes interconnectés. Le contrôle du flux est fonction des caractéristiques de l’information ou du chemin de l’information. Le contrôle a lieu, par exemple, dans les dispositifs de protection des frontières (p. ex., passerelles, routeurs, gardiens, tunnels chiffrés, pare-feu) qui utilisent des ensembles de règles ou établissent des paramètres de configuration restreignant les services du système d’information, et offrent une capacité de filtrage des paquets en fonction de l’information d’en-tête, ou une capacité de filtrage des messages en fonction de leur contenu (p. ex., la mise en œuvre de recherches par mots clés ou l’utilisation des caractéristiques du document). Les organisations tiennent également compte de la fiabilité des mécanismes de filtrage et d’inspection (c.-à-d. le matériel, les micrologiciels et les composants logiciels) qui sont essentiels au contrôle du flux d’information. Contrôles connexes : AC-3, AC-17, AC-19, AC-21, CM-6, CM-7, SA-8, SC-2, SC-5, SC-7, SC-18.</t>
  </si>
  <si>
    <t xml:space="preserve">Test Case</t>
  </si>
  <si>
    <t xml:space="preserve">Cas de test</t>
  </si>
  <si>
    <t xml:space="preserve">Test</t>
  </si>
  <si>
    <t xml:space="preserve">TEST-AC-4</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</si>
  <si>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</si>
  <si>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</si>
  <si>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</si>
  <si>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</si>
  <si>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</si>
  <si>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</si>
  <si>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</si>
  <si>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</si>
  <si>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</si>
  <si>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</si>
  <si>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</si>
  <si>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</si>
  <si>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</si>
  <si>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</si>
  <si>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</si>
  <si>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</si>
  <si>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</si>
  <si>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AC-4(21) — Evidence Tracking</t>
  </si>
  <si>
    <t xml:space="preserve">Contrôle AC-4(21) — Suivi des preuves</t>
  </si>
  <si>
    <t xml:space="preserve">INFORMATION FLOW ENFORCEMENT | PHYSICAL / LOGICAL SEPARATION OF INFORMATION FLOWS
The information system separates information flows logically or physically using session encryption to accomplish separation of all sessions.</t>
  </si>
  <si>
    <t xml:space="preserve">APPLICATION DES CONTRÔLES DU FLUX D’INFORMATION | SÉPARATION PHYSIQUE/LOGIQUE DES FLUX D’INFORMATION
Le système d’information sépare les flux d’information de façon logique ou physique en utilisant le chiffrement des sessions pour effectuer la séparation de toutes les sessions.</t>
  </si>
  <si>
    <t xml:space="preserve">Enforcing the separation of information flows by type can enhance protection by ensuring that information is not commingled while in transit and by enabling flow control by transmission paths perhaps not otherwise achievable. Types of separable information include, for example, inbound and outbound communications traffic, service requests and responses, and information of differing security categories.</t>
  </si>
  <si>
    <t xml:space="preserve">La mise en application de la séparation des flux d’information par type peut améliorer la protection en veillant à ce que l’information ne soit pas mélangée pendant le transport et en permettant un contrôle du flux par les voies de transmission qui ne serait peut-être pas possible autrement. Les types d’information séparable comprennent, par exemple, le trafic des communications entrantes et sortantes, les demandes de service et les réponses, ainsi que l’information de différentes catégories de sécurité.</t>
  </si>
  <si>
    <t xml:space="preserve">TEST-AC-4(21)</t>
  </si>
  <si>
    <t xml:space="preserve">Control AC-17(1) — Evidence Tracking</t>
  </si>
  <si>
    <t xml:space="preserve">Contrôle AC-17(1) — Suivi des preuves</t>
  </si>
  <si>
    <t xml:space="preserve">REMOTE ACCESS | AUTOMATED MONITORING / CONTROL
The information system monitors and controls remote access methods.</t>
  </si>
  <si>
    <t xml:space="preserve">ACCÈS À DISTANCE | SURVEILLANCE ET CONTRÔLE AUTOMATISÉS
Le système d’information surveille et contrôle les méthodes d’accès à distance.</t>
  </si>
  <si>
    <t xml:space="preserve">Automated monitoring and control of remote access sessions allows organizations to detect cyber-attacks and also ensure ongoing compliance with remote access policies by auditing connection activities of remote users on a variety of information system components (e.g., servers, workstations, notebook computers, smart phones, and tablets). Related controls: AU-2, AU-12.</t>
  </si>
  <si>
    <t xml:space="preserve">La surveillance et le contrôle automatisés des sessions avec accès à distance permettent aux organisations de détecter les cyberattaques et d’assurer la conformité continue aux politiques d’accès à distance en vérifiant les activités de connexion des utilisateurs distants sur une variété de composants du système d’information (p. ex., serveurs, postes de travail, ordinateurs portatifs, téléphones intelligents et tablettes). Contrôles connexes : AU-2, AU-12.</t>
  </si>
  <si>
    <t xml:space="preserve">TEST-AC-17(1)</t>
  </si>
  <si>
    <t xml:space="preserve">Control AC-17(2) — Evidence Tracking</t>
  </si>
  <si>
    <t xml:space="preserve">Contrôle AC-17(2) — Suivi des preuves</t>
  </si>
  <si>
    <t xml:space="preserve">REMOTE ACCESS | PROTECTION OF CONFIDENTIALITY / INTEGRITY USING ENCRYPTION
The information system implements cryptographic mechanisms to protect the confidentiality and integrity of remote access sessions. The cryptography must be compliant with the requirements of SC-13.</t>
  </si>
  <si>
    <t xml:space="preserve">ACCÈS À DISTANCE | PROTECTION DE LA CONFIDENTIALITÉ ET DE L’INTÉGRITÉ AU MOYEN DU CHIFFREMENT
Le système d’information met en œuvre des mécanismes cryptographiques pour protéger la confidentialité et l’intégrité des sessions d’accès à distance. La cryptographie doit être conforme aux exigences de SC-13.</t>
  </si>
  <si>
    <t xml:space="preserve">Guidance on the encryption strength of mechanism can be obtained from CSE upon request.</t>
  </si>
  <si>
    <t xml:space="preserve">Le CST peut, sur demande, conseiller l’organisation quant à la puissance de chiffrement du mécanisme.</t>
  </si>
  <si>
    <t xml:space="preserve">TEST-AC-17(2)</t>
  </si>
  <si>
    <t xml:space="preserve">Control AC-17(3) — Evidence Tracking</t>
  </si>
  <si>
    <t xml:space="preserve">Contrôle AC-17(3) — Suivi des preuves</t>
  </si>
  <si>
    <t xml:space="preserve">REMOTE ACCESS | MANAGED ACCESS CONTROL POINTS
The information system routes all remote accesses through approved managed network access control points.</t>
  </si>
  <si>
    <t xml:space="preserve">ACCÈS À DISTANCE | POINTS DE CONTRÔLE D’ACCÈS GÉRÉS
Le système d’information achemine tous les accès à distance au moyen de points de contrôle d’accès au réseau gérés et approuvés.</t>
  </si>
  <si>
    <t xml:space="preserve">Limiting the number of access control points for remote accesses reduces the attack surface for organizations.  Related control: SC-7.</t>
  </si>
  <si>
    <t xml:space="preserve">Une limitation du nombre de points de contrôle d’accès à distance réduit la surface d’attaque pour les organisations.  Contrôle connexe : SC-7.</t>
  </si>
  <si>
    <t xml:space="preserve">TEST-AC-17(3)</t>
  </si>
  <si>
    <t xml:space="preserve">Control AC-17(9) — Evidence Tracking</t>
  </si>
  <si>
    <t xml:space="preserve">Contrôle AC-17(9) — Suivi des preuves</t>
  </si>
  <si>
    <t xml:space="preserve">REMOTE ACCESS | DISCONNECT / DISABLE ACCESS
The organization provides the capability to expeditiously disconnect or disable remote access to the information system within a period no greater than 15 minutes.</t>
  </si>
  <si>
    <t xml:space="preserve">ACCÈS À DISTANCE | DÉCONNECTER/DÉSACTIVER L’ACCÈS
L’organisation offre la possibilité de déconnecter ou de désactiver rapidement l’accès à distance au système d’information dans un délai maximal de 15 minutes.</t>
  </si>
  <si>
    <t xml:space="preserve">This control enhancement requires organizations to have the capability to rapidly disconnect current users remotely accessing the information system and/or disable further remote access. The speed of disconnect or disablement varies based on the criticality of missions/business functions and the need to eliminate immediate or future remote access to organizational information systems.</t>
  </si>
  <si>
    <t xml:space="preserve">Cette amélioration du contrôle exige que les organisations soient en mesure de déconnecter rapidement les utilisateurs actuels qui accèdent à distance au système d’information ou de désactiver tout accès à distance ultérieur. La rapidité de la déconnexion ou de la désactivation varie en fonction de la criticité des missions et des fonctions opérationnelles et de la nécessité d’éliminer l’accès à distance immédiat ou futur aux systèmes d’information de l’organisation.</t>
  </si>
  <si>
    <t xml:space="preserve">TEST-AC-17(9)</t>
  </si>
  <si>
    <t xml:space="preserve">Control AC-17(100) — Evidence Tracking</t>
  </si>
  <si>
    <t xml:space="preserve">Contrôle AC-17(100) — Suivi des preuves</t>
  </si>
  <si>
    <t xml:space="preserve">Remote access to privileged accounts is performed on dedicated management consoles governed entirely by the system’s security policies and used exclusively for this purpose (e.g. Internet access not allowed).</t>
  </si>
  <si>
    <t xml:space="preserve">L’accès à distance aux comptes privilégiés se fait sur des consoles de gestion dédiées entièrement régies par les politiques de sécurité du système et utilisées exclusivement à cette fin (p. ex., accès Internet interdit).</t>
  </si>
  <si>
    <t xml:space="preserve">TEST-AC-17(100)</t>
  </si>
  <si>
    <t xml:space="preserve">Control AU-2 — Evidence Tracking</t>
  </si>
  <si>
    <t xml:space="preserve">Contrôle AU-2 — Suivi des preuves</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</si>
  <si>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</si>
  <si>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</si>
  <si>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</si>
  <si>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</si>
  <si>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TEST-AU-2</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</si>
  <si>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</si>
  <si>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</si>
  <si>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</si>
  <si>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</si>
  <si>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</si>
  <si>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</si>
  <si>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</si>
  <si>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</si>
  <si>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</si>
  <si>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</si>
  <si>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</si>
  <si>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</si>
  <si>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</si>
  <si>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</si>
  <si>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</si>
  <si>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</si>
  <si>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</si>
  <si>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</si>
  <si>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</si>
  <si>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</si>
  <si>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</si>
  <si>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</si>
  <si>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</si>
  <si>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</si>
  <si>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</si>
  <si>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</si>
  <si>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</si>
  <si>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</si>
  <si>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CA-3(5) — Evidence Tracking</t>
  </si>
  <si>
    <t xml:space="preserve">Contrôle CA-3(5) — Suivi des preuves</t>
  </si>
  <si>
    <t xml:space="preserve">SYSTEM INTERCONNECTIONS | RESTRICTIONS ON EXTERNAL SYSTEM CONNECTIONS
The organization employs allow-all, deny-by-exception; deny-all policy for allowing any systems to connect to external information systems.</t>
  </si>
  <si>
    <t xml:space="preserve">INTERCONNEXIONS DES SYSTÈMES | RESTRICTIONS SUR LES CONNEXIONS AUX RÉSEAUX EXTERNES
L’organisation a recours à la méthode « permettre tout, refuser par exception, refuser tout » pour permettre aux systèmes de se connecter à des systèmes d’information externes.</t>
  </si>
  <si>
    <t xml:space="preserve">Organizations can constrain information system connectivity to external domains (e.g., websites) by employing one of two policies with regard to such connectivity: (i) allow-all, deny by exception, also known as blacklisting (the weaker of the two policies); or (ii) deny-all, allow by exception, also known as whitelisting (the stronger of the two policies). For either policy, organizations determine what exceptions, if any, are acceptable. Related control: CM-7.</t>
  </si>
  <si>
    <t xml:space="preserve">Les organisations peuvent limiter la connectivité des systèmes d’information à des domaines externes (p. ex., sites Web) en utilisant l’une des deux politiques relatives à cette connectivité : (i) permettre tout, refuser par exception, aussi appelée liste noire (la plus faible des deux politiques); ou (ii) refuser tout, permettre par exception, aussi appelée liste blanche (la plus forte des deux politiques). Pour l’une ou l’autre politique, les organisations déterminent les exceptions applicables, le cas échéant. Contrôle connexe : CM-7.</t>
  </si>
  <si>
    <t xml:space="preserve">TEST-CA-3(5)</t>
  </si>
  <si>
    <t xml:space="preserve">Control CA-9 — Evidence Tracking</t>
  </si>
  <si>
    <t xml:space="preserve">Contrôle CA-9 — Suivi des preuves</t>
  </si>
  <si>
    <t xml:space="preserve">(A)
The organization authorizes internal connections of information system components or classes of components to the information system.
(B)
The organization documents, for each internal connection, the interface characteristics, security requirements, and the nature of the information communicated.</t>
  </si>
  <si>
    <t xml:space="preserve">(A) L’organisation autorise les connexions internes de composants du système d’information ou de catégories de composants au système d’information.
(B) L’organisation documente, pour chaque connexion interne, les caractéristiques de l’interface, les exigences de sécurité et la nature de l’information communiquée.</t>
  </si>
  <si>
    <t xml:space="preserve">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 Related controls: AC-3, AC-4, AC-18, AC-19, AU-2, AU-12, CA-7, CM-2, IA-3, SC-7, SI-4</t>
  </si>
  <si>
    <t xml:space="preserve">Ce contrôle s’applique aux connexions entre les systèmes d’information organisationnels et les composants (distincts) des systèmes constituants (c.-à-d. les connexions intrasystème) y compris, par exemple, les connexions système avec les appareils mobiles, les ordinateurs portatifs/de bureau, les imprimantes, les photocopieurs, les télécopieurs, les numériseurs, les capteurs et les serveurs. Au lieu d’autoriser chaque connexion interne individuelle, les organisations peuvent autoriser les connexions internes pour une catégorie de composants ayant des caractéristiques ou des configurations communes, par exemple, toutes les imprimantes et tous les numériseurs et photocopieurs numériques ayant une capacité de traitement, de stockage et de transmission spécifiée ou tous les téléphones intelligents ayant une configuration de base spécifique. Contrôles connexes : AC-3, AC-4, AC-18, AC-19, AU-2, AU-12, CA-7, CM-2, IA-3, SC-7, SI-4</t>
  </si>
  <si>
    <t xml:space="preserve">TEST-CA-9</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</si>
  <si>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</si>
  <si>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</si>
  <si>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</si>
  <si>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</si>
  <si>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</si>
  <si>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</si>
  <si>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</si>
  <si>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</si>
  <si>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</si>
  <si>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</si>
  <si>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</si>
  <si>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</si>
  <si>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</si>
  <si>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</si>
  <si>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</si>
  <si>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</si>
  <si>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</si>
  <si>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</si>
  <si>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</si>
  <si>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</si>
  <si>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</si>
  <si>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CM-10 — Evidence Tracking</t>
  </si>
  <si>
    <t xml:space="preserve">Contrôle CM-10 — Suivi des preuves</t>
  </si>
  <si>
    <t xml:space="preserve">(A)
The organization uses software and associated documentation in accordance with contract agreements and copyright laws.
(B)
The organization tracks the use of software and associated documentation protected by quantity licenses to control copying and distribution.
(C)
The organization controls and documents the use of peer-to-peer file sharing technology to ensure that this capability is not used for the unauthorized distribution, display, performance, or reproduction of copyrighted work.</t>
  </si>
  <si>
    <t xml:space="preserve">(A) L’organisation utilise les logiciels et la documentation connexe conformément aux ententes contractuelles et aux lois sur le droit d’auteur.
(B) L’organisation assure le suivi de l’utilisation des logiciels et de la documentation connexe protégés par des licences limitant la quantité afin de contrôler la reproduction et la distribution.
(C) L’organisation contrôle et documente l’utilisation de la technologie de partage de fichiers poste-à-poste pour s’assurer que cette capacité n’est pas utilisée pour la distribution, l’affichage, l’exécution ou la reproduction non autorisés d’une œuvre protégée par le droit d’auteur.</t>
  </si>
  <si>
    <t xml:space="preserve">Software license tracking can be accomplished by manual methods (e.g., simple spreadsheets) or automated methods (e.g., specialized tracking applications) depending on organizational needs. Related controls: AC-17, CM-8, SC-7</t>
  </si>
  <si>
    <t xml:space="preserve">Le suivi des licences logicielles peut se faire par des méthodes manuelles (p. ex., simples tableurs) ou automatisées (p. ex., applications de suivi spécialisées) selon les besoins organisationnels. Contrôles connexes : AC-17, CM-8, SC-7</t>
  </si>
  <si>
    <t xml:space="preserve">TEST-CM-10</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</si>
  <si>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</si>
  <si>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</si>
  <si>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</si>
  <si>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</si>
  <si>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</si>
  <si>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</si>
  <si>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</si>
  <si>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</si>
  <si>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</si>
  <si>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</si>
  <si>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</si>
  <si>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</si>
  <si>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</si>
  <si>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</si>
  <si>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</si>
  <si>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</si>
  <si>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</si>
  <si>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</si>
  <si>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</si>
  <si>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</si>
  <si>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</si>
  <si>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</si>
  <si>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</si>
  <si>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</si>
  <si>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</si>
  <si>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</si>
  <si>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</si>
  <si>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</si>
  <si>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IA-3 — Evidence Tracking</t>
  </si>
  <si>
    <t xml:space="preserve">Contrôle IA-3 — Suivi des preuves</t>
  </si>
  <si>
    <t xml:space="preserve">(A)
The information system uniquely identifies and authenticates organization-defined specific and/or types of devices before establishing network connections.</t>
  </si>
  <si>
    <t xml:space="preserve">(A) Le système d’information identifie et authentifie de façon unique des dispositifs spécifiques ou des types de dispositifs définis par l’organisation avant d’établir des connexions réseau.</t>
  </si>
  <si>
    <t xml:space="preserve">Organizational devices requiring unique device-to-device identification and authentication may be defined by type, by device, or by a combination of type/device. Information systems typically use either shared known information (e.g., Media Access Control [MAC] or Transmission Control Protocol/Internet Protocol [TCP/IP] addresses) for device identification or organizational authentication solutions (e.g., IEEE 802.1x and EAP, Radius server with EAP-TLS authentication, Kerberos) to identify/authenticate devices on local and/or wide area networks. Organizations determine the required strength of authentication mechanisms by the security categories of information systems. Because of the challenges of applying this control on large scale, organizations are encouraged to only apply the control to those limited number (and type) of devices that truly need to support this capability. Related controls: AC-17, AC-18, AC-19, CA-3, IA-4, IA-5</t>
  </si>
  <si>
    <t xml:space="preserve">Les dispositifs organisationnels nécessitant une identification et une authentification uniques d’un dispositif à l’autre peuvent être définis par type, par dispositif ou par une combinaison de type/dispositif. Les systèmes d’information utilisent habituellement de l’information connue partagée (p. ex., adresses MAC ou TCP/IP) pour l’identification des dispositifs ou des solutions d’authentification organisationnelle (p. ex., IEEE 802.1x et EAP, serveur RADIUS avec authentification EAP-TLS, Kerberos) pour identifier et authentifier les dispositifs sur les réseaux locaux ou étendus. Les organisations déterminent la force requise pour les mécanismes d’authentification en fonction des catégories de sécurité des systèmes d’information. En raison des défis que pose l’application de ce contrôle à grande échelle, les organisations sont encouragées à appliquer le contrôle seulement à un nombre (et un type) limité de dispositifs qui ont véritablement besoin de prendre en charge cette capacité. Contrôles connexes : AC-17, AC-18, AC-19, CA-3, IA-4, IA-5</t>
  </si>
  <si>
    <t xml:space="preserve">TEST-IA-3</t>
  </si>
  <si>
    <t xml:space="preserve">Control MA-4(6) — Evidence Tracking</t>
  </si>
  <si>
    <t xml:space="preserve">Contrôle MA-4(6) — Suivi des preuves</t>
  </si>
  <si>
    <t xml:space="preserve">NONLOCAL MAINTENANCE | CRYPTOGRAPHIC PROTECTION
The information system implements cryptographic mechanisms to protect the integrity and confidentiality of nonlocal maintenance and diagnostic communications.</t>
  </si>
  <si>
    <t xml:space="preserve">MAINTENANCE NON LOCALE | PROTECTION CRYPTOGRAPHIQUE
Le système d’information met en œuvre des mécanismes cryptographiques pour protéger l’intégrité et la confidentialité des communications de maintenance et de diagnostic non locales.</t>
  </si>
  <si>
    <t xml:space="preserve">Related controls: SC-8, SC-13.</t>
  </si>
  <si>
    <t xml:space="preserve">Contrôles connexes : SC-8, SC-13.</t>
  </si>
  <si>
    <t xml:space="preserve">TEST-MA-4(6)</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</si>
  <si>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</si>
  <si>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</si>
  <si>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</si>
  <si>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</si>
  <si>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</si>
  <si>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</si>
  <si>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</si>
  <si>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SC-2 — Evidence Tracking</t>
  </si>
  <si>
    <t xml:space="preserve">Contrôle SC-2 — Suivi des preuves</t>
  </si>
  <si>
    <t xml:space="preserve">(A)
The information system separates user functionality (including user interface services) from information system management functionality.</t>
  </si>
  <si>
    <t xml:space="preserve">(A) Le système d’information sépare la fonctionnalité de l’utilisateur (y compris les services d’interface utilisateur) de la fonctionnalité de gestion du système d’information.</t>
  </si>
  <si>
    <t xml:space="preserve">Information system management functionality includes, for example, functions necessary to administer databases, network components, workstations, or servers, and typically requires privileged user access. The separation of user functionality from information system management functionality is either physical or logical. Organizations implement separation of system management-related functionality from user functionality by using different computers, different central processing units, different instances of operating systems, different network addresses, virtualization techniques, or combinations of these or other methods, as appropriate. This type of separation includes, for example, web administrative interfaces that use separate authentication methods (e.g., using a logical separation, web administrators would use 2-factor authentication and normal users of the web application would use username/password authentication). Separation of system and user functionality may include isolating administrative interfaces on different domains and with additional access controls. Related controls: SA-4, SA-8, SC-3</t>
  </si>
  <si>
    <t xml:space="preserve">La fonctionnalité de gestion du système d’information comprend, par exemple, les fonctions nécessaires à l’administration des bases de données, des composants de réseau, des postes de travail ou des serveurs, et exige habituellement un accès utilisateur privilégié. La séparation de la fonctionnalité de l’utilisateur de la fonctionnalité de gestion du système d’information est soit physique, soit logique. Les organisations mettent en œuvre la séparation de la fonctionnalité de gestion du système de la fonctionnalité de l’utilisateur en utilisant différents ordinateurs, différentes unités centrales de traitement, différentes instances de systèmes d’exploitation, différentes adresses réseau, des techniques de virtualisation ou des combinaisons de ces méthodes ou d’autres méthodes, selon le cas. Ce type de séparation comprend, par exemple, les interfaces administratives Web qui utilisent des méthodes d’authentification séparées (p. ex., en utilisant une séparation logique, les administrateurs Web utiliseraient l’authentification à deux facteurs et les utilisateurs habituels de l’application Web utiliseraient l’authentification par nom d’utilisateur/mot de passe). La séparation des fonctions du système et de l’utilisateur peut comprendre l’isolement des interfaces administratives dans différents domaines et avec des contrôles d’accès supplémentaires. Contrôles connexes : SA-4, SA-8, SC-3</t>
  </si>
  <si>
    <t xml:space="preserve">TEST-SC-2</t>
  </si>
  <si>
    <t xml:space="preserve">Control SC-4 — Evidence Tracking</t>
  </si>
  <si>
    <t xml:space="preserve">Contrôle SC-4 — Suivi des preuves</t>
  </si>
  <si>
    <t xml:space="preserve">(A)
The information system prevents unauthorized and unintended information transfer via shared system resources.</t>
  </si>
  <si>
    <t xml:space="preserve">(A) Le système d’information empêche le transfert non autorisé et non intentionnel d’information par le biais des ressources partagées du système.</t>
  </si>
  <si>
    <t xml:space="preserve">This control prevents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control does not address: (i) information remanence which refers to residual representation of data that has been nominally erased or removed; (ii) covert channels (including storage and/or timing channels) where shared resources are manipulated to violate information flow restrictions; or (iii) components within information systems for which there are only single users/roles. Related controls: AC-3, AC-4, MP-6</t>
  </si>
  <si>
    <t xml:space="preserve">Ce contrôle empêche l’information, y compris les représentations chiffrées de l’information, produites par les actions des utilisateurs/rôles antérieurs (ou les actions des processus agissant pour le compte des utilisateurs/rôles antérieurs) d’être accessible aux utilisateurs/rôles actuels (ou aux processus actuels) qui obtiennent l’accès aux ressources partagées du système (p. ex., registres, mémoire principale, disques durs) après que ces ressources ont été retournées aux systèmes d’information. Le contrôle de l’information dans les ressources partagées est aussi communément appelé réutilisation d’objets et protection de l’information résiduelle. Ce contrôle ne porte pas sur : (i) la rémanence de l’information qui désigne la représentation résiduelle des données qui ont été nominalement effacées ou supprimées; (ii) les canaux cachés (y compris les canaux de stockage ou de synchronisation) où les ressources partagées sont manipulées pour violer les restrictions de circulation de l’information; ou (iii) les composants des systèmes d’information pour lesquels il n’y a qu’un seul utilisateur/rôle. Contrôles connexes : AC-3, AC-4, MP-6</t>
  </si>
  <si>
    <t xml:space="preserve">TEST-SC-4</t>
  </si>
  <si>
    <t xml:space="preserve">Control SC-5 — Evidence Tracking</t>
  </si>
  <si>
    <t xml:space="preserve">Contrôle SC-5 — Suivi des preuves</t>
  </si>
  <si>
    <t xml:space="preserve">(A)
The information system protects against or limits the effects of the following denial of service attempts that attack bandwidth, transactional capacity and storage by employing geo-replication, IP address blocking, and network-based DDoS protections.</t>
  </si>
  <si>
    <t xml:space="preserve">(A) Le système d’information assure une protection ou limite les effets des tentatives de déni de service suivantes qui s’attaquent à la largeur de bande, à la capacité transactionnelle et au stockage en utilisant la géoréplication, le blocage d’adresses IP et les protections de DDoS réseau.</t>
  </si>
  <si>
    <t xml:space="preserve">A variety of technologies exist to limit, or in some cases, eliminate the effects of denial of service attacks. For example, boundary protection devices can filter certain types of packets to protect information system components on internal organizational networks from being directly affected by denial of service attacks. Employing increased capacity and bandwidth combined with service redundancy may also reduce the susceptibility to denial of service attacks. Related controls: SC-6, SC-7</t>
  </si>
  <si>
    <t xml:space="preserve">Diverses technologies existent pour limiter ou, dans certains cas, éliminer les effets des attaques par déni de service. Par exemple, les dispositifs de protection des frontières peuvent filtrer certains types de paquets afin de protéger les composants du système d’information des réseaux organisationnels internes contre les répercussions directes des attaques par déni de service. L’utilisation d’une capacité et d’une bande passante accrues combinée à la redondance des services peut également réduire la susceptibilité aux attaques par déni de service. Contrôles connexes : SC-6, SC-7</t>
  </si>
  <si>
    <t xml:space="preserve">TEST-SC-5</t>
  </si>
  <si>
    <t xml:space="preserve">Control SC-7 — Evidence Tracking</t>
  </si>
  <si>
    <t xml:space="preserve">Contrôle SC-7 — Suivi des preuves</t>
  </si>
  <si>
    <t xml:space="preserve">(A)
The information system monitors and controls communications at the external boundary of the system and at key internal boundaries within the system.
(B)
The information system implements sub-networks for publicly accessible system components that are physically or logically separated from internal organizational networks.
(C)
The information system connects to external networks or information systems only through managed interfaces consisting of boundary protection devices arranged in accordance with an organizational security architecture.</t>
  </si>
  <si>
    <t xml:space="preserve">(A) Le système d’information surveille et contrôle les communications à la frontière externe du système et aux frontières internes clés du système.
(B) Le système d’information met en œuvre des sous-réseaux pour des composants du système accessibles au public qui sont physiquement ou logiquement séparés des réseaux organisationnels internes.
(C) Le système d’information ne se connecte à des réseaux ou à des systèmes d’information externes que par des interfaces gérées comprenant des dispositifs de protection des frontières organisés conformément à une architecture de sécurité organisationnelle.</t>
  </si>
  <si>
    <t xml:space="preserve">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Organizations consider the shared nature of commercial telecommunications services in the implementation of security controls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 Related controls: AC-4, AC-17, CA-3, CM-7, CP-8, IR-4, RA-3, SC-5, SC-13</t>
  </si>
  <si>
    <t xml:space="preserve">Les interfaces gérées comprennent, par exemple, les passerelles, les routeurs, les pare-feu, les gardiens, les systèmes d’analyse et de virtualisation de codes malveillants basés sur le réseau, ou les tunnels chiffrés mis en œuvre dans une architecture de sécurité (p. ex., les routeurs protégeant les pare-feu ou les passerelles d’application résidant sur des sous-réseaux protégés). Les sous-réseaux qui sont physiquement ou logiquement séparés des réseaux internes sont appelés « zones démilitarisées » ou « ZD ». La restriction ou l’interdiction des interfaces dans les systèmes d’information de l’organisation comprend, par exemple, la restriction du trafic Web externe aux serveurs Web désignés dans les interfaces gérées et l’interdiction du trafic externe qui semble usurper les adresses internes. Les organisations tiennent compte de la nature commune des services de télécommunications commerciaux dans la mise en œuvre des contrôles de sécurité associés à l’utilisation de tels services. Les services de télécommunications commerciaux sont généralement fondés sur des composants de réseau et des systèmes de gestion consolidés partagés par tous les clients commerciaux attenants, et peuvent également comprendre des lignes d’accès fournies par des tiers et d’autres éléments de service. Ces services de transmission peuvent représenter des sources de risque accru malgré les dispositions relatives à la sécurité dans les contrats. Contrôles connexes : AC-4, AC-17, CA-3, CM-7, CP-8, IR-4, RA-3, SC-5, SC-13</t>
  </si>
  <si>
    <t xml:space="preserve">TEST-SC-7</t>
  </si>
  <si>
    <t xml:space="preserve">Control SC-7(3) — Evidence Tracking</t>
  </si>
  <si>
    <t xml:space="preserve">Contrôle SC-7(3) — Suivi des preuves</t>
  </si>
  <si>
    <t xml:space="preserve">BOUNDARY PROTECTION | ACCESS POINTS
The organization limits the number of external network connections to the information system.</t>
  </si>
  <si>
    <t xml:space="preserve">PROTECTION DES FRONTIÈRES | POINTS D’ACCÈS
L’organisation limite le nombre de connexions réseau externes au système d’information.</t>
  </si>
  <si>
    <t xml:space="preserve">Limiting the number of external network connections facilitates more comprehensive monitoring of inbound and outbound communications traffic.</t>
  </si>
  <si>
    <t xml:space="preserve">La limitation du nombre de connexions réseau externes facilite une surveillance plus complète du trafic des communications entrantes et sortantes.</t>
  </si>
  <si>
    <t xml:space="preserve">TEST-SC-7(3)</t>
  </si>
  <si>
    <t xml:space="preserve">Control SC-7(4) — Evidence Tracking</t>
  </si>
  <si>
    <t xml:space="preserve">Contrôle SC-7(4) — Suivi des preuves</t>
  </si>
  <si>
    <t xml:space="preserve">BOUNDARY PROTECTION | EXTERNAL TELECOMMUNICATIONS SERVICES
(a)
The organization implements a managed interface for each external telecommunication service;
(b)
The organization establishes a traffic flow policy for each managed interface;
(c)
The organization protects the confidentiality and integrity of the information being transmitted across each interface;
(d)
The organization documents each exception to the traffic flow policy with a supporting mission/business need and duration of that need; and
(e)
The organization reviews exceptions to the traffic flow policy at least annually and removes exceptions that are no longer supported by an explicit mission/business need.</t>
  </si>
  <si>
    <t xml:space="preserve">PROTECTION DES FRONTIÈRES | SERVICES DE TÉLÉCOMMUNICATIONS EXTERNES
(a) L’organisation met en œuvre une interface gérée pour chaque service de télécommunications externe;
(b) L’organisation établit une politique relative à l’écoulement du trafic pour chaque interface gérée;
(c) L’organisation protège la confidentialité et l’intégrité de l’information transmise sur chaque interface;
(d) L’organisation documente chaque exception à la politique relative à l’écoulement du trafic en indiquant le besoin opérationnel et de mission à l’appui et la durée de ce besoin;
(e) L’organisation revoit les exceptions à la politique relative à l’écoulement du trafic au moins une fois l’an, et retire les exceptions qui ne sont plus appuyées par un besoin opérationnel/de mission explicite.</t>
  </si>
  <si>
    <t xml:space="preserve">Related control: SC-8.</t>
  </si>
  <si>
    <t xml:space="preserve">Contrôle connexe : SC-8.</t>
  </si>
  <si>
    <t xml:space="preserve">TEST-SC-7(4)</t>
  </si>
  <si>
    <t xml:space="preserve">Control SC-7(5) — Evidence Tracking</t>
  </si>
  <si>
    <t xml:space="preserve">Contrôle SC-7(5) — Suivi des preuves</t>
  </si>
  <si>
    <t xml:space="preserve">BOUNDARY PROTECTION | DENY BY DEFAULT / ALLOW BY EXCEPTION
The information system at managed interfaces denies network communications traffic by default and allows network communications traffic by exception (i.e., deny all, permit by exception).</t>
  </si>
  <si>
    <t xml:space="preserve">PROTECTION DES FRONTIÈRES | REFUSER PAR DÉFAUT/PERMETTRE PAR EXCEPTION
Le système d’information aux interfaces gérées refuse par défaut les communications réseau et permet par exception les communications réseau (c.-à-d. refuser tout, permettre par exception).</t>
  </si>
  <si>
    <t xml:space="preserve">This control enhancement applies to both inbound and outbound network communications traffic. A deny-all, permit-by-exception network communications traffic policy ensures that only those connections which are essential and approved are allowed.</t>
  </si>
  <si>
    <t xml:space="preserve">Cette amélioration de contrôle s’applique aux communications réseau entrantes et sortantes. Une politique « refuser tout, permettre par exception » relativement aux communications réseau garantit que seules les connexions qui sont essentielles et approuvées sont autorisées.</t>
  </si>
  <si>
    <t xml:space="preserve">TEST-SC-7(5)</t>
  </si>
  <si>
    <t xml:space="preserve">Control SC-7(8) — Evidence Tracking</t>
  </si>
  <si>
    <t xml:space="preserve">Contrôle SC-7(8) — Suivi des preuves</t>
  </si>
  <si>
    <t xml:space="preserve">BOUNDARY PROTECTION | ROUTE TRAFFIC TO AUTHENTICATED PROXY SERVERS
The information system routes organization-defined internal communications traffic to  all untrusted networks ouside the control of the organization
through authenticated proxy servers at managed interfaces.</t>
  </si>
  <si>
    <t xml:space="preserve">PROTECTION DES FRONTIÈRES | ACHEMINEMENT DU TRAFIC VERS LES SERVEURS MANDATAIRES AUTHENTIFIÉS
Le système d’information achemine le trafic de communications internes défini par l’organisation vers tous les réseaux non fiables hors du contrôle de l’organisation par le biais de serveurs mandataires authentifiés aux interfaces gérées.</t>
  </si>
  <si>
    <t xml:space="preserve">External networks are networks outside of organizational control. A proxy server is a server (i.e., information system or application) that acts as an intermediary for clients requesting information system resources (e.g., files, connections, web pages, or services) from other organizational servers. Client requests established through an initial connection to the proxy server are evaluated to manage complexity and to provide additional protection by limiting direct connectivity. Web content filtering devices are one of the most common proxy servers providing access to the Internet. Proxy servers support logging individual Transmission Control Protocol (TCP) sessions and blocking specific Uniform Resource Locators (URLs), domain names, and Internet Protocol (IP) addresses. Web proxies can be configured with organization-defined lists of authorized and unauthorized websites. Related controls: AC-3, AU-2.</t>
  </si>
  <si>
    <t xml:space="preserve">Les réseaux externes sont des réseaux qui échappent au contrôle de l’organisation. Un serveur mandataire est un serveur (c.-à-d. un système d’information ou une application) qui sert d’intermédiaire pour les clients qui demandent des ressources du système d’information (p. ex., fichiers, connexions, pages Web ou services) à d’autres serveurs de l’organisation. Les demandes des clients établies au moyen d’une connexion initiale au serveur mandataire sont évaluées afin de gérer la complexité et de fournir une protection supplémentaire en limitant la connectivité directe. Les dispositifs de filtrage du contenu Web sont parmi les serveurs mandataires les plus courants donnant accès à Internet. Les serveurs mandataires permettent l’ouverture de sessions individuelles de protocole de contrôle de transmission (TCP) et bloquent des localisateurs de ressources uniformes (URL), des noms de domaine et des adresses IP particuliers. Les mandataires Web peuvent être configurés avec des listes de sites Web autorisés et non autorisés définies par l’organisation. Contrôles connexes : AC-3, AU-2.</t>
  </si>
  <si>
    <t xml:space="preserve">TEST-SC-7(8)</t>
  </si>
  <si>
    <t xml:space="preserve">Control SC-7(13) — Evidence Tracking</t>
  </si>
  <si>
    <t xml:space="preserve">Contrôle SC-7(13) — Suivi des preuves</t>
  </si>
  <si>
    <t xml:space="preserve">BOUNDARY PROTECTION | ISOLATION OF SECURITY TOOLS / MECHANISMS / SUPPORT COMPONENTS
The organization isolates organization-defined information security tools, mechanisms, and support components from other internal information system components by implementing physically separate sub-networks with managed interfaces to other components of the system.</t>
  </si>
  <si>
    <t xml:space="preserve">PROTECTION DES FRONTIÈRES | ISOLATION DES OUTILS/MÉCANISMES/COMPOSANTS DE SOUTIEN DE LA SÉCURITÉ
L’organisation isole les outils, les mécanismes et les composants de soutien de la sécurité des autres composants du système d’information interne en mettant en œuvre des sous-réseaux physiquement séparés avec des interfaces gérées à d’autres composants du système.</t>
  </si>
  <si>
    <t xml:space="preserve">Separate sub-networks with managed interfaces are useful, for example, in isolating computer network defences from critical operational processing networks to prevent adversaries from discovering the analysis and forensics techniques of organizations. 
The service provider defines key information security tools, mechanisms, and support components associated with system and security administration and isolates those tools, mechanisms, and support components from other internal information system components via physically or logically separate subnets.
Related controls: SA-8, SC-2, SC-3.</t>
  </si>
  <si>
    <t xml:space="preserve">Les sous-réseaux séparés dotés d’interfaces gérées sont utiles, par exemple, pour isoler les moyens de défense des réseaux informatiques des réseaux opérationnels critiques afin d’empêcher les adversaires de découvrir les techniques d’analyse et de criminalistique des organisations. 
Le fournisseur de services définit les principaux outils, mécanismes et composants de soutien de la sécurité de l’information associés à l’administration du système et de la sécurité, et isole ces outils, mécanismes et composants de soutien des autres composants internes du système d’information au moyen de sous-réseaux physiquement ou logiquement séparés.
Contrôles connexes : SA-8, SC-2, SC-3.</t>
  </si>
  <si>
    <t xml:space="preserve">TEST-SC-7(13)</t>
  </si>
  <si>
    <t xml:space="preserve">Control SC-7(18) — Evidence Tracking</t>
  </si>
  <si>
    <t xml:space="preserve">Contrôle SC-7(18) — Suivi des preuves</t>
  </si>
  <si>
    <t xml:space="preserve">BOUNDARY PROTECTION | FAIL SECURE
The information system fails securely in the event of an operational failure of a boundary protection device.</t>
  </si>
  <si>
    <t xml:space="preserve">PROTECTION DES FRONTIÈRES | SÉCURITÉ INTÉGRÉE
Le système d’information tombe en panne de façon sécurisée en cas de défaillance opérationnelle d’un dispositif de protection des frontières.</t>
  </si>
  <si>
    <t xml:space="preserve">Fail secure is a condition achieved by employing information system mechanisms to ensure that in the event of operational failures of boundary protection devices at managed interfaces (e.g., routers, firewalls, guards, and application gateways residing on protected sub-networks commonly referred to as demilitarized zones), information systems do not enter into insecure states where intended security properties no longer hold. Failures of boundary protection devices cannot lead to, or cause information external to the devices to enter the devices, nor can failures permit unauthorized information releases. Related controls: CP-2, SC-24.</t>
  </si>
  <si>
    <t xml:space="preserve">La sécurité intégrée est une condition obtenue en utilisant des mécanismes du système d’information pour s’assurer qu’en cas de défaillance opérationnelle des dispositifs de protection des frontières aux interfaces gérées (p. ex., routeurs, pare-feu, gardiens et passerelles d’application résidant sur des sous-réseaux protégés communément appelés zones démilitarisées), les systèmes d’information n’entrent pas dans des états non sécurisés où les propriétés de sécurité prévues ne tiennent plus. Les défaillances des dispositifs de protection des frontières ne doivent pas entraîner ou faire entrer de l’information externe dans les dispositifs, et les défaillances ne doivent pas non plus permettre la diffusion non autorisée d’information. Contrôles connexes : CP-2, SC-24.</t>
  </si>
  <si>
    <t xml:space="preserve">TEST-SC-7(18)</t>
  </si>
  <si>
    <t xml:space="preserve">Control SC-8 — Evidence Tracking</t>
  </si>
  <si>
    <t xml:space="preserve">Contrôle SC-8 — Suivi des preuves</t>
  </si>
  <si>
    <t xml:space="preserve">(A)
The information system protects the confidentiality and integrity of transmitted information.</t>
  </si>
  <si>
    <t xml:space="preserve">(A) Le système d’information protège la confidentialité et l’intégrité de l’information transmise.</t>
  </si>
  <si>
    <t xml:space="preserve">This control applies to both internal and external networks and all types of information system components from which information can be transmitted (e.g., servers, mobile devices, notebook computers, printers, copiers, scanners, facsimile machines). Communication paths outside the physical protection of a controlled boundary are exposed to the possibility of interception and modification. Protecting the confidentiality and/or integrity of organizational information can be accomplished by physical means (e.g., by employing protected distribution systems) or by logical means (e.g., employing encryption techniques).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needed security controls for transmission confidentiality/integrity. In such situations, organizations determine what types of confidentiality/integrity services are available in standard, commercial telecommunication service packages. If it is infeasible or impractical to obtain the necessary security controls and assurances of control effectiveness through appropriate contracting vehicles, organizations implement appropriate compensating security controls or explicitly accept the additional risk. Related controls: AC-17, PE-4</t>
  </si>
  <si>
    <t xml:space="preserve">Ce contrôle s’applique aux réseaux internes et externes et à tous les types de composants du système d’information à partir desquels de l’information peut être transmise (p. ex., serveurs, appareils mobiles, ordinateurs portatifs, imprimantes, photocopieurs, numériseurs, télécopieurs). Les voies de communication à l’extérieur de la protection physique d’une frontière contrôlée sont exposées à des risques d’interception et de modification. La protection de la confidentialité ou de l’intégrité de l’information organisationnelle peut se faire par des moyens physiques (p. ex., en utilisant des systèmes de distribution protégés) ou logiques (p. ex., en utilisant des techniques de chiffrement). Les organisations qui comptent sur des fournisseurs commerciaux offrant des services de transmission à titre de services de base plutôt que de services entièrement dédiés (c.-à-d. des services qui peuvent être hautement spécialisés pour répondre aux besoins de clients individuels), peuvent avoir de la difficulté à obtenir les assurances nécessaires concernant la mise en œuvre des contrôles de sécurité nécessaires pour la confidentialité et l’intégrité des transmissions. Dans de telles situations, les organisations déterminent les types de services de confidentialité et d’intégrité disponibles dans les forfaits de services de télécommunications commerciaux standard. S’il n’est pas pratique ou s’il est impossible d’obtenir les contrôles de sécurité nécessaires et l’assurance de l’efficacité des contrôles au moyen des mécanismes de passation de marchés appropriés, les organisations mettent en œuvre des contrôles de sécurité compensatoires appropriés ou acceptent explicitement le risque supplémentaire. Contrôles connexes : AC-17, PE-4</t>
  </si>
  <si>
    <t xml:space="preserve">TEST-SC-8</t>
  </si>
  <si>
    <t xml:space="preserve">Control SC-8(1) — Evidence Tracking</t>
  </si>
  <si>
    <t xml:space="preserve">Contrôle SC-8(1) — Suivi des preuves</t>
  </si>
  <si>
    <t xml:space="preserve">TRANSMISSION CONFIDENTIALITY AND INTEGRITY | CRYPTOGRAPHIC OR ALTERNATE PHYSICAL PROTECTION
The information system implements cryptographic mechanisms to prevent unauthorized disclosure of information and detect changes to information during transmission unless otherwise protected by physical security safeguards applied in applied in accordance with, or uses an adequate risk-based approach aligned with the practices specified in TBS and RCMP physical security standards and any related provisions of the Industrial Security Program. The cryptography must be compliant with the requirements of control SC-13.</t>
  </si>
  <si>
    <t xml:space="preserve">CONFIDENTIALITÉ ET INTÉGRITÉ DES TRANSMISSIONS | PROTECTION CRYPTOGRAPHIQUE OU AUTRE PROTECTION PHYSIQUE
Le système d’information déploie des mécanismes cryptographiques pour prévenir la divulgation non autorisée d’information et détecter les modifications de l’information durant la transmission, à moins d’être autrement protégé par des mesures de sécurité physiques appliquées selon une approche adéquate en fonction du risque qui s’harmonise avec les pratiques spécifiées dans les normes de sécurité physique du SCT et de la GRC et les dispositions connexes du Programme de sécurité industrielle. La cryptographie doit être conforme aux exigences du contrôle SC-13.</t>
  </si>
  <si>
    <t xml:space="preserve">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Alternative physical security safeguards include, for example, protected distribution systems. Related control: SC-13.</t>
  </si>
  <si>
    <t xml:space="preserve">Le chiffrement de l’information pour la transmission protège l’information contre la divulgation et la modification non autorisées. Les mécanismes cryptographiques mis en œuvre pour protéger l’intégrité de l’information comprennent, par exemple, les fonctions de hachage cryptographique qui ont une application commune dans les signatures numériques, les sommes de contrôle et les codes d’authentification des messages. Les autres mesures de sécurité physiques comprennent, par exemple, les réseaux de distribution protégés. Contrôle connexe : SC-13.</t>
  </si>
  <si>
    <t xml:space="preserve">TEST-SC-8(1)</t>
  </si>
  <si>
    <t xml:space="preserve">Control SC-10 — Evidence Tracking</t>
  </si>
  <si>
    <t xml:space="preserve">Contrôle SC-10 — Suivi des preuves</t>
  </si>
  <si>
    <t xml:space="preserve">(A)
The information system terminates the network connection associated with a communications session at the end of the session or after no longer than 30 minutes for RAS-based sessions or no longer than 60 minutes for non-interactive user sessions of inactivity.</t>
  </si>
  <si>
    <t xml:space="preserve">(A) Le système d’information met fin à la connexion réseau associée à une session de communication à la fin de la séance ou après un maximum de 30 minutes pour les sessions basées sur le service d’accès à distance (SAD) ou de 60 minutes d’inactivité pour les sessions d’utilisateur non interactives.</t>
  </si>
  <si>
    <t xml:space="preserve">This control applies to both internal and external networks. Terminating network connections associated with communications sessions include, for example, de-allocating associated TCP/IP address/port pairs at the operating system level, or de-allocating networking assignments at the application level if multiple application sessions are using a single, operating system-level network connection. Time periods of inactivity may be established by organizations and include, for example, time periods by type of network access or for specific network accesses</t>
  </si>
  <si>
    <t xml:space="preserve">Ce contrôle s’applique aux réseaux internes et externes. La fin des connexions réseau associées aux sessions de communication comprend, par exemple, la désattribution des paires d’adresses/ports TCP/IP associées au niveau du système d’exploitation, ou la désattribution des tâches de réseautique au niveau de l’application si plusieurs sessions d’application utilisent une seule connexion réseau au niveau du système d’exploitation. Des périodes d’inactivité peuvent être établies par les organisations et comprendre, par exemple, des périodes par type d’accès au réseau ou pour des accès réseau particuliers.</t>
  </si>
  <si>
    <t xml:space="preserve">TEST-SC-10</t>
  </si>
  <si>
    <t xml:space="preserve">Control SC-12(3) — Evidence Tracking</t>
  </si>
  <si>
    <t xml:space="preserve">Contrôle SC-12(3) — Suivi des preuves</t>
  </si>
  <si>
    <t xml:space="preserve">CRYPTOGRAPHIC KEY ESTABLISHMENT AND MANAGEMENT | ASYMMETRIC KEYS
The organization produces, controls, and distributes asymmetric cryptographic keys using CSE-approved key management technology and processes; approved PKI medium assurance certificates or prepositioned keying material; approved medium assurance or high assurance certificates and hardware security tokens that protect the user’s private key.</t>
  </si>
  <si>
    <t xml:space="preserve">ÉTABLISSEMENT ET GESTION DES CLÉS CRYPTOGRAPHIQUES | CLÉS ASYMÉTRIQUES
L’organisation produit, contrôle et distribue des clés cryptographiques asymétriques à l’aide de la technologie et des processus de gestion des clés approuvés par le CST; des certificats d’assurance moyenne de l’ICP approuvés ou du matériel de chargement de clés prépositionné; des certificats d’assurance moyenne ou d’assurance élevée approuvés et des jetons de sécurité matérielle qui protègent la clé privée de l’utilisateur.</t>
  </si>
  <si>
    <t xml:space="preserve">TEST-SC-12(3)</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</si>
  <si>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</si>
  <si>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</si>
  <si>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</si>
  <si>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</si>
  <si>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</si>
  <si>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</si>
  <si>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</si>
  <si>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SC-18 — Evidence Tracking</t>
  </si>
  <si>
    <t xml:space="preserve">Contrôle SC-18 — Suivi des preuves</t>
  </si>
  <si>
    <t xml:space="preserve">(A)
The organization defines acceptable and unacceptable mobile code and mobile code technologies.
(B)
The organization establishes usage restrictions and implementation guidance for acceptable mobile code and mobile code technologies.
(C)
The organization authorizes, monitors, and controls the use of mobile code within the information system.</t>
  </si>
  <si>
    <t xml:space="preserve">(A) L’organisation définit les codes mobiles et les technologies de codes mobiles acceptables et inacceptables.
(B) L’organisation établit des restrictions d’utilisation et des directives de mise en œuvre pour le code mobile et les technologies de code mobile acceptables.
(C) L’organisation autorise, surveille et contrôle l’utilisation du code mobile dans le système d’information.</t>
  </si>
  <si>
    <t xml:space="preserve">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</si>
  <si>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 xml:space="preserve">Les décisions concernant l’utilisation du code mobile dans les systèmes d’information de l’organisation sont basées sur le potentiel de dommages causés aux systèmes si le code est utilisé de façon malveillante. Les technologies de code mobile comprennent, par exemple, Java, JavaScript, ActiveX, Postcript, PDF, les films Shockwave, les animations Flash et VBScript. Les restrictions d’utilisation et les directives de mise en œuvre s’appliquent à la fois à la sélection et à l’utilisation du code mobile installé sur les serveurs et du code mobile téléchargé et exécuté sur des postes de travail et des appareils individuels (p. ex., téléphones intelligents). La politique et les procédures relatives au code mobile visent à prévenir l’élaboration, l’acquisition ou l’introduction de code mobile inacceptable dans les systèmes d’information de l’organisation. Contrôles connexes : AU-2, AU-12, CM-2, CM-6, SI-3</t>
  </si>
  <si>
    <t xml:space="preserve">TEST-SC-18</t>
  </si>
  <si>
    <t xml:space="preserve">Control SC-20 — Evidence Tracking</t>
  </si>
  <si>
    <t xml:space="preserve">Contrôle SC-20 — Suivi des preuves</t>
  </si>
  <si>
    <t xml:space="preserve">(A)
The information system provides additional data origin authentication and integrity verification artifacts along with the authoritative name resolution data the system returns in response to external name/address resolution queries.
(B)
The information system provides the means to indicate the security status of child zones and (if the child supports secure resolution services) to enable verification of a chain of trust among parent and child domains, when operating as part of a distributed, hierarchical namespace.</t>
  </si>
  <si>
    <t xml:space="preserve">(A) Le système d’information fournit des artefacts supplémentaires d’authentification et de vérification de l’intégrité de l’origine des données, ainsi que les données de résolution de nom faisant autorité que le système renvoie en réponse à des requêtes externes de résolution de nom ou d’adresse.
(B) Le système d’information fournit les moyens d’indiquer l’état de sécurité des zones enfants et (si l’enfant prend en charge les services de résolution sécurisée) de permettre la vérification d’une chaîne de confiance entre les domaines parents et enfants, lorsqu’il est exploité au sein d’un espace de nommage hiérarchique distribué.</t>
  </si>
  <si>
    <t xml:space="preserve">This control enables external clients including, for example, remote Internet clients, to obtain origin authentication and integrity verification assurances for the host/service name to network address resolution information obtained through the service. Information systems that provide name and address resolution services include, for example, domain name system (DNS) servers. Additional artifacts include, for example, DNS Security (DNSSEC) digital signatures and cryptographic keys. DNS resource records are examples of authoritative data. The means to indicate the security status of child zones includes, for example, the use of delegation signer resource records in the DNS. Information systems that use technologies other than the DNS to map between host/service names and network addresses provide other means to assure the authenticity and integrity of response data. Related controls: AU-10, SC-8, SC-12, SC-13, SC-21, SC-22</t>
  </si>
  <si>
    <t xml:space="preserve">Ce contrôle permet aux clients externes, y compris, par exemple, les clients Internet à distance, d’obtenir des garanties d’authentification de l’origine et de vérification de l’intégrité pour le nom de l’hôte ou du service pour l’information de résolution de l’adresse réseau obtenue au moyen du service. Les systèmes d’information qui fournissent des services de résolution de nom et d’adresse comprennent, par exemple, les serveurs de systèmes de noms de domaine (DNS). D’autres artefacts comprennent, par exemple, les signatures numériques DNS Security (DNSSEC) et les clés cryptographiques. Les enregistrements des ressources DNS sont des exemples de données faisant autorité. Les moyens d’indiquer l’état de sécurité des zones enfants comprennent, par exemple, l’utilisation des enregistrements de ressources DS (Delegation Signer) dans le DNS. Les systèmes d’information qui utilisent des technologies autres que le DNS pour établir les correspondances entre les noms d’hôte ou de service et les adresses réseau offrent d’autres moyens d’assurer l’authenticité et l’intégrité des données de réponse. Contrôles connexes : AU-10, SC-8, SC-12, SC-13, SC-21, SC-22</t>
  </si>
  <si>
    <t xml:space="preserve">TEST-SC-20</t>
  </si>
  <si>
    <t xml:space="preserve">Control SC-21 — Evidence Tracking</t>
  </si>
  <si>
    <t xml:space="preserve">Contrôle SC-21 — Suivi des preuves</t>
  </si>
  <si>
    <t xml:space="preserve">(A)
The information system requests and performs data origin authentication and data integrity verification on the name/address resolution responses the system receives from authoritative sources.</t>
  </si>
  <si>
    <t xml:space="preserve">(A) Le système d’information demande et effectue l’authentification de l’origine des données et la vérification de l’intégrité des données sur les réponses de résolution de nom et d’adresse que le système reçoit de sources faisant autorité.</t>
  </si>
  <si>
    <t xml:space="preserve">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Information systems that use technologies other than the DNS to map between host/service names and network addresses provide other means to enable clients to verify the authenticity and integrity of response data. Related controls: SC-20, SC-22</t>
  </si>
  <si>
    <t xml:space="preserve">Chaque client des services de résolution de noms effectue cette validation par lui-même ou par le biais de canaux authentifiés vers des fournisseurs de validation de confiance. Les systèmes d’information qui fournissent des services de résolution de noms et d’adresses aux clients locaux comprennent, par exemple, des serveurs résolveurs récursifs ou de mise en cache de systèmes de noms de domaine (DNS). Soit les résolveurs des clients DNS effectuent la validation des signatures DNSSEC, soit les clients utilisent des canaux authentifiés vers des résolveurs récursifs qui effectuent de telles validations. Les systèmes d’information qui utilisent des technologies autres que le DNS pour établir les correspondances entre les noms d’hôte ou de service et les adresses réseau offrent d’autres moyens permettant aux clients de vérifier l’authenticité et l’intégrité des données de réponse. Contrôles connexes : SC-20, SC-22</t>
  </si>
  <si>
    <t xml:space="preserve">TEST-SC-21</t>
  </si>
  <si>
    <t xml:space="preserve">Control SC-22 — Evidence Tracking</t>
  </si>
  <si>
    <t xml:space="preserve">Contrôle SC-22 — Suivi des preuves</t>
  </si>
  <si>
    <t xml:space="preserve">(A)
The information systems that collectively provide name/address resolution service for an organization are fault-tolerant and implement internal/external role separation.</t>
  </si>
  <si>
    <t xml:space="preserve">(A) Les systèmes d’information qui fournissent collectivement un service de résolution de nom et d’adresse pour une organisation sont tolérants aux défaillances et mettent en œuvre une séparation des rôles interne et externe.</t>
  </si>
  <si>
    <t xml:space="preserve">Information systems that provide name and address resolution services include, for example, domain name system (DNS) servers. To eliminate single points of failure and to enhance redundancy, organizations employ at least two authoritative domain name system servers, 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particular roles (e.g., by address ranges, explicit lists). Related controls: SC-2, SC-20, SC-21, SC-24</t>
  </si>
  <si>
    <t xml:space="preserve">Les systèmes d’information qui fournissent des services de résolution de nom et d’adresse comprennent, par exemple, les serveurs de systèmes de noms de domaine (DNS). Pour éliminer les points de défaillance uniques et améliorer la redondance, les organisations utilisent au moins deux serveurs de systèmes de noms de domaine faisant autorité, l’un étant configuré comme serveur principal et l’autre comme serveur secondaire. De plus, les organisations déploient habituellement les serveurs dans deux sous-réseaux géographiquement séparés (c.-à-d. non situés dans la même installation physique). Pour la séparation des rôles, les serveurs DNS avec rôles internes ne traitent que le nom et l’adresse des demandes de résolution provenant de l’intérieur des organisations (c.-à-d. des clients internes). Les serveurs DNS qui ont des rôles externes traitent uniquement les demandes d’information de résolution de nom et d’adresse provenant des clients externes (c.-à-d. sur les réseaux externes, y compris Internet). Les organisations spécifient quels sont les clients pouvant accéder à des serveurs DNS faisant autorité dans des rôles particuliers (p. ex., par gammes d’adresses, listes explicites). Contrôles connexes : SC-2, SC-20, SC-21, SC-24</t>
  </si>
  <si>
    <t xml:space="preserve">TEST-SC-22</t>
  </si>
  <si>
    <t xml:space="preserve">Control SC-23 — Evidence Tracking</t>
  </si>
  <si>
    <t xml:space="preserve">Contrôle SC-23 — Suivi des preuves</t>
  </si>
  <si>
    <t xml:space="preserve">(A)
The information system protects the authenticity of communications sessions.</t>
  </si>
  <si>
    <t xml:space="preserve">(A) Le système d’information protège l’authenticité des sessions de communication.</t>
  </si>
  <si>
    <t xml:space="preserve">This control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Authenticity protection includes, for example, protecting against man-in-the-middle attacks/session hijacking and the insertion of false information into sessions. Related controls: SC-8, SC-10, SC-11</t>
  </si>
  <si>
    <t xml:space="preserve">Ce contrôle porte sur la protection des communications au niveau des sessions plutôt qu’au niveau des paquets (p. ex., les sessions dans les architectures orientées service fournissant des services Web) et établit des motifs de confiance, aux deux extrémités des sessions de communication, dans les identités continues des autres parties et dans la validité de l’information transmise. La protection de l’authenticité comprend, par exemple, la protection contre les attaques de l’intercepteur ou les détournements de sessions et l’insertion de faux renseignements dans les sessions. Contrôles connexes : SC-8, SC-10, SC-11</t>
  </si>
  <si>
    <t xml:space="preserve">TEST-SC-23</t>
  </si>
  <si>
    <t xml:space="preserve">Control SC-23(1) — Evidence Tracking</t>
  </si>
  <si>
    <t xml:space="preserve">Contrôle SC-23(1) — Suivi des preuves</t>
  </si>
  <si>
    <t xml:space="preserve">SESSION AUTHENTICITY | INVALIDATE SESSION IDENTIFIERS AT LOGOUT
The information system invalidates session identifiers upon user logout or other session termination.</t>
  </si>
  <si>
    <t xml:space="preserve">AUTHENTICITÉ DES SESSIONS | INVALIDATION DES IDENTIFIANTS DE SESSION DÈS LA FERMETURE DE SESSION
Le système d’information invalide les identifiants de session dès la fermeture de session par l’utilisateur ou à toute autre fin de session.</t>
  </si>
  <si>
    <t xml:space="preserve">This control enhancement curtails the ability of adversaries from capturing and continuing to employ previously valid session IDs.</t>
  </si>
  <si>
    <t xml:space="preserve">Cette amélioration du contrôle empêche les adversaires de saisir et de continuer d’utiliser des ID de session valides.</t>
  </si>
  <si>
    <t xml:space="preserve">TEST-SC-23(1)</t>
  </si>
  <si>
    <t xml:space="preserve">Control SC-28 — Evidence Tracking</t>
  </si>
  <si>
    <t xml:space="preserve">Contrôle SC-28 — Suivi des preuves</t>
  </si>
  <si>
    <t xml:space="preserve">(A)
The information system protects the confidentiality and integrity of all information not cleared for public release and all data with a higher than low integrity requirement.</t>
  </si>
  <si>
    <t xml:space="preserve">(A) Le système d’information protège la confidentialité et l’intégrité de tous les renseignements dont la diffusion publique n’est pas autorisée et de toutes les données pour lesquelles les exigences d’intégrité ne sont pas faibles.</t>
  </si>
  <si>
    <t xml:space="preserve">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</si>
  <si>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 xml:space="preserve">Ce contrôle porte sur la confidentialité et l’intégrité de l’information inactive et couvre l’information sur les utilisateurs et le système. L’information inactive fait référence à l’état de l’information lorsqu’elle se trouve sur des dispositifs de stockage en tant que composants particuliers des systèmes d’information. Les renseignements relatifs au système qui nécessitent une protection comprennent, par exemple, les configurations ou les ensembles de règles pour les pare-feu, les passerelles, les systèmes de détection et de prévention des intrusions, les routeurs de filtrage et le contenu des authentifiants. Les organisations peuvent utiliser différents mécanismes pour assurer la protection de la confidentialité et de l’intégrité, y compris les mécanismes cryptographiques et le balayage des fichiers partagés. La protection de l’intégrité peut être assurée, par exemple, en mettant en œuvre des technologies qui rendent les supports non réinscriptibles. Les organisations peuvent également utiliser d’autres contrôles de sécurité, y compris, par exemple, le stockage hors ligne sécurisé au lieu du stockage en ligne lorsque la protection de l’information inactive ne peut être assurée autrement, ou la surveillance continue pour repérer du code malveillant inactif. Contrôles connexes : AC-3, AC-6, CA-7, CM-3, CM-5, CM-6, PE-3, SC-8, SC-13, SI-3, SI-7</t>
  </si>
  <si>
    <t xml:space="preserve">TEST-SC-28</t>
  </si>
  <si>
    <t xml:space="preserve">Control SI-3 — Evidence Tracking</t>
  </si>
  <si>
    <t xml:space="preserve">Contrôle SI-3 — Suivi des preuves</t>
  </si>
  <si>
    <t xml:space="preserve">(A)
The organization employs malicious code protection mechanisms at information system entry and exit points to detect and eradicate malicious code.
(B)
The organization updates malicious code protection mechanisms whenever new releases are available in accordance with organizational configuration management policy and procedures.
(C)
The organization configures malicious code protection mechanisms to:
(a)
Perform periodic scans of the information system at least weekly and real-time scans of files from external sources at endpoints and network entry/exit points as the files are downloaded, opened, or executed in accordance with organizational security policy; and
(b) Block and quarantine malicious code; send alert to the key role as defined in the system and information integrity policy in response to malicious code detection.
(D)
The organization addresses the receipt of false positives during malicious code detection and eradication and the resulting potential impact on the availability of the information system.</t>
  </si>
  <si>
    <t xml:space="preserve">(A) L’organisation utilise des mécanismes de protection contre le code malveillant aux points d’entrée et de sortie du système d’information pour détecter et éradiquer le code malveillant.
(B) L’organisation met à jour les mécanismes de protection contre le code malveillant chaque fois que de nouvelles versions sont disponibles, conformément à la politique et aux procédures de gestion de la configuration de l’organisation.
(C) L’organisation configure des mécanismes de protection contre le code malveillant pour :
(a) effectuer des balayages périodiques du système d’information au moins une fois par semaine et des balayages en temps réel des fichiers provenant de sources externes aux extrémités et aux points d’entrée et de sortie du réseau à mesure que les fichiers sont téléchargés, ouverts ou exécutés, conformément à la politique sur la sécurité de l’organisation;
(b) bloquer et mettre en quarantaine le code malveillant; envoyer une alerte au rôle clé tel que défini dans la politique sur l’intégrité du système et de l’information en réponse à la détection du code malveillant.
(D) L’organisation résout les faux positifs reçus lors de la détection et de l’éradication du code malveillant ainsi que l’incidence potentielle sur la disponibilité du système d’information.</t>
  </si>
  <si>
    <t xml:space="preserve">Information system entry and exit points include, for example, firewalls, electronic mail servers, web servers, proxy servers, remote-access servers, workstations, notebook computers, and mobile devices. Malicious code includes, for example, viruses, worms, Trojan horses, and spyware. Malicious code can also be encoded in various formats (e.g., UUENCODE, Unicode), contained within compressed or hidden files, or hidden in files using steganography. Malicious code can be transported by different means including, for example, web accesses, electronic mail, electronic mail attachments, and portable storage devices. Malicious code insertions occur through the exploitation of information system vulnerabilities. Malicious code protection mechanisms include, for example, anti-virus signature definitions and reputation-based technologies. A variety of technologies and methods exist to limit or eliminate the effects of malicious code. Pervasive configuration management and comprehensive software integrity controls may be effective in preventing execution of unauthorized code. In addition to commercial off-the-shelf software, malicious code may also be present in custom-built software. This could include, for example, logic bombs, back doors, and other types of cyber-attacks that could affect organizational missions/business functions. Traditional malicious code protection mechanisms cannot always detect such code. In these situations, organizations rely instead on other safeguards including, for example, secure coding practices, configuration management and control, trusted procurement processes, and monitoring practices to help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actions in response to detection of malicious downloads, and/or actions in response to detection of maliciousness when attempting to open or execute files. Related controls: CM-3, MP-2, SA-4, SA-8, SA-12, SA-13, SC-7, SC-26, SC-44, SI-2, SI-4, SI-7.</t>
  </si>
  <si>
    <t xml:space="preserve">Les points d’entrée et de sortie du système d’information comprennent, par exemple, les pare-feu, les serveurs de courrier électronique, les serveurs Web, les serveurs mandataires, les serveurs à accès à distance, les postes de travail, les ordinateurs portatifs et les appareils mobiles. Le code malveillant comprend, par exemple, les virus, les vers, les chevaux de Troie et les logiciels espions. Le code malveillant peut également avoir divers formats (p. ex., UUENCODE, Unicode), et être intégré à des fichiers compressés ou cachés, ou être dissimulé dans des fichiers par stéganographie. Le code malveillant peut être transporté par différents moyens, y compris, par exemple, les accès Web, le courrier électronique, les pièces jointes de courrier électronique et les dispositifs de stockage portatifs. Le code malveillant est inséré en exploitant les vulnérabilités du système d’information. Les mécanismes de protection contre le code malveillant comprennent, par exemple, les définitions de signature antivirus et les technologies fondées sur la réputation. Diverses technologies et méthodes permettent de limiter ou d’éliminer les effets du code malveillant. Une gestion généralisée de la configuration et des contrôles d’intégrité du logiciel exhaustifs peuvent être efficaces pour prévenir l’exécution de code non autorisé. En plus des logiciels commerciaux, le code malveillant peut également être présent dans les logiciels développés sur mesure. Cela pourrait comprendre, par exemple, des bombes logiques, des portes dérobées et d’autres types de cyberattaques qui pourraient avoir une incidence sur les missions et les fonctions opérationnelles de l’organisation. Les mécanismes traditionnels de protection contre le code malveillant ne peuvent pas toujours détecter ce type de code. Dans ces situations, les organisations se fient plutôt à d’autres mesures de protection, comme des pratiques de codage sécurisé, une gestion et un contrôle de la configuration, des processus d’approvisionnement auprès de fournisseurs de confiance et des pratiques de surveillance pour veiller à ce que les logiciels n’exécutent pas de fonctions autres que celles prévues. Les organisations peuvent déterminer que différentes mesures sont justifiées en réponse à la détection du code malveillant. Par exemple, les organisations peuvent définir des mesures en réponse à la détection de code malveillant lors des balayages périodiques, des mesures en réponse à la détection de téléchargements malveillants ou des mesures en réponse à la détection de malveillance lorsqu’on tente d’ouvrir ou d’exécuter des fichiers. Contrôles connexes : CM-3, MP-2, SA-4, SA-8, SA-12, SA-13, SC-7, SC-26, SC-44, SI-2, SI-4, SI-7.</t>
  </si>
  <si>
    <t xml:space="preserve">TEST-SI-3</t>
  </si>
  <si>
    <t xml:space="preserve">Control SI-4 — Evidence Tracking</t>
  </si>
  <si>
    <t xml:space="preserve">Contrôle SI-4 — Suivi des preuves</t>
  </si>
  <si>
    <t xml:space="preserve">(A)
The organization monitors the information system to detect:
(a)
Attacks and indicators of potential attacks in accordance with organization-defined monitoring objectives; and
(b)
Unauthorized local, network, and remote connections;
(B)
The organization identifies unauthorized use of the information system through organization-defined techniques and methods.
(C)
The organization deploys monitoring devices: (i) strategically within the information system to collect organization-determined essential information; and (ii) at ad hoc locations within the system to track specific types of transactions of interest to the organization.
(D)
The organization protects information obtained from intrusion-monitoring tools from unauthorized access, modification, and deletion.
(E)
The organization heightens the level of information system monitoring activity whenever there is an indication of increased risk to organizational operations and assets, individuals, other organizations, or Canada based on law enforcement information, intelligence information, or other credible sources of information.
(F)
The organization obtains legal opinion with regard to information system monitoring activities in accordance with orgnanizational policies, directives and standards.
(G)
The organization provides organization-defined information system monitoring information to organization-defined personnel or roles at an organization-defined frequency.</t>
  </si>
  <si>
    <t xml:space="preserve">(A) L’organisation surveille le système d’information pour détecter :
(a) les attaques et indicateurs d’attaques potentielles conformément aux objectifs de surveillance définis par l’organisation;
(b) les connexions locales, de réseau et à distance non autorisées;
(B) L’organisation détecte l’utilisation non autorisée du système d’information au moyen de techniques et de méthodes définies par l’organisation.
(C) L’organisation déploie des dispositifs de surveillance : (i) de façon stratégique au sein du système d’information pour recueillir les renseignements essentiels déterminés par l’organisation; (ii) à des endroits spéciaux dans le système pour faire le suivi de certains types de transactions d’intérêt pour l’organisation.
(D) L’organisation protège l’information obtenue des outils de surveillance des intrusions contre l’accès, la modification et la suppression non autorisés.
(E) L’organisation augmente le niveau de l’activité de surveillance du système d’information chaque fois qu’il y a indication d’un risque accru pour les opérations et les biens de l’organisation, les personnes, les autres organisations ou le Canada sur la base de renseignements concernant l’application de la loi, de renseignements de sécurité ou d’autres sources d’information crédibles.
(F) L’organisation obtient un avis juridique concernant les activités de surveillance du système d’information conformément aux politiques, aux directives et aux normes de l’organisation.
(G) L’organisation fournit les renseignements relatifs à la surveillance du système d’information définis par l’organisation au personnel ou aux rôles définis par l’organisation à une fréquence définie par l’organisation.</t>
  </si>
  <si>
    <t xml:space="preserve">Information system monitoring includes external and internal monitoring. External monitoring includes the observation of events occurring at the information system boundary (i.e., part of perimeter defence and boundary protection). Internal monitoring includes the observation of events occurring within the information system. Organizations can monitor information systems, for example, by observing audit activities in real time or by observing other system aspects such as access patterns, characteristics of access, and other actions. The monitoring objectives may guide determination of the events. Information system monitoring capability is achieved through a variety of tools and techniques (e.g., intrusion detection systems, intrusion prevention systems, malicious code protection software, scanning tools, audit record monitoring software, network monitoring software). Strategic locations for monitoring devices include, for example, selected perimeter locations and near server farms supporting critical applications, with such devices typically being employed at the managed interfaces associated with controls SC-7 and AC-17. The granularity of monitoring information collected is based on organizational monitoring objectives and the capability of information systems to support such objectives. Specific types of transactions of interest include, for example, HTTP traffic that bypasses HTTP proxies. Information system monitoring is an integral part of organizational continuous monitoring and incident response programs. Output from system monitoring serves as input to continuous monitoring and incident response programs. A network connection is any connection with a device that communicates through a network (e.g., local area network, Internet). A remote connection is any connection with a device communicating through an external network (e.g., the Internet). Local, network, and remote connections can be either wired or wireless. Related controls: AC-3, AC-4, AC-8, AC-17, AU-2, AU-6, AU-7, AU-9, AU-12, CA-7, IR-4, PE-3, RA-5, SC-7, SC-26, SC-35, SI-3, SI-7</t>
  </si>
  <si>
    <t xml:space="preserve">La surveillance du système d’information comprend la surveillance externe et interne. La surveillance externe comprend l’observation d’événements qui se produisent à la frontière du système d’information (c.-à-d. qu’elle fait partie de la défense du périmètre et de la protection des frontières). La surveillance interne comprend l’observation des événements qui se produisent au sein du système d’information. Les organisations peuvent surveiller les systèmes d’information, par exemple en observant les activités de vérification en temps réel ou en observant d’autres aspects du système, comme les profils d’accès, les caractéristiques de l’accès et d’autres mesures. Les objectifs de surveillance peuvent guider la détermination des événements. La capacité de surveillance des systèmes d’information est assurée par divers outils et techniques (p. ex., systèmes de détection des intrusions, systèmes de prévention des intrusions, logiciels de protection contre le code malveillant, outils de balayage, logiciel de surveillance des enregistrements de vérification, logiciel de surveillance de réseau). Les emplacements stratégiques pour les dispositifs de surveillance comprennent, par exemple, des emplacements périmétriques choisis et près des grappes de serveurs prenant en charge les applications critiques, ces dispositifs étant habituellement utilisés aux interfaces gérées associées aux contrôles SC-7 et AC-17. La granularité des données de surveillance recueillies est fonction des objectifs de surveillance de l’organisation et de la capacité des systèmes d’information à appuyer de tels objectifs. Les types particuliers de transactions d’intérêt comprennent, par exemple, le trafic HTTP qui contourne les mandataires HTTP. La surveillance du système d’information fait partie intégrante des programmes de surveillance continue et d’intervention en cas d’incident de l’organisation. Les résultats de la surveillance des systèmes servent d’intrants aux programmes de surveillance continue et d’intervention en cas d’incident. Une connexion réseau est toute connexion avec un appareil qui communique par l’entremise d’un réseau (p. ex., réseau local, Internet). Une connexion distante est toute connexion avec un appareil qui communique par l’entremise d’un réseau externe (p. ex., Internet). Les connexions locales, réseau et distantes peuvent être câblées ou sans fil. Contrôles connexes : AC-3, AC-4, AC-8, AC-17, AU-2, AU-6, AU-7, AU-9, AU-12, CA-7, IR-4, PE-3, RA-5, SC-7, SC-26, SC-35, SI-3, SI-7</t>
  </si>
  <si>
    <t xml:space="preserve">TEST-SI-4</t>
  </si>
  <si>
    <t xml:space="preserve">Control SI-4(1) — Evidence Tracking</t>
  </si>
  <si>
    <t xml:space="preserve">Contrôle SI-4(1) — Suivi des preuves</t>
  </si>
  <si>
    <t xml:space="preserve">INFORMATION SYSTEM MONITORING | SYSTEM-WIDE INTRUSION DETECTION SYSTEM
The organization connects and configures individual intrusion detection tools into an information system-wide intrusion detection system.</t>
  </si>
  <si>
    <t xml:space="preserve">SURVEILLANCE DU SYSTÈME D’INFORMATION | SYSTÈME DE DÉTECTION DES INTRUSIONS À L’ÉCHELLE DU SYSTÈME
L’organisation connecte et configure les outils de détection d’intrusion individuels en un système de détection d’intrusion global pour l’ensemble du système d’information.</t>
  </si>
  <si>
    <t xml:space="preserve">TEST-SI-4(1)</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</si>
  <si>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</si>
  <si>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</si>
  <si>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</si>
  <si>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</si>
  <si>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</si>
  <si>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</si>
  <si>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</si>
  <si>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SI-4(4) — Evidence Tracking</t>
  </si>
  <si>
    <t xml:space="preserve">Contrôle SI-4(4) — Suivi des preuves</t>
  </si>
  <si>
    <t xml:space="preserve">INFORMATION SYSTEM MONITORING | INBOUND AND OUTBOUND COMMUNICATIONS TRAFFIC
The information system monitors inbound and outbound communications traffic continously for unusual or unauthorized activities or conditions.</t>
  </si>
  <si>
    <t xml:space="preserve">SURVEILLANCE DU SYSTÈME D’INFORMATION | COMMUNICATIONS ENTRANTES ET SORTANTES
Le système d’information surveille les communications entrantes et sortantes de façon continue pour détecter les activités ou les conditions inhabituelles ou non autorisées.</t>
  </si>
  <si>
    <t xml:space="preserve">Unusual/unauthorized activities or conditions related to information system inbound and outbound communications traffic include, for example, internal traffic that indicates the presence of malicious code within organizational information systems or propagating among system components, the unauthorized exporting of information, or signalling to external information systems. Evidence of malicious code is used to identify potentially compromised information systems or information system components.</t>
  </si>
  <si>
    <t xml:space="preserve">Les activités ou les conditions inhabituelles ou non autorisées liées aux communications entrantes et sortantes du système d’information comprennent, par exemple, le trafic interne indiquant la présence de code malveillant dans les systèmes d’information de l’organisation ou se propageant dans les composants du système, l’exportation non autorisée d’information ou la signalisation vers des systèmes d’information externes. Les preuves de la présence du code malveillant sont utilisées pour identifier les systèmes d’information ou les composants de systèmes d’information potentiellement compromis.</t>
  </si>
  <si>
    <t xml:space="preserve">TEST-SI-4(4)</t>
  </si>
  <si>
    <t xml:space="preserve">Control SI-4(5) — Evidence Tracking</t>
  </si>
  <si>
    <t xml:space="preserve">Contrôle SI-4(5) — Suivi des preuves</t>
  </si>
  <si>
    <t xml:space="preserve">INFORMATION SYSTEM MONITORING | SYSTEM-GENERATED ALERTS
The information system alerts  organization-defined personnel or roles and client governance bodies when organization-defined compromise or potential compromise indicators occur.</t>
  </si>
  <si>
    <t xml:space="preserve">SURVEILLANCE DU SYSTÈME D’INFORMATION | ALERTES GÉNÉRÉES PAR LE SYSTÈME
Le système d’information alerte le personnel ou les rôles définis par l’organisation et les organes de gouvernance du client lorsque des indicateurs de compromission ou de compromission potentielle définis par l’organisation sont détectés.</t>
  </si>
  <si>
    <t xml:space="preserve">Alerts may be generated from a variety of sources, including, for example, audit records or inputs from malicious code protection mechanisms, intrusion detection or prevention mechanisms, or boundary protection devices such as firewalls, gateways, and routers. Alerts can be transmitted, for example, telephonically, by electronic mail messages, or by text messaging. Organizational personnel on the notification list can include, for example, system administrators, mission/business owners, system owners, or information system security officers. Related controls: AU-5, PE-6.</t>
  </si>
  <si>
    <t xml:space="preserve">Les alertes peuvent provenir de diverses sources, y compris, par exemple, des enregistrements de vérification ou des données provenant de mécanismes de protection contre le code malveillant, de mécanismes de détection ou de prévention des intrusions, ou de dispositifs de protection des frontières comme les pare-feu, les passerelles et les routeurs. Les alertes peuvent être transmises, par exemple, par téléphone, par courrier électronique ou par messagerie texte. Le personnel de l’organisation figurant sur la liste de notification peut comprendre, par exemple, des administrateurs de système, des responsables opérationnels ou de mission, des propriétaires de système ou des agents de sécurité de système d’information. Contrôles connexes : AU-5, PE-6.</t>
  </si>
  <si>
    <t xml:space="preserve">TEST-SI-4(5)</t>
  </si>
  <si>
    <t xml:space="preserve">Control SI-4(11) — Evidence Tracking</t>
  </si>
  <si>
    <t xml:space="preserve">Contrôle SI-4(11) — Suivi des preuves</t>
  </si>
  <si>
    <t xml:space="preserve">INFORMATION SYSTEM MONITORING | ANALYZE COMMUNICATIONS TRAFFIC ANOMALIES
The organization analyzes outbound communications traffic at the external boundary of the information system and selected organization-defined interior points within the system (e.g., sub-networks, subsystems) to discover anomalies.</t>
  </si>
  <si>
    <t xml:space="preserve">SURVEILLANCE DU SYSTÈME D’INFORMATION | ANALYSE DES ANOMALIES DANS LES COMMUNICATIONS
L’organisation analyse les communications sortantes à la frontière externe du système d’information et à certains points définis par l’organisation à l’intérieur du système (p. ex. sous-réseaux, sous-systèmes) pour découvrir des anomalies.</t>
  </si>
  <si>
    <t xml:space="preserve">Anomalies within organizational information systems include, for example, large file transfers, long-time persistent connections, unusual protocols and ports in use, and attempted communications with suspected malicious external addresses.</t>
  </si>
  <si>
    <t xml:space="preserve">Les anomalies dans les systèmes d’information de l’organisation comprennent, par exemple, les transferts de fichiers volumineux, les connexions persistantes de longue durée, les protocoles et les ports inhabituels utilisés et les tentatives de communication avec des adresses externes soupçonnées de malveillance.</t>
  </si>
  <si>
    <t xml:space="preserve">TEST-SI-4(11)</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</si>
  <si>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</si>
  <si>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</si>
  <si>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</si>
  <si>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</si>
  <si>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</si>
  <si>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</si>
  <si>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</si>
  <si>
    <t xml:space="preserve">Control SI-8 — Evidence Tracking</t>
  </si>
  <si>
    <t xml:space="preserve">Contrôle SI-8 — Suivi des preuves</t>
  </si>
  <si>
    <t xml:space="preserve">(A)
The organization employs spam protection mechanisms at information system entry and exit points to detect and take action on unsolicited messages.
(B)
The organization updates spam protection mechanisms when new releases are available in accordance with organizational configuration management policy and procedures.</t>
  </si>
  <si>
    <t xml:space="preserve">(A) L’organisation utilise des mécanismes de protection contre les pourriels aux points d’entrée et de sortie du système d’information pour détecter et éradiquer les messages indésirables.
(B) L’organisation met à jour les mécanismes de protection contre les pourriels dès que de nouvelles versions sont disponibles, conformément à la politique et aux procédures de gestion de la configuration de l’organisation.</t>
  </si>
  <si>
    <t xml:space="preserve">Information system entry and exit points include, for example, firewalls, electronic mail servers, web servers, proxy servers, remote-access servers, workstations, mobile devices, and notebook/laptop computers. Spam can be transported by different means including, for example, electronic mail, electronic mail attachments, and web accesses. Spam protection mechanisms include, for example, signature definitions. Related controls: AT-2, AT-3, SC-5, SC-7, SI-3</t>
  </si>
  <si>
    <t xml:space="preserve">Les points d’entrée et de sortie du système d’information comprennent, par exemple, les pare-feu, les serveurs de courrier électronique, les serveurs Web, les serveurs mandataires, les serveurs à accès distant, les postes de travail, les ordinateurs blocs-notes/portatifs et les appareils mobiles. Les pourriels peuvent être transportés par différents moyens, y compris, par exemple, le courrier électronique, les pièces jointes de courrier électronique et les accès Web. Les mécanismes de protection contre les pourriels comprennent, par exemple, les définitions de signature. Contrôles connexes : AT-2, AT-3, SC-5, SC-7, SI-3</t>
  </si>
  <si>
    <t xml:space="preserve">TEST-SI-8</t>
  </si>
  <si>
    <t xml:space="preserve">Control SI-8(1) — Evidence Tracking</t>
  </si>
  <si>
    <t xml:space="preserve">Contrôle SI-8(1) — Suivi des preuves</t>
  </si>
  <si>
    <t xml:space="preserve">SPAM PROTECTION | CENTRAL MANAGEMENT
The organization centrally manages spam protection mechanisms.</t>
  </si>
  <si>
    <t xml:space="preserve">PROTECTION CONTRE LES POURRIELS | GESTION CENTRALISÉE
L’organisation effectue une gestion centralisée des mécanismes de protection contre les pourriels.</t>
  </si>
  <si>
    <t xml:space="preserve">Central management is the organization-wide management and implementation of spam protection mechanisms. Central management includes planning, implementing, assessing, authorizing, and monitoring the organization-defined, centrally managed spam protection security controls. Related controls: AU-3, SI-2, SI-7.</t>
  </si>
  <si>
    <t xml:space="preserve">La gestion centralisée est la gestion et la mise en œuvre de mécanismes de protection contre les pourriels à l’échelle de l’organisation. La gestion centralisée comprend la planification, la mise en œuvre, l’évaluation, l’autorisation et la surveillance de contrôles de sécurité définis par l’organisation et gérés de façon centralisée pour la protection contre les pourriels. Contrôles connexes : AU-3, SI-2, SI-7.</t>
  </si>
  <si>
    <t xml:space="preserve">TEST-SI-8(1)</t>
  </si>
  <si>
    <t xml:space="preserve">Control SI-8(2) — Evidence Tracking</t>
  </si>
  <si>
    <t xml:space="preserve">Contrôle SI-8(2) — Suivi des preuves</t>
  </si>
  <si>
    <t xml:space="preserve">SPAM PROTECTION | AUTOMATIC UPDATES
The information system automatically updates spam protection mechanisms.</t>
  </si>
  <si>
    <t xml:space="preserve">PROTECTION CONTRE LES POURRIELS | MISES À JOUR AUTOMATIQUES
Le système d’information met automatiquement à jour les mécanismes de protection contre les pourriels.</t>
  </si>
  <si>
    <t xml:space="preserve">TEST-SI-8(2)</t>
  </si>
  <si>
    <t xml:space="preserve">Control SI-11 — Evidence Tracking</t>
  </si>
  <si>
    <t xml:space="preserve">Contrôle SI-11 — Suivi des preuves</t>
  </si>
  <si>
    <t xml:space="preserve">(A)
The information system generates error messages that provide information necessary for corrective actions without revealing information that could be exploited by adversaries.
(B)
The information system reveals error messages only to organization-defined personnel or roles.</t>
  </si>
  <si>
    <t xml:space="preserve">(A) Le système d’information génère des messages d’erreur qui fournissent l’information nécessaire aux mesures correctives sans révéler l’information qui pourrait être exploitée par des adversaires.
(B) Le système d’information ne révèle les messages d’erreur qu’au personnel ou aux rôles définis par l’organisation.</t>
  </si>
  <si>
    <t xml:space="preserve">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 In addition, error messages may provide a covert channel for transmitting information. Related controls: AU-2, AU-3, SC-31</t>
  </si>
  <si>
    <t xml:space="preserve">Les organisations examinent attentivement la structure et le contenu des messages d’erreur. La mesure dans laquelle les systèmes d’information peuvent déterminer et gérer les conditions d’erreur est fonction des politiques et des exigences opérationnelles de l’organisation. Les renseignements qui pourraient être exploités par des adversaires comprennent, par exemple, les tentatives d’ouverture de session erronées avec des mots de passe entrés par erreur en tant que nom d’utilisateur, des renseignements sur la mission ou les opérations qui peuvent être déduits de (voire être explicitement indiqués par) l’information saisie, et des renseignements personnels comme des numéros de compte, des numéros de sécurité sociale et des numéros de carte de crédit. De plus, les messages d’erreur peuvent servir de voie secrète pour transmettre de l’information. Contrôles connexes : AU-2, AU-3, SC-31</t>
  </si>
  <si>
    <t xml:space="preserve">TEST-SI-11</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</si>
</sst>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6" fillId="4" borderId="1" xfId="0" applyFont="true" applyBorder="true" applyAlignment="true" applyProtection="true">
      <alignment horizontal="center" vertical="center" textRotation="0" wrapText="false" indent="0" shrinkToFit="false"/>
      <protection locked="true" hidden="false"/>
    </xf>
    <xf numFmtId="164" fontId="6" fillId="4" borderId="1" xfId="0" applyFont="true" applyBorder="true" applyAlignment="true" applyProtection="true">
      <alignment horizontal="left" vertical="center" textRotation="0" wrapText="false" indent="0" shrinkToFit="false"/>
      <protection locked="true" hidden="false"/>
    </xf>
    <xf numFmtId="164" fontId="7" fillId="2" borderId="1" xfId="0" applyFont="true" applyBorder="true" applyAlignment="true" applyProtection="true">
      <alignment horizontal="general" vertical="bottom" textRotation="0" wrapText="false" indent="0" shrinkToFit="false"/>
      <protection locked="true" hidden="false"/>
    </xf>
    <xf numFmtId="164" fontId="8" fillId="5" borderId="1" xfId="0" applyFont="true" applyBorder="true" applyAlignment="true" applyProtection="true">
      <alignment horizontal="general" vertical="bottom" textRotation="0" wrapText="false" indent="0" shrinkToFit="false"/>
      <protection locked="true" hidden="false"/>
    </xf>
    <xf numFmtId="165" fontId="9" fillId="4" borderId="1" xfId="0" applyFont="true" applyBorder="true" applyAlignment="true" applyProtection="true">
      <alignment horizontal="center" vertical="bottom" textRotation="0" wrapText="false" indent="0" shrinkToFit="false"/>
      <protection locked="true" hidden="false"/>
    </xf>
    <xf numFmtId="166" fontId="9" fillId="4" borderId="1" xfId="0" applyFont="true" applyBorder="true" applyAlignment="true" applyProtection="true">
      <alignment horizontal="center" vertical="bottom" textRotation="0" wrapText="false" indent="0" shrinkToFit="false"/>
      <protection locked="true" hidden="false"/>
    </xf>
    <xf numFmtId="164" fontId="10" fillId="2" borderId="1" xfId="0" applyFont="true" applyBorder="true" applyAlignment="true" applyProtection="true">
      <alignment horizontal="left" vertical="center" textRotation="0" wrapText="true" indent="0" shrinkToFit="false"/>
      <protection locked="true" hidden="false"/>
    </xf>
    <xf numFmtId="164" fontId="5" fillId="3" borderId="1" xfId="0" applyFont="true" applyBorder="true" applyAlignment="true" applyProtection="true">
      <alignment horizontal="left" vertical="center" textRotation="0" wrapText="true" indent="0" shrinkToFit="false"/>
      <protection locked="true" hidden="false"/>
    </xf>
    <xf numFmtId="164" fontId="8" fillId="5" borderId="1" xfId="0" applyFont="true" applyBorder="true" applyAlignment="true" applyProtection="true">
      <alignment horizontal="left" vertical="top" textRotation="0" wrapText="true" indent="0" shrinkToFit="false"/>
      <protection locked="true" hidden="false"/>
    </xf>
    <xf numFmtId="164" fontId="11" fillId="6"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3" min="3" style="1" width="30"/>
    <col collapsed="false" customWidth="true" hidden="false" outlineLevel="0" max="4" min="4" style="1" width="18"/>
    <col collapsed="false" customWidth="true" hidden="false" outlineLevel="0" max="5" min="5" style="1" width="22"/>
  </cols>
  <sheetData>
    <row r="1" customFormat="false" ht="27.75" hidden="false" customHeight="true" outlineLevel="0" collapsed="false">
      <c r="A1" s="2" t="s">
        <v>0</v>
      </c>
      <c r="B1" s="2"/>
      <c r="C1" s="2"/>
      <c r="D1" s="2"/>
      <c r="E1" s="2"/>
    </row>
    <row r="2" customFormat="false" ht="21.75" hidden="false" customHeight="true" outlineLevel="0" collapsed="false">
      <c r="A2" s="3" t="s">
        <v>1</v>
      </c>
      <c r="B2" s="3" t="s">
        <v>2</v>
      </c>
      <c r="C2" s="3" t="s">
        <v>3</v>
      </c>
      <c r="D2" s="3" t="s">
        <v>4</v>
      </c>
      <c r="E2" s="3" t="s">
        <v>5</v>
      </c>
    </row>
    <row r="3" customFormat="false" ht="18" hidden="false" customHeight="true" outlineLevel="0" collapsed="false">
      <c r="A3" s="4" t="s">
        <v>6</v>
      </c>
      <c r="B3" s="5" t="s">
        <v>7</v>
      </c>
      <c r="C3" s="5"/>
      <c r="D3" s="4" t="s">
        <v>6</v>
      </c>
      <c r="E3" s="4" t="str">
        <f aca="false">'AC-4'!B20</f>
        <v>Not Started</v>
      </c>
    </row>
    <row r="4" customFormat="false" ht="18" hidden="false" customHeight="true" outlineLevel="0" collapsed="false">
      <c r="A4" s="4" t="s">
        <v>8</v>
      </c>
      <c r="B4" s="5" t="s">
        <v>7</v>
      </c>
      <c r="C4" s="5"/>
      <c r="D4" s="4" t="s">
        <v>9</v>
      </c>
      <c r="E4" s="4" t="str">
        <f aca="false">'AC-4-21'!B20</f>
        <v>Not Started</v>
      </c>
    </row>
    <row r="5" customFormat="false" ht="18" hidden="false" customHeight="true" outlineLevel="0" collapsed="false">
      <c r="A5" s="4" t="s">
        <v>10</v>
      </c>
      <c r="B5" s="5" t="s">
        <v>11</v>
      </c>
      <c r="C5" s="5"/>
      <c r="D5" s="4" t="s">
        <v>12</v>
      </c>
      <c r="E5" s="4" t="str">
        <f aca="false">'AC-17-1'!B20</f>
        <v>Not Started</v>
      </c>
    </row>
    <row r="6" customFormat="false" ht="18" hidden="false" customHeight="true" outlineLevel="0" collapsed="false">
      <c r="A6" s="4" t="s">
        <v>13</v>
      </c>
      <c r="B6" s="5" t="s">
        <v>11</v>
      </c>
      <c r="C6" s="5"/>
      <c r="D6" s="4" t="s">
        <v>14</v>
      </c>
      <c r="E6" s="4" t="str">
        <f aca="false">'AC-17-2'!B20</f>
        <v>Not Started</v>
      </c>
    </row>
    <row r="7" customFormat="false" ht="18" hidden="false" customHeight="true" outlineLevel="0" collapsed="false">
      <c r="A7" s="4" t="s">
        <v>15</v>
      </c>
      <c r="B7" s="5" t="s">
        <v>11</v>
      </c>
      <c r="C7" s="5"/>
      <c r="D7" s="4" t="s">
        <v>16</v>
      </c>
      <c r="E7" s="4" t="str">
        <f aca="false">'AC-17-3'!B20</f>
        <v>Not Started</v>
      </c>
    </row>
    <row r="8" customFormat="false" ht="18" hidden="false" customHeight="true" outlineLevel="0" collapsed="false">
      <c r="A8" s="4" t="s">
        <v>17</v>
      </c>
      <c r="B8" s="5" t="s">
        <v>11</v>
      </c>
      <c r="C8" s="5"/>
      <c r="D8" s="4" t="s">
        <v>18</v>
      </c>
      <c r="E8" s="4" t="str">
        <f aca="false">'AC-17-9'!B20</f>
        <v>Not Started</v>
      </c>
    </row>
    <row r="9" customFormat="false" ht="18" hidden="false" customHeight="true" outlineLevel="0" collapsed="false">
      <c r="A9" s="4" t="s">
        <v>19</v>
      </c>
      <c r="B9" s="5" t="s">
        <v>11</v>
      </c>
      <c r="C9" s="5"/>
      <c r="D9" s="4" t="s">
        <v>20</v>
      </c>
      <c r="E9" s="4" t="str">
        <f aca="false">'AC-17-100'!B20</f>
        <v>Not Started</v>
      </c>
    </row>
    <row r="10" customFormat="false" ht="18" hidden="false" customHeight="true" outlineLevel="0" collapsed="false">
      <c r="A10" s="4" t="s">
        <v>21</v>
      </c>
      <c r="B10" s="5" t="s">
        <v>22</v>
      </c>
      <c r="C10" s="5"/>
      <c r="D10" s="4" t="s">
        <v>21</v>
      </c>
      <c r="E10" s="4" t="str">
        <f aca="false">'AU-2'!B20</f>
        <v>Not Started</v>
      </c>
    </row>
    <row r="11" customFormat="false" ht="18" hidden="false" customHeight="true" outlineLevel="0" collapsed="false">
      <c r="A11" s="4" t="s">
        <v>23</v>
      </c>
      <c r="B11" s="5" t="s">
        <v>24</v>
      </c>
      <c r="C11" s="5"/>
      <c r="D11" s="4" t="s">
        <v>23</v>
      </c>
      <c r="E11" s="4" t="str">
        <f aca="false">'AU-3'!B20</f>
        <v>Not Started</v>
      </c>
    </row>
    <row r="12" customFormat="false" ht="18" hidden="false" customHeight="true" outlineLevel="0" collapsed="false">
      <c r="A12" s="4" t="s">
        <v>25</v>
      </c>
      <c r="B12" s="5" t="s">
        <v>24</v>
      </c>
      <c r="C12" s="5"/>
      <c r="D12" s="4" t="s">
        <v>26</v>
      </c>
      <c r="E12" s="4" t="str">
        <f aca="false">'AU-3-1'!B20</f>
        <v>Not Started</v>
      </c>
    </row>
    <row r="13" customFormat="false" ht="18" hidden="false" customHeight="true" outlineLevel="0" collapsed="false">
      <c r="A13" s="4" t="s">
        <v>27</v>
      </c>
      <c r="B13" s="5" t="s">
        <v>28</v>
      </c>
      <c r="C13" s="5"/>
      <c r="D13" s="4" t="s">
        <v>29</v>
      </c>
      <c r="E13" s="4" t="str">
        <f aca="false">'AU-9-2'!B20</f>
        <v>Not Started</v>
      </c>
    </row>
    <row r="14" customFormat="false" ht="18" hidden="false" customHeight="true" outlineLevel="0" collapsed="false">
      <c r="A14" s="4" t="s">
        <v>30</v>
      </c>
      <c r="B14" s="5" t="s">
        <v>31</v>
      </c>
      <c r="C14" s="5"/>
      <c r="D14" s="4" t="s">
        <v>30</v>
      </c>
      <c r="E14" s="4" t="str">
        <f aca="false">'AU-12'!B20</f>
        <v>Not Started</v>
      </c>
    </row>
    <row r="15" customFormat="false" ht="18" hidden="false" customHeight="true" outlineLevel="0" collapsed="false">
      <c r="A15" s="4" t="s">
        <v>32</v>
      </c>
      <c r="B15" s="5" t="s">
        <v>33</v>
      </c>
      <c r="C15" s="5"/>
      <c r="D15" s="4" t="s">
        <v>34</v>
      </c>
      <c r="E15" s="4" t="str">
        <f aca="false">'CA-3-5'!B20</f>
        <v>Not Started</v>
      </c>
    </row>
    <row r="16" customFormat="false" ht="18" hidden="false" customHeight="true" outlineLevel="0" collapsed="false">
      <c r="A16" s="4" t="s">
        <v>35</v>
      </c>
      <c r="B16" s="5" t="s">
        <v>36</v>
      </c>
      <c r="C16" s="5"/>
      <c r="D16" s="4" t="s">
        <v>35</v>
      </c>
      <c r="E16" s="4" t="str">
        <f aca="false">'CA-9'!B20</f>
        <v>Not Started</v>
      </c>
    </row>
    <row r="17" customFormat="false" ht="18" hidden="false" customHeight="true" outlineLevel="0" collapsed="false">
      <c r="A17" s="4" t="s">
        <v>37</v>
      </c>
      <c r="B17" s="5" t="s">
        <v>38</v>
      </c>
      <c r="C17" s="5"/>
      <c r="D17" s="4" t="s">
        <v>37</v>
      </c>
      <c r="E17" s="4" t="str">
        <f aca="false">'CM-6'!B20</f>
        <v>Not Started</v>
      </c>
    </row>
    <row r="18" customFormat="false" ht="18" hidden="false" customHeight="true" outlineLevel="0" collapsed="false">
      <c r="A18" s="4" t="s">
        <v>39</v>
      </c>
      <c r="B18" s="5" t="s">
        <v>40</v>
      </c>
      <c r="C18" s="5"/>
      <c r="D18" s="4" t="s">
        <v>39</v>
      </c>
      <c r="E18" s="4" t="str">
        <f aca="false">'CM-7'!B20</f>
        <v>Not Started</v>
      </c>
    </row>
    <row r="19" customFormat="false" ht="18" hidden="false" customHeight="true" outlineLevel="0" collapsed="false">
      <c r="A19" s="4" t="s">
        <v>41</v>
      </c>
      <c r="B19" s="5" t="s">
        <v>40</v>
      </c>
      <c r="C19" s="5"/>
      <c r="D19" s="4" t="s">
        <v>42</v>
      </c>
      <c r="E19" s="4" t="str">
        <f aca="false">'CM-7-1'!B20</f>
        <v>Not Started</v>
      </c>
    </row>
    <row r="20" customFormat="false" ht="18" hidden="false" customHeight="true" outlineLevel="0" collapsed="false">
      <c r="A20" s="4" t="s">
        <v>43</v>
      </c>
      <c r="B20" s="5" t="s">
        <v>44</v>
      </c>
      <c r="C20" s="5"/>
      <c r="D20" s="4" t="s">
        <v>43</v>
      </c>
      <c r="E20" s="4" t="str">
        <f aca="false">'CM-10'!B20</f>
        <v>Not Started</v>
      </c>
    </row>
    <row r="21" customFormat="false" ht="18" hidden="false" customHeight="true" outlineLevel="0" collapsed="false">
      <c r="A21" s="4" t="s">
        <v>45</v>
      </c>
      <c r="B21" s="5" t="s">
        <v>46</v>
      </c>
      <c r="C21" s="5"/>
      <c r="D21" s="4" t="s">
        <v>45</v>
      </c>
      <c r="E21" s="4" t="str">
        <f aca="false">'CP-7'!B20</f>
        <v>Not Started</v>
      </c>
    </row>
    <row r="22" customFormat="false" ht="18" hidden="false" customHeight="true" outlineLevel="0" collapsed="false">
      <c r="A22" s="4" t="s">
        <v>47</v>
      </c>
      <c r="B22" s="5" t="s">
        <v>46</v>
      </c>
      <c r="C22" s="5"/>
      <c r="D22" s="4" t="s">
        <v>48</v>
      </c>
      <c r="E22" s="4" t="str">
        <f aca="false">'CP-7-4'!B20</f>
        <v>Not Started</v>
      </c>
    </row>
    <row r="23" customFormat="false" ht="18" hidden="false" customHeight="true" outlineLevel="0" collapsed="false">
      <c r="A23" s="4" t="s">
        <v>49</v>
      </c>
      <c r="B23" s="5" t="s">
        <v>50</v>
      </c>
      <c r="C23" s="5"/>
      <c r="D23" s="4" t="s">
        <v>49</v>
      </c>
      <c r="E23" s="4" t="str">
        <f aca="false">'CP-10'!B20</f>
        <v>Not Started</v>
      </c>
    </row>
    <row r="24" customFormat="false" ht="18" hidden="false" customHeight="true" outlineLevel="0" collapsed="false">
      <c r="A24" s="4" t="s">
        <v>51</v>
      </c>
      <c r="B24" s="5" t="s">
        <v>50</v>
      </c>
      <c r="C24" s="5"/>
      <c r="D24" s="4" t="s">
        <v>52</v>
      </c>
      <c r="E24" s="4" t="str">
        <f aca="false">'CP-10-4'!B20</f>
        <v>Not Started</v>
      </c>
    </row>
    <row r="25" customFormat="false" ht="18" hidden="false" customHeight="true" outlineLevel="0" collapsed="false">
      <c r="A25" s="4" t="s">
        <v>53</v>
      </c>
      <c r="B25" s="5" t="s">
        <v>54</v>
      </c>
      <c r="C25" s="5"/>
      <c r="D25" s="4" t="s">
        <v>53</v>
      </c>
      <c r="E25" s="4" t="str">
        <f aca="false">'IA-3'!B20</f>
        <v>Not Started</v>
      </c>
    </row>
    <row r="26" customFormat="false" ht="18" hidden="false" customHeight="true" outlineLevel="0" collapsed="false">
      <c r="A26" s="4" t="s">
        <v>55</v>
      </c>
      <c r="B26" s="5" t="s">
        <v>56</v>
      </c>
      <c r="C26" s="5"/>
      <c r="D26" s="4" t="s">
        <v>57</v>
      </c>
      <c r="E26" s="4" t="str">
        <f aca="false">'MA-4-6'!B20</f>
        <v>Not Started</v>
      </c>
    </row>
    <row r="27" customFormat="false" ht="18" hidden="false" customHeight="true" outlineLevel="0" collapsed="false">
      <c r="A27" s="4" t="s">
        <v>58</v>
      </c>
      <c r="B27" s="5" t="s">
        <v>59</v>
      </c>
      <c r="C27" s="5"/>
      <c r="D27" s="4" t="s">
        <v>60</v>
      </c>
      <c r="E27" s="4" t="str">
        <f aca="false">'SA-9-5'!B20</f>
        <v>Not Started</v>
      </c>
    </row>
    <row r="28" customFormat="false" ht="18" hidden="false" customHeight="true" outlineLevel="0" collapsed="false">
      <c r="A28" s="4" t="s">
        <v>61</v>
      </c>
      <c r="B28" s="5" t="s">
        <v>62</v>
      </c>
      <c r="C28" s="5"/>
      <c r="D28" s="4" t="s">
        <v>61</v>
      </c>
      <c r="E28" s="4" t="str">
        <f aca="false">'SC-2'!B20</f>
        <v>Not Started</v>
      </c>
    </row>
    <row r="29" customFormat="false" ht="18" hidden="false" customHeight="true" outlineLevel="0" collapsed="false">
      <c r="A29" s="4" t="s">
        <v>63</v>
      </c>
      <c r="B29" s="5" t="s">
        <v>64</v>
      </c>
      <c r="C29" s="5"/>
      <c r="D29" s="4" t="s">
        <v>63</v>
      </c>
      <c r="E29" s="4" t="str">
        <f aca="false">'SC-4'!B20</f>
        <v>Not Started</v>
      </c>
    </row>
    <row r="30" customFormat="false" ht="18" hidden="false" customHeight="true" outlineLevel="0" collapsed="false">
      <c r="A30" s="4" t="s">
        <v>65</v>
      </c>
      <c r="B30" s="5" t="s">
        <v>66</v>
      </c>
      <c r="C30" s="5"/>
      <c r="D30" s="4" t="s">
        <v>65</v>
      </c>
      <c r="E30" s="4" t="str">
        <f aca="false">'SC-5'!B20</f>
        <v>Not Started</v>
      </c>
    </row>
    <row r="31" customFormat="false" ht="18" hidden="false" customHeight="true" outlineLevel="0" collapsed="false">
      <c r="A31" s="4" t="s">
        <v>67</v>
      </c>
      <c r="B31" s="5" t="s">
        <v>68</v>
      </c>
      <c r="C31" s="5"/>
      <c r="D31" s="4" t="s">
        <v>67</v>
      </c>
      <c r="E31" s="4" t="str">
        <f aca="false">'SC-7'!B20</f>
        <v>Not Started</v>
      </c>
    </row>
    <row r="32" customFormat="false" ht="18" hidden="false" customHeight="true" outlineLevel="0" collapsed="false">
      <c r="A32" s="4" t="s">
        <v>69</v>
      </c>
      <c r="B32" s="5" t="s">
        <v>68</v>
      </c>
      <c r="C32" s="5"/>
      <c r="D32" s="4" t="s">
        <v>70</v>
      </c>
      <c r="E32" s="4" t="str">
        <f aca="false">'SC-7-3'!B20</f>
        <v>Not Started</v>
      </c>
    </row>
    <row r="33" customFormat="false" ht="18" hidden="false" customHeight="true" outlineLevel="0" collapsed="false">
      <c r="A33" s="4" t="s">
        <v>71</v>
      </c>
      <c r="B33" s="5" t="s">
        <v>68</v>
      </c>
      <c r="C33" s="5"/>
      <c r="D33" s="4" t="s">
        <v>72</v>
      </c>
      <c r="E33" s="4" t="str">
        <f aca="false">'SC-7-4'!B20</f>
        <v>Not Started</v>
      </c>
    </row>
    <row r="34" customFormat="false" ht="18" hidden="false" customHeight="true" outlineLevel="0" collapsed="false">
      <c r="A34" s="4" t="s">
        <v>73</v>
      </c>
      <c r="B34" s="5" t="s">
        <v>68</v>
      </c>
      <c r="C34" s="5"/>
      <c r="D34" s="4" t="s">
        <v>74</v>
      </c>
      <c r="E34" s="4" t="str">
        <f aca="false">'SC-7-5'!B20</f>
        <v>Not Started</v>
      </c>
    </row>
    <row r="35" customFormat="false" ht="18" hidden="false" customHeight="true" outlineLevel="0" collapsed="false">
      <c r="A35" s="4" t="s">
        <v>75</v>
      </c>
      <c r="B35" s="5" t="s">
        <v>68</v>
      </c>
      <c r="C35" s="5"/>
      <c r="D35" s="4" t="s">
        <v>76</v>
      </c>
      <c r="E35" s="4" t="str">
        <f aca="false">'SC-7-8'!B20</f>
        <v>Not Started</v>
      </c>
    </row>
    <row r="36" customFormat="false" ht="18" hidden="false" customHeight="true" outlineLevel="0" collapsed="false">
      <c r="A36" s="4" t="s">
        <v>77</v>
      </c>
      <c r="B36" s="5" t="s">
        <v>68</v>
      </c>
      <c r="C36" s="5"/>
      <c r="D36" s="4" t="s">
        <v>78</v>
      </c>
      <c r="E36" s="4" t="str">
        <f aca="false">'SC-7-13'!B20</f>
        <v>Not Started</v>
      </c>
    </row>
    <row r="37" customFormat="false" ht="18" hidden="false" customHeight="true" outlineLevel="0" collapsed="false">
      <c r="A37" s="4" t="s">
        <v>79</v>
      </c>
      <c r="B37" s="5" t="s">
        <v>68</v>
      </c>
      <c r="C37" s="5"/>
      <c r="D37" s="4" t="s">
        <v>80</v>
      </c>
      <c r="E37" s="4" t="str">
        <f aca="false">'SC-7-18'!B20</f>
        <v>Not Started</v>
      </c>
    </row>
    <row r="38" customFormat="false" ht="18" hidden="false" customHeight="true" outlineLevel="0" collapsed="false">
      <c r="A38" s="4" t="s">
        <v>81</v>
      </c>
      <c r="B38" s="5" t="s">
        <v>82</v>
      </c>
      <c r="C38" s="5"/>
      <c r="D38" s="4" t="s">
        <v>81</v>
      </c>
      <c r="E38" s="4" t="str">
        <f aca="false">'SC-8'!B20</f>
        <v>Not Started</v>
      </c>
    </row>
    <row r="39" customFormat="false" ht="18" hidden="false" customHeight="true" outlineLevel="0" collapsed="false">
      <c r="A39" s="4" t="s">
        <v>83</v>
      </c>
      <c r="B39" s="5" t="s">
        <v>82</v>
      </c>
      <c r="C39" s="5"/>
      <c r="D39" s="4" t="s">
        <v>84</v>
      </c>
      <c r="E39" s="4" t="str">
        <f aca="false">'SC-8-1'!B20</f>
        <v>Not Started</v>
      </c>
    </row>
    <row r="40" customFormat="false" ht="18" hidden="false" customHeight="true" outlineLevel="0" collapsed="false">
      <c r="A40" s="4" t="s">
        <v>85</v>
      </c>
      <c r="B40" s="5" t="s">
        <v>86</v>
      </c>
      <c r="C40" s="5"/>
      <c r="D40" s="4" t="s">
        <v>85</v>
      </c>
      <c r="E40" s="4" t="str">
        <f aca="false">'SC-10'!B20</f>
        <v>Not Started</v>
      </c>
    </row>
    <row r="41" customFormat="false" ht="18" hidden="false" customHeight="true" outlineLevel="0" collapsed="false">
      <c r="A41" s="4" t="s">
        <v>87</v>
      </c>
      <c r="B41" s="5" t="s">
        <v>88</v>
      </c>
      <c r="C41" s="5"/>
      <c r="D41" s="4" t="s">
        <v>89</v>
      </c>
      <c r="E41" s="4" t="str">
        <f aca="false">'SC-12-3'!B20</f>
        <v>Not Started</v>
      </c>
    </row>
    <row r="42" customFormat="false" ht="18" hidden="false" customHeight="true" outlineLevel="0" collapsed="false">
      <c r="A42" s="4" t="s">
        <v>90</v>
      </c>
      <c r="B42" s="5" t="s">
        <v>91</v>
      </c>
      <c r="C42" s="5"/>
      <c r="D42" s="4" t="s">
        <v>90</v>
      </c>
      <c r="E42" s="4" t="str">
        <f aca="false">'SC-13'!B20</f>
        <v>Not Started</v>
      </c>
    </row>
    <row r="43" customFormat="false" ht="18" hidden="false" customHeight="true" outlineLevel="0" collapsed="false">
      <c r="A43" s="4" t="s">
        <v>92</v>
      </c>
      <c r="B43" s="5" t="s">
        <v>93</v>
      </c>
      <c r="C43" s="5"/>
      <c r="D43" s="4" t="s">
        <v>92</v>
      </c>
      <c r="E43" s="4" t="str">
        <f aca="false">'SC-18'!B20</f>
        <v>Not Started</v>
      </c>
    </row>
    <row r="44" customFormat="false" ht="18" hidden="false" customHeight="true" outlineLevel="0" collapsed="false">
      <c r="A44" s="4" t="s">
        <v>94</v>
      </c>
      <c r="B44" s="5" t="s">
        <v>95</v>
      </c>
      <c r="C44" s="5"/>
      <c r="D44" s="4" t="s">
        <v>94</v>
      </c>
      <c r="E44" s="4" t="str">
        <f aca="false">'SC-20'!B20</f>
        <v>Not Started</v>
      </c>
    </row>
    <row r="45" customFormat="false" ht="18" hidden="false" customHeight="true" outlineLevel="0" collapsed="false">
      <c r="A45" s="4" t="s">
        <v>96</v>
      </c>
      <c r="B45" s="5" t="s">
        <v>97</v>
      </c>
      <c r="C45" s="5"/>
      <c r="D45" s="4" t="s">
        <v>96</v>
      </c>
      <c r="E45" s="4" t="str">
        <f aca="false">'SC-21'!B20</f>
        <v>Not Started</v>
      </c>
    </row>
    <row r="46" customFormat="false" ht="18" hidden="false" customHeight="true" outlineLevel="0" collapsed="false">
      <c r="A46" s="4" t="s">
        <v>98</v>
      </c>
      <c r="B46" s="5" t="s">
        <v>99</v>
      </c>
      <c r="C46" s="5"/>
      <c r="D46" s="4" t="s">
        <v>98</v>
      </c>
      <c r="E46" s="4" t="str">
        <f aca="false">'SC-22'!B20</f>
        <v>Not Started</v>
      </c>
    </row>
    <row r="47" customFormat="false" ht="18" hidden="false" customHeight="true" outlineLevel="0" collapsed="false">
      <c r="A47" s="4" t="s">
        <v>100</v>
      </c>
      <c r="B47" s="5" t="s">
        <v>101</v>
      </c>
      <c r="C47" s="5"/>
      <c r="D47" s="4" t="s">
        <v>100</v>
      </c>
      <c r="E47" s="4" t="str">
        <f aca="false">'SC-23'!B20</f>
        <v>Not Started</v>
      </c>
    </row>
    <row r="48" customFormat="false" ht="18" hidden="false" customHeight="true" outlineLevel="0" collapsed="false">
      <c r="A48" s="4" t="s">
        <v>102</v>
      </c>
      <c r="B48" s="5" t="s">
        <v>101</v>
      </c>
      <c r="C48" s="5"/>
      <c r="D48" s="4" t="s">
        <v>103</v>
      </c>
      <c r="E48" s="4" t="str">
        <f aca="false">'SC-23-1'!B20</f>
        <v>Not Started</v>
      </c>
    </row>
    <row r="49" customFormat="false" ht="18" hidden="false" customHeight="true" outlineLevel="0" collapsed="false">
      <c r="A49" s="4" t="s">
        <v>104</v>
      </c>
      <c r="B49" s="5" t="s">
        <v>105</v>
      </c>
      <c r="C49" s="5"/>
      <c r="D49" s="4" t="s">
        <v>104</v>
      </c>
      <c r="E49" s="4" t="str">
        <f aca="false">'SC-28'!B20</f>
        <v>Not Started</v>
      </c>
    </row>
    <row r="50" customFormat="false" ht="18" hidden="false" customHeight="true" outlineLevel="0" collapsed="false">
      <c r="A50" s="4" t="s">
        <v>106</v>
      </c>
      <c r="B50" s="5" t="s">
        <v>107</v>
      </c>
      <c r="C50" s="5"/>
      <c r="D50" s="4" t="s">
        <v>106</v>
      </c>
      <c r="E50" s="4" t="str">
        <f aca="false">'SI-3'!B20</f>
        <v>Not Started</v>
      </c>
    </row>
    <row r="51" customFormat="false" ht="18" hidden="false" customHeight="true" outlineLevel="0" collapsed="false">
      <c r="A51" s="4" t="s">
        <v>108</v>
      </c>
      <c r="B51" s="5" t="s">
        <v>109</v>
      </c>
      <c r="C51" s="5"/>
      <c r="D51" s="4" t="s">
        <v>108</v>
      </c>
      <c r="E51" s="4" t="str">
        <f aca="false">'SI-4'!B20</f>
        <v>Not Started</v>
      </c>
    </row>
    <row r="52" customFormat="false" ht="18" hidden="false" customHeight="true" outlineLevel="0" collapsed="false">
      <c r="A52" s="4" t="s">
        <v>110</v>
      </c>
      <c r="B52" s="5" t="s">
        <v>109</v>
      </c>
      <c r="C52" s="5"/>
      <c r="D52" s="4" t="s">
        <v>111</v>
      </c>
      <c r="E52" s="4" t="str">
        <f aca="false">'SI-4-1'!B20</f>
        <v>Not Started</v>
      </c>
    </row>
    <row r="53" customFormat="false" ht="18" hidden="false" customHeight="true" outlineLevel="0" collapsed="false">
      <c r="A53" s="4" t="s">
        <v>112</v>
      </c>
      <c r="B53" s="5" t="s">
        <v>109</v>
      </c>
      <c r="C53" s="5"/>
      <c r="D53" s="4" t="s">
        <v>113</v>
      </c>
      <c r="E53" s="4" t="str">
        <f aca="false">'SI-4-2'!B20</f>
        <v>Not Started</v>
      </c>
    </row>
    <row r="54" customFormat="false" ht="18" hidden="false" customHeight="true" outlineLevel="0" collapsed="false">
      <c r="A54" s="4" t="s">
        <v>114</v>
      </c>
      <c r="B54" s="5" t="s">
        <v>109</v>
      </c>
      <c r="C54" s="5"/>
      <c r="D54" s="4" t="s">
        <v>115</v>
      </c>
      <c r="E54" s="4" t="str">
        <f aca="false">'SI-4-4'!B20</f>
        <v>Not Started</v>
      </c>
    </row>
    <row r="55" customFormat="false" ht="18" hidden="false" customHeight="true" outlineLevel="0" collapsed="false">
      <c r="A55" s="4" t="s">
        <v>116</v>
      </c>
      <c r="B55" s="5" t="s">
        <v>109</v>
      </c>
      <c r="C55" s="5"/>
      <c r="D55" s="4" t="s">
        <v>117</v>
      </c>
      <c r="E55" s="4" t="str">
        <f aca="false">'SI-4-5'!B20</f>
        <v>Not Started</v>
      </c>
    </row>
    <row r="56" customFormat="false" ht="18" hidden="false" customHeight="true" outlineLevel="0" collapsed="false">
      <c r="A56" s="4" t="s">
        <v>118</v>
      </c>
      <c r="B56" s="5" t="s">
        <v>109</v>
      </c>
      <c r="C56" s="5"/>
      <c r="D56" s="4" t="s">
        <v>119</v>
      </c>
      <c r="E56" s="4" t="str">
        <f aca="false">'SI-4-11'!B20</f>
        <v>Not Started</v>
      </c>
    </row>
    <row r="57" customFormat="false" ht="18" hidden="false" customHeight="true" outlineLevel="0" collapsed="false">
      <c r="A57" s="4" t="s">
        <v>120</v>
      </c>
      <c r="B57" s="5" t="s">
        <v>121</v>
      </c>
      <c r="C57" s="5"/>
      <c r="D57" s="4" t="s">
        <v>120</v>
      </c>
      <c r="E57" s="4" t="str">
        <f aca="false">'SI-6'!B20</f>
        <v>Not Started</v>
      </c>
    </row>
    <row r="58" customFormat="false" ht="18" hidden="false" customHeight="true" outlineLevel="0" collapsed="false">
      <c r="A58" s="4" t="s">
        <v>122</v>
      </c>
      <c r="B58" s="5" t="s">
        <v>123</v>
      </c>
      <c r="C58" s="5"/>
      <c r="D58" s="4" t="s">
        <v>122</v>
      </c>
      <c r="E58" s="4" t="str">
        <f aca="false">'SI-8'!B20</f>
        <v>Not Started</v>
      </c>
    </row>
    <row r="59" customFormat="false" ht="18" hidden="false" customHeight="true" outlineLevel="0" collapsed="false">
      <c r="A59" s="4" t="s">
        <v>124</v>
      </c>
      <c r="B59" s="5" t="s">
        <v>123</v>
      </c>
      <c r="C59" s="5"/>
      <c r="D59" s="4" t="s">
        <v>125</v>
      </c>
      <c r="E59" s="4" t="str">
        <f aca="false">'SI-8-1'!B20</f>
        <v>Not Started</v>
      </c>
    </row>
    <row r="60" customFormat="false" ht="18" hidden="false" customHeight="true" outlineLevel="0" collapsed="false">
      <c r="A60" s="4" t="s">
        <v>126</v>
      </c>
      <c r="B60" s="5" t="s">
        <v>123</v>
      </c>
      <c r="C60" s="5"/>
      <c r="D60" s="4" t="s">
        <v>127</v>
      </c>
      <c r="E60" s="4" t="str">
        <f aca="false">'SI-8-2'!B20</f>
        <v>Not Started</v>
      </c>
    </row>
    <row r="61" customFormat="false" ht="18" hidden="false" customHeight="true" outlineLevel="0" collapsed="false">
      <c r="A61" s="4" t="s">
        <v>128</v>
      </c>
      <c r="B61" s="5" t="s">
        <v>129</v>
      </c>
      <c r="C61" s="5"/>
      <c r="D61" s="4" t="s">
        <v>128</v>
      </c>
      <c r="E61" s="4" t="str">
        <f aca="false">'SI-11'!B20</f>
        <v>Not Started</v>
      </c>
    </row>
    <row r="63" customFormat="false" ht="21.75" hidden="false" customHeight="true" outlineLevel="0" collapsed="false">
      <c r="A63" s="6" t="s">
        <v>130</v>
      </c>
      <c r="B63" s="6"/>
      <c r="C63" s="6"/>
      <c r="D63" s="6"/>
      <c r="E63" s="6"/>
    </row>
    <row r="64" customFormat="false" ht="19.5" hidden="false" customHeight="true" outlineLevel="0" collapsed="false">
      <c r="A64" s="7" t="s">
        <v>131</v>
      </c>
      <c r="B64" s="7"/>
      <c r="C64" s="7"/>
      <c r="D64" s="7"/>
      <c r="E64" s="8" t="n">
        <f aca="false">59</f>
        <v>59</v>
      </c>
    </row>
    <row r="65" customFormat="false" ht="19.5" hidden="false" customHeight="true" outlineLevel="0" collapsed="false">
      <c r="A65" s="7" t="s">
        <v>132</v>
      </c>
      <c r="B65" s="7"/>
      <c r="C65" s="7"/>
      <c r="D65" s="7"/>
      <c r="E65" s="8" t="n">
        <f aca="false">COUNTIF(E3:E61,"Not Started")</f>
        <v>59</v>
      </c>
    </row>
    <row r="66" customFormat="false" ht="19.5" hidden="false" customHeight="true" outlineLevel="0" collapsed="false">
      <c r="A66" s="7" t="s">
        <v>133</v>
      </c>
      <c r="B66" s="7"/>
      <c r="C66" s="7"/>
      <c r="D66" s="7"/>
      <c r="E66" s="8" t="n">
        <f aca="false">COUNTIF(E3:E61,"In Progress")</f>
        <v>0</v>
      </c>
    </row>
    <row r="67" customFormat="false" ht="19.5" hidden="false" customHeight="true" outlineLevel="0" collapsed="false">
      <c r="A67" s="7" t="s">
        <v>134</v>
      </c>
      <c r="B67" s="7"/>
      <c r="C67" s="7"/>
      <c r="D67" s="7"/>
      <c r="E67" s="8" t="n">
        <f aca="false">COUNTIF(E3:E61,"Evidence Provided")</f>
        <v>0</v>
      </c>
    </row>
    <row r="68" customFormat="false" ht="19.5" hidden="false" customHeight="true" outlineLevel="0" collapsed="false">
      <c r="A68" s="7" t="s">
        <v>135</v>
      </c>
      <c r="B68" s="7"/>
      <c r="C68" s="7"/>
      <c r="D68" s="7"/>
      <c r="E68" s="8" t="n">
        <f aca="false">COUNTIF(E3:E61,"Under Review")</f>
        <v>0</v>
      </c>
    </row>
    <row r="69" customFormat="false" ht="19.5" hidden="false" customHeight="true" outlineLevel="0" collapsed="false">
      <c r="A69" s="7" t="s">
        <v>136</v>
      </c>
      <c r="B69" s="7"/>
      <c r="C69" s="7"/>
      <c r="D69" s="7"/>
      <c r="E69" s="8" t="n">
        <f aca="false">COUNTIF(E3:E61,"Passed")</f>
        <v>0</v>
      </c>
    </row>
    <row r="70" customFormat="false" ht="19.5" hidden="false" customHeight="true" outlineLevel="0" collapsed="false">
      <c r="A70" s="7" t="s">
        <v>137</v>
      </c>
      <c r="B70" s="7"/>
      <c r="C70" s="7"/>
      <c r="D70" s="7"/>
      <c r="E70" s="8" t="n">
        <f aca="false">COUNTIF(E3:E61,"Failed")</f>
        <v>0</v>
      </c>
    </row>
    <row r="71" customFormat="false" ht="19.5" hidden="false" customHeight="true" outlineLevel="0" collapsed="false">
      <c r="A71" s="7" t="s">
        <v>138</v>
      </c>
      <c r="B71" s="7"/>
      <c r="C71" s="7"/>
      <c r="D71" s="7"/>
      <c r="E71" s="8" t="n">
        <f aca="false">COUNTIF(E3:E61,"Accepted Exception")</f>
        <v>0</v>
      </c>
    </row>
    <row r="72" customFormat="false" ht="19.5" hidden="false" customHeight="true" outlineLevel="0" collapsed="false">
      <c r="A72" s="7" t="s">
        <v>139</v>
      </c>
      <c r="B72" s="7"/>
      <c r="C72" s="7"/>
      <c r="D72" s="7"/>
      <c r="E72" s="9" t="n">
        <f aca="false">IFERROR(COUNTIF(E3:E61,"Passed")/59,0)</f>
        <v>0</v>
      </c>
    </row>
    <row r="73" customFormat="false" ht="19.5" hidden="false" customHeight="true" outlineLevel="0" collapsed="false">
      <c r="A73" s="7" t="s">
        <v>140</v>
      </c>
      <c r="B73" s="7"/>
      <c r="C73" s="7"/>
      <c r="D73" s="7"/>
      <c r="E73" s="9" t="n">
        <f aca="false">IFERROR(COUNTIF(E3:E61,"Not Started")/59,0)</f>
        <v>1</v>
      </c>
    </row>
  </sheetData>
  <mergeCells count="12">
    <mergeCell ref="A1:E1"/>
    <mergeCell ref="A63:E63"/>
    <mergeCell ref="A64:D64"/>
    <mergeCell ref="A65:D65"/>
    <mergeCell ref="A66:D66"/>
    <mergeCell ref="A67:D67"/>
    <mergeCell ref="A68:D68"/>
    <mergeCell ref="A69:D69"/>
    <mergeCell ref="A70:D70"/>
    <mergeCell ref="A71:D71"/>
    <mergeCell ref="A72:D72"/>
    <mergeCell ref="A73:D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8"/>
    <col collapsed="false" customWidth="true" hidden="false" outlineLevel="0" max="3" min="3" style="1" width="30"/>
    <col collapsed="false" customWidth="true" hidden="false" outlineLevel="0" max="4" min="4" style="1" width="18"/>
    <col collapsed="false" customWidth="true" hidden="false" outlineLevel="0" max="5" min="5" style="1" width="22"/>
  </cols>
  <sheetData>
    <row r="1" customFormat="false" ht="27.75" hidden="false" customHeight="true" outlineLevel="0" collapsed="false">
      <c r="A1" s="2" t="s">
        <v>141</v>
      </c>
      <c r="B1" s="2"/>
      <c r="C1" s="2"/>
      <c r="D1" s="2"/>
      <c r="E1" s="2"/>
    </row>
    <row r="2" customFormat="false" ht="21.75" hidden="false" customHeight="true" outlineLevel="0" collapsed="false">
      <c r="A2" s="3" t="s">
        <v>142</v>
      </c>
      <c r="B2" s="3" t="s">
        <v>143</v>
      </c>
      <c r="C2" s="3" t="s">
        <v>144</v>
      </c>
      <c r="D2" s="3" t="s">
        <v>145</v>
      </c>
      <c r="E2" s="3" t="s">
        <v>146</v>
      </c>
    </row>
    <row r="3" customFormat="false" ht="18" hidden="false" customHeight="true" outlineLevel="0" collapsed="false">
      <c r="A3" s="4" t="s">
        <v>6</v>
      </c>
      <c r="B3" s="5" t="s">
        <v>147</v>
      </c>
      <c r="C3" s="5"/>
      <c r="D3" s="4" t="s">
        <v>6</v>
      </c>
      <c r="E3" s="4" t="str">
        <f aca="false">'AC-4'!E20</f>
        <v>Non commencé</v>
      </c>
    </row>
    <row r="4" customFormat="false" ht="18" hidden="false" customHeight="true" outlineLevel="0" collapsed="false">
      <c r="A4" s="4" t="s">
        <v>8</v>
      </c>
      <c r="B4" s="5" t="s">
        <v>147</v>
      </c>
      <c r="C4" s="5"/>
      <c r="D4" s="4" t="s">
        <v>9</v>
      </c>
      <c r="E4" s="4" t="str">
        <f aca="false">'AC-4-21'!E20</f>
        <v>Non commencé</v>
      </c>
    </row>
    <row r="5" customFormat="false" ht="18" hidden="false" customHeight="true" outlineLevel="0" collapsed="false">
      <c r="A5" s="4" t="s">
        <v>10</v>
      </c>
      <c r="B5" s="5" t="s">
        <v>148</v>
      </c>
      <c r="C5" s="5"/>
      <c r="D5" s="4" t="s">
        <v>12</v>
      </c>
      <c r="E5" s="4" t="str">
        <f aca="false">'AC-17-1'!E20</f>
        <v>Non commencé</v>
      </c>
    </row>
    <row r="6" customFormat="false" ht="18" hidden="false" customHeight="true" outlineLevel="0" collapsed="false">
      <c r="A6" s="4" t="s">
        <v>13</v>
      </c>
      <c r="B6" s="5" t="s">
        <v>148</v>
      </c>
      <c r="C6" s="5"/>
      <c r="D6" s="4" t="s">
        <v>14</v>
      </c>
      <c r="E6" s="4" t="str">
        <f aca="false">'AC-17-2'!E20</f>
        <v>Non commencé</v>
      </c>
    </row>
    <row r="7" customFormat="false" ht="18" hidden="false" customHeight="true" outlineLevel="0" collapsed="false">
      <c r="A7" s="4" t="s">
        <v>15</v>
      </c>
      <c r="B7" s="5" t="s">
        <v>148</v>
      </c>
      <c r="C7" s="5"/>
      <c r="D7" s="4" t="s">
        <v>16</v>
      </c>
      <c r="E7" s="4" t="str">
        <f aca="false">'AC-17-3'!E20</f>
        <v>Non commencé</v>
      </c>
    </row>
    <row r="8" customFormat="false" ht="18" hidden="false" customHeight="true" outlineLevel="0" collapsed="false">
      <c r="A8" s="4" t="s">
        <v>17</v>
      </c>
      <c r="B8" s="5" t="s">
        <v>148</v>
      </c>
      <c r="C8" s="5"/>
      <c r="D8" s="4" t="s">
        <v>18</v>
      </c>
      <c r="E8" s="4" t="str">
        <f aca="false">'AC-17-9'!E20</f>
        <v>Non commencé</v>
      </c>
    </row>
    <row r="9" customFormat="false" ht="18" hidden="false" customHeight="true" outlineLevel="0" collapsed="false">
      <c r="A9" s="4" t="s">
        <v>19</v>
      </c>
      <c r="B9" s="5" t="s">
        <v>148</v>
      </c>
      <c r="C9" s="5"/>
      <c r="D9" s="4" t="s">
        <v>20</v>
      </c>
      <c r="E9" s="4" t="str">
        <f aca="false">'AC-17-100'!E20</f>
        <v>Non commencé</v>
      </c>
    </row>
    <row r="10" customFormat="false" ht="18" hidden="false" customHeight="true" outlineLevel="0" collapsed="false">
      <c r="A10" s="4" t="s">
        <v>21</v>
      </c>
      <c r="B10" s="5" t="s">
        <v>149</v>
      </c>
      <c r="C10" s="5"/>
      <c r="D10" s="4" t="s">
        <v>21</v>
      </c>
      <c r="E10" s="4" t="str">
        <f aca="false">'AU-2'!E20</f>
        <v>Non commencé</v>
      </c>
    </row>
    <row r="11" customFormat="false" ht="18" hidden="false" customHeight="true" outlineLevel="0" collapsed="false">
      <c r="A11" s="4" t="s">
        <v>23</v>
      </c>
      <c r="B11" s="5" t="s">
        <v>150</v>
      </c>
      <c r="C11" s="5"/>
      <c r="D11" s="4" t="s">
        <v>23</v>
      </c>
      <c r="E11" s="4" t="str">
        <f aca="false">'AU-3'!E20</f>
        <v>Non commencé</v>
      </c>
    </row>
    <row r="12" customFormat="false" ht="18" hidden="false" customHeight="true" outlineLevel="0" collapsed="false">
      <c r="A12" s="4" t="s">
        <v>25</v>
      </c>
      <c r="B12" s="5" t="s">
        <v>150</v>
      </c>
      <c r="C12" s="5"/>
      <c r="D12" s="4" t="s">
        <v>26</v>
      </c>
      <c r="E12" s="4" t="str">
        <f aca="false">'AU-3-1'!E20</f>
        <v>Non commencé</v>
      </c>
    </row>
    <row r="13" customFormat="false" ht="18" hidden="false" customHeight="true" outlineLevel="0" collapsed="false">
      <c r="A13" s="4" t="s">
        <v>27</v>
      </c>
      <c r="B13" s="5" t="s">
        <v>151</v>
      </c>
      <c r="C13" s="5"/>
      <c r="D13" s="4" t="s">
        <v>29</v>
      </c>
      <c r="E13" s="4" t="str">
        <f aca="false">'AU-9-2'!E20</f>
        <v>Non commencé</v>
      </c>
    </row>
    <row r="14" customFormat="false" ht="18" hidden="false" customHeight="true" outlineLevel="0" collapsed="false">
      <c r="A14" s="4" t="s">
        <v>30</v>
      </c>
      <c r="B14" s="5" t="s">
        <v>152</v>
      </c>
      <c r="C14" s="5"/>
      <c r="D14" s="4" t="s">
        <v>30</v>
      </c>
      <c r="E14" s="4" t="str">
        <f aca="false">'AU-12'!E20</f>
        <v>Non commencé</v>
      </c>
    </row>
    <row r="15" customFormat="false" ht="18" hidden="false" customHeight="true" outlineLevel="0" collapsed="false">
      <c r="A15" s="4" t="s">
        <v>32</v>
      </c>
      <c r="B15" s="5" t="s">
        <v>153</v>
      </c>
      <c r="C15" s="5"/>
      <c r="D15" s="4" t="s">
        <v>34</v>
      </c>
      <c r="E15" s="4" t="str">
        <f aca="false">'CA-3-5'!E20</f>
        <v>Non commencé</v>
      </c>
    </row>
    <row r="16" customFormat="false" ht="18" hidden="false" customHeight="true" outlineLevel="0" collapsed="false">
      <c r="A16" s="4" t="s">
        <v>35</v>
      </c>
      <c r="B16" s="5" t="s">
        <v>154</v>
      </c>
      <c r="C16" s="5"/>
      <c r="D16" s="4" t="s">
        <v>35</v>
      </c>
      <c r="E16" s="4" t="str">
        <f aca="false">'CA-9'!E20</f>
        <v>Non commencé</v>
      </c>
    </row>
    <row r="17" customFormat="false" ht="18" hidden="false" customHeight="true" outlineLevel="0" collapsed="false">
      <c r="A17" s="4" t="s">
        <v>37</v>
      </c>
      <c r="B17" s="5" t="s">
        <v>155</v>
      </c>
      <c r="C17" s="5"/>
      <c r="D17" s="4" t="s">
        <v>37</v>
      </c>
      <c r="E17" s="4" t="str">
        <f aca="false">'CM-6'!E20</f>
        <v>Non commencé</v>
      </c>
    </row>
    <row r="18" customFormat="false" ht="18" hidden="false" customHeight="true" outlineLevel="0" collapsed="false">
      <c r="A18" s="4" t="s">
        <v>39</v>
      </c>
      <c r="B18" s="5" t="s">
        <v>156</v>
      </c>
      <c r="C18" s="5"/>
      <c r="D18" s="4" t="s">
        <v>39</v>
      </c>
      <c r="E18" s="4" t="str">
        <f aca="false">'CM-7'!E20</f>
        <v>Non commencé</v>
      </c>
    </row>
    <row r="19" customFormat="false" ht="18" hidden="false" customHeight="true" outlineLevel="0" collapsed="false">
      <c r="A19" s="4" t="s">
        <v>41</v>
      </c>
      <c r="B19" s="5" t="s">
        <v>156</v>
      </c>
      <c r="C19" s="5"/>
      <c r="D19" s="4" t="s">
        <v>42</v>
      </c>
      <c r="E19" s="4" t="str">
        <f aca="false">'CM-7-1'!E20</f>
        <v>Non commencé</v>
      </c>
    </row>
    <row r="20" customFormat="false" ht="18" hidden="false" customHeight="true" outlineLevel="0" collapsed="false">
      <c r="A20" s="4" t="s">
        <v>43</v>
      </c>
      <c r="B20" s="5" t="s">
        <v>157</v>
      </c>
      <c r="C20" s="5"/>
      <c r="D20" s="4" t="s">
        <v>43</v>
      </c>
      <c r="E20" s="4" t="str">
        <f aca="false">'CM-10'!E20</f>
        <v>Non commencé</v>
      </c>
    </row>
    <row r="21" customFormat="false" ht="18" hidden="false" customHeight="true" outlineLevel="0" collapsed="false">
      <c r="A21" s="4" t="s">
        <v>45</v>
      </c>
      <c r="B21" s="5" t="s">
        <v>158</v>
      </c>
      <c r="C21" s="5"/>
      <c r="D21" s="4" t="s">
        <v>45</v>
      </c>
      <c r="E21" s="4" t="str">
        <f aca="false">'CP-7'!E20</f>
        <v>Non commencé</v>
      </c>
    </row>
    <row r="22" customFormat="false" ht="18" hidden="false" customHeight="true" outlineLevel="0" collapsed="false">
      <c r="A22" s="4" t="s">
        <v>47</v>
      </c>
      <c r="B22" s="5" t="s">
        <v>158</v>
      </c>
      <c r="C22" s="5"/>
      <c r="D22" s="4" t="s">
        <v>48</v>
      </c>
      <c r="E22" s="4" t="str">
        <f aca="false">'CP-7-4'!E20</f>
        <v>Non commencé</v>
      </c>
    </row>
    <row r="23" customFormat="false" ht="18" hidden="false" customHeight="true" outlineLevel="0" collapsed="false">
      <c r="A23" s="4" t="s">
        <v>49</v>
      </c>
      <c r="B23" s="5" t="s">
        <v>159</v>
      </c>
      <c r="C23" s="5"/>
      <c r="D23" s="4" t="s">
        <v>49</v>
      </c>
      <c r="E23" s="4" t="str">
        <f aca="false">'CP-10'!E20</f>
        <v>Non commencé</v>
      </c>
    </row>
    <row r="24" customFormat="false" ht="18" hidden="false" customHeight="true" outlineLevel="0" collapsed="false">
      <c r="A24" s="4" t="s">
        <v>51</v>
      </c>
      <c r="B24" s="5" t="s">
        <v>159</v>
      </c>
      <c r="C24" s="5"/>
      <c r="D24" s="4" t="s">
        <v>52</v>
      </c>
      <c r="E24" s="4" t="str">
        <f aca="false">'CP-10-4'!E20</f>
        <v>Non commencé</v>
      </c>
    </row>
    <row r="25" customFormat="false" ht="18" hidden="false" customHeight="true" outlineLevel="0" collapsed="false">
      <c r="A25" s="4" t="s">
        <v>53</v>
      </c>
      <c r="B25" s="5" t="s">
        <v>160</v>
      </c>
      <c r="C25" s="5"/>
      <c r="D25" s="4" t="s">
        <v>53</v>
      </c>
      <c r="E25" s="4" t="str">
        <f aca="false">'IA-3'!E20</f>
        <v>Non commencé</v>
      </c>
    </row>
    <row r="26" customFormat="false" ht="18" hidden="false" customHeight="true" outlineLevel="0" collapsed="false">
      <c r="A26" s="4" t="s">
        <v>55</v>
      </c>
      <c r="B26" s="5" t="s">
        <v>161</v>
      </c>
      <c r="C26" s="5"/>
      <c r="D26" s="4" t="s">
        <v>57</v>
      </c>
      <c r="E26" s="4" t="str">
        <f aca="false">'MA-4-6'!E20</f>
        <v>Non commencé</v>
      </c>
    </row>
    <row r="27" customFormat="false" ht="18" hidden="false" customHeight="true" outlineLevel="0" collapsed="false">
      <c r="A27" s="4" t="s">
        <v>58</v>
      </c>
      <c r="B27" s="5" t="s">
        <v>162</v>
      </c>
      <c r="C27" s="5"/>
      <c r="D27" s="4" t="s">
        <v>60</v>
      </c>
      <c r="E27" s="4" t="str">
        <f aca="false">'SA-9-5'!E20</f>
        <v>Non commencé</v>
      </c>
    </row>
    <row r="28" customFormat="false" ht="18" hidden="false" customHeight="true" outlineLevel="0" collapsed="false">
      <c r="A28" s="4" t="s">
        <v>61</v>
      </c>
      <c r="B28" s="5" t="s">
        <v>163</v>
      </c>
      <c r="C28" s="5"/>
      <c r="D28" s="4" t="s">
        <v>61</v>
      </c>
      <c r="E28" s="4" t="str">
        <f aca="false">'SC-2'!E20</f>
        <v>Non commencé</v>
      </c>
    </row>
    <row r="29" customFormat="false" ht="18" hidden="false" customHeight="true" outlineLevel="0" collapsed="false">
      <c r="A29" s="4" t="s">
        <v>63</v>
      </c>
      <c r="B29" s="5" t="s">
        <v>164</v>
      </c>
      <c r="C29" s="5"/>
      <c r="D29" s="4" t="s">
        <v>63</v>
      </c>
      <c r="E29" s="4" t="str">
        <f aca="false">'SC-4'!E20</f>
        <v>Non commencé</v>
      </c>
    </row>
    <row r="30" customFormat="false" ht="18" hidden="false" customHeight="true" outlineLevel="0" collapsed="false">
      <c r="A30" s="4" t="s">
        <v>65</v>
      </c>
      <c r="B30" s="5" t="s">
        <v>165</v>
      </c>
      <c r="C30" s="5"/>
      <c r="D30" s="4" t="s">
        <v>65</v>
      </c>
      <c r="E30" s="4" t="str">
        <f aca="false">'SC-5'!E20</f>
        <v>Non commencé</v>
      </c>
    </row>
    <row r="31" customFormat="false" ht="18" hidden="false" customHeight="true" outlineLevel="0" collapsed="false">
      <c r="A31" s="4" t="s">
        <v>67</v>
      </c>
      <c r="B31" s="5" t="s">
        <v>166</v>
      </c>
      <c r="C31" s="5"/>
      <c r="D31" s="4" t="s">
        <v>67</v>
      </c>
      <c r="E31" s="4" t="str">
        <f aca="false">'SC-7'!E20</f>
        <v>Non commencé</v>
      </c>
    </row>
    <row r="32" customFormat="false" ht="18" hidden="false" customHeight="true" outlineLevel="0" collapsed="false">
      <c r="A32" s="4" t="s">
        <v>69</v>
      </c>
      <c r="B32" s="5" t="s">
        <v>166</v>
      </c>
      <c r="C32" s="5"/>
      <c r="D32" s="4" t="s">
        <v>70</v>
      </c>
      <c r="E32" s="4" t="str">
        <f aca="false">'SC-7-3'!E20</f>
        <v>Non commencé</v>
      </c>
    </row>
    <row r="33" customFormat="false" ht="18" hidden="false" customHeight="true" outlineLevel="0" collapsed="false">
      <c r="A33" s="4" t="s">
        <v>71</v>
      </c>
      <c r="B33" s="5" t="s">
        <v>166</v>
      </c>
      <c r="C33" s="5"/>
      <c r="D33" s="4" t="s">
        <v>72</v>
      </c>
      <c r="E33" s="4" t="str">
        <f aca="false">'SC-7-4'!E20</f>
        <v>Non commencé</v>
      </c>
    </row>
    <row r="34" customFormat="false" ht="18" hidden="false" customHeight="true" outlineLevel="0" collapsed="false">
      <c r="A34" s="4" t="s">
        <v>73</v>
      </c>
      <c r="B34" s="5" t="s">
        <v>166</v>
      </c>
      <c r="C34" s="5"/>
      <c r="D34" s="4" t="s">
        <v>74</v>
      </c>
      <c r="E34" s="4" t="str">
        <f aca="false">'SC-7-5'!E20</f>
        <v>Non commencé</v>
      </c>
    </row>
    <row r="35" customFormat="false" ht="18" hidden="false" customHeight="true" outlineLevel="0" collapsed="false">
      <c r="A35" s="4" t="s">
        <v>75</v>
      </c>
      <c r="B35" s="5" t="s">
        <v>166</v>
      </c>
      <c r="C35" s="5"/>
      <c r="D35" s="4" t="s">
        <v>76</v>
      </c>
      <c r="E35" s="4" t="str">
        <f aca="false">'SC-7-8'!E20</f>
        <v>Non commencé</v>
      </c>
    </row>
    <row r="36" customFormat="false" ht="18" hidden="false" customHeight="true" outlineLevel="0" collapsed="false">
      <c r="A36" s="4" t="s">
        <v>77</v>
      </c>
      <c r="B36" s="5" t="s">
        <v>166</v>
      </c>
      <c r="C36" s="5"/>
      <c r="D36" s="4" t="s">
        <v>78</v>
      </c>
      <c r="E36" s="4" t="str">
        <f aca="false">'SC-7-13'!E20</f>
        <v>Non commencé</v>
      </c>
    </row>
    <row r="37" customFormat="false" ht="18" hidden="false" customHeight="true" outlineLevel="0" collapsed="false">
      <c r="A37" s="4" t="s">
        <v>79</v>
      </c>
      <c r="B37" s="5" t="s">
        <v>166</v>
      </c>
      <c r="C37" s="5"/>
      <c r="D37" s="4" t="s">
        <v>80</v>
      </c>
      <c r="E37" s="4" t="str">
        <f aca="false">'SC-7-18'!E20</f>
        <v>Non commencé</v>
      </c>
    </row>
    <row r="38" customFormat="false" ht="18" hidden="false" customHeight="true" outlineLevel="0" collapsed="false">
      <c r="A38" s="4" t="s">
        <v>81</v>
      </c>
      <c r="B38" s="5" t="s">
        <v>167</v>
      </c>
      <c r="C38" s="5"/>
      <c r="D38" s="4" t="s">
        <v>81</v>
      </c>
      <c r="E38" s="4" t="str">
        <f aca="false">'SC-8'!E20</f>
        <v>Non commencé</v>
      </c>
    </row>
    <row r="39" customFormat="false" ht="18" hidden="false" customHeight="true" outlineLevel="0" collapsed="false">
      <c r="A39" s="4" t="s">
        <v>83</v>
      </c>
      <c r="B39" s="5" t="s">
        <v>167</v>
      </c>
      <c r="C39" s="5"/>
      <c r="D39" s="4" t="s">
        <v>84</v>
      </c>
      <c r="E39" s="4" t="str">
        <f aca="false">'SC-8-1'!E20</f>
        <v>Non commencé</v>
      </c>
    </row>
    <row r="40" customFormat="false" ht="18" hidden="false" customHeight="true" outlineLevel="0" collapsed="false">
      <c r="A40" s="4" t="s">
        <v>85</v>
      </c>
      <c r="B40" s="5" t="s">
        <v>168</v>
      </c>
      <c r="C40" s="5"/>
      <c r="D40" s="4" t="s">
        <v>85</v>
      </c>
      <c r="E40" s="4" t="str">
        <f aca="false">'SC-10'!E20</f>
        <v>Non commencé</v>
      </c>
    </row>
    <row r="41" customFormat="false" ht="18" hidden="false" customHeight="true" outlineLevel="0" collapsed="false">
      <c r="A41" s="4" t="s">
        <v>87</v>
      </c>
      <c r="B41" s="5" t="s">
        <v>169</v>
      </c>
      <c r="C41" s="5"/>
      <c r="D41" s="4" t="s">
        <v>89</v>
      </c>
      <c r="E41" s="4" t="str">
        <f aca="false">'SC-12-3'!E20</f>
        <v>Non commencé</v>
      </c>
    </row>
    <row r="42" customFormat="false" ht="18" hidden="false" customHeight="true" outlineLevel="0" collapsed="false">
      <c r="A42" s="4" t="s">
        <v>90</v>
      </c>
      <c r="B42" s="5" t="s">
        <v>170</v>
      </c>
      <c r="C42" s="5"/>
      <c r="D42" s="4" t="s">
        <v>90</v>
      </c>
      <c r="E42" s="4" t="str">
        <f aca="false">'SC-13'!E20</f>
        <v>Non commencé</v>
      </c>
    </row>
    <row r="43" customFormat="false" ht="18" hidden="false" customHeight="true" outlineLevel="0" collapsed="false">
      <c r="A43" s="4" t="s">
        <v>92</v>
      </c>
      <c r="B43" s="5" t="s">
        <v>171</v>
      </c>
      <c r="C43" s="5"/>
      <c r="D43" s="4" t="s">
        <v>92</v>
      </c>
      <c r="E43" s="4" t="str">
        <f aca="false">'SC-18'!E20</f>
        <v>Non commencé</v>
      </c>
    </row>
    <row r="44" customFormat="false" ht="18" hidden="false" customHeight="true" outlineLevel="0" collapsed="false">
      <c r="A44" s="4" t="s">
        <v>94</v>
      </c>
      <c r="B44" s="5" t="s">
        <v>172</v>
      </c>
      <c r="C44" s="5"/>
      <c r="D44" s="4" t="s">
        <v>94</v>
      </c>
      <c r="E44" s="4" t="str">
        <f aca="false">'SC-20'!E20</f>
        <v>Non commencé</v>
      </c>
    </row>
    <row r="45" customFormat="false" ht="18" hidden="false" customHeight="true" outlineLevel="0" collapsed="false">
      <c r="A45" s="4" t="s">
        <v>96</v>
      </c>
      <c r="B45" s="5" t="s">
        <v>173</v>
      </c>
      <c r="C45" s="5"/>
      <c r="D45" s="4" t="s">
        <v>96</v>
      </c>
      <c r="E45" s="4" t="str">
        <f aca="false">'SC-21'!E20</f>
        <v>Non commencé</v>
      </c>
    </row>
    <row r="46" customFormat="false" ht="18" hidden="false" customHeight="true" outlineLevel="0" collapsed="false">
      <c r="A46" s="4" t="s">
        <v>98</v>
      </c>
      <c r="B46" s="5" t="s">
        <v>174</v>
      </c>
      <c r="C46" s="5"/>
      <c r="D46" s="4" t="s">
        <v>98</v>
      </c>
      <c r="E46" s="4" t="str">
        <f aca="false">'SC-22'!E20</f>
        <v>Non commencé</v>
      </c>
    </row>
    <row r="47" customFormat="false" ht="18" hidden="false" customHeight="true" outlineLevel="0" collapsed="false">
      <c r="A47" s="4" t="s">
        <v>100</v>
      </c>
      <c r="B47" s="5" t="s">
        <v>175</v>
      </c>
      <c r="C47" s="5"/>
      <c r="D47" s="4" t="s">
        <v>100</v>
      </c>
      <c r="E47" s="4" t="str">
        <f aca="false">'SC-23'!E20</f>
        <v>Non commencé</v>
      </c>
    </row>
    <row r="48" customFormat="false" ht="18" hidden="false" customHeight="true" outlineLevel="0" collapsed="false">
      <c r="A48" s="4" t="s">
        <v>102</v>
      </c>
      <c r="B48" s="5" t="s">
        <v>175</v>
      </c>
      <c r="C48" s="5"/>
      <c r="D48" s="4" t="s">
        <v>103</v>
      </c>
      <c r="E48" s="4" t="str">
        <f aca="false">'SC-23-1'!E20</f>
        <v>Non commencé</v>
      </c>
    </row>
    <row r="49" customFormat="false" ht="18" hidden="false" customHeight="true" outlineLevel="0" collapsed="false">
      <c r="A49" s="4" t="s">
        <v>104</v>
      </c>
      <c r="B49" s="5" t="s">
        <v>176</v>
      </c>
      <c r="C49" s="5"/>
      <c r="D49" s="4" t="s">
        <v>104</v>
      </c>
      <c r="E49" s="4" t="str">
        <f aca="false">'SC-28'!E20</f>
        <v>Non commencé</v>
      </c>
    </row>
    <row r="50" customFormat="false" ht="18" hidden="false" customHeight="true" outlineLevel="0" collapsed="false">
      <c r="A50" s="4" t="s">
        <v>106</v>
      </c>
      <c r="B50" s="5" t="s">
        <v>177</v>
      </c>
      <c r="C50" s="5"/>
      <c r="D50" s="4" t="s">
        <v>106</v>
      </c>
      <c r="E50" s="4" t="str">
        <f aca="false">'SI-3'!E20</f>
        <v>Non commencé</v>
      </c>
    </row>
    <row r="51" customFormat="false" ht="18" hidden="false" customHeight="true" outlineLevel="0" collapsed="false">
      <c r="A51" s="4" t="s">
        <v>108</v>
      </c>
      <c r="B51" s="5" t="s">
        <v>178</v>
      </c>
      <c r="C51" s="5"/>
      <c r="D51" s="4" t="s">
        <v>108</v>
      </c>
      <c r="E51" s="4" t="str">
        <f aca="false">'SI-4'!E20</f>
        <v>Non commencé</v>
      </c>
    </row>
    <row r="52" customFormat="false" ht="18" hidden="false" customHeight="true" outlineLevel="0" collapsed="false">
      <c r="A52" s="4" t="s">
        <v>110</v>
      </c>
      <c r="B52" s="5" t="s">
        <v>178</v>
      </c>
      <c r="C52" s="5"/>
      <c r="D52" s="4" t="s">
        <v>111</v>
      </c>
      <c r="E52" s="4" t="str">
        <f aca="false">'SI-4-1'!E20</f>
        <v>Non commencé</v>
      </c>
    </row>
    <row r="53" customFormat="false" ht="18" hidden="false" customHeight="true" outlineLevel="0" collapsed="false">
      <c r="A53" s="4" t="s">
        <v>112</v>
      </c>
      <c r="B53" s="5" t="s">
        <v>178</v>
      </c>
      <c r="C53" s="5"/>
      <c r="D53" s="4" t="s">
        <v>113</v>
      </c>
      <c r="E53" s="4" t="str">
        <f aca="false">'SI-4-2'!E20</f>
        <v>Non commencé</v>
      </c>
    </row>
    <row r="54" customFormat="false" ht="18" hidden="false" customHeight="true" outlineLevel="0" collapsed="false">
      <c r="A54" s="4" t="s">
        <v>114</v>
      </c>
      <c r="B54" s="5" t="s">
        <v>178</v>
      </c>
      <c r="C54" s="5"/>
      <c r="D54" s="4" t="s">
        <v>115</v>
      </c>
      <c r="E54" s="4" t="str">
        <f aca="false">'SI-4-4'!E20</f>
        <v>Non commencé</v>
      </c>
    </row>
    <row r="55" customFormat="false" ht="18" hidden="false" customHeight="true" outlineLevel="0" collapsed="false">
      <c r="A55" s="4" t="s">
        <v>116</v>
      </c>
      <c r="B55" s="5" t="s">
        <v>178</v>
      </c>
      <c r="C55" s="5"/>
      <c r="D55" s="4" t="s">
        <v>117</v>
      </c>
      <c r="E55" s="4" t="str">
        <f aca="false">'SI-4-5'!E20</f>
        <v>Non commencé</v>
      </c>
    </row>
    <row r="56" customFormat="false" ht="18" hidden="false" customHeight="true" outlineLevel="0" collapsed="false">
      <c r="A56" s="4" t="s">
        <v>118</v>
      </c>
      <c r="B56" s="5" t="s">
        <v>178</v>
      </c>
      <c r="C56" s="5"/>
      <c r="D56" s="4" t="s">
        <v>119</v>
      </c>
      <c r="E56" s="4" t="str">
        <f aca="false">'SI-4-11'!E20</f>
        <v>Non commencé</v>
      </c>
    </row>
    <row r="57" customFormat="false" ht="18" hidden="false" customHeight="true" outlineLevel="0" collapsed="false">
      <c r="A57" s="4" t="s">
        <v>120</v>
      </c>
      <c r="B57" s="5" t="s">
        <v>179</v>
      </c>
      <c r="C57" s="5"/>
      <c r="D57" s="4" t="s">
        <v>120</v>
      </c>
      <c r="E57" s="4" t="str">
        <f aca="false">'SI-6'!E20</f>
        <v>Non commencé</v>
      </c>
    </row>
    <row r="58" customFormat="false" ht="18" hidden="false" customHeight="true" outlineLevel="0" collapsed="false">
      <c r="A58" s="4" t="s">
        <v>122</v>
      </c>
      <c r="B58" s="5" t="s">
        <v>180</v>
      </c>
      <c r="C58" s="5"/>
      <c r="D58" s="4" t="s">
        <v>122</v>
      </c>
      <c r="E58" s="4" t="str">
        <f aca="false">'SI-8'!E20</f>
        <v>Non commencé</v>
      </c>
    </row>
    <row r="59" customFormat="false" ht="18" hidden="false" customHeight="true" outlineLevel="0" collapsed="false">
      <c r="A59" s="4" t="s">
        <v>124</v>
      </c>
      <c r="B59" s="5" t="s">
        <v>180</v>
      </c>
      <c r="C59" s="5"/>
      <c r="D59" s="4" t="s">
        <v>125</v>
      </c>
      <c r="E59" s="4" t="str">
        <f aca="false">'SI-8-1'!E20</f>
        <v>Non commencé</v>
      </c>
    </row>
    <row r="60" customFormat="false" ht="18" hidden="false" customHeight="true" outlineLevel="0" collapsed="false">
      <c r="A60" s="4" t="s">
        <v>126</v>
      </c>
      <c r="B60" s="5" t="s">
        <v>180</v>
      </c>
      <c r="C60" s="5"/>
      <c r="D60" s="4" t="s">
        <v>127</v>
      </c>
      <c r="E60" s="4" t="str">
        <f aca="false">'SI-8-2'!E20</f>
        <v>Non commencé</v>
      </c>
    </row>
    <row r="61" customFormat="false" ht="18" hidden="false" customHeight="true" outlineLevel="0" collapsed="false">
      <c r="A61" s="4" t="s">
        <v>128</v>
      </c>
      <c r="B61" s="5" t="s">
        <v>181</v>
      </c>
      <c r="C61" s="5"/>
      <c r="D61" s="4" t="s">
        <v>128</v>
      </c>
      <c r="E61" s="4" t="str">
        <f aca="false">'SI-11'!E20</f>
        <v>Non commencé</v>
      </c>
    </row>
    <row r="63" customFormat="false" ht="21.75" hidden="false" customHeight="true" outlineLevel="0" collapsed="false">
      <c r="A63" s="6" t="s">
        <v>182</v>
      </c>
      <c r="B63" s="6"/>
      <c r="C63" s="6"/>
      <c r="D63" s="6"/>
      <c r="E63" s="6"/>
    </row>
    <row r="64" customFormat="false" ht="19.5" hidden="false" customHeight="true" outlineLevel="0" collapsed="false">
      <c r="A64" s="7" t="s">
        <v>183</v>
      </c>
      <c r="B64" s="7"/>
      <c r="C64" s="7"/>
      <c r="D64" s="7"/>
      <c r="E64" s="8" t="n">
        <f aca="false">59</f>
        <v>59</v>
      </c>
    </row>
    <row r="65" customFormat="false" ht="19.5" hidden="false" customHeight="true" outlineLevel="0" collapsed="false">
      <c r="A65" s="7" t="s">
        <v>184</v>
      </c>
      <c r="B65" s="7"/>
      <c r="C65" s="7"/>
      <c r="D65" s="7"/>
      <c r="E65" s="8" t="n">
        <f aca="false">COUNTIF(E3:E61,"Non commencé")</f>
        <v>59</v>
      </c>
    </row>
    <row r="66" customFormat="false" ht="19.5" hidden="false" customHeight="true" outlineLevel="0" collapsed="false">
      <c r="A66" s="7" t="s">
        <v>185</v>
      </c>
      <c r="B66" s="7"/>
      <c r="C66" s="7"/>
      <c r="D66" s="7"/>
      <c r="E66" s="8" t="n">
        <f aca="false">COUNTIF(E3:E61,"En cours")</f>
        <v>0</v>
      </c>
    </row>
    <row r="67" customFormat="false" ht="19.5" hidden="false" customHeight="true" outlineLevel="0" collapsed="false">
      <c r="A67" s="7" t="s">
        <v>186</v>
      </c>
      <c r="B67" s="7"/>
      <c r="C67" s="7"/>
      <c r="D67" s="7"/>
      <c r="E67" s="8" t="n">
        <f aca="false">COUNTIF(E3:E61,"Preuve fournie")</f>
        <v>0</v>
      </c>
    </row>
    <row r="68" customFormat="false" ht="19.5" hidden="false" customHeight="true" outlineLevel="0" collapsed="false">
      <c r="A68" s="7" t="s">
        <v>187</v>
      </c>
      <c r="B68" s="7"/>
      <c r="C68" s="7"/>
      <c r="D68" s="7"/>
      <c r="E68" s="8" t="n">
        <f aca="false">COUNTIF(E3:E61,"En révision")</f>
        <v>0</v>
      </c>
    </row>
    <row r="69" customFormat="false" ht="19.5" hidden="false" customHeight="true" outlineLevel="0" collapsed="false">
      <c r="A69" s="7" t="s">
        <v>188</v>
      </c>
      <c r="B69" s="7"/>
      <c r="C69" s="7"/>
      <c r="D69" s="7"/>
      <c r="E69" s="8" t="n">
        <f aca="false">COUNTIF(E3:E61,"Réussi")</f>
        <v>0</v>
      </c>
    </row>
    <row r="70" customFormat="false" ht="19.5" hidden="false" customHeight="true" outlineLevel="0" collapsed="false">
      <c r="A70" s="7" t="s">
        <v>189</v>
      </c>
      <c r="B70" s="7"/>
      <c r="C70" s="7"/>
      <c r="D70" s="7"/>
      <c r="E70" s="8" t="n">
        <f aca="false">COUNTIF(E3:E61,"Échec")</f>
        <v>0</v>
      </c>
    </row>
    <row r="71" customFormat="false" ht="19.5" hidden="false" customHeight="true" outlineLevel="0" collapsed="false">
      <c r="A71" s="7" t="s">
        <v>190</v>
      </c>
      <c r="B71" s="7"/>
      <c r="C71" s="7"/>
      <c r="D71" s="7"/>
      <c r="E71" s="8" t="n">
        <f aca="false">COUNTIF(E3:E61,"Exception acceptée")</f>
        <v>0</v>
      </c>
    </row>
    <row r="72" customFormat="false" ht="19.5" hidden="false" customHeight="true" outlineLevel="0" collapsed="false">
      <c r="A72" s="7" t="s">
        <v>191</v>
      </c>
      <c r="B72" s="7"/>
      <c r="C72" s="7"/>
      <c r="D72" s="7"/>
      <c r="E72" s="9" t="n">
        <f aca="false">IFERROR(COUNTIF(E3:E61,"Réussi")/59,0)</f>
        <v>0</v>
      </c>
    </row>
    <row r="73" customFormat="false" ht="19.5" hidden="false" customHeight="true" outlineLevel="0" collapsed="false">
      <c r="A73" s="7" t="s">
        <v>192</v>
      </c>
      <c r="B73" s="7"/>
      <c r="C73" s="7"/>
      <c r="D73" s="7"/>
      <c r="E73" s="9" t="n">
        <f aca="false">IFERROR(COUNTIF(E3:E61,"Non commencé")/59,0)</f>
        <v>1</v>
      </c>
    </row>
  </sheetData>
  <mergeCells count="12">
    <mergeCell ref="A1:E1"/>
    <mergeCell ref="A63:E63"/>
    <mergeCell ref="A64:D64"/>
    <mergeCell ref="A65:D65"/>
    <mergeCell ref="A66:D66"/>
    <mergeCell ref="A67:D67"/>
    <mergeCell ref="A68:D68"/>
    <mergeCell ref="A69:D69"/>
    <mergeCell ref="A70:D70"/>
    <mergeCell ref="A71:D71"/>
    <mergeCell ref="A72:D72"/>
    <mergeCell ref="A73:D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193</v>
      </c>
      <c r="B1" s="10"/>
      <c r="D1" s="10" t="s">
        <v>194</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6</v>
      </c>
      <c r="D3" s="12" t="s">
        <v>198</v>
      </c>
      <c r="E3" s="13" t="s">
        <v>6</v>
      </c>
    </row>
    <row r="4" customFormat="false" ht="21.75" hidden="false" customHeight="true" outlineLevel="0" collapsed="false">
      <c r="A4" s="12" t="s">
        <v>199</v>
      </c>
      <c r="B4" s="13" t="s">
        <v>7</v>
      </c>
      <c r="D4" s="12" t="s">
        <v>200</v>
      </c>
      <c r="E4" s="13" t="s">
        <v>147</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210</v>
      </c>
      <c r="D8" s="12" t="s">
        <v>211</v>
      </c>
      <c r="E8" s="13" t="s">
        <v>212</v>
      </c>
    </row>
    <row r="9" customFormat="false" ht="300" hidden="false" customHeight="true" outlineLevel="0" collapsed="false">
      <c r="A9" s="12" t="s">
        <v>213</v>
      </c>
      <c r="B9" s="13" t="s">
        <v>214</v>
      </c>
      <c r="D9" s="12" t="s">
        <v>215</v>
      </c>
      <c r="E9" s="13" t="s">
        <v>216</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220</v>
      </c>
      <c r="D11" s="12" t="s">
        <v>219</v>
      </c>
      <c r="E11" s="13" t="s">
        <v>220</v>
      </c>
    </row>
    <row r="12" customFormat="false" ht="21.75" hidden="false" customHeight="true" outlineLevel="0" collapsed="false">
      <c r="A12" s="12" t="s">
        <v>221</v>
      </c>
      <c r="B12" s="13" t="s">
        <v>6</v>
      </c>
      <c r="D12" s="12" t="s">
        <v>222</v>
      </c>
      <c r="E12" s="13" t="s">
        <v>6</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238</v>
      </c>
      <c r="B1" s="10"/>
      <c r="D1" s="10" t="s">
        <v>239</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8</v>
      </c>
      <c r="D3" s="12" t="s">
        <v>198</v>
      </c>
      <c r="E3" s="13" t="s">
        <v>8</v>
      </c>
    </row>
    <row r="4" customFormat="false" ht="21.75" hidden="false" customHeight="true" outlineLevel="0" collapsed="false">
      <c r="A4" s="12" t="s">
        <v>199</v>
      </c>
      <c r="B4" s="13" t="s">
        <v>7</v>
      </c>
      <c r="D4" s="12" t="s">
        <v>200</v>
      </c>
      <c r="E4" s="13" t="s">
        <v>147</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240</v>
      </c>
      <c r="D8" s="12" t="s">
        <v>211</v>
      </c>
      <c r="E8" s="13" t="s">
        <v>241</v>
      </c>
    </row>
    <row r="9" customFormat="false" ht="103.5" hidden="false" customHeight="true" outlineLevel="0" collapsed="false">
      <c r="A9" s="12" t="s">
        <v>213</v>
      </c>
      <c r="B9" s="13" t="s">
        <v>242</v>
      </c>
      <c r="D9" s="12" t="s">
        <v>215</v>
      </c>
      <c r="E9" s="13" t="s">
        <v>243</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244</v>
      </c>
      <c r="D11" s="12" t="s">
        <v>219</v>
      </c>
      <c r="E11" s="13" t="s">
        <v>244</v>
      </c>
    </row>
    <row r="12" customFormat="false" ht="21.75" hidden="false" customHeight="true" outlineLevel="0" collapsed="false">
      <c r="A12" s="12" t="s">
        <v>221</v>
      </c>
      <c r="B12" s="13" t="s">
        <v>8</v>
      </c>
      <c r="D12" s="12" t="s">
        <v>222</v>
      </c>
      <c r="E12" s="13" t="s">
        <v>8</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245</v>
      </c>
      <c r="B1" s="10"/>
      <c r="D1" s="10" t="s">
        <v>246</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10</v>
      </c>
      <c r="D3" s="12" t="s">
        <v>198</v>
      </c>
      <c r="E3" s="13" t="s">
        <v>10</v>
      </c>
    </row>
    <row r="4" customFormat="false" ht="21.75" hidden="false" customHeight="true" outlineLevel="0" collapsed="false">
      <c r="A4" s="12" t="s">
        <v>199</v>
      </c>
      <c r="B4" s="13" t="s">
        <v>11</v>
      </c>
      <c r="D4" s="12" t="s">
        <v>200</v>
      </c>
      <c r="E4" s="13" t="s">
        <v>148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247</v>
      </c>
      <c r="D8" s="12" t="s">
        <v>211</v>
      </c>
      <c r="E8" s="13" t="s">
        <v>248</v>
      </c>
    </row>
    <row r="9" customFormat="false" ht="90.75" hidden="false" customHeight="true" outlineLevel="0" collapsed="false">
      <c r="A9" s="12" t="s">
        <v>213</v>
      </c>
      <c r="B9" s="13" t="s">
        <v>249</v>
      </c>
      <c r="D9" s="12" t="s">
        <v>215</v>
      </c>
      <c r="E9" s="13" t="s">
        <v>250</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251</v>
      </c>
      <c r="D11" s="12" t="s">
        <v>219</v>
      </c>
      <c r="E11" s="13" t="s">
        <v>251</v>
      </c>
    </row>
    <row r="12" customFormat="false" ht="21.75" hidden="false" customHeight="true" outlineLevel="0" collapsed="false">
      <c r="A12" s="12" t="s">
        <v>221</v>
      </c>
      <c r="B12" s="13" t="s">
        <v>10</v>
      </c>
      <c r="D12" s="12" t="s">
        <v>222</v>
      </c>
      <c r="E12" s="13" t="s">
        <v>10</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252</v>
      </c>
      <c r="B1" s="10"/>
      <c r="D1" s="10" t="s">
        <v>253</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13</v>
      </c>
      <c r="D3" s="12" t="s">
        <v>198</v>
      </c>
      <c r="E3" s="13" t="s">
        <v>13</v>
      </c>
    </row>
    <row r="4" customFormat="false" ht="21.75" hidden="false" customHeight="true" outlineLevel="0" collapsed="false">
      <c r="A4" s="12" t="s">
        <v>199</v>
      </c>
      <c r="B4" s="13" t="s">
        <v>11</v>
      </c>
      <c r="D4" s="12" t="s">
        <v>200</v>
      </c>
      <c r="E4" s="13" t="s">
        <v>148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64.5" hidden="false" customHeight="true" outlineLevel="0" collapsed="false">
      <c r="A8" s="12" t="s">
        <v>209</v>
      </c>
      <c r="B8" s="13" t="s">
        <v>254</v>
      </c>
      <c r="D8" s="12" t="s">
        <v>211</v>
      </c>
      <c r="E8" s="13" t="s">
        <v>255</v>
      </c>
    </row>
    <row r="9" customFormat="false" ht="45" hidden="false" customHeight="true" outlineLevel="0" collapsed="false">
      <c r="A9" s="12" t="s">
        <v>213</v>
      </c>
      <c r="B9" s="13" t="s">
        <v>256</v>
      </c>
      <c r="D9" s="12" t="s">
        <v>215</v>
      </c>
      <c r="E9" s="13" t="s">
        <v>257</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258</v>
      </c>
      <c r="D11" s="12" t="s">
        <v>219</v>
      </c>
      <c r="E11" s="13" t="s">
        <v>258</v>
      </c>
    </row>
    <row r="12" customFormat="false" ht="21.75" hidden="false" customHeight="true" outlineLevel="0" collapsed="false">
      <c r="A12" s="12" t="s">
        <v>221</v>
      </c>
      <c r="B12" s="13" t="s">
        <v>13</v>
      </c>
      <c r="D12" s="12" t="s">
        <v>222</v>
      </c>
      <c r="E12" s="13" t="s">
        <v>13</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259</v>
      </c>
      <c r="B1" s="10"/>
      <c r="D1" s="10" t="s">
        <v>260</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15</v>
      </c>
      <c r="D3" s="12" t="s">
        <v>198</v>
      </c>
      <c r="E3" s="13" t="s">
        <v>15</v>
      </c>
    </row>
    <row r="4" customFormat="false" ht="21.75" hidden="false" customHeight="true" outlineLevel="0" collapsed="false">
      <c r="A4" s="12" t="s">
        <v>199</v>
      </c>
      <c r="B4" s="13" t="s">
        <v>11</v>
      </c>
      <c r="D4" s="12" t="s">
        <v>200</v>
      </c>
      <c r="E4" s="13" t="s">
        <v>148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261</v>
      </c>
      <c r="D8" s="12" t="s">
        <v>211</v>
      </c>
      <c r="E8" s="13" t="s">
        <v>262</v>
      </c>
    </row>
    <row r="9" customFormat="false" ht="45" hidden="false" customHeight="true" outlineLevel="0" collapsed="false">
      <c r="A9" s="12" t="s">
        <v>213</v>
      </c>
      <c r="B9" s="13" t="s">
        <v>263</v>
      </c>
      <c r="D9" s="12" t="s">
        <v>215</v>
      </c>
      <c r="E9" s="13" t="s">
        <v>264</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265</v>
      </c>
      <c r="D11" s="12" t="s">
        <v>219</v>
      </c>
      <c r="E11" s="13" t="s">
        <v>265</v>
      </c>
    </row>
    <row r="12" customFormat="false" ht="21.75" hidden="false" customHeight="true" outlineLevel="0" collapsed="false">
      <c r="A12" s="12" t="s">
        <v>221</v>
      </c>
      <c r="B12" s="13" t="s">
        <v>15</v>
      </c>
      <c r="D12" s="12" t="s">
        <v>222</v>
      </c>
      <c r="E12" s="13" t="s">
        <v>15</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266</v>
      </c>
      <c r="B1" s="10"/>
      <c r="D1" s="10" t="s">
        <v>267</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17</v>
      </c>
      <c r="D3" s="12" t="s">
        <v>198</v>
      </c>
      <c r="E3" s="13" t="s">
        <v>17</v>
      </c>
    </row>
    <row r="4" customFormat="false" ht="21.75" hidden="false" customHeight="true" outlineLevel="0" collapsed="false">
      <c r="A4" s="12" t="s">
        <v>199</v>
      </c>
      <c r="B4" s="13" t="s">
        <v>11</v>
      </c>
      <c r="D4" s="12" t="s">
        <v>200</v>
      </c>
      <c r="E4" s="13" t="s">
        <v>148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268</v>
      </c>
      <c r="D8" s="12" t="s">
        <v>211</v>
      </c>
      <c r="E8" s="13" t="s">
        <v>269</v>
      </c>
    </row>
    <row r="9" customFormat="false" ht="90.75" hidden="false" customHeight="true" outlineLevel="0" collapsed="false">
      <c r="A9" s="12" t="s">
        <v>213</v>
      </c>
      <c r="B9" s="13" t="s">
        <v>270</v>
      </c>
      <c r="D9" s="12" t="s">
        <v>215</v>
      </c>
      <c r="E9" s="13" t="s">
        <v>271</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272</v>
      </c>
      <c r="D11" s="12" t="s">
        <v>219</v>
      </c>
      <c r="E11" s="13" t="s">
        <v>272</v>
      </c>
    </row>
    <row r="12" customFormat="false" ht="21.75" hidden="false" customHeight="true" outlineLevel="0" collapsed="false">
      <c r="A12" s="12" t="s">
        <v>221</v>
      </c>
      <c r="B12" s="13" t="s">
        <v>17</v>
      </c>
      <c r="D12" s="12" t="s">
        <v>222</v>
      </c>
      <c r="E12" s="13" t="s">
        <v>17</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273</v>
      </c>
      <c r="B1" s="10"/>
      <c r="D1" s="10" t="s">
        <v>274</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19</v>
      </c>
      <c r="D3" s="12" t="s">
        <v>198</v>
      </c>
      <c r="E3" s="13" t="s">
        <v>19</v>
      </c>
    </row>
    <row r="4" customFormat="false" ht="21.75" hidden="false" customHeight="true" outlineLevel="0" collapsed="false">
      <c r="A4" s="12" t="s">
        <v>199</v>
      </c>
      <c r="B4" s="13" t="s">
        <v>11</v>
      </c>
      <c r="D4" s="12" t="s">
        <v>200</v>
      </c>
      <c r="E4" s="13" t="s">
        <v>148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275</v>
      </c>
      <c r="D8" s="12" t="s">
        <v>211</v>
      </c>
      <c r="E8" s="13" t="s">
        <v>276</v>
      </c>
    </row>
    <row r="9" customFormat="false" ht="45" hidden="false" customHeight="true" outlineLevel="0" collapsed="false">
      <c r="A9" s="12" t="s">
        <v>213</v>
      </c>
      <c r="B9" s="13"/>
      <c r="D9" s="12" t="s">
        <v>215</v>
      </c>
      <c r="E9" s="13"/>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277</v>
      </c>
      <c r="D11" s="12" t="s">
        <v>219</v>
      </c>
      <c r="E11" s="13" t="s">
        <v>277</v>
      </c>
    </row>
    <row r="12" customFormat="false" ht="21.75" hidden="false" customHeight="true" outlineLevel="0" collapsed="false">
      <c r="A12" s="12" t="s">
        <v>221</v>
      </c>
      <c r="B12" s="13" t="s">
        <v>19</v>
      </c>
      <c r="D12" s="12" t="s">
        <v>222</v>
      </c>
      <c r="E12" s="13" t="s">
        <v>19</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278</v>
      </c>
      <c r="B1" s="10"/>
      <c r="D1" s="10" t="s">
        <v>279</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21</v>
      </c>
      <c r="D3" s="12" t="s">
        <v>198</v>
      </c>
      <c r="E3" s="13" t="s">
        <v>21</v>
      </c>
    </row>
    <row r="4" customFormat="false" ht="21.75" hidden="false" customHeight="true" outlineLevel="0" collapsed="false">
      <c r="A4" s="12" t="s">
        <v>199</v>
      </c>
      <c r="B4" s="13" t="s">
        <v>22</v>
      </c>
      <c r="D4" s="12" t="s">
        <v>200</v>
      </c>
      <c r="E4" s="13" t="s">
        <v>149</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234" hidden="false" customHeight="true" outlineLevel="0" collapsed="false">
      <c r="A8" s="12" t="s">
        <v>209</v>
      </c>
      <c r="B8" s="13" t="s">
        <v>280</v>
      </c>
      <c r="D8" s="12" t="s">
        <v>211</v>
      </c>
      <c r="E8" s="13" t="s">
        <v>281</v>
      </c>
    </row>
    <row r="9" customFormat="false" ht="300" hidden="false" customHeight="true" outlineLevel="0" collapsed="false">
      <c r="A9" s="12" t="s">
        <v>213</v>
      </c>
      <c r="B9" s="13" t="s">
        <v>282</v>
      </c>
      <c r="D9" s="12" t="s">
        <v>215</v>
      </c>
      <c r="E9" s="13" t="s">
        <v>283</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284</v>
      </c>
      <c r="D11" s="12" t="s">
        <v>219</v>
      </c>
      <c r="E11" s="13" t="s">
        <v>284</v>
      </c>
    </row>
    <row r="12" customFormat="false" ht="21.75" hidden="false" customHeight="true" outlineLevel="0" collapsed="false">
      <c r="A12" s="12" t="s">
        <v>221</v>
      </c>
      <c r="B12" s="13" t="s">
        <v>21</v>
      </c>
      <c r="D12" s="12" t="s">
        <v>222</v>
      </c>
      <c r="E12" s="13" t="s">
        <v>21</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285</v>
      </c>
      <c r="B1" s="10"/>
      <c r="D1" s="10" t="s">
        <v>286</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23</v>
      </c>
      <c r="D3" s="12" t="s">
        <v>198</v>
      </c>
      <c r="E3" s="13" t="s">
        <v>23</v>
      </c>
    </row>
    <row r="4" customFormat="false" ht="21.75" hidden="false" customHeight="true" outlineLevel="0" collapsed="false">
      <c r="A4" s="12" t="s">
        <v>199</v>
      </c>
      <c r="B4" s="13" t="s">
        <v>24</v>
      </c>
      <c r="D4" s="12" t="s">
        <v>200</v>
      </c>
      <c r="E4" s="13" t="s">
        <v>150</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64.5" hidden="false" customHeight="true" outlineLevel="0" collapsed="false">
      <c r="A8" s="12" t="s">
        <v>209</v>
      </c>
      <c r="B8" s="13" t="s">
        <v>287</v>
      </c>
      <c r="D8" s="12" t="s">
        <v>211</v>
      </c>
      <c r="E8" s="13" t="s">
        <v>288</v>
      </c>
    </row>
    <row r="9" customFormat="false" ht="129.75" hidden="false" customHeight="true" outlineLevel="0" collapsed="false">
      <c r="A9" s="12" t="s">
        <v>213</v>
      </c>
      <c r="B9" s="13" t="s">
        <v>289</v>
      </c>
      <c r="D9" s="12" t="s">
        <v>215</v>
      </c>
      <c r="E9" s="13" t="s">
        <v>290</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291</v>
      </c>
      <c r="D11" s="12" t="s">
        <v>219</v>
      </c>
      <c r="E11" s="13" t="s">
        <v>291</v>
      </c>
    </row>
    <row r="12" customFormat="false" ht="21.75" hidden="false" customHeight="true" outlineLevel="0" collapsed="false">
      <c r="A12" s="12" t="s">
        <v>221</v>
      </c>
      <c r="B12" s="13" t="s">
        <v>23</v>
      </c>
      <c r="D12" s="12" t="s">
        <v>222</v>
      </c>
      <c r="E12" s="13" t="s">
        <v>23</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292</v>
      </c>
      <c r="B1" s="10"/>
      <c r="D1" s="10" t="s">
        <v>293</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25</v>
      </c>
      <c r="D3" s="12" t="s">
        <v>198</v>
      </c>
      <c r="E3" s="13" t="s">
        <v>25</v>
      </c>
    </row>
    <row r="4" customFormat="false" ht="21.75" hidden="false" customHeight="true" outlineLevel="0" collapsed="false">
      <c r="A4" s="12" t="s">
        <v>199</v>
      </c>
      <c r="B4" s="13" t="s">
        <v>24</v>
      </c>
      <c r="D4" s="12" t="s">
        <v>200</v>
      </c>
      <c r="E4" s="13" t="s">
        <v>150</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03.5" hidden="false" customHeight="true" outlineLevel="0" collapsed="false">
      <c r="A8" s="12" t="s">
        <v>209</v>
      </c>
      <c r="B8" s="13" t="s">
        <v>294</v>
      </c>
      <c r="D8" s="12" t="s">
        <v>211</v>
      </c>
      <c r="E8" s="13" t="s">
        <v>295</v>
      </c>
    </row>
    <row r="9" customFormat="false" ht="181.5" hidden="false" customHeight="true" outlineLevel="0" collapsed="false">
      <c r="A9" s="12" t="s">
        <v>213</v>
      </c>
      <c r="B9" s="13" t="s">
        <v>296</v>
      </c>
      <c r="D9" s="12" t="s">
        <v>215</v>
      </c>
      <c r="E9" s="13" t="s">
        <v>297</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298</v>
      </c>
      <c r="D11" s="12" t="s">
        <v>219</v>
      </c>
      <c r="E11" s="13" t="s">
        <v>298</v>
      </c>
    </row>
    <row r="12" customFormat="false" ht="21.75" hidden="false" customHeight="true" outlineLevel="0" collapsed="false">
      <c r="A12" s="12" t="s">
        <v>221</v>
      </c>
      <c r="B12" s="13" t="s">
        <v>25</v>
      </c>
      <c r="D12" s="12" t="s">
        <v>222</v>
      </c>
      <c r="E12" s="13" t="s">
        <v>25</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299</v>
      </c>
      <c r="B1" s="10"/>
      <c r="D1" s="10" t="s">
        <v>300</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27</v>
      </c>
      <c r="D3" s="12" t="s">
        <v>198</v>
      </c>
      <c r="E3" s="13" t="s">
        <v>27</v>
      </c>
    </row>
    <row r="4" customFormat="false" ht="21.75" hidden="false" customHeight="true" outlineLevel="0" collapsed="false">
      <c r="A4" s="12" t="s">
        <v>199</v>
      </c>
      <c r="B4" s="13" t="s">
        <v>28</v>
      </c>
      <c r="D4" s="12" t="s">
        <v>200</v>
      </c>
      <c r="E4" s="13" t="s">
        <v>151</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64.5" hidden="false" customHeight="true" outlineLevel="0" collapsed="false">
      <c r="A8" s="12" t="s">
        <v>209</v>
      </c>
      <c r="B8" s="13" t="s">
        <v>301</v>
      </c>
      <c r="D8" s="12" t="s">
        <v>211</v>
      </c>
      <c r="E8" s="13" t="s">
        <v>302</v>
      </c>
    </row>
    <row r="9" customFormat="false" ht="51.75" hidden="false" customHeight="true" outlineLevel="0" collapsed="false">
      <c r="A9" s="12" t="s">
        <v>213</v>
      </c>
      <c r="B9" s="13" t="s">
        <v>303</v>
      </c>
      <c r="D9" s="12" t="s">
        <v>215</v>
      </c>
      <c r="E9" s="13" t="s">
        <v>304</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305</v>
      </c>
      <c r="D11" s="12" t="s">
        <v>219</v>
      </c>
      <c r="E11" s="13" t="s">
        <v>305</v>
      </c>
    </row>
    <row r="12" customFormat="false" ht="21.75" hidden="false" customHeight="true" outlineLevel="0" collapsed="false">
      <c r="A12" s="12" t="s">
        <v>221</v>
      </c>
      <c r="B12" s="13" t="s">
        <v>27</v>
      </c>
      <c r="D12" s="12" t="s">
        <v>222</v>
      </c>
      <c r="E12" s="13" t="s">
        <v>27</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306</v>
      </c>
      <c r="B1" s="10"/>
      <c r="D1" s="10" t="s">
        <v>307</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30</v>
      </c>
      <c r="D3" s="12" t="s">
        <v>198</v>
      </c>
      <c r="E3" s="13" t="s">
        <v>30</v>
      </c>
    </row>
    <row r="4" customFormat="false" ht="21.75" hidden="false" customHeight="true" outlineLevel="0" collapsed="false">
      <c r="A4" s="12" t="s">
        <v>199</v>
      </c>
      <c r="B4" s="13" t="s">
        <v>31</v>
      </c>
      <c r="D4" s="12" t="s">
        <v>200</v>
      </c>
      <c r="E4" s="13" t="s">
        <v>152</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17" hidden="false" customHeight="true" outlineLevel="0" collapsed="false">
      <c r="A8" s="12" t="s">
        <v>209</v>
      </c>
      <c r="B8" s="13" t="s">
        <v>308</v>
      </c>
      <c r="D8" s="12" t="s">
        <v>211</v>
      </c>
      <c r="E8" s="13" t="s">
        <v>309</v>
      </c>
    </row>
    <row r="9" customFormat="false" ht="90.75" hidden="false" customHeight="true" outlineLevel="0" collapsed="false">
      <c r="A9" s="12" t="s">
        <v>213</v>
      </c>
      <c r="B9" s="13" t="s">
        <v>310</v>
      </c>
      <c r="D9" s="12" t="s">
        <v>215</v>
      </c>
      <c r="E9" s="13" t="s">
        <v>311</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312</v>
      </c>
      <c r="D11" s="12" t="s">
        <v>219</v>
      </c>
      <c r="E11" s="13" t="s">
        <v>312</v>
      </c>
    </row>
    <row r="12" customFormat="false" ht="21.75" hidden="false" customHeight="true" outlineLevel="0" collapsed="false">
      <c r="A12" s="12" t="s">
        <v>221</v>
      </c>
      <c r="B12" s="13" t="s">
        <v>30</v>
      </c>
      <c r="D12" s="12" t="s">
        <v>222</v>
      </c>
      <c r="E12" s="13" t="s">
        <v>30</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313</v>
      </c>
      <c r="B1" s="10"/>
      <c r="D1" s="10" t="s">
        <v>314</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32</v>
      </c>
      <c r="D3" s="12" t="s">
        <v>198</v>
      </c>
      <c r="E3" s="13" t="s">
        <v>32</v>
      </c>
    </row>
    <row r="4" customFormat="false" ht="21.75" hidden="false" customHeight="true" outlineLevel="0" collapsed="false">
      <c r="A4" s="12" t="s">
        <v>199</v>
      </c>
      <c r="B4" s="13" t="s">
        <v>33</v>
      </c>
      <c r="D4" s="12" t="s">
        <v>200</v>
      </c>
      <c r="E4" s="13" t="s">
        <v>153</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315</v>
      </c>
      <c r="D8" s="12" t="s">
        <v>211</v>
      </c>
      <c r="E8" s="13" t="s">
        <v>316</v>
      </c>
    </row>
    <row r="9" customFormat="false" ht="103.5" hidden="false" customHeight="true" outlineLevel="0" collapsed="false">
      <c r="A9" s="12" t="s">
        <v>213</v>
      </c>
      <c r="B9" s="13" t="s">
        <v>317</v>
      </c>
      <c r="D9" s="12" t="s">
        <v>215</v>
      </c>
      <c r="E9" s="13" t="s">
        <v>318</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319</v>
      </c>
      <c r="D11" s="12" t="s">
        <v>219</v>
      </c>
      <c r="E11" s="13" t="s">
        <v>319</v>
      </c>
    </row>
    <row r="12" customFormat="false" ht="21.75" hidden="false" customHeight="true" outlineLevel="0" collapsed="false">
      <c r="A12" s="12" t="s">
        <v>221</v>
      </c>
      <c r="B12" s="13" t="s">
        <v>32</v>
      </c>
      <c r="D12" s="12" t="s">
        <v>222</v>
      </c>
      <c r="E12" s="13" t="s">
        <v>32</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320</v>
      </c>
      <c r="B1" s="10"/>
      <c r="D1" s="10" t="s">
        <v>321</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35</v>
      </c>
      <c r="D3" s="12" t="s">
        <v>198</v>
      </c>
      <c r="E3" s="13" t="s">
        <v>35</v>
      </c>
    </row>
    <row r="4" customFormat="false" ht="21.75" hidden="false" customHeight="true" outlineLevel="0" collapsed="false">
      <c r="A4" s="12" t="s">
        <v>199</v>
      </c>
      <c r="B4" s="13" t="s">
        <v>36</v>
      </c>
      <c r="D4" s="12" t="s">
        <v>200</v>
      </c>
      <c r="E4" s="13" t="s">
        <v>154</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64.5" hidden="false" customHeight="true" outlineLevel="0" collapsed="false">
      <c r="A8" s="12" t="s">
        <v>209</v>
      </c>
      <c r="B8" s="13" t="s">
        <v>322</v>
      </c>
      <c r="D8" s="12" t="s">
        <v>211</v>
      </c>
      <c r="E8" s="13" t="s">
        <v>323</v>
      </c>
    </row>
    <row r="9" customFormat="false" ht="181.5" hidden="false" customHeight="true" outlineLevel="0" collapsed="false">
      <c r="A9" s="12" t="s">
        <v>213</v>
      </c>
      <c r="B9" s="13" t="s">
        <v>324</v>
      </c>
      <c r="D9" s="12" t="s">
        <v>215</v>
      </c>
      <c r="E9" s="13" t="s">
        <v>325</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326</v>
      </c>
      <c r="D11" s="12" t="s">
        <v>219</v>
      </c>
      <c r="E11" s="13" t="s">
        <v>326</v>
      </c>
    </row>
    <row r="12" customFormat="false" ht="21.75" hidden="false" customHeight="true" outlineLevel="0" collapsed="false">
      <c r="A12" s="12" t="s">
        <v>221</v>
      </c>
      <c r="B12" s="13" t="s">
        <v>35</v>
      </c>
      <c r="D12" s="12" t="s">
        <v>222</v>
      </c>
      <c r="E12" s="13" t="s">
        <v>35</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327</v>
      </c>
      <c r="B1" s="10"/>
      <c r="D1" s="10" t="s">
        <v>328</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37</v>
      </c>
      <c r="D3" s="12" t="s">
        <v>198</v>
      </c>
      <c r="E3" s="13" t="s">
        <v>37</v>
      </c>
    </row>
    <row r="4" customFormat="false" ht="21.75" hidden="false" customHeight="true" outlineLevel="0" collapsed="false">
      <c r="A4" s="12" t="s">
        <v>199</v>
      </c>
      <c r="B4" s="13" t="s">
        <v>38</v>
      </c>
      <c r="D4" s="12" t="s">
        <v>200</v>
      </c>
      <c r="E4" s="13" t="s">
        <v>155</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68.75" hidden="false" customHeight="true" outlineLevel="0" collapsed="false">
      <c r="A8" s="12" t="s">
        <v>209</v>
      </c>
      <c r="B8" s="13" t="s">
        <v>329</v>
      </c>
      <c r="D8" s="12" t="s">
        <v>211</v>
      </c>
      <c r="E8" s="13" t="s">
        <v>330</v>
      </c>
    </row>
    <row r="9" customFormat="false" ht="300" hidden="false" customHeight="true" outlineLevel="0" collapsed="false">
      <c r="A9" s="12" t="s">
        <v>213</v>
      </c>
      <c r="B9" s="13" t="s">
        <v>331</v>
      </c>
      <c r="D9" s="12" t="s">
        <v>215</v>
      </c>
      <c r="E9" s="13" t="s">
        <v>332</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333</v>
      </c>
      <c r="D11" s="12" t="s">
        <v>219</v>
      </c>
      <c r="E11" s="13" t="s">
        <v>333</v>
      </c>
    </row>
    <row r="12" customFormat="false" ht="21.75" hidden="false" customHeight="true" outlineLevel="0" collapsed="false">
      <c r="A12" s="12" t="s">
        <v>221</v>
      </c>
      <c r="B12" s="13" t="s">
        <v>37</v>
      </c>
      <c r="D12" s="12" t="s">
        <v>222</v>
      </c>
      <c r="E12" s="13" t="s">
        <v>37</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334</v>
      </c>
      <c r="B1" s="10"/>
      <c r="D1" s="10" t="s">
        <v>335</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39</v>
      </c>
      <c r="D3" s="12" t="s">
        <v>198</v>
      </c>
      <c r="E3" s="13" t="s">
        <v>39</v>
      </c>
    </row>
    <row r="4" customFormat="false" ht="21.75" hidden="false" customHeight="true" outlineLevel="0" collapsed="false">
      <c r="A4" s="12" t="s">
        <v>199</v>
      </c>
      <c r="B4" s="13" t="s">
        <v>40</v>
      </c>
      <c r="D4" s="12" t="s">
        <v>200</v>
      </c>
      <c r="E4" s="13" t="s">
        <v>156</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78" hidden="false" customHeight="true" outlineLevel="0" collapsed="false">
      <c r="A8" s="12" t="s">
        <v>209</v>
      </c>
      <c r="B8" s="13" t="s">
        <v>336</v>
      </c>
      <c r="D8" s="12" t="s">
        <v>211</v>
      </c>
      <c r="E8" s="13" t="s">
        <v>337</v>
      </c>
    </row>
    <row r="9" customFormat="false" ht="300" hidden="false" customHeight="true" outlineLevel="0" collapsed="false">
      <c r="A9" s="12" t="s">
        <v>213</v>
      </c>
      <c r="B9" s="13" t="s">
        <v>338</v>
      </c>
      <c r="D9" s="12" t="s">
        <v>215</v>
      </c>
      <c r="E9" s="13" t="s">
        <v>339</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340</v>
      </c>
      <c r="D11" s="12" t="s">
        <v>219</v>
      </c>
      <c r="E11" s="13" t="s">
        <v>340</v>
      </c>
    </row>
    <row r="12" customFormat="false" ht="21.75" hidden="false" customHeight="true" outlineLevel="0" collapsed="false">
      <c r="A12" s="12" t="s">
        <v>221</v>
      </c>
      <c r="B12" s="13" t="s">
        <v>39</v>
      </c>
      <c r="D12" s="12" t="s">
        <v>222</v>
      </c>
      <c r="E12" s="13" t="s">
        <v>39</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341</v>
      </c>
      <c r="B1" s="10"/>
      <c r="D1" s="10" t="s">
        <v>342</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41</v>
      </c>
      <c r="D3" s="12" t="s">
        <v>198</v>
      </c>
      <c r="E3" s="13" t="s">
        <v>41</v>
      </c>
    </row>
    <row r="4" customFormat="false" ht="21.75" hidden="false" customHeight="true" outlineLevel="0" collapsed="false">
      <c r="A4" s="12" t="s">
        <v>199</v>
      </c>
      <c r="B4" s="13" t="s">
        <v>40</v>
      </c>
      <c r="D4" s="12" t="s">
        <v>200</v>
      </c>
      <c r="E4" s="13" t="s">
        <v>156</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78" hidden="false" customHeight="true" outlineLevel="0" collapsed="false">
      <c r="A8" s="12" t="s">
        <v>209</v>
      </c>
      <c r="B8" s="13" t="s">
        <v>343</v>
      </c>
      <c r="D8" s="12" t="s">
        <v>211</v>
      </c>
      <c r="E8" s="13" t="s">
        <v>344</v>
      </c>
    </row>
    <row r="9" customFormat="false" ht="64.5" hidden="false" customHeight="true" outlineLevel="0" collapsed="false">
      <c r="A9" s="12" t="s">
        <v>213</v>
      </c>
      <c r="B9" s="13" t="s">
        <v>345</v>
      </c>
      <c r="D9" s="12" t="s">
        <v>215</v>
      </c>
      <c r="E9" s="13" t="s">
        <v>346</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347</v>
      </c>
      <c r="D11" s="12" t="s">
        <v>219</v>
      </c>
      <c r="E11" s="13" t="s">
        <v>347</v>
      </c>
    </row>
    <row r="12" customFormat="false" ht="21.75" hidden="false" customHeight="true" outlineLevel="0" collapsed="false">
      <c r="A12" s="12" t="s">
        <v>221</v>
      </c>
      <c r="B12" s="13" t="s">
        <v>41</v>
      </c>
      <c r="D12" s="12" t="s">
        <v>222</v>
      </c>
      <c r="E12" s="13" t="s">
        <v>41</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348</v>
      </c>
      <c r="B1" s="10"/>
      <c r="D1" s="10" t="s">
        <v>349</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43</v>
      </c>
      <c r="D3" s="12" t="s">
        <v>198</v>
      </c>
      <c r="E3" s="13" t="s">
        <v>43</v>
      </c>
    </row>
    <row r="4" customFormat="false" ht="21.75" hidden="false" customHeight="true" outlineLevel="0" collapsed="false">
      <c r="A4" s="12" t="s">
        <v>199</v>
      </c>
      <c r="B4" s="13" t="s">
        <v>44</v>
      </c>
      <c r="D4" s="12" t="s">
        <v>200</v>
      </c>
      <c r="E4" s="13" t="s">
        <v>157</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17" hidden="false" customHeight="true" outlineLevel="0" collapsed="false">
      <c r="A8" s="12" t="s">
        <v>209</v>
      </c>
      <c r="B8" s="13" t="s">
        <v>350</v>
      </c>
      <c r="D8" s="12" t="s">
        <v>211</v>
      </c>
      <c r="E8" s="13" t="s">
        <v>351</v>
      </c>
    </row>
    <row r="9" customFormat="false" ht="51.75" hidden="false" customHeight="true" outlineLevel="0" collapsed="false">
      <c r="A9" s="12" t="s">
        <v>213</v>
      </c>
      <c r="B9" s="13" t="s">
        <v>352</v>
      </c>
      <c r="D9" s="12" t="s">
        <v>215</v>
      </c>
      <c r="E9" s="13" t="s">
        <v>353</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354</v>
      </c>
      <c r="D11" s="12" t="s">
        <v>219</v>
      </c>
      <c r="E11" s="13" t="s">
        <v>354</v>
      </c>
    </row>
    <row r="12" customFormat="false" ht="21.75" hidden="false" customHeight="true" outlineLevel="0" collapsed="false">
      <c r="A12" s="12" t="s">
        <v>221</v>
      </c>
      <c r="B12" s="13" t="s">
        <v>43</v>
      </c>
      <c r="D12" s="12" t="s">
        <v>222</v>
      </c>
      <c r="E12" s="13" t="s">
        <v>43</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355</v>
      </c>
      <c r="B1" s="10"/>
      <c r="D1" s="10" t="s">
        <v>356</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45</v>
      </c>
      <c r="D3" s="12" t="s">
        <v>198</v>
      </c>
      <c r="E3" s="13" t="s">
        <v>45</v>
      </c>
    </row>
    <row r="4" customFormat="false" ht="21.75" hidden="false" customHeight="true" outlineLevel="0" collapsed="false">
      <c r="A4" s="12" t="s">
        <v>199</v>
      </c>
      <c r="B4" s="13" t="s">
        <v>46</v>
      </c>
      <c r="D4" s="12" t="s">
        <v>200</v>
      </c>
      <c r="E4" s="13" t="s">
        <v>158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81.5" hidden="false" customHeight="true" outlineLevel="0" collapsed="false">
      <c r="A8" s="12" t="s">
        <v>209</v>
      </c>
      <c r="B8" s="13" t="s">
        <v>357</v>
      </c>
      <c r="D8" s="12" t="s">
        <v>211</v>
      </c>
      <c r="E8" s="13" t="s">
        <v>358</v>
      </c>
    </row>
    <row r="9" customFormat="false" ht="168.75" hidden="false" customHeight="true" outlineLevel="0" collapsed="false">
      <c r="A9" s="12" t="s">
        <v>213</v>
      </c>
      <c r="B9" s="13" t="s">
        <v>359</v>
      </c>
      <c r="D9" s="12" t="s">
        <v>215</v>
      </c>
      <c r="E9" s="13" t="s">
        <v>360</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361</v>
      </c>
      <c r="D11" s="12" t="s">
        <v>219</v>
      </c>
      <c r="E11" s="13" t="s">
        <v>361</v>
      </c>
    </row>
    <row r="12" customFormat="false" ht="21.75" hidden="false" customHeight="true" outlineLevel="0" collapsed="false">
      <c r="A12" s="12" t="s">
        <v>221</v>
      </c>
      <c r="B12" s="13" t="s">
        <v>45</v>
      </c>
      <c r="D12" s="12" t="s">
        <v>222</v>
      </c>
      <c r="E12" s="13" t="s">
        <v>45</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362</v>
      </c>
      <c r="B1" s="10"/>
      <c r="D1" s="10" t="s">
        <v>363</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47</v>
      </c>
      <c r="D3" s="12" t="s">
        <v>198</v>
      </c>
      <c r="E3" s="13" t="s">
        <v>47</v>
      </c>
    </row>
    <row r="4" customFormat="false" ht="21.75" hidden="false" customHeight="true" outlineLevel="0" collapsed="false">
      <c r="A4" s="12" t="s">
        <v>199</v>
      </c>
      <c r="B4" s="13" t="s">
        <v>46</v>
      </c>
      <c r="D4" s="12" t="s">
        <v>200</v>
      </c>
      <c r="E4" s="13" t="s">
        <v>158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364</v>
      </c>
      <c r="D8" s="12" t="s">
        <v>211</v>
      </c>
      <c r="E8" s="13" t="s">
        <v>365</v>
      </c>
    </row>
    <row r="9" customFormat="false" ht="78" hidden="false" customHeight="true" outlineLevel="0" collapsed="false">
      <c r="A9" s="12" t="s">
        <v>213</v>
      </c>
      <c r="B9" s="13" t="s">
        <v>366</v>
      </c>
      <c r="D9" s="12" t="s">
        <v>215</v>
      </c>
      <c r="E9" s="13" t="s">
        <v>367</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368</v>
      </c>
      <c r="D11" s="12" t="s">
        <v>219</v>
      </c>
      <c r="E11" s="13" t="s">
        <v>368</v>
      </c>
    </row>
    <row r="12" customFormat="false" ht="21.75" hidden="false" customHeight="true" outlineLevel="0" collapsed="false">
      <c r="A12" s="12" t="s">
        <v>221</v>
      </c>
      <c r="B12" s="13" t="s">
        <v>47</v>
      </c>
      <c r="D12" s="12" t="s">
        <v>222</v>
      </c>
      <c r="E12" s="13" t="s">
        <v>47</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369</v>
      </c>
      <c r="B1" s="10"/>
      <c r="D1" s="10" t="s">
        <v>370</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49</v>
      </c>
      <c r="D3" s="12" t="s">
        <v>198</v>
      </c>
      <c r="E3" s="13" t="s">
        <v>49</v>
      </c>
    </row>
    <row r="4" customFormat="false" ht="21.75" hidden="false" customHeight="true" outlineLevel="0" collapsed="false">
      <c r="A4" s="12" t="s">
        <v>199</v>
      </c>
      <c r="B4" s="13" t="s">
        <v>50</v>
      </c>
      <c r="D4" s="12" t="s">
        <v>200</v>
      </c>
      <c r="E4" s="13" t="s">
        <v>159</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371</v>
      </c>
      <c r="D8" s="12" t="s">
        <v>211</v>
      </c>
      <c r="E8" s="13" t="s">
        <v>372</v>
      </c>
    </row>
    <row r="9" customFormat="false" ht="246.75" hidden="false" customHeight="true" outlineLevel="0" collapsed="false">
      <c r="A9" s="12" t="s">
        <v>213</v>
      </c>
      <c r="B9" s="13" t="s">
        <v>373</v>
      </c>
      <c r="D9" s="12" t="s">
        <v>215</v>
      </c>
      <c r="E9" s="13" t="s">
        <v>374</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375</v>
      </c>
      <c r="D11" s="12" t="s">
        <v>219</v>
      </c>
      <c r="E11" s="13" t="s">
        <v>375</v>
      </c>
    </row>
    <row r="12" customFormat="false" ht="21.75" hidden="false" customHeight="true" outlineLevel="0" collapsed="false">
      <c r="A12" s="12" t="s">
        <v>221</v>
      </c>
      <c r="B12" s="13" t="s">
        <v>49</v>
      </c>
      <c r="D12" s="12" t="s">
        <v>222</v>
      </c>
      <c r="E12" s="13" t="s">
        <v>49</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376</v>
      </c>
      <c r="B1" s="10"/>
      <c r="D1" s="10" t="s">
        <v>377</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51</v>
      </c>
      <c r="D3" s="12" t="s">
        <v>198</v>
      </c>
      <c r="E3" s="13" t="s">
        <v>51</v>
      </c>
    </row>
    <row r="4" customFormat="false" ht="21.75" hidden="false" customHeight="true" outlineLevel="0" collapsed="false">
      <c r="A4" s="12" t="s">
        <v>199</v>
      </c>
      <c r="B4" s="13" t="s">
        <v>50</v>
      </c>
      <c r="D4" s="12" t="s">
        <v>200</v>
      </c>
      <c r="E4" s="13" t="s">
        <v>159</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78" hidden="false" customHeight="true" outlineLevel="0" collapsed="false">
      <c r="A8" s="12" t="s">
        <v>209</v>
      </c>
      <c r="B8" s="13" t="s">
        <v>378</v>
      </c>
      <c r="D8" s="12" t="s">
        <v>211</v>
      </c>
      <c r="E8" s="13" t="s">
        <v>379</v>
      </c>
    </row>
    <row r="9" customFormat="false" ht="45" hidden="false" customHeight="true" outlineLevel="0" collapsed="false">
      <c r="A9" s="12" t="s">
        <v>213</v>
      </c>
      <c r="B9" s="13" t="s">
        <v>380</v>
      </c>
      <c r="D9" s="12" t="s">
        <v>215</v>
      </c>
      <c r="E9" s="13" t="s">
        <v>381</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382</v>
      </c>
      <c r="D11" s="12" t="s">
        <v>219</v>
      </c>
      <c r="E11" s="13" t="s">
        <v>382</v>
      </c>
    </row>
    <row r="12" customFormat="false" ht="21.75" hidden="false" customHeight="true" outlineLevel="0" collapsed="false">
      <c r="A12" s="12" t="s">
        <v>221</v>
      </c>
      <c r="B12" s="13" t="s">
        <v>51</v>
      </c>
      <c r="D12" s="12" t="s">
        <v>222</v>
      </c>
      <c r="E12" s="13" t="s">
        <v>51</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383</v>
      </c>
      <c r="B1" s="10"/>
      <c r="D1" s="10" t="s">
        <v>384</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53</v>
      </c>
      <c r="D3" s="12" t="s">
        <v>198</v>
      </c>
      <c r="E3" s="13" t="s">
        <v>53</v>
      </c>
    </row>
    <row r="4" customFormat="false" ht="21.75" hidden="false" customHeight="true" outlineLevel="0" collapsed="false">
      <c r="A4" s="12" t="s">
        <v>199</v>
      </c>
      <c r="B4" s="13" t="s">
        <v>54</v>
      </c>
      <c r="D4" s="12" t="s">
        <v>200</v>
      </c>
      <c r="E4" s="13" t="s">
        <v>160</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385</v>
      </c>
      <c r="D8" s="12" t="s">
        <v>211</v>
      </c>
      <c r="E8" s="13" t="s">
        <v>386</v>
      </c>
    </row>
    <row r="9" customFormat="false" ht="195" hidden="false" customHeight="true" outlineLevel="0" collapsed="false">
      <c r="A9" s="12" t="s">
        <v>213</v>
      </c>
      <c r="B9" s="13" t="s">
        <v>387</v>
      </c>
      <c r="D9" s="12" t="s">
        <v>215</v>
      </c>
      <c r="E9" s="13" t="s">
        <v>388</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389</v>
      </c>
      <c r="D11" s="12" t="s">
        <v>219</v>
      </c>
      <c r="E11" s="13" t="s">
        <v>389</v>
      </c>
    </row>
    <row r="12" customFormat="false" ht="21.75" hidden="false" customHeight="true" outlineLevel="0" collapsed="false">
      <c r="A12" s="12" t="s">
        <v>221</v>
      </c>
      <c r="B12" s="13" t="s">
        <v>53</v>
      </c>
      <c r="D12" s="12" t="s">
        <v>222</v>
      </c>
      <c r="E12" s="13" t="s">
        <v>53</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390</v>
      </c>
      <c r="B1" s="10"/>
      <c r="D1" s="10" t="s">
        <v>391</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55</v>
      </c>
      <c r="D3" s="12" t="s">
        <v>198</v>
      </c>
      <c r="E3" s="13" t="s">
        <v>55</v>
      </c>
    </row>
    <row r="4" customFormat="false" ht="21.75" hidden="false" customHeight="true" outlineLevel="0" collapsed="false">
      <c r="A4" s="12" t="s">
        <v>199</v>
      </c>
      <c r="B4" s="13" t="s">
        <v>56</v>
      </c>
      <c r="D4" s="12" t="s">
        <v>200</v>
      </c>
      <c r="E4" s="13" t="s">
        <v>161</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392</v>
      </c>
      <c r="D8" s="12" t="s">
        <v>211</v>
      </c>
      <c r="E8" s="13" t="s">
        <v>393</v>
      </c>
    </row>
    <row r="9" customFormat="false" ht="45" hidden="false" customHeight="true" outlineLevel="0" collapsed="false">
      <c r="A9" s="12" t="s">
        <v>213</v>
      </c>
      <c r="B9" s="13" t="s">
        <v>394</v>
      </c>
      <c r="D9" s="12" t="s">
        <v>215</v>
      </c>
      <c r="E9" s="13" t="s">
        <v>395</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396</v>
      </c>
      <c r="D11" s="12" t="s">
        <v>219</v>
      </c>
      <c r="E11" s="13" t="s">
        <v>396</v>
      </c>
    </row>
    <row r="12" customFormat="false" ht="21.75" hidden="false" customHeight="true" outlineLevel="0" collapsed="false">
      <c r="A12" s="12" t="s">
        <v>221</v>
      </c>
      <c r="B12" s="13" t="s">
        <v>55</v>
      </c>
      <c r="D12" s="12" t="s">
        <v>222</v>
      </c>
      <c r="E12" s="13" t="s">
        <v>55</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397</v>
      </c>
      <c r="B1" s="10"/>
      <c r="D1" s="10" t="s">
        <v>398</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58</v>
      </c>
      <c r="D3" s="12" t="s">
        <v>198</v>
      </c>
      <c r="E3" s="13" t="s">
        <v>58</v>
      </c>
    </row>
    <row r="4" customFormat="false" ht="21.75" hidden="false" customHeight="true" outlineLevel="0" collapsed="false">
      <c r="A4" s="12" t="s">
        <v>199</v>
      </c>
      <c r="B4" s="13" t="s">
        <v>59</v>
      </c>
      <c r="D4" s="12" t="s">
        <v>200</v>
      </c>
      <c r="E4" s="13" t="s">
        <v>162</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03.5" hidden="false" customHeight="true" outlineLevel="0" collapsed="false">
      <c r="A8" s="12" t="s">
        <v>209</v>
      </c>
      <c r="B8" s="13" t="s">
        <v>399</v>
      </c>
      <c r="D8" s="12" t="s">
        <v>211</v>
      </c>
      <c r="E8" s="13" t="s">
        <v>400</v>
      </c>
    </row>
    <row r="9" customFormat="false" ht="234" hidden="false" customHeight="true" outlineLevel="0" collapsed="false">
      <c r="A9" s="12" t="s">
        <v>213</v>
      </c>
      <c r="B9" s="13" t="s">
        <v>401</v>
      </c>
      <c r="D9" s="12" t="s">
        <v>215</v>
      </c>
      <c r="E9" s="13" t="s">
        <v>402</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403</v>
      </c>
      <c r="D11" s="12" t="s">
        <v>219</v>
      </c>
      <c r="E11" s="13" t="s">
        <v>403</v>
      </c>
    </row>
    <row r="12" customFormat="false" ht="21.75" hidden="false" customHeight="true" outlineLevel="0" collapsed="false">
      <c r="A12" s="12" t="s">
        <v>221</v>
      </c>
      <c r="B12" s="13" t="s">
        <v>58</v>
      </c>
      <c r="D12" s="12" t="s">
        <v>222</v>
      </c>
      <c r="E12" s="13" t="s">
        <v>58</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404</v>
      </c>
      <c r="B1" s="10"/>
      <c r="D1" s="10" t="s">
        <v>405</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61</v>
      </c>
      <c r="D3" s="12" t="s">
        <v>198</v>
      </c>
      <c r="E3" s="13" t="s">
        <v>61</v>
      </c>
    </row>
    <row r="4" customFormat="false" ht="21.75" hidden="false" customHeight="true" outlineLevel="0" collapsed="false">
      <c r="A4" s="12" t="s">
        <v>199</v>
      </c>
      <c r="B4" s="13" t="s">
        <v>62</v>
      </c>
      <c r="D4" s="12" t="s">
        <v>200</v>
      </c>
      <c r="E4" s="13" t="s">
        <v>163</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406</v>
      </c>
      <c r="D8" s="12" t="s">
        <v>211</v>
      </c>
      <c r="E8" s="13" t="s">
        <v>407</v>
      </c>
    </row>
    <row r="9" customFormat="false" ht="259.5" hidden="false" customHeight="true" outlineLevel="0" collapsed="false">
      <c r="A9" s="12" t="s">
        <v>213</v>
      </c>
      <c r="B9" s="13" t="s">
        <v>408</v>
      </c>
      <c r="D9" s="12" t="s">
        <v>215</v>
      </c>
      <c r="E9" s="13" t="s">
        <v>409</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410</v>
      </c>
      <c r="D11" s="12" t="s">
        <v>219</v>
      </c>
      <c r="E11" s="13" t="s">
        <v>410</v>
      </c>
    </row>
    <row r="12" customFormat="false" ht="21.75" hidden="false" customHeight="true" outlineLevel="0" collapsed="false">
      <c r="A12" s="12" t="s">
        <v>221</v>
      </c>
      <c r="B12" s="13" t="s">
        <v>61</v>
      </c>
      <c r="D12" s="12" t="s">
        <v>222</v>
      </c>
      <c r="E12" s="13" t="s">
        <v>61</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411</v>
      </c>
      <c r="B1" s="10"/>
      <c r="D1" s="10" t="s">
        <v>412</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63</v>
      </c>
      <c r="D3" s="12" t="s">
        <v>198</v>
      </c>
      <c r="E3" s="13" t="s">
        <v>63</v>
      </c>
    </row>
    <row r="4" customFormat="false" ht="21.75" hidden="false" customHeight="true" outlineLevel="0" collapsed="false">
      <c r="A4" s="12" t="s">
        <v>199</v>
      </c>
      <c r="B4" s="13" t="s">
        <v>64</v>
      </c>
      <c r="D4" s="12" t="s">
        <v>200</v>
      </c>
      <c r="E4" s="13" t="s">
        <v>164</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413</v>
      </c>
      <c r="D8" s="12" t="s">
        <v>211</v>
      </c>
      <c r="E8" s="13" t="s">
        <v>414</v>
      </c>
    </row>
    <row r="9" customFormat="false" ht="220.5" hidden="false" customHeight="true" outlineLevel="0" collapsed="false">
      <c r="A9" s="12" t="s">
        <v>213</v>
      </c>
      <c r="B9" s="13" t="s">
        <v>415</v>
      </c>
      <c r="D9" s="12" t="s">
        <v>215</v>
      </c>
      <c r="E9" s="13" t="s">
        <v>416</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417</v>
      </c>
      <c r="D11" s="12" t="s">
        <v>219</v>
      </c>
      <c r="E11" s="13" t="s">
        <v>417</v>
      </c>
    </row>
    <row r="12" customFormat="false" ht="21.75" hidden="false" customHeight="true" outlineLevel="0" collapsed="false">
      <c r="A12" s="12" t="s">
        <v>221</v>
      </c>
      <c r="B12" s="13" t="s">
        <v>63</v>
      </c>
      <c r="D12" s="12" t="s">
        <v>222</v>
      </c>
      <c r="E12" s="13" t="s">
        <v>63</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418</v>
      </c>
      <c r="B1" s="10"/>
      <c r="D1" s="10" t="s">
        <v>419</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65</v>
      </c>
      <c r="D3" s="12" t="s">
        <v>198</v>
      </c>
      <c r="E3" s="13" t="s">
        <v>65</v>
      </c>
    </row>
    <row r="4" customFormat="false" ht="21.75" hidden="false" customHeight="true" outlineLevel="0" collapsed="false">
      <c r="A4" s="12" t="s">
        <v>199</v>
      </c>
      <c r="B4" s="13" t="s">
        <v>66</v>
      </c>
      <c r="D4" s="12" t="s">
        <v>200</v>
      </c>
      <c r="E4" s="13" t="s">
        <v>165</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64.5" hidden="false" customHeight="true" outlineLevel="0" collapsed="false">
      <c r="A8" s="12" t="s">
        <v>209</v>
      </c>
      <c r="B8" s="13" t="s">
        <v>420</v>
      </c>
      <c r="D8" s="12" t="s">
        <v>211</v>
      </c>
      <c r="E8" s="13" t="s">
        <v>421</v>
      </c>
    </row>
    <row r="9" customFormat="false" ht="117" hidden="false" customHeight="true" outlineLevel="0" collapsed="false">
      <c r="A9" s="12" t="s">
        <v>213</v>
      </c>
      <c r="B9" s="13" t="s">
        <v>422</v>
      </c>
      <c r="D9" s="12" t="s">
        <v>215</v>
      </c>
      <c r="E9" s="13" t="s">
        <v>423</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424</v>
      </c>
      <c r="D11" s="12" t="s">
        <v>219</v>
      </c>
      <c r="E11" s="13" t="s">
        <v>424</v>
      </c>
    </row>
    <row r="12" customFormat="false" ht="21.75" hidden="false" customHeight="true" outlineLevel="0" collapsed="false">
      <c r="A12" s="12" t="s">
        <v>221</v>
      </c>
      <c r="B12" s="13" t="s">
        <v>65</v>
      </c>
      <c r="D12" s="12" t="s">
        <v>222</v>
      </c>
      <c r="E12" s="13" t="s">
        <v>65</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425</v>
      </c>
      <c r="B1" s="10"/>
      <c r="D1" s="10" t="s">
        <v>426</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67</v>
      </c>
      <c r="D3" s="12" t="s">
        <v>198</v>
      </c>
      <c r="E3" s="13" t="s">
        <v>67</v>
      </c>
    </row>
    <row r="4" customFormat="false" ht="21.75" hidden="false" customHeight="true" outlineLevel="0" collapsed="false">
      <c r="A4" s="12" t="s">
        <v>199</v>
      </c>
      <c r="B4" s="13" t="s">
        <v>68</v>
      </c>
      <c r="D4" s="12" t="s">
        <v>200</v>
      </c>
      <c r="E4" s="13" t="s">
        <v>166</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17" hidden="false" customHeight="true" outlineLevel="0" collapsed="false">
      <c r="A8" s="12" t="s">
        <v>209</v>
      </c>
      <c r="B8" s="13" t="s">
        <v>427</v>
      </c>
      <c r="D8" s="12" t="s">
        <v>211</v>
      </c>
      <c r="E8" s="13" t="s">
        <v>428</v>
      </c>
    </row>
    <row r="9" customFormat="false" ht="285.75" hidden="false" customHeight="true" outlineLevel="0" collapsed="false">
      <c r="A9" s="12" t="s">
        <v>213</v>
      </c>
      <c r="B9" s="13" t="s">
        <v>429</v>
      </c>
      <c r="D9" s="12" t="s">
        <v>215</v>
      </c>
      <c r="E9" s="13" t="s">
        <v>430</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431</v>
      </c>
      <c r="D11" s="12" t="s">
        <v>219</v>
      </c>
      <c r="E11" s="13" t="s">
        <v>431</v>
      </c>
    </row>
    <row r="12" customFormat="false" ht="21.75" hidden="false" customHeight="true" outlineLevel="0" collapsed="false">
      <c r="A12" s="12" t="s">
        <v>221</v>
      </c>
      <c r="B12" s="13" t="s">
        <v>67</v>
      </c>
      <c r="D12" s="12" t="s">
        <v>222</v>
      </c>
      <c r="E12" s="13" t="s">
        <v>67</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432</v>
      </c>
      <c r="B1" s="10"/>
      <c r="D1" s="10" t="s">
        <v>433</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69</v>
      </c>
      <c r="D3" s="12" t="s">
        <v>198</v>
      </c>
      <c r="E3" s="13" t="s">
        <v>69</v>
      </c>
    </row>
    <row r="4" customFormat="false" ht="21.75" hidden="false" customHeight="true" outlineLevel="0" collapsed="false">
      <c r="A4" s="12" t="s">
        <v>199</v>
      </c>
      <c r="B4" s="13" t="s">
        <v>68</v>
      </c>
      <c r="D4" s="12" t="s">
        <v>200</v>
      </c>
      <c r="E4" s="13" t="s">
        <v>166</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434</v>
      </c>
      <c r="D8" s="12" t="s">
        <v>211</v>
      </c>
      <c r="E8" s="13" t="s">
        <v>435</v>
      </c>
    </row>
    <row r="9" customFormat="false" ht="45" hidden="false" customHeight="true" outlineLevel="0" collapsed="false">
      <c r="A9" s="12" t="s">
        <v>213</v>
      </c>
      <c r="B9" s="13" t="s">
        <v>436</v>
      </c>
      <c r="D9" s="12" t="s">
        <v>215</v>
      </c>
      <c r="E9" s="13" t="s">
        <v>437</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438</v>
      </c>
      <c r="D11" s="12" t="s">
        <v>219</v>
      </c>
      <c r="E11" s="13" t="s">
        <v>438</v>
      </c>
    </row>
    <row r="12" customFormat="false" ht="21.75" hidden="false" customHeight="true" outlineLevel="0" collapsed="false">
      <c r="A12" s="12" t="s">
        <v>221</v>
      </c>
      <c r="B12" s="13" t="s">
        <v>69</v>
      </c>
      <c r="D12" s="12" t="s">
        <v>222</v>
      </c>
      <c r="E12" s="13" t="s">
        <v>69</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439</v>
      </c>
      <c r="B1" s="10"/>
      <c r="D1" s="10" t="s">
        <v>440</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71</v>
      </c>
      <c r="D3" s="12" t="s">
        <v>198</v>
      </c>
      <c r="E3" s="13" t="s">
        <v>71</v>
      </c>
    </row>
    <row r="4" customFormat="false" ht="21.75" hidden="false" customHeight="true" outlineLevel="0" collapsed="false">
      <c r="A4" s="12" t="s">
        <v>199</v>
      </c>
      <c r="B4" s="13" t="s">
        <v>68</v>
      </c>
      <c r="D4" s="12" t="s">
        <v>200</v>
      </c>
      <c r="E4" s="13" t="s">
        <v>166</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42.5" hidden="false" customHeight="true" outlineLevel="0" collapsed="false">
      <c r="A8" s="12" t="s">
        <v>209</v>
      </c>
      <c r="B8" s="13" t="s">
        <v>441</v>
      </c>
      <c r="D8" s="12" t="s">
        <v>211</v>
      </c>
      <c r="E8" s="13" t="s">
        <v>442</v>
      </c>
    </row>
    <row r="9" customFormat="false" ht="45" hidden="false" customHeight="true" outlineLevel="0" collapsed="false">
      <c r="A9" s="12" t="s">
        <v>213</v>
      </c>
      <c r="B9" s="13" t="s">
        <v>443</v>
      </c>
      <c r="D9" s="12" t="s">
        <v>215</v>
      </c>
      <c r="E9" s="13" t="s">
        <v>444</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445</v>
      </c>
      <c r="D11" s="12" t="s">
        <v>219</v>
      </c>
      <c r="E11" s="13" t="s">
        <v>445</v>
      </c>
    </row>
    <row r="12" customFormat="false" ht="21.75" hidden="false" customHeight="true" outlineLevel="0" collapsed="false">
      <c r="A12" s="12" t="s">
        <v>221</v>
      </c>
      <c r="B12" s="13" t="s">
        <v>71</v>
      </c>
      <c r="D12" s="12" t="s">
        <v>222</v>
      </c>
      <c r="E12" s="13" t="s">
        <v>71</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446</v>
      </c>
      <c r="B1" s="10"/>
      <c r="D1" s="10" t="s">
        <v>447</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73</v>
      </c>
      <c r="D3" s="12" t="s">
        <v>198</v>
      </c>
      <c r="E3" s="13" t="s">
        <v>73</v>
      </c>
    </row>
    <row r="4" customFormat="false" ht="21.75" hidden="false" customHeight="true" outlineLevel="0" collapsed="false">
      <c r="A4" s="12" t="s">
        <v>199</v>
      </c>
      <c r="B4" s="13" t="s">
        <v>68</v>
      </c>
      <c r="D4" s="12" t="s">
        <v>200</v>
      </c>
      <c r="E4" s="13" t="s">
        <v>166</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448</v>
      </c>
      <c r="D8" s="12" t="s">
        <v>211</v>
      </c>
      <c r="E8" s="13" t="s">
        <v>449</v>
      </c>
    </row>
    <row r="9" customFormat="false" ht="51.75" hidden="false" customHeight="true" outlineLevel="0" collapsed="false">
      <c r="A9" s="12" t="s">
        <v>213</v>
      </c>
      <c r="B9" s="13" t="s">
        <v>450</v>
      </c>
      <c r="D9" s="12" t="s">
        <v>215</v>
      </c>
      <c r="E9" s="13" t="s">
        <v>451</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452</v>
      </c>
      <c r="D11" s="12" t="s">
        <v>219</v>
      </c>
      <c r="E11" s="13" t="s">
        <v>452</v>
      </c>
    </row>
    <row r="12" customFormat="false" ht="21.75" hidden="false" customHeight="true" outlineLevel="0" collapsed="false">
      <c r="A12" s="12" t="s">
        <v>221</v>
      </c>
      <c r="B12" s="13" t="s">
        <v>73</v>
      </c>
      <c r="D12" s="12" t="s">
        <v>222</v>
      </c>
      <c r="E12" s="13" t="s">
        <v>73</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453</v>
      </c>
      <c r="B1" s="10"/>
      <c r="D1" s="10" t="s">
        <v>454</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75</v>
      </c>
      <c r="D3" s="12" t="s">
        <v>198</v>
      </c>
      <c r="E3" s="13" t="s">
        <v>75</v>
      </c>
    </row>
    <row r="4" customFormat="false" ht="21.75" hidden="false" customHeight="true" outlineLevel="0" collapsed="false">
      <c r="A4" s="12" t="s">
        <v>199</v>
      </c>
      <c r="B4" s="13" t="s">
        <v>68</v>
      </c>
      <c r="D4" s="12" t="s">
        <v>200</v>
      </c>
      <c r="E4" s="13" t="s">
        <v>166</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64.5" hidden="false" customHeight="true" outlineLevel="0" collapsed="false">
      <c r="A8" s="12" t="s">
        <v>209</v>
      </c>
      <c r="B8" s="13" t="s">
        <v>455</v>
      </c>
      <c r="D8" s="12" t="s">
        <v>211</v>
      </c>
      <c r="E8" s="13" t="s">
        <v>456</v>
      </c>
    </row>
    <row r="9" customFormat="false" ht="207.75" hidden="false" customHeight="true" outlineLevel="0" collapsed="false">
      <c r="A9" s="12" t="s">
        <v>213</v>
      </c>
      <c r="B9" s="13" t="s">
        <v>457</v>
      </c>
      <c r="D9" s="12" t="s">
        <v>215</v>
      </c>
      <c r="E9" s="13" t="s">
        <v>458</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459</v>
      </c>
      <c r="D11" s="12" t="s">
        <v>219</v>
      </c>
      <c r="E11" s="13" t="s">
        <v>459</v>
      </c>
    </row>
    <row r="12" customFormat="false" ht="21.75" hidden="false" customHeight="true" outlineLevel="0" collapsed="false">
      <c r="A12" s="12" t="s">
        <v>221</v>
      </c>
      <c r="B12" s="13" t="s">
        <v>75</v>
      </c>
      <c r="D12" s="12" t="s">
        <v>222</v>
      </c>
      <c r="E12" s="13" t="s">
        <v>75</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460</v>
      </c>
      <c r="B1" s="10"/>
      <c r="D1" s="10" t="s">
        <v>461</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77</v>
      </c>
      <c r="D3" s="12" t="s">
        <v>198</v>
      </c>
      <c r="E3" s="13" t="s">
        <v>77</v>
      </c>
    </row>
    <row r="4" customFormat="false" ht="21.75" hidden="false" customHeight="true" outlineLevel="0" collapsed="false">
      <c r="A4" s="12" t="s">
        <v>199</v>
      </c>
      <c r="B4" s="13" t="s">
        <v>68</v>
      </c>
      <c r="D4" s="12" t="s">
        <v>200</v>
      </c>
      <c r="E4" s="13" t="s">
        <v>166</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78" hidden="false" customHeight="true" outlineLevel="0" collapsed="false">
      <c r="A8" s="12" t="s">
        <v>209</v>
      </c>
      <c r="B8" s="13" t="s">
        <v>462</v>
      </c>
      <c r="D8" s="12" t="s">
        <v>211</v>
      </c>
      <c r="E8" s="13" t="s">
        <v>463</v>
      </c>
    </row>
    <row r="9" customFormat="false" ht="129.75" hidden="false" customHeight="true" outlineLevel="0" collapsed="false">
      <c r="A9" s="12" t="s">
        <v>213</v>
      </c>
      <c r="B9" s="13" t="s">
        <v>464</v>
      </c>
      <c r="D9" s="12" t="s">
        <v>215</v>
      </c>
      <c r="E9" s="13" t="s">
        <v>465</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466</v>
      </c>
      <c r="D11" s="12" t="s">
        <v>219</v>
      </c>
      <c r="E11" s="13" t="s">
        <v>466</v>
      </c>
    </row>
    <row r="12" customFormat="false" ht="21.75" hidden="false" customHeight="true" outlineLevel="0" collapsed="false">
      <c r="A12" s="12" t="s">
        <v>221</v>
      </c>
      <c r="B12" s="13" t="s">
        <v>77</v>
      </c>
      <c r="D12" s="12" t="s">
        <v>222</v>
      </c>
      <c r="E12" s="13" t="s">
        <v>77</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467</v>
      </c>
      <c r="B1" s="10"/>
      <c r="D1" s="10" t="s">
        <v>468</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79</v>
      </c>
      <c r="D3" s="12" t="s">
        <v>198</v>
      </c>
      <c r="E3" s="13" t="s">
        <v>79</v>
      </c>
    </row>
    <row r="4" customFormat="false" ht="21.75" hidden="false" customHeight="true" outlineLevel="0" collapsed="false">
      <c r="A4" s="12" t="s">
        <v>199</v>
      </c>
      <c r="B4" s="13" t="s">
        <v>68</v>
      </c>
      <c r="D4" s="12" t="s">
        <v>200</v>
      </c>
      <c r="E4" s="13" t="s">
        <v>166</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469</v>
      </c>
      <c r="D8" s="12" t="s">
        <v>211</v>
      </c>
      <c r="E8" s="13" t="s">
        <v>470</v>
      </c>
    </row>
    <row r="9" customFormat="false" ht="142.5" hidden="false" customHeight="true" outlineLevel="0" collapsed="false">
      <c r="A9" s="12" t="s">
        <v>213</v>
      </c>
      <c r="B9" s="13" t="s">
        <v>471</v>
      </c>
      <c r="D9" s="12" t="s">
        <v>215</v>
      </c>
      <c r="E9" s="13" t="s">
        <v>472</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473</v>
      </c>
      <c r="D11" s="12" t="s">
        <v>219</v>
      </c>
      <c r="E11" s="13" t="s">
        <v>473</v>
      </c>
    </row>
    <row r="12" customFormat="false" ht="21.75" hidden="false" customHeight="true" outlineLevel="0" collapsed="false">
      <c r="A12" s="12" t="s">
        <v>221</v>
      </c>
      <c r="B12" s="13" t="s">
        <v>79</v>
      </c>
      <c r="D12" s="12" t="s">
        <v>222</v>
      </c>
      <c r="E12" s="13" t="s">
        <v>79</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474</v>
      </c>
      <c r="B1" s="10"/>
      <c r="D1" s="10" t="s">
        <v>475</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81</v>
      </c>
      <c r="D3" s="12" t="s">
        <v>198</v>
      </c>
      <c r="E3" s="13" t="s">
        <v>81</v>
      </c>
    </row>
    <row r="4" customFormat="false" ht="21.75" hidden="false" customHeight="true" outlineLevel="0" collapsed="false">
      <c r="A4" s="12" t="s">
        <v>199</v>
      </c>
      <c r="B4" s="13" t="s">
        <v>82</v>
      </c>
      <c r="D4" s="12" t="s">
        <v>200</v>
      </c>
      <c r="E4" s="13" t="s">
        <v>167</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476</v>
      </c>
      <c r="D8" s="12" t="s">
        <v>211</v>
      </c>
      <c r="E8" s="13" t="s">
        <v>477</v>
      </c>
    </row>
    <row r="9" customFormat="false" ht="300" hidden="false" customHeight="true" outlineLevel="0" collapsed="false">
      <c r="A9" s="12" t="s">
        <v>213</v>
      </c>
      <c r="B9" s="13" t="s">
        <v>478</v>
      </c>
      <c r="D9" s="12" t="s">
        <v>215</v>
      </c>
      <c r="E9" s="13" t="s">
        <v>479</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480</v>
      </c>
      <c r="D11" s="12" t="s">
        <v>219</v>
      </c>
      <c r="E11" s="13" t="s">
        <v>480</v>
      </c>
    </row>
    <row r="12" customFormat="false" ht="21.75" hidden="false" customHeight="true" outlineLevel="0" collapsed="false">
      <c r="A12" s="12" t="s">
        <v>221</v>
      </c>
      <c r="B12" s="13" t="s">
        <v>81</v>
      </c>
      <c r="D12" s="12" t="s">
        <v>222</v>
      </c>
      <c r="E12" s="13" t="s">
        <v>81</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481</v>
      </c>
      <c r="B1" s="10"/>
      <c r="D1" s="10" t="s">
        <v>482</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83</v>
      </c>
      <c r="D3" s="12" t="s">
        <v>198</v>
      </c>
      <c r="E3" s="13" t="s">
        <v>83</v>
      </c>
    </row>
    <row r="4" customFormat="false" ht="21.75" hidden="false" customHeight="true" outlineLevel="0" collapsed="false">
      <c r="A4" s="12" t="s">
        <v>199</v>
      </c>
      <c r="B4" s="13" t="s">
        <v>82</v>
      </c>
      <c r="D4" s="12" t="s">
        <v>200</v>
      </c>
      <c r="E4" s="13" t="s">
        <v>167</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29.75" hidden="false" customHeight="true" outlineLevel="0" collapsed="false">
      <c r="A8" s="12" t="s">
        <v>209</v>
      </c>
      <c r="B8" s="13" t="s">
        <v>483</v>
      </c>
      <c r="D8" s="12" t="s">
        <v>211</v>
      </c>
      <c r="E8" s="13" t="s">
        <v>484</v>
      </c>
    </row>
    <row r="9" customFormat="false" ht="103.5" hidden="false" customHeight="true" outlineLevel="0" collapsed="false">
      <c r="A9" s="12" t="s">
        <v>213</v>
      </c>
      <c r="B9" s="13" t="s">
        <v>485</v>
      </c>
      <c r="D9" s="12" t="s">
        <v>215</v>
      </c>
      <c r="E9" s="13" t="s">
        <v>486</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487</v>
      </c>
      <c r="D11" s="12" t="s">
        <v>219</v>
      </c>
      <c r="E11" s="13" t="s">
        <v>487</v>
      </c>
    </row>
    <row r="12" customFormat="false" ht="21.75" hidden="false" customHeight="true" outlineLevel="0" collapsed="false">
      <c r="A12" s="12" t="s">
        <v>221</v>
      </c>
      <c r="B12" s="13" t="s">
        <v>83</v>
      </c>
      <c r="D12" s="12" t="s">
        <v>222</v>
      </c>
      <c r="E12" s="13" t="s">
        <v>83</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488</v>
      </c>
      <c r="B1" s="10"/>
      <c r="D1" s="10" t="s">
        <v>489</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85</v>
      </c>
      <c r="D3" s="12" t="s">
        <v>198</v>
      </c>
      <c r="E3" s="13" t="s">
        <v>85</v>
      </c>
    </row>
    <row r="4" customFormat="false" ht="21.75" hidden="false" customHeight="true" outlineLevel="0" collapsed="false">
      <c r="A4" s="12" t="s">
        <v>199</v>
      </c>
      <c r="B4" s="13" t="s">
        <v>86</v>
      </c>
      <c r="D4" s="12" t="s">
        <v>200</v>
      </c>
      <c r="E4" s="13" t="s">
        <v>168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64.5" hidden="false" customHeight="true" outlineLevel="0" collapsed="false">
      <c r="A8" s="12" t="s">
        <v>209</v>
      </c>
      <c r="B8" s="13" t="s">
        <v>490</v>
      </c>
      <c r="D8" s="12" t="s">
        <v>211</v>
      </c>
      <c r="E8" s="13" t="s">
        <v>491</v>
      </c>
    </row>
    <row r="9" customFormat="false" ht="117" hidden="false" customHeight="true" outlineLevel="0" collapsed="false">
      <c r="A9" s="12" t="s">
        <v>213</v>
      </c>
      <c r="B9" s="13" t="s">
        <v>492</v>
      </c>
      <c r="D9" s="12" t="s">
        <v>215</v>
      </c>
      <c r="E9" s="13" t="s">
        <v>493</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494</v>
      </c>
      <c r="D11" s="12" t="s">
        <v>219</v>
      </c>
      <c r="E11" s="13" t="s">
        <v>494</v>
      </c>
    </row>
    <row r="12" customFormat="false" ht="21.75" hidden="false" customHeight="true" outlineLevel="0" collapsed="false">
      <c r="A12" s="12" t="s">
        <v>221</v>
      </c>
      <c r="B12" s="13" t="s">
        <v>85</v>
      </c>
      <c r="D12" s="12" t="s">
        <v>222</v>
      </c>
      <c r="E12" s="13" t="s">
        <v>85</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495</v>
      </c>
      <c r="B1" s="10"/>
      <c r="D1" s="10" t="s">
        <v>496</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87</v>
      </c>
      <c r="D3" s="12" t="s">
        <v>198</v>
      </c>
      <c r="E3" s="13" t="s">
        <v>87</v>
      </c>
    </row>
    <row r="4" customFormat="false" ht="21.75" hidden="false" customHeight="true" outlineLevel="0" collapsed="false">
      <c r="A4" s="12" t="s">
        <v>199</v>
      </c>
      <c r="B4" s="13" t="s">
        <v>88</v>
      </c>
      <c r="D4" s="12" t="s">
        <v>200</v>
      </c>
      <c r="E4" s="13" t="s">
        <v>169</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03.5" hidden="false" customHeight="true" outlineLevel="0" collapsed="false">
      <c r="A8" s="12" t="s">
        <v>209</v>
      </c>
      <c r="B8" s="13" t="s">
        <v>497</v>
      </c>
      <c r="D8" s="12" t="s">
        <v>211</v>
      </c>
      <c r="E8" s="13" t="s">
        <v>498</v>
      </c>
    </row>
    <row r="9" customFormat="false" ht="45" hidden="false" customHeight="true" outlineLevel="0" collapsed="false">
      <c r="A9" s="12" t="s">
        <v>213</v>
      </c>
      <c r="B9" s="13"/>
      <c r="D9" s="12" t="s">
        <v>215</v>
      </c>
      <c r="E9" s="13"/>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499</v>
      </c>
      <c r="D11" s="12" t="s">
        <v>219</v>
      </c>
      <c r="E11" s="13" t="s">
        <v>499</v>
      </c>
    </row>
    <row r="12" customFormat="false" ht="21.75" hidden="false" customHeight="true" outlineLevel="0" collapsed="false">
      <c r="A12" s="12" t="s">
        <v>221</v>
      </c>
      <c r="B12" s="13" t="s">
        <v>87</v>
      </c>
      <c r="D12" s="12" t="s">
        <v>222</v>
      </c>
      <c r="E12" s="13" t="s">
        <v>87</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500</v>
      </c>
      <c r="B1" s="10"/>
      <c r="D1" s="10" t="s">
        <v>501</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90</v>
      </c>
      <c r="D3" s="12" t="s">
        <v>198</v>
      </c>
      <c r="E3" s="13" t="s">
        <v>90</v>
      </c>
    </row>
    <row r="4" customFormat="false" ht="21.75" hidden="false" customHeight="true" outlineLevel="0" collapsed="false">
      <c r="A4" s="12" t="s">
        <v>199</v>
      </c>
      <c r="B4" s="13" t="s">
        <v>91</v>
      </c>
      <c r="D4" s="12" t="s">
        <v>200</v>
      </c>
      <c r="E4" s="13" t="s">
        <v>170</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502</v>
      </c>
      <c r="D8" s="12" t="s">
        <v>211</v>
      </c>
      <c r="E8" s="13" t="s">
        <v>503</v>
      </c>
    </row>
    <row r="9" customFormat="false" ht="234" hidden="false" customHeight="true" outlineLevel="0" collapsed="false">
      <c r="A9" s="12" t="s">
        <v>213</v>
      </c>
      <c r="B9" s="13" t="s">
        <v>504</v>
      </c>
      <c r="D9" s="12" t="s">
        <v>215</v>
      </c>
      <c r="E9" s="13" t="s">
        <v>505</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506</v>
      </c>
      <c r="D11" s="12" t="s">
        <v>219</v>
      </c>
      <c r="E11" s="13" t="s">
        <v>506</v>
      </c>
    </row>
    <row r="12" customFormat="false" ht="21.75" hidden="false" customHeight="true" outlineLevel="0" collapsed="false">
      <c r="A12" s="12" t="s">
        <v>221</v>
      </c>
      <c r="B12" s="13" t="s">
        <v>90</v>
      </c>
      <c r="D12" s="12" t="s">
        <v>222</v>
      </c>
      <c r="E12" s="13" t="s">
        <v>90</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507</v>
      </c>
      <c r="B1" s="10"/>
      <c r="D1" s="10" t="s">
        <v>508</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92</v>
      </c>
      <c r="D3" s="12" t="s">
        <v>198</v>
      </c>
      <c r="E3" s="13" t="s">
        <v>92</v>
      </c>
    </row>
    <row r="4" customFormat="false" ht="21.75" hidden="false" customHeight="true" outlineLevel="0" collapsed="false">
      <c r="A4" s="12" t="s">
        <v>199</v>
      </c>
      <c r="B4" s="13" t="s">
        <v>93</v>
      </c>
      <c r="D4" s="12" t="s">
        <v>200</v>
      </c>
      <c r="E4" s="13" t="s">
        <v>171</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78" hidden="false" customHeight="true" outlineLevel="0" collapsed="false">
      <c r="A8" s="12" t="s">
        <v>209</v>
      </c>
      <c r="B8" s="13" t="s">
        <v>509</v>
      </c>
      <c r="D8" s="12" t="s">
        <v>211</v>
      </c>
      <c r="E8" s="13" t="s">
        <v>510</v>
      </c>
    </row>
    <row r="9" customFormat="false" ht="168.75" hidden="false" customHeight="true" outlineLevel="0" collapsed="false">
      <c r="A9" s="12" t="s">
        <v>213</v>
      </c>
      <c r="B9" s="13" t="s">
        <v>511</v>
      </c>
      <c r="D9" s="12" t="s">
        <v>215</v>
      </c>
      <c r="E9" s="13" t="s">
        <v>512</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513</v>
      </c>
      <c r="D11" s="12" t="s">
        <v>219</v>
      </c>
      <c r="E11" s="13" t="s">
        <v>513</v>
      </c>
    </row>
    <row r="12" customFormat="false" ht="21.75" hidden="false" customHeight="true" outlineLevel="0" collapsed="false">
      <c r="A12" s="12" t="s">
        <v>221</v>
      </c>
      <c r="B12" s="13" t="s">
        <v>92</v>
      </c>
      <c r="D12" s="12" t="s">
        <v>222</v>
      </c>
      <c r="E12" s="13" t="s">
        <v>92</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514</v>
      </c>
      <c r="B1" s="10"/>
      <c r="D1" s="10" t="s">
        <v>515</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94</v>
      </c>
      <c r="D3" s="12" t="s">
        <v>198</v>
      </c>
      <c r="E3" s="13" t="s">
        <v>94</v>
      </c>
    </row>
    <row r="4" customFormat="false" ht="21.75" hidden="false" customHeight="true" outlineLevel="0" collapsed="false">
      <c r="A4" s="12" t="s">
        <v>199</v>
      </c>
      <c r="B4" s="13" t="s">
        <v>95</v>
      </c>
      <c r="D4" s="12" t="s">
        <v>200</v>
      </c>
      <c r="E4" s="13" t="s">
        <v>172</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17" hidden="false" customHeight="true" outlineLevel="0" collapsed="false">
      <c r="A8" s="12" t="s">
        <v>209</v>
      </c>
      <c r="B8" s="13" t="s">
        <v>516</v>
      </c>
      <c r="D8" s="12" t="s">
        <v>211</v>
      </c>
      <c r="E8" s="13" t="s">
        <v>517</v>
      </c>
    </row>
    <row r="9" customFormat="false" ht="220.5" hidden="false" customHeight="true" outlineLevel="0" collapsed="false">
      <c r="A9" s="12" t="s">
        <v>213</v>
      </c>
      <c r="B9" s="13" t="s">
        <v>518</v>
      </c>
      <c r="D9" s="12" t="s">
        <v>215</v>
      </c>
      <c r="E9" s="13" t="s">
        <v>519</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520</v>
      </c>
      <c r="D11" s="12" t="s">
        <v>219</v>
      </c>
      <c r="E11" s="13" t="s">
        <v>520</v>
      </c>
    </row>
    <row r="12" customFormat="false" ht="21.75" hidden="false" customHeight="true" outlineLevel="0" collapsed="false">
      <c r="A12" s="12" t="s">
        <v>221</v>
      </c>
      <c r="B12" s="13" t="s">
        <v>94</v>
      </c>
      <c r="D12" s="12" t="s">
        <v>222</v>
      </c>
      <c r="E12" s="13" t="s">
        <v>94</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521</v>
      </c>
      <c r="B1" s="10"/>
      <c r="D1" s="10" t="s">
        <v>522</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96</v>
      </c>
      <c r="D3" s="12" t="s">
        <v>198</v>
      </c>
      <c r="E3" s="13" t="s">
        <v>96</v>
      </c>
    </row>
    <row r="4" customFormat="false" ht="21.75" hidden="false" customHeight="true" outlineLevel="0" collapsed="false">
      <c r="A4" s="12" t="s">
        <v>199</v>
      </c>
      <c r="B4" s="13" t="s">
        <v>97</v>
      </c>
      <c r="D4" s="12" t="s">
        <v>200</v>
      </c>
      <c r="E4" s="13" t="s">
        <v>173</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523</v>
      </c>
      <c r="D8" s="12" t="s">
        <v>211</v>
      </c>
      <c r="E8" s="13" t="s">
        <v>524</v>
      </c>
    </row>
    <row r="9" customFormat="false" ht="181.5" hidden="false" customHeight="true" outlineLevel="0" collapsed="false">
      <c r="A9" s="12" t="s">
        <v>213</v>
      </c>
      <c r="B9" s="13" t="s">
        <v>525</v>
      </c>
      <c r="D9" s="12" t="s">
        <v>215</v>
      </c>
      <c r="E9" s="13" t="s">
        <v>526</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527</v>
      </c>
      <c r="D11" s="12" t="s">
        <v>219</v>
      </c>
      <c r="E11" s="13" t="s">
        <v>527</v>
      </c>
    </row>
    <row r="12" customFormat="false" ht="21.75" hidden="false" customHeight="true" outlineLevel="0" collapsed="false">
      <c r="A12" s="12" t="s">
        <v>221</v>
      </c>
      <c r="B12" s="13" t="s">
        <v>96</v>
      </c>
      <c r="D12" s="12" t="s">
        <v>222</v>
      </c>
      <c r="E12" s="13" t="s">
        <v>96</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528</v>
      </c>
      <c r="B1" s="10"/>
      <c r="D1" s="10" t="s">
        <v>529</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98</v>
      </c>
      <c r="D3" s="12" t="s">
        <v>198</v>
      </c>
      <c r="E3" s="13" t="s">
        <v>98</v>
      </c>
    </row>
    <row r="4" customFormat="false" ht="21.75" hidden="false" customHeight="true" outlineLevel="0" collapsed="false">
      <c r="A4" s="12" t="s">
        <v>199</v>
      </c>
      <c r="B4" s="13" t="s">
        <v>99</v>
      </c>
      <c r="D4" s="12" t="s">
        <v>200</v>
      </c>
      <c r="E4" s="13" t="s">
        <v>174</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530</v>
      </c>
      <c r="D8" s="12" t="s">
        <v>211</v>
      </c>
      <c r="E8" s="13" t="s">
        <v>531</v>
      </c>
    </row>
    <row r="9" customFormat="false" ht="234" hidden="false" customHeight="true" outlineLevel="0" collapsed="false">
      <c r="A9" s="12" t="s">
        <v>213</v>
      </c>
      <c r="B9" s="13" t="s">
        <v>532</v>
      </c>
      <c r="D9" s="12" t="s">
        <v>215</v>
      </c>
      <c r="E9" s="13" t="s">
        <v>533</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534</v>
      </c>
      <c r="D11" s="12" t="s">
        <v>219</v>
      </c>
      <c r="E11" s="13" t="s">
        <v>534</v>
      </c>
    </row>
    <row r="12" customFormat="false" ht="21.75" hidden="false" customHeight="true" outlineLevel="0" collapsed="false">
      <c r="A12" s="12" t="s">
        <v>221</v>
      </c>
      <c r="B12" s="13" t="s">
        <v>98</v>
      </c>
      <c r="D12" s="12" t="s">
        <v>222</v>
      </c>
      <c r="E12" s="13" t="s">
        <v>98</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535</v>
      </c>
      <c r="B1" s="10"/>
      <c r="D1" s="10" t="s">
        <v>536</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100</v>
      </c>
      <c r="D3" s="12" t="s">
        <v>198</v>
      </c>
      <c r="E3" s="13" t="s">
        <v>100</v>
      </c>
    </row>
    <row r="4" customFormat="false" ht="21.75" hidden="false" customHeight="true" outlineLevel="0" collapsed="false">
      <c r="A4" s="12" t="s">
        <v>199</v>
      </c>
      <c r="B4" s="13" t="s">
        <v>101</v>
      </c>
      <c r="D4" s="12" t="s">
        <v>200</v>
      </c>
      <c r="E4" s="13" t="s">
        <v>175</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537</v>
      </c>
      <c r="D8" s="12" t="s">
        <v>211</v>
      </c>
      <c r="E8" s="13" t="s">
        <v>538</v>
      </c>
    </row>
    <row r="9" customFormat="false" ht="117" hidden="false" customHeight="true" outlineLevel="0" collapsed="false">
      <c r="A9" s="12" t="s">
        <v>213</v>
      </c>
      <c r="B9" s="13" t="s">
        <v>539</v>
      </c>
      <c r="D9" s="12" t="s">
        <v>215</v>
      </c>
      <c r="E9" s="13" t="s">
        <v>540</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541</v>
      </c>
      <c r="D11" s="12" t="s">
        <v>219</v>
      </c>
      <c r="E11" s="13" t="s">
        <v>541</v>
      </c>
    </row>
    <row r="12" customFormat="false" ht="21.75" hidden="false" customHeight="true" outlineLevel="0" collapsed="false">
      <c r="A12" s="12" t="s">
        <v>221</v>
      </c>
      <c r="B12" s="13" t="s">
        <v>100</v>
      </c>
      <c r="D12" s="12" t="s">
        <v>222</v>
      </c>
      <c r="E12" s="13" t="s">
        <v>100</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542</v>
      </c>
      <c r="B1" s="10"/>
      <c r="D1" s="10" t="s">
        <v>543</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102</v>
      </c>
      <c r="D3" s="12" t="s">
        <v>198</v>
      </c>
      <c r="E3" s="13" t="s">
        <v>102</v>
      </c>
    </row>
    <row r="4" customFormat="false" ht="21.75" hidden="false" customHeight="true" outlineLevel="0" collapsed="false">
      <c r="A4" s="12" t="s">
        <v>199</v>
      </c>
      <c r="B4" s="13" t="s">
        <v>101</v>
      </c>
      <c r="D4" s="12" t="s">
        <v>200</v>
      </c>
      <c r="E4" s="13" t="s">
        <v>175</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544</v>
      </c>
      <c r="D8" s="12" t="s">
        <v>211</v>
      </c>
      <c r="E8" s="13" t="s">
        <v>545</v>
      </c>
    </row>
    <row r="9" customFormat="false" ht="45" hidden="false" customHeight="true" outlineLevel="0" collapsed="false">
      <c r="A9" s="12" t="s">
        <v>213</v>
      </c>
      <c r="B9" s="13" t="s">
        <v>546</v>
      </c>
      <c r="D9" s="12" t="s">
        <v>215</v>
      </c>
      <c r="E9" s="13" t="s">
        <v>547</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548</v>
      </c>
      <c r="D11" s="12" t="s">
        <v>219</v>
      </c>
      <c r="E11" s="13" t="s">
        <v>548</v>
      </c>
    </row>
    <row r="12" customFormat="false" ht="21.75" hidden="false" customHeight="true" outlineLevel="0" collapsed="false">
      <c r="A12" s="12" t="s">
        <v>221</v>
      </c>
      <c r="B12" s="13" t="s">
        <v>102</v>
      </c>
      <c r="D12" s="12" t="s">
        <v>222</v>
      </c>
      <c r="E12" s="13" t="s">
        <v>102</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549</v>
      </c>
      <c r="B1" s="10"/>
      <c r="D1" s="10" t="s">
        <v>550</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104</v>
      </c>
      <c r="D3" s="12" t="s">
        <v>198</v>
      </c>
      <c r="E3" s="13" t="s">
        <v>104</v>
      </c>
    </row>
    <row r="4" customFormat="false" ht="21.75" hidden="false" customHeight="true" outlineLevel="0" collapsed="false">
      <c r="A4" s="12" t="s">
        <v>199</v>
      </c>
      <c r="B4" s="13" t="s">
        <v>105</v>
      </c>
      <c r="D4" s="12" t="s">
        <v>200</v>
      </c>
      <c r="E4" s="13" t="s">
        <v>176</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551</v>
      </c>
      <c r="D8" s="12" t="s">
        <v>211</v>
      </c>
      <c r="E8" s="13" t="s">
        <v>552</v>
      </c>
    </row>
    <row r="9" customFormat="false" ht="259.5" hidden="false" customHeight="true" outlineLevel="0" collapsed="false">
      <c r="A9" s="12" t="s">
        <v>213</v>
      </c>
      <c r="B9" s="13" t="s">
        <v>553</v>
      </c>
      <c r="D9" s="12" t="s">
        <v>215</v>
      </c>
      <c r="E9" s="13" t="s">
        <v>554</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555</v>
      </c>
      <c r="D11" s="12" t="s">
        <v>219</v>
      </c>
      <c r="E11" s="13" t="s">
        <v>555</v>
      </c>
    </row>
    <row r="12" customFormat="false" ht="21.75" hidden="false" customHeight="true" outlineLevel="0" collapsed="false">
      <c r="A12" s="12" t="s">
        <v>221</v>
      </c>
      <c r="B12" s="13" t="s">
        <v>104</v>
      </c>
      <c r="D12" s="12" t="s">
        <v>222</v>
      </c>
      <c r="E12" s="13" t="s">
        <v>104</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556</v>
      </c>
      <c r="B1" s="10"/>
      <c r="D1" s="10" t="s">
        <v>557</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106</v>
      </c>
      <c r="D3" s="12" t="s">
        <v>198</v>
      </c>
      <c r="E3" s="13" t="s">
        <v>106</v>
      </c>
    </row>
    <row r="4" customFormat="false" ht="21.75" hidden="false" customHeight="true" outlineLevel="0" collapsed="false">
      <c r="A4" s="12" t="s">
        <v>199</v>
      </c>
      <c r="B4" s="13" t="s">
        <v>107</v>
      </c>
      <c r="D4" s="12" t="s">
        <v>200</v>
      </c>
      <c r="E4" s="13" t="s">
        <v>177</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246.75" hidden="false" customHeight="true" outlineLevel="0" collapsed="false">
      <c r="A8" s="12" t="s">
        <v>209</v>
      </c>
      <c r="B8" s="13" t="s">
        <v>558</v>
      </c>
      <c r="D8" s="12" t="s">
        <v>211</v>
      </c>
      <c r="E8" s="13" t="s">
        <v>559</v>
      </c>
    </row>
    <row r="9" customFormat="false" ht="300" hidden="false" customHeight="true" outlineLevel="0" collapsed="false">
      <c r="A9" s="12" t="s">
        <v>213</v>
      </c>
      <c r="B9" s="13" t="s">
        <v>560</v>
      </c>
      <c r="D9" s="12" t="s">
        <v>215</v>
      </c>
      <c r="E9" s="13" t="s">
        <v>561</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562</v>
      </c>
      <c r="D11" s="12" t="s">
        <v>219</v>
      </c>
      <c r="E11" s="13" t="s">
        <v>562</v>
      </c>
    </row>
    <row r="12" customFormat="false" ht="21.75" hidden="false" customHeight="true" outlineLevel="0" collapsed="false">
      <c r="A12" s="12" t="s">
        <v>221</v>
      </c>
      <c r="B12" s="13" t="s">
        <v>106</v>
      </c>
      <c r="D12" s="12" t="s">
        <v>222</v>
      </c>
      <c r="E12" s="13" t="s">
        <v>106</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563</v>
      </c>
      <c r="B1" s="10"/>
      <c r="D1" s="10" t="s">
        <v>564</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108</v>
      </c>
      <c r="D3" s="12" t="s">
        <v>198</v>
      </c>
      <c r="E3" s="13" t="s">
        <v>108</v>
      </c>
    </row>
    <row r="4" customFormat="false" ht="21.75" hidden="false" customHeight="true" outlineLevel="0" collapsed="false">
      <c r="A4" s="12" t="s">
        <v>199</v>
      </c>
      <c r="B4" s="13" t="s">
        <v>109</v>
      </c>
      <c r="D4" s="12" t="s">
        <v>200</v>
      </c>
      <c r="E4" s="13" t="s">
        <v>178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300" hidden="false" customHeight="true" outlineLevel="0" collapsed="false">
      <c r="A8" s="12" t="s">
        <v>209</v>
      </c>
      <c r="B8" s="13" t="s">
        <v>565</v>
      </c>
      <c r="D8" s="12" t="s">
        <v>211</v>
      </c>
      <c r="E8" s="13" t="s">
        <v>566</v>
      </c>
    </row>
    <row r="9" customFormat="false" ht="300" hidden="false" customHeight="true" outlineLevel="0" collapsed="false">
      <c r="A9" s="12" t="s">
        <v>213</v>
      </c>
      <c r="B9" s="13" t="s">
        <v>567</v>
      </c>
      <c r="D9" s="12" t="s">
        <v>215</v>
      </c>
      <c r="E9" s="13" t="s">
        <v>568</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569</v>
      </c>
      <c r="D11" s="12" t="s">
        <v>219</v>
      </c>
      <c r="E11" s="13" t="s">
        <v>569</v>
      </c>
    </row>
    <row r="12" customFormat="false" ht="21.75" hidden="false" customHeight="true" outlineLevel="0" collapsed="false">
      <c r="A12" s="12" t="s">
        <v>221</v>
      </c>
      <c r="B12" s="13" t="s">
        <v>108</v>
      </c>
      <c r="D12" s="12" t="s">
        <v>222</v>
      </c>
      <c r="E12" s="13" t="s">
        <v>108</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570</v>
      </c>
      <c r="B1" s="10"/>
      <c r="D1" s="10" t="s">
        <v>571</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110</v>
      </c>
      <c r="D3" s="12" t="s">
        <v>198</v>
      </c>
      <c r="E3" s="13" t="s">
        <v>110</v>
      </c>
    </row>
    <row r="4" customFormat="false" ht="21.75" hidden="false" customHeight="true" outlineLevel="0" collapsed="false">
      <c r="A4" s="12" t="s">
        <v>199</v>
      </c>
      <c r="B4" s="13" t="s">
        <v>109</v>
      </c>
      <c r="D4" s="12" t="s">
        <v>200</v>
      </c>
      <c r="E4" s="13" t="s">
        <v>178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572</v>
      </c>
      <c r="D8" s="12" t="s">
        <v>211</v>
      </c>
      <c r="E8" s="13" t="s">
        <v>573</v>
      </c>
    </row>
    <row r="9" customFormat="false" ht="45" hidden="false" customHeight="true" outlineLevel="0" collapsed="false">
      <c r="A9" s="12" t="s">
        <v>213</v>
      </c>
      <c r="B9" s="13"/>
      <c r="D9" s="12" t="s">
        <v>215</v>
      </c>
      <c r="E9" s="13"/>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574</v>
      </c>
      <c r="D11" s="12" t="s">
        <v>219</v>
      </c>
      <c r="E11" s="13" t="s">
        <v>574</v>
      </c>
    </row>
    <row r="12" customFormat="false" ht="21.75" hidden="false" customHeight="true" outlineLevel="0" collapsed="false">
      <c r="A12" s="12" t="s">
        <v>221</v>
      </c>
      <c r="B12" s="13" t="s">
        <v>110</v>
      </c>
      <c r="D12" s="12" t="s">
        <v>222</v>
      </c>
      <c r="E12" s="13" t="s">
        <v>110</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575</v>
      </c>
      <c r="B1" s="10"/>
      <c r="D1" s="10" t="s">
        <v>576</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112</v>
      </c>
      <c r="D3" s="12" t="s">
        <v>198</v>
      </c>
      <c r="E3" s="13" t="s">
        <v>112</v>
      </c>
    </row>
    <row r="4" customFormat="false" ht="21.75" hidden="false" customHeight="true" outlineLevel="0" collapsed="false">
      <c r="A4" s="12" t="s">
        <v>199</v>
      </c>
      <c r="B4" s="13" t="s">
        <v>109</v>
      </c>
      <c r="D4" s="12" t="s">
        <v>200</v>
      </c>
      <c r="E4" s="13" t="s">
        <v>178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577</v>
      </c>
      <c r="D8" s="12" t="s">
        <v>211</v>
      </c>
      <c r="E8" s="13" t="s">
        <v>578</v>
      </c>
    </row>
    <row r="9" customFormat="false" ht="78" hidden="false" customHeight="true" outlineLevel="0" collapsed="false">
      <c r="A9" s="12" t="s">
        <v>213</v>
      </c>
      <c r="B9" s="13" t="s">
        <v>579</v>
      </c>
      <c r="D9" s="12" t="s">
        <v>215</v>
      </c>
      <c r="E9" s="13" t="s">
        <v>580</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581</v>
      </c>
      <c r="D11" s="12" t="s">
        <v>219</v>
      </c>
      <c r="E11" s="13" t="s">
        <v>581</v>
      </c>
    </row>
    <row r="12" customFormat="false" ht="21.75" hidden="false" customHeight="true" outlineLevel="0" collapsed="false">
      <c r="A12" s="12" t="s">
        <v>221</v>
      </c>
      <c r="B12" s="13" t="s">
        <v>112</v>
      </c>
      <c r="D12" s="12" t="s">
        <v>222</v>
      </c>
      <c r="E12" s="13" t="s">
        <v>112</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582</v>
      </c>
      <c r="B1" s="10"/>
      <c r="D1" s="10" t="s">
        <v>583</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114</v>
      </c>
      <c r="D3" s="12" t="s">
        <v>198</v>
      </c>
      <c r="E3" s="13" t="s">
        <v>114</v>
      </c>
    </row>
    <row r="4" customFormat="false" ht="21.75" hidden="false" customHeight="true" outlineLevel="0" collapsed="false">
      <c r="A4" s="12" t="s">
        <v>199</v>
      </c>
      <c r="B4" s="13" t="s">
        <v>109</v>
      </c>
      <c r="D4" s="12" t="s">
        <v>200</v>
      </c>
      <c r="E4" s="13" t="s">
        <v>178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51.75" hidden="false" customHeight="true" outlineLevel="0" collapsed="false">
      <c r="A8" s="12" t="s">
        <v>209</v>
      </c>
      <c r="B8" s="13" t="s">
        <v>584</v>
      </c>
      <c r="D8" s="12" t="s">
        <v>211</v>
      </c>
      <c r="E8" s="13" t="s">
        <v>585</v>
      </c>
    </row>
    <row r="9" customFormat="false" ht="117" hidden="false" customHeight="true" outlineLevel="0" collapsed="false">
      <c r="A9" s="12" t="s">
        <v>213</v>
      </c>
      <c r="B9" s="13" t="s">
        <v>586</v>
      </c>
      <c r="D9" s="12" t="s">
        <v>215</v>
      </c>
      <c r="E9" s="13" t="s">
        <v>587</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588</v>
      </c>
      <c r="D11" s="12" t="s">
        <v>219</v>
      </c>
      <c r="E11" s="13" t="s">
        <v>588</v>
      </c>
    </row>
    <row r="12" customFormat="false" ht="21.75" hidden="false" customHeight="true" outlineLevel="0" collapsed="false">
      <c r="A12" s="12" t="s">
        <v>221</v>
      </c>
      <c r="B12" s="13" t="s">
        <v>114</v>
      </c>
      <c r="D12" s="12" t="s">
        <v>222</v>
      </c>
      <c r="E12" s="13" t="s">
        <v>114</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589</v>
      </c>
      <c r="B1" s="10"/>
      <c r="D1" s="10" t="s">
        <v>590</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116</v>
      </c>
      <c r="D3" s="12" t="s">
        <v>198</v>
      </c>
      <c r="E3" s="13" t="s">
        <v>116</v>
      </c>
    </row>
    <row r="4" customFormat="false" ht="21.75" hidden="false" customHeight="true" outlineLevel="0" collapsed="false">
      <c r="A4" s="12" t="s">
        <v>199</v>
      </c>
      <c r="B4" s="13" t="s">
        <v>109</v>
      </c>
      <c r="D4" s="12" t="s">
        <v>200</v>
      </c>
      <c r="E4" s="13" t="s">
        <v>178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64.5" hidden="false" customHeight="true" outlineLevel="0" collapsed="false">
      <c r="A8" s="12" t="s">
        <v>209</v>
      </c>
      <c r="B8" s="13" t="s">
        <v>591</v>
      </c>
      <c r="D8" s="12" t="s">
        <v>211</v>
      </c>
      <c r="E8" s="13" t="s">
        <v>592</v>
      </c>
    </row>
    <row r="9" customFormat="false" ht="142.5" hidden="false" customHeight="true" outlineLevel="0" collapsed="false">
      <c r="A9" s="12" t="s">
        <v>213</v>
      </c>
      <c r="B9" s="13" t="s">
        <v>593</v>
      </c>
      <c r="D9" s="12" t="s">
        <v>215</v>
      </c>
      <c r="E9" s="13" t="s">
        <v>594</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595</v>
      </c>
      <c r="D11" s="12" t="s">
        <v>219</v>
      </c>
      <c r="E11" s="13" t="s">
        <v>595</v>
      </c>
    </row>
    <row r="12" customFormat="false" ht="21.75" hidden="false" customHeight="true" outlineLevel="0" collapsed="false">
      <c r="A12" s="12" t="s">
        <v>221</v>
      </c>
      <c r="B12" s="13" t="s">
        <v>116</v>
      </c>
      <c r="D12" s="12" t="s">
        <v>222</v>
      </c>
      <c r="E12" s="13" t="s">
        <v>116</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596</v>
      </c>
      <c r="B1" s="10"/>
      <c r="D1" s="10" t="s">
        <v>597</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118</v>
      </c>
      <c r="D3" s="12" t="s">
        <v>198</v>
      </c>
      <c r="E3" s="13" t="s">
        <v>118</v>
      </c>
    </row>
    <row r="4" customFormat="false" ht="21.75" hidden="false" customHeight="true" outlineLevel="0" collapsed="false">
      <c r="A4" s="12" t="s">
        <v>199</v>
      </c>
      <c r="B4" s="13" t="s">
        <v>109</v>
      </c>
      <c r="D4" s="12" t="s">
        <v>200</v>
      </c>
      <c r="E4" s="13" t="s">
        <v>178</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64.5" hidden="false" customHeight="true" outlineLevel="0" collapsed="false">
      <c r="A8" s="12" t="s">
        <v>209</v>
      </c>
      <c r="B8" s="13" t="s">
        <v>598</v>
      </c>
      <c r="D8" s="12" t="s">
        <v>211</v>
      </c>
      <c r="E8" s="13" t="s">
        <v>599</v>
      </c>
    </row>
    <row r="9" customFormat="false" ht="64.5" hidden="false" customHeight="true" outlineLevel="0" collapsed="false">
      <c r="A9" s="12" t="s">
        <v>213</v>
      </c>
      <c r="B9" s="13" t="s">
        <v>600</v>
      </c>
      <c r="D9" s="12" t="s">
        <v>215</v>
      </c>
      <c r="E9" s="13" t="s">
        <v>601</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602</v>
      </c>
      <c r="D11" s="12" t="s">
        <v>219</v>
      </c>
      <c r="E11" s="13" t="s">
        <v>602</v>
      </c>
    </row>
    <row r="12" customFormat="false" ht="21.75" hidden="false" customHeight="true" outlineLevel="0" collapsed="false">
      <c r="A12" s="12" t="s">
        <v>221</v>
      </c>
      <c r="B12" s="13" t="s">
        <v>118</v>
      </c>
      <c r="D12" s="12" t="s">
        <v>222</v>
      </c>
      <c r="E12" s="13" t="s">
        <v>118</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603</v>
      </c>
      <c r="B1" s="10"/>
      <c r="D1" s="10" t="s">
        <v>604</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120</v>
      </c>
      <c r="D3" s="12" t="s">
        <v>198</v>
      </c>
      <c r="E3" s="13" t="s">
        <v>120</v>
      </c>
    </row>
    <row r="4" customFormat="false" ht="21.75" hidden="false" customHeight="true" outlineLevel="0" collapsed="false">
      <c r="A4" s="12" t="s">
        <v>199</v>
      </c>
      <c r="B4" s="13" t="s">
        <v>121</v>
      </c>
      <c r="D4" s="12" t="s">
        <v>200</v>
      </c>
      <c r="E4" s="13" t="s">
        <v>179</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142.5" hidden="false" customHeight="true" outlineLevel="0" collapsed="false">
      <c r="A8" s="12" t="s">
        <v>209</v>
      </c>
      <c r="B8" s="13" t="s">
        <v>605</v>
      </c>
      <c r="D8" s="12" t="s">
        <v>211</v>
      </c>
      <c r="E8" s="13" t="s">
        <v>606</v>
      </c>
    </row>
    <row r="9" customFormat="false" ht="90.75" hidden="false" customHeight="true" outlineLevel="0" collapsed="false">
      <c r="A9" s="12" t="s">
        <v>213</v>
      </c>
      <c r="B9" s="13" t="s">
        <v>607</v>
      </c>
      <c r="D9" s="12" t="s">
        <v>215</v>
      </c>
      <c r="E9" s="13" t="s">
        <v>608</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609</v>
      </c>
      <c r="D11" s="12" t="s">
        <v>219</v>
      </c>
      <c r="E11" s="13" t="s">
        <v>609</v>
      </c>
    </row>
    <row r="12" customFormat="false" ht="21.75" hidden="false" customHeight="true" outlineLevel="0" collapsed="false">
      <c r="A12" s="12" t="s">
        <v>221</v>
      </c>
      <c r="B12" s="13" t="s">
        <v>120</v>
      </c>
      <c r="D12" s="12" t="s">
        <v>222</v>
      </c>
      <c r="E12" s="13" t="s">
        <v>120</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610</v>
      </c>
      <c r="B1" s="10"/>
      <c r="D1" s="10" t="s">
        <v>611</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122</v>
      </c>
      <c r="D3" s="12" t="s">
        <v>198</v>
      </c>
      <c r="E3" s="13" t="s">
        <v>122</v>
      </c>
    </row>
    <row r="4" customFormat="false" ht="21.75" hidden="false" customHeight="true" outlineLevel="0" collapsed="false">
      <c r="A4" s="12" t="s">
        <v>199</v>
      </c>
      <c r="B4" s="13" t="s">
        <v>123</v>
      </c>
      <c r="D4" s="12" t="s">
        <v>200</v>
      </c>
      <c r="E4" s="13" t="s">
        <v>180</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78" hidden="false" customHeight="true" outlineLevel="0" collapsed="false">
      <c r="A8" s="12" t="s">
        <v>209</v>
      </c>
      <c r="B8" s="13" t="s">
        <v>612</v>
      </c>
      <c r="D8" s="12" t="s">
        <v>211</v>
      </c>
      <c r="E8" s="13" t="s">
        <v>613</v>
      </c>
    </row>
    <row r="9" customFormat="false" ht="117" hidden="false" customHeight="true" outlineLevel="0" collapsed="false">
      <c r="A9" s="12" t="s">
        <v>213</v>
      </c>
      <c r="B9" s="13" t="s">
        <v>614</v>
      </c>
      <c r="D9" s="12" t="s">
        <v>215</v>
      </c>
      <c r="E9" s="13" t="s">
        <v>615</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616</v>
      </c>
      <c r="D11" s="12" t="s">
        <v>219</v>
      </c>
      <c r="E11" s="13" t="s">
        <v>616</v>
      </c>
    </row>
    <row r="12" customFormat="false" ht="21.75" hidden="false" customHeight="true" outlineLevel="0" collapsed="false">
      <c r="A12" s="12" t="s">
        <v>221</v>
      </c>
      <c r="B12" s="13" t="s">
        <v>122</v>
      </c>
      <c r="D12" s="12" t="s">
        <v>222</v>
      </c>
      <c r="E12" s="13" t="s">
        <v>122</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617</v>
      </c>
      <c r="B1" s="10"/>
      <c r="D1" s="10" t="s">
        <v>618</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124</v>
      </c>
      <c r="D3" s="12" t="s">
        <v>198</v>
      </c>
      <c r="E3" s="13" t="s">
        <v>124</v>
      </c>
    </row>
    <row r="4" customFormat="false" ht="21.75" hidden="false" customHeight="true" outlineLevel="0" collapsed="false">
      <c r="A4" s="12" t="s">
        <v>199</v>
      </c>
      <c r="B4" s="13" t="s">
        <v>123</v>
      </c>
      <c r="D4" s="12" t="s">
        <v>200</v>
      </c>
      <c r="E4" s="13" t="s">
        <v>180</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619</v>
      </c>
      <c r="D8" s="12" t="s">
        <v>211</v>
      </c>
      <c r="E8" s="13" t="s">
        <v>620</v>
      </c>
    </row>
    <row r="9" customFormat="false" ht="78" hidden="false" customHeight="true" outlineLevel="0" collapsed="false">
      <c r="A9" s="12" t="s">
        <v>213</v>
      </c>
      <c r="B9" s="13" t="s">
        <v>621</v>
      </c>
      <c r="D9" s="12" t="s">
        <v>215</v>
      </c>
      <c r="E9" s="13" t="s">
        <v>622</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623</v>
      </c>
      <c r="D11" s="12" t="s">
        <v>219</v>
      </c>
      <c r="E11" s="13" t="s">
        <v>623</v>
      </c>
    </row>
    <row r="12" customFormat="false" ht="21.75" hidden="false" customHeight="true" outlineLevel="0" collapsed="false">
      <c r="A12" s="12" t="s">
        <v>221</v>
      </c>
      <c r="B12" s="13" t="s">
        <v>124</v>
      </c>
      <c r="D12" s="12" t="s">
        <v>222</v>
      </c>
      <c r="E12" s="13" t="s">
        <v>124</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624</v>
      </c>
      <c r="B1" s="10"/>
      <c r="D1" s="10" t="s">
        <v>625</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126</v>
      </c>
      <c r="D3" s="12" t="s">
        <v>198</v>
      </c>
      <c r="E3" s="13" t="s">
        <v>126</v>
      </c>
    </row>
    <row r="4" customFormat="false" ht="21.75" hidden="false" customHeight="true" outlineLevel="0" collapsed="false">
      <c r="A4" s="12" t="s">
        <v>199</v>
      </c>
      <c r="B4" s="13" t="s">
        <v>123</v>
      </c>
      <c r="D4" s="12" t="s">
        <v>200</v>
      </c>
      <c r="E4" s="13" t="s">
        <v>180</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45" hidden="false" customHeight="true" outlineLevel="0" collapsed="false">
      <c r="A8" s="12" t="s">
        <v>209</v>
      </c>
      <c r="B8" s="13" t="s">
        <v>626</v>
      </c>
      <c r="D8" s="12" t="s">
        <v>211</v>
      </c>
      <c r="E8" s="13" t="s">
        <v>627</v>
      </c>
    </row>
    <row r="9" customFormat="false" ht="45" hidden="false" customHeight="true" outlineLevel="0" collapsed="false">
      <c r="A9" s="12" t="s">
        <v>213</v>
      </c>
      <c r="B9" s="13"/>
      <c r="D9" s="12" t="s">
        <v>215</v>
      </c>
      <c r="E9" s="13"/>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628</v>
      </c>
      <c r="D11" s="12" t="s">
        <v>219</v>
      </c>
      <c r="E11" s="13" t="s">
        <v>628</v>
      </c>
    </row>
    <row r="12" customFormat="false" ht="21.75" hidden="false" customHeight="true" outlineLevel="0" collapsed="false">
      <c r="A12" s="12" t="s">
        <v>221</v>
      </c>
      <c r="B12" s="13" t="s">
        <v>126</v>
      </c>
      <c r="D12" s="12" t="s">
        <v>222</v>
      </c>
      <c r="E12" s="13" t="s">
        <v>126</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65"/>
    <col collapsed="false" customWidth="true" hidden="false" outlineLevel="0" max="3" min="3" style="1" width="3"/>
    <col collapsed="false" customWidth="true" hidden="false" outlineLevel="0" max="4" min="4" style="1" width="40"/>
    <col collapsed="false" customWidth="true" hidden="false" outlineLevel="0" max="5" min="5" style="1" width="65"/>
  </cols>
  <sheetData>
    <row r="1" customFormat="false" ht="25.5" hidden="false" customHeight="true" outlineLevel="0" collapsed="false">
      <c r="A1" s="10" t="s">
        <v>629</v>
      </c>
      <c r="B1" s="10"/>
      <c r="D1" s="10" t="s">
        <v>630</v>
      </c>
      <c r="E1" s="10"/>
    </row>
    <row r="2" customFormat="false" ht="19.5" hidden="false" customHeight="true" outlineLevel="0" collapsed="false">
      <c r="A2" s="11" t="s">
        <v>195</v>
      </c>
      <c r="B2" s="11"/>
      <c r="D2" s="11" t="s">
        <v>196</v>
      </c>
      <c r="E2" s="11"/>
    </row>
    <row r="3" customFormat="false" ht="21.75" hidden="false" customHeight="true" outlineLevel="0" collapsed="false">
      <c r="A3" s="12" t="s">
        <v>197</v>
      </c>
      <c r="B3" s="13" t="s">
        <v>128</v>
      </c>
      <c r="D3" s="12" t="s">
        <v>198</v>
      </c>
      <c r="E3" s="13" t="s">
        <v>128</v>
      </c>
    </row>
    <row r="4" customFormat="false" ht="21.75" hidden="false" customHeight="true" outlineLevel="0" collapsed="false">
      <c r="A4" s="12" t="s">
        <v>199</v>
      </c>
      <c r="B4" s="13" t="s">
        <v>129</v>
      </c>
      <c r="D4" s="12" t="s">
        <v>200</v>
      </c>
      <c r="E4" s="13" t="s">
        <v>181</v>
      </c>
    </row>
    <row r="5" customFormat="false" ht="21.75" hidden="false" customHeight="true" outlineLevel="0" collapsed="false">
      <c r="A5" s="12" t="s">
        <v>201</v>
      </c>
      <c r="B5" s="13" t="s">
        <v>202</v>
      </c>
      <c r="D5" s="12" t="s">
        <v>203</v>
      </c>
      <c r="E5" s="13" t="s">
        <v>204</v>
      </c>
    </row>
    <row r="6" customFormat="false" ht="21.75" hidden="false" customHeight="true" outlineLevel="0" collapsed="false">
      <c r="A6" s="12" t="s">
        <v>205</v>
      </c>
      <c r="B6" s="13"/>
      <c r="D6" s="12" t="s">
        <v>206</v>
      </c>
      <c r="E6" s="13"/>
    </row>
    <row r="7" customFormat="false" ht="21.75" hidden="false" customHeight="true" outlineLevel="0" collapsed="false">
      <c r="A7" s="12" t="s">
        <v>207</v>
      </c>
      <c r="B7" s="13"/>
      <c r="D7" s="12" t="s">
        <v>208</v>
      </c>
      <c r="E7" s="13"/>
    </row>
    <row r="8" customFormat="false" ht="64.5" hidden="false" customHeight="true" outlineLevel="0" collapsed="false">
      <c r="A8" s="12" t="s">
        <v>209</v>
      </c>
      <c r="B8" s="13" t="s">
        <v>631</v>
      </c>
      <c r="D8" s="12" t="s">
        <v>211</v>
      </c>
      <c r="E8" s="13" t="s">
        <v>632</v>
      </c>
    </row>
    <row r="9" customFormat="false" ht="168.75" hidden="false" customHeight="true" outlineLevel="0" collapsed="false">
      <c r="A9" s="12" t="s">
        <v>213</v>
      </c>
      <c r="B9" s="13" t="s">
        <v>633</v>
      </c>
      <c r="D9" s="12" t="s">
        <v>215</v>
      </c>
      <c r="E9" s="13" t="s">
        <v>634</v>
      </c>
    </row>
    <row r="10" customFormat="false" ht="19.5" hidden="false" customHeight="true" outlineLevel="0" collapsed="false">
      <c r="A10" s="11" t="s">
        <v>217</v>
      </c>
      <c r="B10" s="11"/>
      <c r="D10" s="11" t="s">
        <v>218</v>
      </c>
      <c r="E10" s="11"/>
    </row>
    <row r="11" customFormat="false" ht="21.75" hidden="false" customHeight="true" outlineLevel="0" collapsed="false">
      <c r="A11" s="12" t="s">
        <v>219</v>
      </c>
      <c r="B11" s="13" t="s">
        <v>635</v>
      </c>
      <c r="D11" s="12" t="s">
        <v>219</v>
      </c>
      <c r="E11" s="13" t="s">
        <v>635</v>
      </c>
    </row>
    <row r="12" customFormat="false" ht="21.75" hidden="false" customHeight="true" outlineLevel="0" collapsed="false">
      <c r="A12" s="12" t="s">
        <v>221</v>
      </c>
      <c r="B12" s="13" t="s">
        <v>128</v>
      </c>
      <c r="D12" s="12" t="s">
        <v>222</v>
      </c>
      <c r="E12" s="13" t="s">
        <v>128</v>
      </c>
    </row>
    <row r="13" customFormat="false" ht="21.75" hidden="false" customHeight="true" outlineLevel="0" collapsed="false">
      <c r="A13" s="12" t="s">
        <v>223</v>
      </c>
      <c r="B13" s="13"/>
      <c r="D13" s="12" t="s">
        <v>224</v>
      </c>
      <c r="E13" s="13"/>
    </row>
    <row r="14" customFormat="false" ht="54.75" hidden="false" customHeight="true" outlineLevel="0" collapsed="false">
      <c r="A14" s="12" t="s">
        <v>225</v>
      </c>
      <c r="B14" s="13"/>
      <c r="D14" s="12" t="s">
        <v>226</v>
      </c>
      <c r="E14" s="13"/>
    </row>
    <row r="15" customFormat="false" ht="54.75" hidden="false" customHeight="true" outlineLevel="0" collapsed="false">
      <c r="A15" s="12" t="s">
        <v>227</v>
      </c>
      <c r="B15" s="13"/>
      <c r="D15" s="12" t="s">
        <v>228</v>
      </c>
      <c r="E15" s="13"/>
    </row>
    <row r="16" customFormat="false" ht="54.75" hidden="false" customHeight="true" outlineLevel="0" collapsed="false">
      <c r="A16" s="12" t="s">
        <v>134</v>
      </c>
      <c r="B16" s="13"/>
      <c r="D16" s="12" t="s">
        <v>186</v>
      </c>
      <c r="E16" s="13"/>
    </row>
    <row r="17" customFormat="false" ht="24.75" hidden="false" customHeight="true" outlineLevel="0" collapsed="false">
      <c r="A17" s="12" t="s">
        <v>229</v>
      </c>
      <c r="B17" s="13"/>
      <c r="D17" s="12" t="s">
        <v>230</v>
      </c>
      <c r="E17" s="13"/>
    </row>
    <row r="18" customFormat="false" ht="24.75" hidden="false" customHeight="true" outlineLevel="0" collapsed="false">
      <c r="A18" s="12" t="s">
        <v>231</v>
      </c>
      <c r="B18" s="13"/>
      <c r="D18" s="12" t="s">
        <v>232</v>
      </c>
      <c r="E18" s="13"/>
    </row>
    <row r="19" customFormat="false" ht="24.75" hidden="false" customHeight="true" outlineLevel="0" collapsed="false">
      <c r="A19" s="12" t="s">
        <v>233</v>
      </c>
      <c r="B19" s="13"/>
      <c r="D19" s="12" t="s">
        <v>234</v>
      </c>
      <c r="E19" s="13"/>
    </row>
    <row r="20" customFormat="false" ht="21.75" hidden="false" customHeight="true" outlineLevel="0" collapsed="false">
      <c r="A20" s="12" t="s">
        <v>5</v>
      </c>
      <c r="B20" s="13" t="s">
        <v>132</v>
      </c>
      <c r="D20" s="12" t="s">
        <v>146</v>
      </c>
      <c r="E20" s="13" t="s">
        <v>235</v>
      </c>
    </row>
    <row r="21" customFormat="false" ht="54.75" hidden="false" customHeight="true" outlineLevel="0" collapsed="false">
      <c r="A21" s="12" t="s">
        <v>236</v>
      </c>
      <c r="B21" s="13"/>
      <c r="D21" s="12" t="s">
        <v>237</v>
      </c>
      <c r="E21" s="13"/>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2026-05-29T18:34:00Z</dcterms:created>
  <dc:creator>openpyxl</dc:creator>
  <dc:description/>
  <dc:language>en-US</dc:language>
  <cp:lastModifiedBy/>
  <dcterms:modified xsi:type="dcterms:W3CDTF">2026-05-29T18:34:01Z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