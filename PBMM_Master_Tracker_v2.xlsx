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TRACKER" sheetId="2" state="visible" r:id="rId4"/>
    <sheet name="SUMMARY" sheetId="3" state="visible" r:id="rId5"/>
  </sheets>
  <definedNames>
    <definedName function="false" hidden="true" localSheetId="1" name="_xlnm._FilterDatabase" vbProcedure="false">TRACKER!$A$2:$N$2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<sst xmlns="http://schemas.openxmlformats.org/spreadsheetml/2006/main" count="6037" uniqueCount="417">
  <si>
    <t xml:space="preserve">PBMM Evidence Master Tracker — User Guide</t>
  </si>
  <si>
    <t xml:space="preserve">Purpose</t>
  </si>
  <si>
    <t xml:space="preserve">Single source of truth tracking EN and FR evidence submissions across all 21 technology workbooks. One row per control per technology. Two status columns — Status (EN) and Status (FR) — tracked independently.</t>
  </si>
  <si>
    <t xml:space="preserve">EN vs FR Status</t>
  </si>
  <si>
    <t xml:space="preserve">Status (EN) tracks the English test case submission (col B of each control tab in the workbook).
Status (FR) tracks the French test case submission (col E of each control tab in the workbook).
Both columns have independent dropdowns. RAG EN and RAG FR reflect each independently.
Update both after completing evidence collection.</t>
  </si>
  <si>
    <t xml:space="preserve">How to update</t>
  </si>
  <si>
    <t xml:space="preserve">1. Open the technology workbook listed in column F
2. Find the tab listed in column G
3. Fill in EN evidence (cols A-B) and FR evidence (cols D-E)
4. Return here and update Status (EN) in col H and Status (FR) in col J
5. RAG columns (I and K) update automatically</t>
  </si>
  <si>
    <t xml:space="preserve">RAG indicator</t>
  </si>
  <si>
    <t xml:space="preserve">GREEN = Passed or Accepted Exception
AMBER = In Progress, Evidence Provided, or Under Review
RED   = Not Started or Failed
Each language has its own RAG column. Do not edit RAG manually.</t>
  </si>
  <si>
    <t xml:space="preserve">Filtering</t>
  </si>
  <si>
    <t xml:space="preserve">Filter by Technology (col C), Family (col D), or either Status column. A control appears once per technology it applies to. A control marked Passed (EN) but Not Started (FR) will show GREEN in col I and RED in col K.</t>
  </si>
  <si>
    <t xml:space="preserve">What cannot break</t>
  </si>
  <si>
    <t xml:space="preserve">No external links to other workbooks — status is entered here directly. Source Workbook column (F) tells you which file to open.</t>
  </si>
  <si>
    <t xml:space="preserve">PBMM / CCCS Medium — Master Evidence Tracker (EN + FR)</t>
  </si>
  <si>
    <t xml:space="preserve">Control ID</t>
  </si>
  <si>
    <t xml:space="preserve">Control Name</t>
  </si>
  <si>
    <t xml:space="preserve">Technology</t>
  </si>
  <si>
    <t xml:space="preserve">Family</t>
  </si>
  <si>
    <t xml:space="preserve">Source Workbook</t>
  </si>
  <si>
    <t xml:space="preserve">Tab Name</t>
  </si>
  <si>
    <t xml:space="preserve">Preparer</t>
  </si>
  <si>
    <t xml:space="preserve">Status (EN)</t>
  </si>
  <si>
    <t xml:space="preserve">RAG (EN)</t>
  </si>
  <si>
    <t xml:space="preserve">Status (FR)</t>
  </si>
  <si>
    <t xml:space="preserve">RAG (FR)</t>
  </si>
  <si>
    <t xml:space="preserve">Owner</t>
  </si>
  <si>
    <t xml:space="preserve">Assessor</t>
  </si>
  <si>
    <t xml:space="preserve">Days Open</t>
  </si>
  <si>
    <t xml:space="preserve">AU-2</t>
  </si>
  <si>
    <t xml:space="preserve">Auditable Events</t>
  </si>
  <si>
    <t xml:space="preserve">AI + Machine Learning</t>
  </si>
  <si>
    <t xml:space="preserve">AU</t>
  </si>
  <si>
    <t xml:space="preserve">AI_and_Machine_Learning.xlsx</t>
  </si>
  <si>
    <t xml:space="preserve">Not Started</t>
  </si>
  <si>
    <t xml:space="preserve">Non commencé</t>
  </si>
  <si>
    <t xml:space="preserve">AU-3</t>
  </si>
  <si>
    <t xml:space="preserve">Content of Audit Records</t>
  </si>
  <si>
    <t xml:space="preserve">AU-3(1)</t>
  </si>
  <si>
    <t xml:space="preserve">AU-3-1</t>
  </si>
  <si>
    <t xml:space="preserve">AU-9(2)</t>
  </si>
  <si>
    <t xml:space="preserve">Protection of Audit Information</t>
  </si>
  <si>
    <t xml:space="preserve">AU-9-2</t>
  </si>
  <si>
    <t xml:space="preserve">AU-12</t>
  </si>
  <si>
    <t xml:space="preserve">Audit Generation</t>
  </si>
  <si>
    <t xml:space="preserve">CM-6</t>
  </si>
  <si>
    <t xml:space="preserve">Configuration Settings</t>
  </si>
  <si>
    <t xml:space="preserve">CM</t>
  </si>
  <si>
    <t xml:space="preserve">CM-7</t>
  </si>
  <si>
    <t xml:space="preserve">Least Functionality</t>
  </si>
  <si>
    <t xml:space="preserve">CM-7(1)</t>
  </si>
  <si>
    <t xml:space="preserve">CM-7-1</t>
  </si>
  <si>
    <t xml:space="preserve">CP-7</t>
  </si>
  <si>
    <t xml:space="preserve">Alternate Processing Site</t>
  </si>
  <si>
    <t xml:space="preserve">CP</t>
  </si>
  <si>
    <t xml:space="preserve">CP-7(4)</t>
  </si>
  <si>
    <t xml:space="preserve">CP-7-4</t>
  </si>
  <si>
    <t xml:space="preserve">CP-10</t>
  </si>
  <si>
    <t xml:space="preserve">Information System Recovery and Reconstitution</t>
  </si>
  <si>
    <t xml:space="preserve">CP-10(4)</t>
  </si>
  <si>
    <t xml:space="preserve">CP-10-4</t>
  </si>
  <si>
    <t xml:space="preserve">SA-9(5)</t>
  </si>
  <si>
    <t xml:space="preserve">External Information System Services</t>
  </si>
  <si>
    <t xml:space="preserve">SA</t>
  </si>
  <si>
    <t xml:space="preserve">SA-9-5</t>
  </si>
  <si>
    <t xml:space="preserve">SI-4(2)</t>
  </si>
  <si>
    <t xml:space="preserve">Information System Monitoring</t>
  </si>
  <si>
    <t xml:space="preserve">SI</t>
  </si>
  <si>
    <t xml:space="preserve">SI-4-2</t>
  </si>
  <si>
    <t xml:space="preserve">SI-6</t>
  </si>
  <si>
    <t xml:space="preserve">Security Functional Verification</t>
  </si>
  <si>
    <t xml:space="preserve">Analytics</t>
  </si>
  <si>
    <t xml:space="preserve">Analytics.xlsx</t>
  </si>
  <si>
    <t xml:space="preserve">AU-5</t>
  </si>
  <si>
    <t xml:space="preserve">Response To Audit Processing Failures</t>
  </si>
  <si>
    <t xml:space="preserve">CM-2(3)</t>
  </si>
  <si>
    <t xml:space="preserve">Baseline Configuration</t>
  </si>
  <si>
    <t xml:space="preserve">CM-2-3</t>
  </si>
  <si>
    <t xml:space="preserve">CM-5(1)</t>
  </si>
  <si>
    <t xml:space="preserve">Access Restrictions for Change</t>
  </si>
  <si>
    <t xml:space="preserve">CM-5-1</t>
  </si>
  <si>
    <t xml:space="preserve">CP-6</t>
  </si>
  <si>
    <t xml:space="preserve">Alternate Storage Site</t>
  </si>
  <si>
    <t xml:space="preserve">CP-6(2)</t>
  </si>
  <si>
    <t xml:space="preserve">CP-6-2</t>
  </si>
  <si>
    <t xml:space="preserve">CP-9</t>
  </si>
  <si>
    <t xml:space="preserve">Information System Backup</t>
  </si>
  <si>
    <t xml:space="preserve">CP-9(1)</t>
  </si>
  <si>
    <t xml:space="preserve">CP-9-1</t>
  </si>
  <si>
    <t xml:space="preserve">CP-9(2)</t>
  </si>
  <si>
    <t xml:space="preserve">CP-9-2</t>
  </si>
  <si>
    <t xml:space="preserve">CP-9(5)</t>
  </si>
  <si>
    <t xml:space="preserve">CP-9-5</t>
  </si>
  <si>
    <t xml:space="preserve">SC-4</t>
  </si>
  <si>
    <t xml:space="preserve">Information in Shared Resources</t>
  </si>
  <si>
    <t xml:space="preserve">SC</t>
  </si>
  <si>
    <t xml:space="preserve">SC-13</t>
  </si>
  <si>
    <t xml:space="preserve">Cryptographic Protection</t>
  </si>
  <si>
    <t xml:space="preserve">SC-28</t>
  </si>
  <si>
    <t xml:space="preserve">Protection of Information At Rest</t>
  </si>
  <si>
    <t xml:space="preserve">SC-28(1)</t>
  </si>
  <si>
    <t xml:space="preserve">SC-28-1</t>
  </si>
  <si>
    <t xml:space="preserve">AC-6</t>
  </si>
  <si>
    <t xml:space="preserve">Least Privilege</t>
  </si>
  <si>
    <t xml:space="preserve">Compute</t>
  </si>
  <si>
    <t xml:space="preserve">AC</t>
  </si>
  <si>
    <t xml:space="preserve">Compute.xlsx</t>
  </si>
  <si>
    <t xml:space="preserve">AC-6(1)</t>
  </si>
  <si>
    <t xml:space="preserve">AC-6-1</t>
  </si>
  <si>
    <t xml:space="preserve">AC-7</t>
  </si>
  <si>
    <t xml:space="preserve">Unsuccessful Login Attempts</t>
  </si>
  <si>
    <t xml:space="preserve">AC-8</t>
  </si>
  <si>
    <t xml:space="preserve">System Use Notification</t>
  </si>
  <si>
    <t xml:space="preserve">AC-11</t>
  </si>
  <si>
    <t xml:space="preserve">Session Lock</t>
  </si>
  <si>
    <t xml:space="preserve">AC-11(1)</t>
  </si>
  <si>
    <t xml:space="preserve">AC-11-1</t>
  </si>
  <si>
    <t xml:space="preserve">AC-12</t>
  </si>
  <si>
    <t xml:space="preserve">Session Termination</t>
  </si>
  <si>
    <t xml:space="preserve">AC-17(1)</t>
  </si>
  <si>
    <t xml:space="preserve">Remote Access</t>
  </si>
  <si>
    <t xml:space="preserve">AC-17-1</t>
  </si>
  <si>
    <t xml:space="preserve">AC-17(2)</t>
  </si>
  <si>
    <t xml:space="preserve">AC-17-2</t>
  </si>
  <si>
    <t xml:space="preserve">AC-17(100)</t>
  </si>
  <si>
    <t xml:space="preserve">AC-17-100</t>
  </si>
  <si>
    <t xml:space="preserve">CA-3(5)</t>
  </si>
  <si>
    <t xml:space="preserve">Information System Connections</t>
  </si>
  <si>
    <t xml:space="preserve">CA</t>
  </si>
  <si>
    <t xml:space="preserve">CA-3-5</t>
  </si>
  <si>
    <t xml:space="preserve">CA-9</t>
  </si>
  <si>
    <t xml:space="preserve">Internal System Connections</t>
  </si>
  <si>
    <t xml:space="preserve">CM-7(5)</t>
  </si>
  <si>
    <t xml:space="preserve">CM-7-5</t>
  </si>
  <si>
    <t xml:space="preserve">CM-11</t>
  </si>
  <si>
    <t xml:space="preserve">User Installed Software</t>
  </si>
  <si>
    <t xml:space="preserve">IA-5(6)</t>
  </si>
  <si>
    <t xml:space="preserve">Authenticator Management</t>
  </si>
  <si>
    <t xml:space="preserve">IA</t>
  </si>
  <si>
    <t xml:space="preserve">IA-5-6</t>
  </si>
  <si>
    <t xml:space="preserve">IA-5(7)</t>
  </si>
  <si>
    <t xml:space="preserve">IA-5-7</t>
  </si>
  <si>
    <t xml:space="preserve">SA-10(1)</t>
  </si>
  <si>
    <t xml:space="preserve">Developer Configuration Management</t>
  </si>
  <si>
    <t xml:space="preserve">SA-10-1</t>
  </si>
  <si>
    <t xml:space="preserve">SC-2</t>
  </si>
  <si>
    <t xml:space="preserve">Application Partitioning</t>
  </si>
  <si>
    <t xml:space="preserve">SC-6</t>
  </si>
  <si>
    <t xml:space="preserve">Resource Availability</t>
  </si>
  <si>
    <t xml:space="preserve">SC-7(7)</t>
  </si>
  <si>
    <t xml:space="preserve">Boundary Protection</t>
  </si>
  <si>
    <t xml:space="preserve">SC-7-7</t>
  </si>
  <si>
    <t xml:space="preserve">SC-7(12)</t>
  </si>
  <si>
    <t xml:space="preserve">SC-7-12</t>
  </si>
  <si>
    <t xml:space="preserve">SC-8</t>
  </si>
  <si>
    <t xml:space="preserve">Transmission Confidentiality and Integrity</t>
  </si>
  <si>
    <t xml:space="preserve">SC-8(1)</t>
  </si>
  <si>
    <t xml:space="preserve">SC-8-1</t>
  </si>
  <si>
    <t xml:space="preserve">SC-10</t>
  </si>
  <si>
    <t xml:space="preserve">Network Disconnect</t>
  </si>
  <si>
    <t xml:space="preserve">SC-18</t>
  </si>
  <si>
    <t xml:space="preserve">Mobile Code</t>
  </si>
  <si>
    <t xml:space="preserve">SC-18(3)</t>
  </si>
  <si>
    <t xml:space="preserve">SC-18-3</t>
  </si>
  <si>
    <t xml:space="preserve">SC-18(4)</t>
  </si>
  <si>
    <t xml:space="preserve">SC-18-4</t>
  </si>
  <si>
    <t xml:space="preserve">SC-23</t>
  </si>
  <si>
    <t xml:space="preserve">Session Authenticity</t>
  </si>
  <si>
    <t xml:space="preserve">SC-23(1)</t>
  </si>
  <si>
    <t xml:space="preserve">SC-23-1</t>
  </si>
  <si>
    <t xml:space="preserve">SC-39</t>
  </si>
  <si>
    <t xml:space="preserve">Process Isolation</t>
  </si>
  <si>
    <t xml:space="preserve">SI-4(4)</t>
  </si>
  <si>
    <t xml:space="preserve">SI-4-4</t>
  </si>
  <si>
    <t xml:space="preserve">SI-4(23)</t>
  </si>
  <si>
    <t xml:space="preserve">SI-4-23</t>
  </si>
  <si>
    <t xml:space="preserve">SI-7</t>
  </si>
  <si>
    <t xml:space="preserve">Software, Firmware, and Information Integrity</t>
  </si>
  <si>
    <t xml:space="preserve">SI-7(1)</t>
  </si>
  <si>
    <t xml:space="preserve">SI-7-1</t>
  </si>
  <si>
    <t xml:space="preserve">SI-11</t>
  </si>
  <si>
    <t xml:space="preserve">Error Handling</t>
  </si>
  <si>
    <t xml:space="preserve">SI-16</t>
  </si>
  <si>
    <t xml:space="preserve">Memory Protection</t>
  </si>
  <si>
    <t xml:space="preserve">Containers</t>
  </si>
  <si>
    <t xml:space="preserve">Containers.xlsx</t>
  </si>
  <si>
    <t xml:space="preserve">AC-17(3)</t>
  </si>
  <si>
    <t xml:space="preserve">AC-17-3</t>
  </si>
  <si>
    <t xml:space="preserve">CM-5(6)</t>
  </si>
  <si>
    <t xml:space="preserve">CM-5-6</t>
  </si>
  <si>
    <t xml:space="preserve">Database</t>
  </si>
  <si>
    <t xml:space="preserve">Database.xlsx</t>
  </si>
  <si>
    <t xml:space="preserve">CP-10(2)</t>
  </si>
  <si>
    <t xml:space="preserve">CP-10-2</t>
  </si>
  <si>
    <t xml:space="preserve">AC-2(4)</t>
  </si>
  <si>
    <t xml:space="preserve">Account Management</t>
  </si>
  <si>
    <t xml:space="preserve">DevOps</t>
  </si>
  <si>
    <t xml:space="preserve">DevOps.xlsx</t>
  </si>
  <si>
    <t xml:space="preserve">AC-2-4</t>
  </si>
  <si>
    <t xml:space="preserve">AC-2(5)</t>
  </si>
  <si>
    <t xml:space="preserve">AC-2-5</t>
  </si>
  <si>
    <t xml:space="preserve">AC-2(7)</t>
  </si>
  <si>
    <t xml:space="preserve">AC-2-7</t>
  </si>
  <si>
    <t xml:space="preserve">AC-6(9)</t>
  </si>
  <si>
    <t xml:space="preserve">AC-6-9</t>
  </si>
  <si>
    <t xml:space="preserve">AU-6(1)</t>
  </si>
  <si>
    <t xml:space="preserve">Audit Review, Analysis, and Reporting</t>
  </si>
  <si>
    <t xml:space="preserve">AU-6-1</t>
  </si>
  <si>
    <t xml:space="preserve">AU-6(3)</t>
  </si>
  <si>
    <t xml:space="preserve">AU-6-3</t>
  </si>
  <si>
    <t xml:space="preserve">AU-7</t>
  </si>
  <si>
    <t xml:space="preserve">Audit Reduction and Report Generation</t>
  </si>
  <si>
    <t xml:space="preserve">AU-7(1)</t>
  </si>
  <si>
    <t xml:space="preserve">AU-7-1</t>
  </si>
  <si>
    <t xml:space="preserve">AU-8</t>
  </si>
  <si>
    <t xml:space="preserve">Time Stamps</t>
  </si>
  <si>
    <t xml:space="preserve">AU-8(1)</t>
  </si>
  <si>
    <t xml:space="preserve">AU-8-1</t>
  </si>
  <si>
    <t xml:space="preserve">AU-9</t>
  </si>
  <si>
    <t xml:space="preserve">AU-9(4)</t>
  </si>
  <si>
    <t xml:space="preserve">AU-9-4</t>
  </si>
  <si>
    <t xml:space="preserve">AU-11</t>
  </si>
  <si>
    <t xml:space="preserve">Audit Record Retention</t>
  </si>
  <si>
    <t xml:space="preserve">CM-3</t>
  </si>
  <si>
    <t xml:space="preserve">Configuration Change Control</t>
  </si>
  <si>
    <t xml:space="preserve">MA-4</t>
  </si>
  <si>
    <t xml:space="preserve">Non-Local Maintenance</t>
  </si>
  <si>
    <t xml:space="preserve">MA</t>
  </si>
  <si>
    <t xml:space="preserve">MA-4(1)</t>
  </si>
  <si>
    <t xml:space="preserve">MA-4-1</t>
  </si>
  <si>
    <t xml:space="preserve">SA-11(1)</t>
  </si>
  <si>
    <t xml:space="preserve">Developer Security Testing</t>
  </si>
  <si>
    <t xml:space="preserve">SA-11-1</t>
  </si>
  <si>
    <t xml:space="preserve">SA-11(8)</t>
  </si>
  <si>
    <t xml:space="preserve">SA-11-8</t>
  </si>
  <si>
    <t xml:space="preserve">SC-7</t>
  </si>
  <si>
    <t xml:space="preserve">SI-4</t>
  </si>
  <si>
    <t xml:space="preserve">SI-4(1)</t>
  </si>
  <si>
    <t xml:space="preserve">SI-4-1</t>
  </si>
  <si>
    <t xml:space="preserve">SI-4(5)</t>
  </si>
  <si>
    <t xml:space="preserve">SI-4-5</t>
  </si>
  <si>
    <t xml:space="preserve">SI-4(11)</t>
  </si>
  <si>
    <t xml:space="preserve">SI-4-11</t>
  </si>
  <si>
    <t xml:space="preserve">SI-7(7)</t>
  </si>
  <si>
    <t xml:space="preserve">SI-7-7</t>
  </si>
  <si>
    <t xml:space="preserve">Developer Tools</t>
  </si>
  <si>
    <t xml:space="preserve">Developer_Tools.xlsx</t>
  </si>
  <si>
    <t xml:space="preserve">Hybrid + Multicloud</t>
  </si>
  <si>
    <t xml:space="preserve">Hybrid_and_Multicloud.xlsx</t>
  </si>
  <si>
    <t xml:space="preserve">RA-5</t>
  </si>
  <si>
    <t xml:space="preserve">Vulnerability Scanning</t>
  </si>
  <si>
    <t xml:space="preserve">RA</t>
  </si>
  <si>
    <t xml:space="preserve">RA-5(1)</t>
  </si>
  <si>
    <t xml:space="preserve">RA-5-1</t>
  </si>
  <si>
    <t xml:space="preserve">RA-5(2)</t>
  </si>
  <si>
    <t xml:space="preserve">RA-5-2</t>
  </si>
  <si>
    <t xml:space="preserve">RA-5(3)</t>
  </si>
  <si>
    <t xml:space="preserve">RA-5-3</t>
  </si>
  <si>
    <t xml:space="preserve">RA-5(5)</t>
  </si>
  <si>
    <t xml:space="preserve">RA-5-5</t>
  </si>
  <si>
    <t xml:space="preserve">RA-5(6)</t>
  </si>
  <si>
    <t xml:space="preserve">RA-5-6</t>
  </si>
  <si>
    <t xml:space="preserve">RA-5(8)</t>
  </si>
  <si>
    <t xml:space="preserve">RA-5-8</t>
  </si>
  <si>
    <t xml:space="preserve">SC-5</t>
  </si>
  <si>
    <t xml:space="preserve">Denial of Service Protection</t>
  </si>
  <si>
    <t xml:space="preserve">SI-2</t>
  </si>
  <si>
    <t xml:space="preserve">Flaw Remediation</t>
  </si>
  <si>
    <t xml:space="preserve">SI-2(2)</t>
  </si>
  <si>
    <t xml:space="preserve">SI-2-2</t>
  </si>
  <si>
    <t xml:space="preserve">SI-3</t>
  </si>
  <si>
    <t xml:space="preserve">Malicious Code Protection</t>
  </si>
  <si>
    <t xml:space="preserve">SI-3(1)</t>
  </si>
  <si>
    <t xml:space="preserve">SI-3-1</t>
  </si>
  <si>
    <t xml:space="preserve">SI-3(2)</t>
  </si>
  <si>
    <t xml:space="preserve">SI-3-2</t>
  </si>
  <si>
    <t xml:space="preserve">SI-3(7)</t>
  </si>
  <si>
    <t xml:space="preserve">SI-3-7</t>
  </si>
  <si>
    <t xml:space="preserve">AC-2</t>
  </si>
  <si>
    <t xml:space="preserve">Identity</t>
  </si>
  <si>
    <t xml:space="preserve">Identity.xlsx</t>
  </si>
  <si>
    <t xml:space="preserve">AC-2(1)</t>
  </si>
  <si>
    <t xml:space="preserve">AC-2-1</t>
  </si>
  <si>
    <t xml:space="preserve">AC-2(2)</t>
  </si>
  <si>
    <t xml:space="preserve">AC-2-2</t>
  </si>
  <si>
    <t xml:space="preserve">AC-2(3)</t>
  </si>
  <si>
    <t xml:space="preserve">AC-2-3</t>
  </si>
  <si>
    <t xml:space="preserve">AC-3</t>
  </si>
  <si>
    <t xml:space="preserve">Access Enforcement</t>
  </si>
  <si>
    <t xml:space="preserve">AC-6(10)</t>
  </si>
  <si>
    <t xml:space="preserve">AC-6-10</t>
  </si>
  <si>
    <t xml:space="preserve">AC-10</t>
  </si>
  <si>
    <t xml:space="preserve">Concurrent Session Control</t>
  </si>
  <si>
    <t xml:space="preserve">AC-17(9)</t>
  </si>
  <si>
    <t xml:space="preserve">AC-17-9</t>
  </si>
  <si>
    <t xml:space="preserve">AC-21</t>
  </si>
  <si>
    <t xml:space="preserve">User-Based Collaboration and Information Sharing</t>
  </si>
  <si>
    <t xml:space="preserve">CM-5(5)</t>
  </si>
  <si>
    <t xml:space="preserve">CM-5-5</t>
  </si>
  <si>
    <t xml:space="preserve">IA-2</t>
  </si>
  <si>
    <t xml:space="preserve">Identification and Authentication (Organizational Users)</t>
  </si>
  <si>
    <t xml:space="preserve">IA-2(1)</t>
  </si>
  <si>
    <t xml:space="preserve">IA-2-1</t>
  </si>
  <si>
    <t xml:space="preserve">IA-2(3)</t>
  </si>
  <si>
    <t xml:space="preserve">IA-2-3</t>
  </si>
  <si>
    <t xml:space="preserve">IA-2(6)</t>
  </si>
  <si>
    <t xml:space="preserve">IA-2-6</t>
  </si>
  <si>
    <t xml:space="preserve">IA-2(8)</t>
  </si>
  <si>
    <t xml:space="preserve">IA-2-8</t>
  </si>
  <si>
    <t xml:space="preserve">IA-2(11)</t>
  </si>
  <si>
    <t xml:space="preserve">IA-2-11</t>
  </si>
  <si>
    <t xml:space="preserve">IA-4</t>
  </si>
  <si>
    <t xml:space="preserve">Identifier Management</t>
  </si>
  <si>
    <t xml:space="preserve">IA-5</t>
  </si>
  <si>
    <t xml:space="preserve">IA-5(1)</t>
  </si>
  <si>
    <t xml:space="preserve">IA-5-1</t>
  </si>
  <si>
    <t xml:space="preserve">IA-5(2)</t>
  </si>
  <si>
    <t xml:space="preserve">IA-5-2</t>
  </si>
  <si>
    <t xml:space="preserve">IA-5(4)</t>
  </si>
  <si>
    <t xml:space="preserve">IA-5-4</t>
  </si>
  <si>
    <t xml:space="preserve">IA-6</t>
  </si>
  <si>
    <t xml:space="preserve">Authenticator Feedback</t>
  </si>
  <si>
    <t xml:space="preserve">IA-7</t>
  </si>
  <si>
    <t xml:space="preserve">Cryptographic Module Authentication</t>
  </si>
  <si>
    <t xml:space="preserve">IA-8</t>
  </si>
  <si>
    <t xml:space="preserve">Identification and Authentication (Non-Organizational Users)</t>
  </si>
  <si>
    <t xml:space="preserve">Internet of Things</t>
  </si>
  <si>
    <t xml:space="preserve">Internet_of_Things.xlsx</t>
  </si>
  <si>
    <t xml:space="preserve">Management and Governance</t>
  </si>
  <si>
    <t xml:space="preserve">Management_and_Governance.xlsx</t>
  </si>
  <si>
    <t xml:space="preserve">CM-2(2)</t>
  </si>
  <si>
    <t xml:space="preserve">CM-2-2</t>
  </si>
  <si>
    <t xml:space="preserve">CM-3(6)</t>
  </si>
  <si>
    <t xml:space="preserve">CM-3-6</t>
  </si>
  <si>
    <t xml:space="preserve">CM-6(1)</t>
  </si>
  <si>
    <t xml:space="preserve">CM-6-1</t>
  </si>
  <si>
    <t xml:space="preserve">CM-8(2)</t>
  </si>
  <si>
    <t xml:space="preserve">Information System Component Inventory</t>
  </si>
  <si>
    <t xml:space="preserve">CM-8-2</t>
  </si>
  <si>
    <t xml:space="preserve">CM-8(5)</t>
  </si>
  <si>
    <t xml:space="preserve">CM-8-5</t>
  </si>
  <si>
    <t xml:space="preserve">CP-7(1)</t>
  </si>
  <si>
    <t xml:space="preserve">CP-7-1</t>
  </si>
  <si>
    <t xml:space="preserve">CP-9(3)</t>
  </si>
  <si>
    <t xml:space="preserve">CP-9-3</t>
  </si>
  <si>
    <t xml:space="preserve">Mobile</t>
  </si>
  <si>
    <t xml:space="preserve">Mobile.xlsx</t>
  </si>
  <si>
    <t xml:space="preserve">AC-4</t>
  </si>
  <si>
    <t xml:space="preserve">Information Flow Enforcement</t>
  </si>
  <si>
    <t xml:space="preserve">Networking</t>
  </si>
  <si>
    <t xml:space="preserve">Networking.xlsx</t>
  </si>
  <si>
    <t xml:space="preserve">AC-4(21)</t>
  </si>
  <si>
    <t xml:space="preserve">AC-4-21</t>
  </si>
  <si>
    <t xml:space="preserve">CM-10</t>
  </si>
  <si>
    <t xml:space="preserve">Software Usage Restrictions</t>
  </si>
  <si>
    <t xml:space="preserve">IA-3</t>
  </si>
  <si>
    <t xml:space="preserve">Device Identification and Authentication</t>
  </si>
  <si>
    <t xml:space="preserve">MA-4(6)</t>
  </si>
  <si>
    <t xml:space="preserve">MA-4-6</t>
  </si>
  <si>
    <t xml:space="preserve">SC-7(3)</t>
  </si>
  <si>
    <t xml:space="preserve">SC-7-3</t>
  </si>
  <si>
    <t xml:space="preserve">SC-7(4)</t>
  </si>
  <si>
    <t xml:space="preserve">SC-7-4</t>
  </si>
  <si>
    <t xml:space="preserve">SC-7(5)</t>
  </si>
  <si>
    <t xml:space="preserve">SC-7-5</t>
  </si>
  <si>
    <t xml:space="preserve">SC-7(8)</t>
  </si>
  <si>
    <t xml:space="preserve">SC-7-8</t>
  </si>
  <si>
    <t xml:space="preserve">SC-7(13)</t>
  </si>
  <si>
    <t xml:space="preserve">SC-7-13</t>
  </si>
  <si>
    <t xml:space="preserve">SC-7(18)</t>
  </si>
  <si>
    <t xml:space="preserve">SC-7-18</t>
  </si>
  <si>
    <t xml:space="preserve">SC-12(3)</t>
  </si>
  <si>
    <t xml:space="preserve">Cryptographic Key Establishment and Management</t>
  </si>
  <si>
    <t xml:space="preserve">SC-12-3</t>
  </si>
  <si>
    <t xml:space="preserve">SC-20</t>
  </si>
  <si>
    <t xml:space="preserve">Secure Name / Address Resolution Service (Authoritative Source)</t>
  </si>
  <si>
    <t xml:space="preserve">SC-21</t>
  </si>
  <si>
    <t xml:space="preserve">Secure Name / Address Resolution Service (Recursive or Caching Resolver)</t>
  </si>
  <si>
    <t xml:space="preserve">SC-22</t>
  </si>
  <si>
    <t xml:space="preserve">Architecture and Provisioning for Name / Address Resolution Service</t>
  </si>
  <si>
    <t xml:space="preserve">SI-8</t>
  </si>
  <si>
    <t xml:space="preserve">Spam Protection</t>
  </si>
  <si>
    <t xml:space="preserve">SI-8(1)</t>
  </si>
  <si>
    <t xml:space="preserve">SI-8-1</t>
  </si>
  <si>
    <t xml:space="preserve">SI-8(2)</t>
  </si>
  <si>
    <t xml:space="preserve">SI-8-2</t>
  </si>
  <si>
    <t xml:space="preserve">Security</t>
  </si>
  <si>
    <t xml:space="preserve">Security.xlsx</t>
  </si>
  <si>
    <t xml:space="preserve">SC-12</t>
  </si>
  <si>
    <t xml:space="preserve">SC-12(1)</t>
  </si>
  <si>
    <t xml:space="preserve">SC-12-1</t>
  </si>
  <si>
    <t xml:space="preserve">SC-12(2)</t>
  </si>
  <si>
    <t xml:space="preserve">SC-12-2</t>
  </si>
  <si>
    <t xml:space="preserve">SC-17</t>
  </si>
  <si>
    <t xml:space="preserve">Public Key Infrastructure Certificates</t>
  </si>
  <si>
    <t xml:space="preserve">Storage</t>
  </si>
  <si>
    <t xml:space="preserve">Storage.xlsx</t>
  </si>
  <si>
    <t xml:space="preserve">CP-9(7)</t>
  </si>
  <si>
    <t xml:space="preserve">CP-9-7</t>
  </si>
  <si>
    <t xml:space="preserve">Virtual Desktop Infrastructure</t>
  </si>
  <si>
    <t xml:space="preserve">Virtual_Desktop_Infrastructure.xlsx</t>
  </si>
  <si>
    <t xml:space="preserve">Web</t>
  </si>
  <si>
    <t xml:space="preserve">Web.xlsx</t>
  </si>
  <si>
    <t xml:space="preserve">PBMM Evidence — Progress Summary (EN + FR)</t>
  </si>
  <si>
    <t xml:space="preserve">Metric</t>
  </si>
  <si>
    <t xml:space="preserve">EN Count</t>
  </si>
  <si>
    <t xml:space="preserve">EN %</t>
  </si>
  <si>
    <t xml:space="preserve">FR Count</t>
  </si>
  <si>
    <t xml:space="preserve">FR %</t>
  </si>
  <si>
    <t xml:space="preserve">Overall Status — EN and FR</t>
  </si>
  <si>
    <t xml:space="preserve">Total Entries</t>
  </si>
  <si>
    <t xml:space="preserve">In Progress</t>
  </si>
  <si>
    <t xml:space="preserve">Evidence Provided</t>
  </si>
  <si>
    <t xml:space="preserve">Under Review</t>
  </si>
  <si>
    <t xml:space="preserve">Passed</t>
  </si>
  <si>
    <t xml:space="preserve">Failed</t>
  </si>
  <si>
    <t xml:space="preserve">Accepted Exception</t>
  </si>
  <si>
    <t xml:space="preserve">By Technology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</si>
</sst>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"/>
    <numFmt numFmtId="167" formatCode="General"/>
    <numFmt numFmtId="168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7"/>
        <bgColor rgb="FFEBF3FB"/>
      </patternFill>
    </fill>
    <fill>
      <patternFill patternType="solid">
        <fgColor rgb="FFF7F9FC"/>
        <bgColor rgb="FFFFFFFF"/>
      </patternFill>
    </fill>
    <fill>
      <patternFill patternType="solid">
        <fgColor rgb="FF2E6DA4"/>
        <bgColor rgb="FF1565C0"/>
      </patternFill>
    </fill>
    <fill>
      <patternFill patternType="solid">
        <fgColor rgb="FF1565C0"/>
        <bgColor rgb="FF2E6DA4"/>
      </patternFill>
    </fill>
    <fill>
      <patternFill patternType="solid">
        <fgColor rgb="FF2E7D32"/>
        <bgColor rgb="FF276221"/>
      </patternFill>
    </fill>
    <fill>
      <patternFill patternType="solid">
        <fgColor rgb="FFF2F2F2"/>
        <bgColor rgb="FFEBF3FB"/>
      </patternFill>
    </fill>
    <fill>
      <patternFill patternType="solid">
        <fgColor rgb="FFFFFFFF"/>
        <bgColor rgb="FFF7F9FC"/>
      </patternFill>
    </fill>
    <fill>
      <patternFill patternType="solid">
        <fgColor rgb="FFEBF3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0B8C1"/>
      </left>
      <right style="thin">
        <color rgb="FFB0B8C1"/>
      </right>
      <top style="thin">
        <color rgb="FFB0B8C1"/>
      </top>
      <bottom style="thin">
        <color rgb="FFB0B8C1"/>
      </bottom>
      <diagonal/>
    </border>
    <border diagonalUp="false" diagonalDown="false">
      <left style="medium">
        <color rgb="FF1565C0"/>
      </left>
      <right style="medium">
        <color rgb="FF1565C0"/>
      </right>
      <top style="medium">
        <color rgb="FF1565C0"/>
      </top>
      <bottom style="medium">
        <color rgb="FF1565C0"/>
      </bottom>
      <diagonal/>
    </border>
    <border diagonalUp="false" diagonalDown="false">
      <left style="medium">
        <color rgb="FF2E7D32"/>
      </left>
      <right style="medium">
        <color rgb="FF2E7D32"/>
      </right>
      <top style="medium">
        <color rgb="FF2E7D32"/>
      </top>
      <bottom style="medium">
        <color rgb="FF2E7D3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2E6DA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565C0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ont>
        <name val="Arial"/>
        <charset val="1"/>
        <family val="0"/>
        <b val="1"/>
        <color rgb="FF276221"/>
        <sz val="9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  <sz val="9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B0B8C1"/>
      <rgbColor rgb="FF808080"/>
      <rgbColor rgb="FF9999FF"/>
      <rgbColor rgb="FF993366"/>
      <rgbColor rgb="FFF7F9FC"/>
      <rgbColor rgb="FFEBF3FB"/>
      <rgbColor rgb="FF660066"/>
      <rgbColor rgb="FFFF8080"/>
      <rgbColor rgb="FF1565C0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2E6DA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7D32"/>
      <rgbColor rgb="FF003300"/>
      <rgbColor rgb="FF333300"/>
      <rgbColor rgb="FF9C57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2"/>
  </cols>
  <sheetData>
    <row r="1" customFormat="false" ht="30" hidden="false" customHeight="true" outlineLevel="0" collapsed="false">
      <c r="A1" s="1" t="s">
        <v>0</v>
      </c>
      <c r="B1" s="1"/>
    </row>
    <row r="2" customFormat="false" ht="39.75" hidden="false" customHeight="true" outlineLevel="0" collapsed="false">
      <c r="A2" s="2" t="s">
        <v>1</v>
      </c>
      <c r="B2" s="3" t="s">
        <v>2</v>
      </c>
    </row>
    <row r="3" customFormat="false" ht="64.5" hidden="false" customHeight="true" outlineLevel="0" collapsed="false">
      <c r="A3" s="2" t="s">
        <v>3</v>
      </c>
      <c r="B3" s="3" t="s">
        <v>4</v>
      </c>
    </row>
    <row r="4" customFormat="false" ht="64.5" hidden="false" customHeight="true" outlineLevel="0" collapsed="false">
      <c r="A4" s="2" t="s">
        <v>5</v>
      </c>
      <c r="B4" s="3" t="s">
        <v>6</v>
      </c>
    </row>
    <row r="5" customFormat="false" ht="54.75" hidden="false" customHeight="true" outlineLevel="0" collapsed="false">
      <c r="A5" s="2" t="s">
        <v>7</v>
      </c>
      <c r="B5" s="3" t="s">
        <v>8</v>
      </c>
    </row>
    <row r="6" customFormat="false" ht="45" hidden="false" customHeight="true" outlineLevel="0" collapsed="false">
      <c r="A6" s="2" t="s">
        <v>9</v>
      </c>
      <c r="B6" s="3" t="s">
        <v>10</v>
      </c>
    </row>
    <row r="7" customFormat="false" ht="34.5" hidden="false" customHeight="true" outlineLevel="0" collapsed="false">
      <c r="A7" s="2" t="s">
        <v>11</v>
      </c>
      <c r="B7" s="3" t="s">
        <v>12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6DA4"/>
    <pageSetUpPr fitToPage="false"/>
  </sheetPr>
  <dimension ref="A1:N7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36"/>
    <col collapsed="false" customWidth="true" hidden="false" outlineLevel="0" max="7" min="6" style="0" width="16"/>
    <col collapsed="false" customWidth="true" hidden="false" outlineLevel="0" max="8" min="8" style="0" width="20"/>
    <col collapsed="false" customWidth="true" hidden="false" outlineLevel="0" max="9" min="9" style="0" width="8"/>
    <col collapsed="false" customWidth="true" hidden="false" outlineLevel="0" max="10" min="10" style="0" width="20"/>
    <col collapsed="false" customWidth="true" hidden="false" outlineLevel="0" max="11" min="11" style="0" width="8"/>
    <col collapsed="false" customWidth="true" hidden="false" outlineLevel="0" max="13" min="12" style="0" width="16"/>
    <col collapsed="false" customWidth="true" hidden="false" outlineLevel="0" max="14" min="14" style="0" width="10"/>
  </cols>
  <sheetData>
    <row r="1" customFormat="false" ht="27.75" hidden="false" customHeight="true" outlineLevel="0" collapsed="false">
      <c r="A1" s="4" t="s">
        <v>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 t="n">
        <f aca="true">TODAY()</f>
        <v>46171</v>
      </c>
    </row>
    <row r="2" customFormat="false" ht="39.75" hidden="false" customHeight="true" outlineLevel="0" collapsed="false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7" t="s">
        <v>21</v>
      </c>
      <c r="I2" s="7" t="s">
        <v>22</v>
      </c>
      <c r="J2" s="8" t="s">
        <v>23</v>
      </c>
      <c r="K2" s="8" t="s">
        <v>24</v>
      </c>
      <c r="L2" s="6" t="s">
        <v>25</v>
      </c>
      <c r="M2" s="6" t="s">
        <v>26</v>
      </c>
      <c r="N2" s="6" t="s">
        <v>27</v>
      </c>
    </row>
    <row r="3" customFormat="false" ht="18" hidden="false" customHeight="true" outlineLevel="0" collapsed="false">
      <c r="A3" s="9" t="s">
        <v>28</v>
      </c>
      <c r="B3" s="10" t="s">
        <v>29</v>
      </c>
      <c r="C3" s="10" t="s">
        <v>30</v>
      </c>
      <c r="D3" s="9" t="s">
        <v>31</v>
      </c>
      <c r="E3" s="10" t="s">
        <v>32</v>
      </c>
      <c r="F3" s="10" t="s">
        <v>28</v>
      </c>
      <c r="G3" s="10"/>
      <c r="H3" s="11" t="s">
        <v>33</v>
      </c>
      <c r="I3" s="12" t="str">
        <f aca="false">IF(OR(H3="Passed",H3="Accepted Exception"),"GREEN",IF(OR(H3="Not Started",H3="Failed"),"RED","AMBER"))</f>
        <v>RED</v>
      </c>
      <c r="J3" s="13" t="s">
        <v>34</v>
      </c>
      <c r="K3" s="14" t="str">
        <f aca="false">IF(OR(J3="Réussi",J3="Exception acceptée"),"GREEN",IF(OR(J3="Non commencé",J3="Échec"),"RED","AMBER"))</f>
        <v>RED</v>
      </c>
      <c r="L3" s="10"/>
      <c r="M3" s="10"/>
      <c r="N3" s="15" t="str">
        <f aca="true">IF(G3&lt;&gt;"",TODAY()-G3,"")</f>
        <v/>
      </c>
    </row>
    <row r="4" customFormat="false" ht="18" hidden="false" customHeight="true" outlineLevel="0" collapsed="false">
      <c r="A4" s="16" t="s">
        <v>35</v>
      </c>
      <c r="B4" s="17" t="s">
        <v>36</v>
      </c>
      <c r="C4" s="17" t="s">
        <v>30</v>
      </c>
      <c r="D4" s="16" t="s">
        <v>31</v>
      </c>
      <c r="E4" s="17" t="s">
        <v>32</v>
      </c>
      <c r="F4" s="17" t="s">
        <v>35</v>
      </c>
      <c r="G4" s="17"/>
      <c r="H4" s="18" t="s">
        <v>33</v>
      </c>
      <c r="I4" s="12" t="str">
        <f aca="false">IF(OR(H4="Passed",H4="Accepted Exception"),"GREEN",IF(OR(H4="Not Started",H4="Failed"),"RED","AMBER"))</f>
        <v>RED</v>
      </c>
      <c r="J4" s="19" t="s">
        <v>34</v>
      </c>
      <c r="K4" s="14" t="str">
        <f aca="false">IF(OR(J4="Réussi",J4="Exception acceptée"),"GREEN",IF(OR(J4="Non commencé",J4="Échec"),"RED","AMBER"))</f>
        <v>RED</v>
      </c>
      <c r="L4" s="17"/>
      <c r="M4" s="17"/>
      <c r="N4" s="15" t="str">
        <f aca="true">IF(G4&lt;&gt;"",TODAY()-G4,"")</f>
        <v/>
      </c>
    </row>
    <row r="5" customFormat="false" ht="18" hidden="false" customHeight="true" outlineLevel="0" collapsed="false">
      <c r="A5" s="9" t="s">
        <v>37</v>
      </c>
      <c r="B5" s="10" t="s">
        <v>36</v>
      </c>
      <c r="C5" s="10" t="s">
        <v>30</v>
      </c>
      <c r="D5" s="9" t="s">
        <v>31</v>
      </c>
      <c r="E5" s="10" t="s">
        <v>32</v>
      </c>
      <c r="F5" s="10" t="s">
        <v>38</v>
      </c>
      <c r="G5" s="10"/>
      <c r="H5" s="11" t="s">
        <v>33</v>
      </c>
      <c r="I5" s="12" t="str">
        <f aca="false">IF(OR(H5="Passed",H5="Accepted Exception"),"GREEN",IF(OR(H5="Not Started",H5="Failed"),"RED","AMBER"))</f>
        <v>RED</v>
      </c>
      <c r="J5" s="13" t="s">
        <v>34</v>
      </c>
      <c r="K5" s="14" t="str">
        <f aca="false">IF(OR(J5="Réussi",J5="Exception acceptée"),"GREEN",IF(OR(J5="Non commencé",J5="Échec"),"RED","AMBER"))</f>
        <v>RED</v>
      </c>
      <c r="L5" s="10"/>
      <c r="M5" s="10"/>
      <c r="N5" s="15" t="str">
        <f aca="true">IF(G5&lt;&gt;"",TODAY()-G5,"")</f>
        <v/>
      </c>
    </row>
    <row r="6" customFormat="false" ht="18" hidden="false" customHeight="true" outlineLevel="0" collapsed="false">
      <c r="A6" s="16" t="s">
        <v>39</v>
      </c>
      <c r="B6" s="17" t="s">
        <v>40</v>
      </c>
      <c r="C6" s="17" t="s">
        <v>30</v>
      </c>
      <c r="D6" s="16" t="s">
        <v>31</v>
      </c>
      <c r="E6" s="17" t="s">
        <v>32</v>
      </c>
      <c r="F6" s="17" t="s">
        <v>41</v>
      </c>
      <c r="G6" s="17"/>
      <c r="H6" s="18" t="s">
        <v>33</v>
      </c>
      <c r="I6" s="12" t="str">
        <f aca="false">IF(OR(H6="Passed",H6="Accepted Exception"),"GREEN",IF(OR(H6="Not Started",H6="Failed"),"RED","AMBER"))</f>
        <v>RED</v>
      </c>
      <c r="J6" s="19" t="s">
        <v>34</v>
      </c>
      <c r="K6" s="14" t="str">
        <f aca="false">IF(OR(J6="Réussi",J6="Exception acceptée"),"GREEN",IF(OR(J6="Non commencé",J6="Échec"),"RED","AMBER"))</f>
        <v>RED</v>
      </c>
      <c r="L6" s="17"/>
      <c r="M6" s="17"/>
      <c r="N6" s="15" t="str">
        <f aca="true">IF(G6&lt;&gt;"",TODAY()-G6,"")</f>
        <v/>
      </c>
    </row>
    <row r="7" customFormat="false" ht="18" hidden="false" customHeight="true" outlineLevel="0" collapsed="false">
      <c r="A7" s="9" t="s">
        <v>42</v>
      </c>
      <c r="B7" s="10" t="s">
        <v>43</v>
      </c>
      <c r="C7" s="10" t="s">
        <v>30</v>
      </c>
      <c r="D7" s="9" t="s">
        <v>31</v>
      </c>
      <c r="E7" s="10" t="s">
        <v>32</v>
      </c>
      <c r="F7" s="10" t="s">
        <v>42</v>
      </c>
      <c r="G7" s="10"/>
      <c r="H7" s="11" t="s">
        <v>33</v>
      </c>
      <c r="I7" s="12" t="str">
        <f aca="false">IF(OR(H7="Passed",H7="Accepted Exception"),"GREEN",IF(OR(H7="Not Started",H7="Failed"),"RED","AMBER"))</f>
        <v>RED</v>
      </c>
      <c r="J7" s="13" t="s">
        <v>34</v>
      </c>
      <c r="K7" s="14" t="str">
        <f aca="false">IF(OR(J7="Réussi",J7="Exception acceptée"),"GREEN",IF(OR(J7="Non commencé",J7="Échec"),"RED","AMBER"))</f>
        <v>RED</v>
      </c>
      <c r="L7" s="10"/>
      <c r="M7" s="10"/>
      <c r="N7" s="15" t="str">
        <f aca="true">IF(G7&lt;&gt;"",TODAY()-G7,"")</f>
        <v/>
      </c>
    </row>
    <row r="8" customFormat="false" ht="18" hidden="false" customHeight="true" outlineLevel="0" collapsed="false">
      <c r="A8" s="16" t="s">
        <v>44</v>
      </c>
      <c r="B8" s="17" t="s">
        <v>45</v>
      </c>
      <c r="C8" s="17" t="s">
        <v>30</v>
      </c>
      <c r="D8" s="16" t="s">
        <v>46</v>
      </c>
      <c r="E8" s="17" t="s">
        <v>32</v>
      </c>
      <c r="F8" s="17" t="s">
        <v>44</v>
      </c>
      <c r="G8" s="17"/>
      <c r="H8" s="18" t="s">
        <v>33</v>
      </c>
      <c r="I8" s="12" t="str">
        <f aca="false">IF(OR(H8="Passed",H8="Accepted Exception"),"GREEN",IF(OR(H8="Not Started",H8="Failed"),"RED","AMBER"))</f>
        <v>RED</v>
      </c>
      <c r="J8" s="19" t="s">
        <v>34</v>
      </c>
      <c r="K8" s="14" t="str">
        <f aca="false">IF(OR(J8="Réussi",J8="Exception acceptée"),"GREEN",IF(OR(J8="Non commencé",J8="Échec"),"RED","AMBER"))</f>
        <v>RED</v>
      </c>
      <c r="L8" s="17"/>
      <c r="M8" s="17"/>
      <c r="N8" s="15" t="str">
        <f aca="true">IF(G8&lt;&gt;"",TODAY()-G8,"")</f>
        <v/>
      </c>
    </row>
    <row r="9" customFormat="false" ht="18" hidden="false" customHeight="true" outlineLevel="0" collapsed="false">
      <c r="A9" s="9" t="s">
        <v>47</v>
      </c>
      <c r="B9" s="10" t="s">
        <v>48</v>
      </c>
      <c r="C9" s="10" t="s">
        <v>30</v>
      </c>
      <c r="D9" s="9" t="s">
        <v>46</v>
      </c>
      <c r="E9" s="10" t="s">
        <v>32</v>
      </c>
      <c r="F9" s="10" t="s">
        <v>47</v>
      </c>
      <c r="G9" s="10"/>
      <c r="H9" s="11" t="s">
        <v>33</v>
      </c>
      <c r="I9" s="12" t="str">
        <f aca="false">IF(OR(H9="Passed",H9="Accepted Exception"),"GREEN",IF(OR(H9="Not Started",H9="Failed"),"RED","AMBER"))</f>
        <v>RED</v>
      </c>
      <c r="J9" s="13" t="s">
        <v>34</v>
      </c>
      <c r="K9" s="14" t="str">
        <f aca="false">IF(OR(J9="Réussi",J9="Exception acceptée"),"GREEN",IF(OR(J9="Non commencé",J9="Échec"),"RED","AMBER"))</f>
        <v>RED</v>
      </c>
      <c r="L9" s="10"/>
      <c r="M9" s="10"/>
      <c r="N9" s="15" t="str">
        <f aca="true">IF(G9&lt;&gt;"",TODAY()-G9,"")</f>
        <v/>
      </c>
    </row>
    <row r="10" customFormat="false" ht="18" hidden="false" customHeight="true" outlineLevel="0" collapsed="false">
      <c r="A10" s="16" t="s">
        <v>49</v>
      </c>
      <c r="B10" s="17" t="s">
        <v>48</v>
      </c>
      <c r="C10" s="17" t="s">
        <v>30</v>
      </c>
      <c r="D10" s="16" t="s">
        <v>46</v>
      </c>
      <c r="E10" s="17" t="s">
        <v>32</v>
      </c>
      <c r="F10" s="17" t="s">
        <v>50</v>
      </c>
      <c r="G10" s="17"/>
      <c r="H10" s="18" t="s">
        <v>33</v>
      </c>
      <c r="I10" s="12" t="str">
        <f aca="false">IF(OR(H10="Passed",H10="Accepted Exception"),"GREEN",IF(OR(H10="Not Started",H10="Failed"),"RED","AMBER"))</f>
        <v>RED</v>
      </c>
      <c r="J10" s="19" t="s">
        <v>34</v>
      </c>
      <c r="K10" s="14" t="str">
        <f aca="false">IF(OR(J10="Réussi",J10="Exception acceptée"),"GREEN",IF(OR(J10="Non commencé",J10="Échec"),"RED","AMBER"))</f>
        <v>RED</v>
      </c>
      <c r="L10" s="17"/>
      <c r="M10" s="17"/>
      <c r="N10" s="15" t="str">
        <f aca="true">IF(G10&lt;&gt;"",TODAY()-G10,"")</f>
        <v/>
      </c>
    </row>
    <row r="11" customFormat="false" ht="18" hidden="false" customHeight="true" outlineLevel="0" collapsed="false">
      <c r="A11" s="9" t="s">
        <v>51</v>
      </c>
      <c r="B11" s="10" t="s">
        <v>52</v>
      </c>
      <c r="C11" s="10" t="s">
        <v>30</v>
      </c>
      <c r="D11" s="9" t="s">
        <v>53</v>
      </c>
      <c r="E11" s="10" t="s">
        <v>32</v>
      </c>
      <c r="F11" s="10" t="s">
        <v>51</v>
      </c>
      <c r="G11" s="10"/>
      <c r="H11" s="11" t="s">
        <v>33</v>
      </c>
      <c r="I11" s="12" t="str">
        <f aca="false">IF(OR(H11="Passed",H11="Accepted Exception"),"GREEN",IF(OR(H11="Not Started",H11="Failed"),"RED","AMBER"))</f>
        <v>RED</v>
      </c>
      <c r="J11" s="13" t="s">
        <v>34</v>
      </c>
      <c r="K11" s="14" t="str">
        <f aca="false">IF(OR(J11="Réussi",J11="Exception acceptée"),"GREEN",IF(OR(J11="Non commencé",J11="Échec"),"RED","AMBER"))</f>
        <v>RED</v>
      </c>
      <c r="L11" s="10"/>
      <c r="M11" s="10"/>
      <c r="N11" s="15" t="str">
        <f aca="true">IF(G11&lt;&gt;"",TODAY()-G11,"")</f>
        <v/>
      </c>
    </row>
    <row r="12" customFormat="false" ht="18" hidden="false" customHeight="true" outlineLevel="0" collapsed="false">
      <c r="A12" s="16" t="s">
        <v>54</v>
      </c>
      <c r="B12" s="17" t="s">
        <v>52</v>
      </c>
      <c r="C12" s="17" t="s">
        <v>30</v>
      </c>
      <c r="D12" s="16" t="s">
        <v>53</v>
      </c>
      <c r="E12" s="17" t="s">
        <v>32</v>
      </c>
      <c r="F12" s="17" t="s">
        <v>55</v>
      </c>
      <c r="G12" s="17"/>
      <c r="H12" s="18" t="s">
        <v>33</v>
      </c>
      <c r="I12" s="12" t="str">
        <f aca="false">IF(OR(H12="Passed",H12="Accepted Exception"),"GREEN",IF(OR(H12="Not Started",H12="Failed"),"RED","AMBER"))</f>
        <v>RED</v>
      </c>
      <c r="J12" s="19" t="s">
        <v>34</v>
      </c>
      <c r="K12" s="14" t="str">
        <f aca="false">IF(OR(J12="Réussi",J12="Exception acceptée"),"GREEN",IF(OR(J12="Non commencé",J12="Échec"),"RED","AMBER"))</f>
        <v>RED</v>
      </c>
      <c r="L12" s="17"/>
      <c r="M12" s="17"/>
      <c r="N12" s="15" t="str">
        <f aca="true">IF(G12&lt;&gt;"",TODAY()-G12,"")</f>
        <v/>
      </c>
    </row>
    <row r="13" customFormat="false" ht="18" hidden="false" customHeight="true" outlineLevel="0" collapsed="false">
      <c r="A13" s="9" t="s">
        <v>56</v>
      </c>
      <c r="B13" s="10" t="s">
        <v>57</v>
      </c>
      <c r="C13" s="10" t="s">
        <v>30</v>
      </c>
      <c r="D13" s="9" t="s">
        <v>53</v>
      </c>
      <c r="E13" s="10" t="s">
        <v>32</v>
      </c>
      <c r="F13" s="10" t="s">
        <v>56</v>
      </c>
      <c r="G13" s="10"/>
      <c r="H13" s="11" t="s">
        <v>33</v>
      </c>
      <c r="I13" s="12" t="str">
        <f aca="false">IF(OR(H13="Passed",H13="Accepted Exception"),"GREEN",IF(OR(H13="Not Started",H13="Failed"),"RED","AMBER"))</f>
        <v>RED</v>
      </c>
      <c r="J13" s="13" t="s">
        <v>34</v>
      </c>
      <c r="K13" s="14" t="str">
        <f aca="false">IF(OR(J13="Réussi",J13="Exception acceptée"),"GREEN",IF(OR(J13="Non commencé",J13="Échec"),"RED","AMBER"))</f>
        <v>RED</v>
      </c>
      <c r="L13" s="10"/>
      <c r="M13" s="10"/>
      <c r="N13" s="15" t="str">
        <f aca="true">IF(G13&lt;&gt;"",TODAY()-G13,"")</f>
        <v/>
      </c>
    </row>
    <row r="14" customFormat="false" ht="18" hidden="false" customHeight="true" outlineLevel="0" collapsed="false">
      <c r="A14" s="16" t="s">
        <v>58</v>
      </c>
      <c r="B14" s="17" t="s">
        <v>57</v>
      </c>
      <c r="C14" s="17" t="s">
        <v>30</v>
      </c>
      <c r="D14" s="16" t="s">
        <v>53</v>
      </c>
      <c r="E14" s="17" t="s">
        <v>32</v>
      </c>
      <c r="F14" s="17" t="s">
        <v>59</v>
      </c>
      <c r="G14" s="17"/>
      <c r="H14" s="18" t="s">
        <v>33</v>
      </c>
      <c r="I14" s="12" t="str">
        <f aca="false">IF(OR(H14="Passed",H14="Accepted Exception"),"GREEN",IF(OR(H14="Not Started",H14="Failed"),"RED","AMBER"))</f>
        <v>RED</v>
      </c>
      <c r="J14" s="19" t="s">
        <v>34</v>
      </c>
      <c r="K14" s="14" t="str">
        <f aca="false">IF(OR(J14="Réussi",J14="Exception acceptée"),"GREEN",IF(OR(J14="Non commencé",J14="Échec"),"RED","AMBER"))</f>
        <v>RED</v>
      </c>
      <c r="L14" s="17"/>
      <c r="M14" s="17"/>
      <c r="N14" s="15" t="str">
        <f aca="true">IF(G14&lt;&gt;"",TODAY()-G14,"")</f>
        <v/>
      </c>
    </row>
    <row r="15" customFormat="false" ht="18" hidden="false" customHeight="true" outlineLevel="0" collapsed="false">
      <c r="A15" s="9" t="s">
        <v>60</v>
      </c>
      <c r="B15" s="10" t="s">
        <v>61</v>
      </c>
      <c r="C15" s="10" t="s">
        <v>30</v>
      </c>
      <c r="D15" s="9" t="s">
        <v>62</v>
      </c>
      <c r="E15" s="10" t="s">
        <v>32</v>
      </c>
      <c r="F15" s="10" t="s">
        <v>63</v>
      </c>
      <c r="G15" s="10"/>
      <c r="H15" s="11" t="s">
        <v>33</v>
      </c>
      <c r="I15" s="12" t="str">
        <f aca="false">IF(OR(H15="Passed",H15="Accepted Exception"),"GREEN",IF(OR(H15="Not Started",H15="Failed"),"RED","AMBER"))</f>
        <v>RED</v>
      </c>
      <c r="J15" s="13" t="s">
        <v>34</v>
      </c>
      <c r="K15" s="14" t="str">
        <f aca="false">IF(OR(J15="Réussi",J15="Exception acceptée"),"GREEN",IF(OR(J15="Non commencé",J15="Échec"),"RED","AMBER"))</f>
        <v>RED</v>
      </c>
      <c r="L15" s="10"/>
      <c r="M15" s="10"/>
      <c r="N15" s="15" t="str">
        <f aca="true">IF(G15&lt;&gt;"",TODAY()-G15,"")</f>
        <v/>
      </c>
    </row>
    <row r="16" customFormat="false" ht="18" hidden="false" customHeight="true" outlineLevel="0" collapsed="false">
      <c r="A16" s="16" t="s">
        <v>64</v>
      </c>
      <c r="B16" s="17" t="s">
        <v>65</v>
      </c>
      <c r="C16" s="17" t="s">
        <v>30</v>
      </c>
      <c r="D16" s="16" t="s">
        <v>66</v>
      </c>
      <c r="E16" s="17" t="s">
        <v>32</v>
      </c>
      <c r="F16" s="17" t="s">
        <v>67</v>
      </c>
      <c r="G16" s="17"/>
      <c r="H16" s="18" t="s">
        <v>33</v>
      </c>
      <c r="I16" s="12" t="str">
        <f aca="false">IF(OR(H16="Passed",H16="Accepted Exception"),"GREEN",IF(OR(H16="Not Started",H16="Failed"),"RED","AMBER"))</f>
        <v>RED</v>
      </c>
      <c r="J16" s="19" t="s">
        <v>34</v>
      </c>
      <c r="K16" s="14" t="str">
        <f aca="false">IF(OR(J16="Réussi",J16="Exception acceptée"),"GREEN",IF(OR(J16="Non commencé",J16="Échec"),"RED","AMBER"))</f>
        <v>RED</v>
      </c>
      <c r="L16" s="17"/>
      <c r="M16" s="17"/>
      <c r="N16" s="15" t="str">
        <f aca="true">IF(G16&lt;&gt;"",TODAY()-G16,"")</f>
        <v/>
      </c>
    </row>
    <row r="17" customFormat="false" ht="18" hidden="false" customHeight="true" outlineLevel="0" collapsed="false">
      <c r="A17" s="9" t="s">
        <v>68</v>
      </c>
      <c r="B17" s="10" t="s">
        <v>69</v>
      </c>
      <c r="C17" s="10" t="s">
        <v>30</v>
      </c>
      <c r="D17" s="9" t="s">
        <v>66</v>
      </c>
      <c r="E17" s="10" t="s">
        <v>32</v>
      </c>
      <c r="F17" s="10" t="s">
        <v>68</v>
      </c>
      <c r="G17" s="10"/>
      <c r="H17" s="11" t="s">
        <v>33</v>
      </c>
      <c r="I17" s="12" t="str">
        <f aca="false">IF(OR(H17="Passed",H17="Accepted Exception"),"GREEN",IF(OR(H17="Not Started",H17="Failed"),"RED","AMBER"))</f>
        <v>RED</v>
      </c>
      <c r="J17" s="13" t="s">
        <v>34</v>
      </c>
      <c r="K17" s="14" t="str">
        <f aca="false">IF(OR(J17="Réussi",J17="Exception acceptée"),"GREEN",IF(OR(J17="Non commencé",J17="Échec"),"RED","AMBER"))</f>
        <v>RED</v>
      </c>
      <c r="L17" s="10"/>
      <c r="M17" s="10"/>
      <c r="N17" s="15" t="str">
        <f aca="true">IF(G17&lt;&gt;"",TODAY()-G17,"")</f>
        <v/>
      </c>
    </row>
    <row r="18" customFormat="false" ht="18" hidden="false" customHeight="true" outlineLevel="0" collapsed="false">
      <c r="A18" s="16" t="s">
        <v>28</v>
      </c>
      <c r="B18" s="17" t="s">
        <v>29</v>
      </c>
      <c r="C18" s="17" t="s">
        <v>70</v>
      </c>
      <c r="D18" s="16" t="s">
        <v>31</v>
      </c>
      <c r="E18" s="17" t="s">
        <v>71</v>
      </c>
      <c r="F18" s="17" t="s">
        <v>28</v>
      </c>
      <c r="G18" s="17"/>
      <c r="H18" s="18" t="s">
        <v>33</v>
      </c>
      <c r="I18" s="12" t="str">
        <f aca="false">IF(OR(H18="Passed",H18="Accepted Exception"),"GREEN",IF(OR(H18="Not Started",H18="Failed"),"RED","AMBER"))</f>
        <v>RED</v>
      </c>
      <c r="J18" s="19" t="s">
        <v>34</v>
      </c>
      <c r="K18" s="14" t="str">
        <f aca="false">IF(OR(J18="Réussi",J18="Exception acceptée"),"GREEN",IF(OR(J18="Non commencé",J18="Échec"),"RED","AMBER"))</f>
        <v>RED</v>
      </c>
      <c r="L18" s="17"/>
      <c r="M18" s="17"/>
      <c r="N18" s="15" t="str">
        <f aca="true">IF(G18&lt;&gt;"",TODAY()-G18,"")</f>
        <v/>
      </c>
    </row>
    <row r="19" customFormat="false" ht="18" hidden="false" customHeight="true" outlineLevel="0" collapsed="false">
      <c r="A19" s="9" t="s">
        <v>35</v>
      </c>
      <c r="B19" s="10" t="s">
        <v>36</v>
      </c>
      <c r="C19" s="10" t="s">
        <v>70</v>
      </c>
      <c r="D19" s="9" t="s">
        <v>31</v>
      </c>
      <c r="E19" s="10" t="s">
        <v>71</v>
      </c>
      <c r="F19" s="10" t="s">
        <v>35</v>
      </c>
      <c r="G19" s="10"/>
      <c r="H19" s="11" t="s">
        <v>33</v>
      </c>
      <c r="I19" s="12" t="str">
        <f aca="false">IF(OR(H19="Passed",H19="Accepted Exception"),"GREEN",IF(OR(H19="Not Started",H19="Failed"),"RED","AMBER"))</f>
        <v>RED</v>
      </c>
      <c r="J19" s="13" t="s">
        <v>34</v>
      </c>
      <c r="K19" s="14" t="str">
        <f aca="false">IF(OR(J19="Réussi",J19="Exception acceptée"),"GREEN",IF(OR(J19="Non commencé",J19="Échec"),"RED","AMBER"))</f>
        <v>RED</v>
      </c>
      <c r="L19" s="10"/>
      <c r="M19" s="10"/>
      <c r="N19" s="15" t="str">
        <f aca="true">IF(G19&lt;&gt;"",TODAY()-G19,"")</f>
        <v/>
      </c>
    </row>
    <row r="20" customFormat="false" ht="18" hidden="false" customHeight="true" outlineLevel="0" collapsed="false">
      <c r="A20" s="16" t="s">
        <v>37</v>
      </c>
      <c r="B20" s="17" t="s">
        <v>36</v>
      </c>
      <c r="C20" s="17" t="s">
        <v>70</v>
      </c>
      <c r="D20" s="16" t="s">
        <v>31</v>
      </c>
      <c r="E20" s="17" t="s">
        <v>71</v>
      </c>
      <c r="F20" s="17" t="s">
        <v>38</v>
      </c>
      <c r="G20" s="17"/>
      <c r="H20" s="18" t="s">
        <v>33</v>
      </c>
      <c r="I20" s="12" t="str">
        <f aca="false">IF(OR(H20="Passed",H20="Accepted Exception"),"GREEN",IF(OR(H20="Not Started",H20="Failed"),"RED","AMBER"))</f>
        <v>RED</v>
      </c>
      <c r="J20" s="19" t="s">
        <v>34</v>
      </c>
      <c r="K20" s="14" t="str">
        <f aca="false">IF(OR(J20="Réussi",J20="Exception acceptée"),"GREEN",IF(OR(J20="Non commencé",J20="Échec"),"RED","AMBER"))</f>
        <v>RED</v>
      </c>
      <c r="L20" s="17"/>
      <c r="M20" s="17"/>
      <c r="N20" s="15" t="str">
        <f aca="true">IF(G20&lt;&gt;"",TODAY()-G20,"")</f>
        <v/>
      </c>
    </row>
    <row r="21" customFormat="false" ht="18" hidden="false" customHeight="true" outlineLevel="0" collapsed="false">
      <c r="A21" s="9" t="s">
        <v>72</v>
      </c>
      <c r="B21" s="10" t="s">
        <v>73</v>
      </c>
      <c r="C21" s="10" t="s">
        <v>70</v>
      </c>
      <c r="D21" s="9" t="s">
        <v>31</v>
      </c>
      <c r="E21" s="10" t="s">
        <v>71</v>
      </c>
      <c r="F21" s="10" t="s">
        <v>72</v>
      </c>
      <c r="G21" s="10"/>
      <c r="H21" s="11" t="s">
        <v>33</v>
      </c>
      <c r="I21" s="12" t="str">
        <f aca="false">IF(OR(H21="Passed",H21="Accepted Exception"),"GREEN",IF(OR(H21="Not Started",H21="Failed"),"RED","AMBER"))</f>
        <v>RED</v>
      </c>
      <c r="J21" s="13" t="s">
        <v>34</v>
      </c>
      <c r="K21" s="14" t="str">
        <f aca="false">IF(OR(J21="Réussi",J21="Exception acceptée"),"GREEN",IF(OR(J21="Non commencé",J21="Échec"),"RED","AMBER"))</f>
        <v>RED</v>
      </c>
      <c r="L21" s="10"/>
      <c r="M21" s="10"/>
      <c r="N21" s="15" t="str">
        <f aca="true">IF(G21&lt;&gt;"",TODAY()-G21,"")</f>
        <v/>
      </c>
    </row>
    <row r="22" customFormat="false" ht="18" hidden="false" customHeight="true" outlineLevel="0" collapsed="false">
      <c r="A22" s="16" t="s">
        <v>39</v>
      </c>
      <c r="B22" s="17" t="s">
        <v>40</v>
      </c>
      <c r="C22" s="17" t="s">
        <v>70</v>
      </c>
      <c r="D22" s="16" t="s">
        <v>31</v>
      </c>
      <c r="E22" s="17" t="s">
        <v>71</v>
      </c>
      <c r="F22" s="17" t="s">
        <v>41</v>
      </c>
      <c r="G22" s="17"/>
      <c r="H22" s="18" t="s">
        <v>33</v>
      </c>
      <c r="I22" s="12" t="str">
        <f aca="false">IF(OR(H22="Passed",H22="Accepted Exception"),"GREEN",IF(OR(H22="Not Started",H22="Failed"),"RED","AMBER"))</f>
        <v>RED</v>
      </c>
      <c r="J22" s="19" t="s">
        <v>34</v>
      </c>
      <c r="K22" s="14" t="str">
        <f aca="false">IF(OR(J22="Réussi",J22="Exception acceptée"),"GREEN",IF(OR(J22="Non commencé",J22="Échec"),"RED","AMBER"))</f>
        <v>RED</v>
      </c>
      <c r="L22" s="17"/>
      <c r="M22" s="17"/>
      <c r="N22" s="15" t="str">
        <f aca="true">IF(G22&lt;&gt;"",TODAY()-G22,"")</f>
        <v/>
      </c>
    </row>
    <row r="23" customFormat="false" ht="18" hidden="false" customHeight="true" outlineLevel="0" collapsed="false">
      <c r="A23" s="9" t="s">
        <v>42</v>
      </c>
      <c r="B23" s="10" t="s">
        <v>43</v>
      </c>
      <c r="C23" s="10" t="s">
        <v>70</v>
      </c>
      <c r="D23" s="9" t="s">
        <v>31</v>
      </c>
      <c r="E23" s="10" t="s">
        <v>71</v>
      </c>
      <c r="F23" s="10" t="s">
        <v>42</v>
      </c>
      <c r="G23" s="10"/>
      <c r="H23" s="11" t="s">
        <v>33</v>
      </c>
      <c r="I23" s="12" t="str">
        <f aca="false">IF(OR(H23="Passed",H23="Accepted Exception"),"GREEN",IF(OR(H23="Not Started",H23="Failed"),"RED","AMBER"))</f>
        <v>RED</v>
      </c>
      <c r="J23" s="13" t="s">
        <v>34</v>
      </c>
      <c r="K23" s="14" t="str">
        <f aca="false">IF(OR(J23="Réussi",J23="Exception acceptée"),"GREEN",IF(OR(J23="Non commencé",J23="Échec"),"RED","AMBER"))</f>
        <v>RED</v>
      </c>
      <c r="L23" s="10"/>
      <c r="M23" s="10"/>
      <c r="N23" s="15" t="str">
        <f aca="true">IF(G23&lt;&gt;"",TODAY()-G23,"")</f>
        <v/>
      </c>
    </row>
    <row r="24" customFormat="false" ht="18" hidden="false" customHeight="true" outlineLevel="0" collapsed="false">
      <c r="A24" s="16" t="s">
        <v>74</v>
      </c>
      <c r="B24" s="17" t="s">
        <v>75</v>
      </c>
      <c r="C24" s="17" t="s">
        <v>70</v>
      </c>
      <c r="D24" s="16" t="s">
        <v>46</v>
      </c>
      <c r="E24" s="17" t="s">
        <v>71</v>
      </c>
      <c r="F24" s="17" t="s">
        <v>76</v>
      </c>
      <c r="G24" s="17"/>
      <c r="H24" s="18" t="s">
        <v>33</v>
      </c>
      <c r="I24" s="12" t="str">
        <f aca="false">IF(OR(H24="Passed",H24="Accepted Exception"),"GREEN",IF(OR(H24="Not Started",H24="Failed"),"RED","AMBER"))</f>
        <v>RED</v>
      </c>
      <c r="J24" s="19" t="s">
        <v>34</v>
      </c>
      <c r="K24" s="14" t="str">
        <f aca="false">IF(OR(J24="Réussi",J24="Exception acceptée"),"GREEN",IF(OR(J24="Non commencé",J24="Échec"),"RED","AMBER"))</f>
        <v>RED</v>
      </c>
      <c r="L24" s="17"/>
      <c r="M24" s="17"/>
      <c r="N24" s="15" t="str">
        <f aca="true">IF(G24&lt;&gt;"",TODAY()-G24,"")</f>
        <v/>
      </c>
    </row>
    <row r="25" customFormat="false" ht="18" hidden="false" customHeight="true" outlineLevel="0" collapsed="false">
      <c r="A25" s="9" t="s">
        <v>77</v>
      </c>
      <c r="B25" s="10" t="s">
        <v>78</v>
      </c>
      <c r="C25" s="10" t="s">
        <v>70</v>
      </c>
      <c r="D25" s="9" t="s">
        <v>46</v>
      </c>
      <c r="E25" s="10" t="s">
        <v>71</v>
      </c>
      <c r="F25" s="10" t="s">
        <v>79</v>
      </c>
      <c r="G25" s="10"/>
      <c r="H25" s="11" t="s">
        <v>33</v>
      </c>
      <c r="I25" s="12" t="str">
        <f aca="false">IF(OR(H25="Passed",H25="Accepted Exception"),"GREEN",IF(OR(H25="Not Started",H25="Failed"),"RED","AMBER"))</f>
        <v>RED</v>
      </c>
      <c r="J25" s="13" t="s">
        <v>34</v>
      </c>
      <c r="K25" s="14" t="str">
        <f aca="false">IF(OR(J25="Réussi",J25="Exception acceptée"),"GREEN",IF(OR(J25="Non commencé",J25="Échec"),"RED","AMBER"))</f>
        <v>RED</v>
      </c>
      <c r="L25" s="10"/>
      <c r="M25" s="10"/>
      <c r="N25" s="15" t="str">
        <f aca="true">IF(G25&lt;&gt;"",TODAY()-G25,"")</f>
        <v/>
      </c>
    </row>
    <row r="26" customFormat="false" ht="18" hidden="false" customHeight="true" outlineLevel="0" collapsed="false">
      <c r="A26" s="16" t="s">
        <v>44</v>
      </c>
      <c r="B26" s="17" t="s">
        <v>45</v>
      </c>
      <c r="C26" s="17" t="s">
        <v>70</v>
      </c>
      <c r="D26" s="16" t="s">
        <v>46</v>
      </c>
      <c r="E26" s="17" t="s">
        <v>71</v>
      </c>
      <c r="F26" s="17" t="s">
        <v>44</v>
      </c>
      <c r="G26" s="17"/>
      <c r="H26" s="18" t="s">
        <v>33</v>
      </c>
      <c r="I26" s="12" t="str">
        <f aca="false">IF(OR(H26="Passed",H26="Accepted Exception"),"GREEN",IF(OR(H26="Not Started",H26="Failed"),"RED","AMBER"))</f>
        <v>RED</v>
      </c>
      <c r="J26" s="19" t="s">
        <v>34</v>
      </c>
      <c r="K26" s="14" t="str">
        <f aca="false">IF(OR(J26="Réussi",J26="Exception acceptée"),"GREEN",IF(OR(J26="Non commencé",J26="Échec"),"RED","AMBER"))</f>
        <v>RED</v>
      </c>
      <c r="L26" s="17"/>
      <c r="M26" s="17"/>
      <c r="N26" s="15" t="str">
        <f aca="true">IF(G26&lt;&gt;"",TODAY()-G26,"")</f>
        <v/>
      </c>
    </row>
    <row r="27" customFormat="false" ht="18" hidden="false" customHeight="true" outlineLevel="0" collapsed="false">
      <c r="A27" s="9" t="s">
        <v>47</v>
      </c>
      <c r="B27" s="10" t="s">
        <v>48</v>
      </c>
      <c r="C27" s="10" t="s">
        <v>70</v>
      </c>
      <c r="D27" s="9" t="s">
        <v>46</v>
      </c>
      <c r="E27" s="10" t="s">
        <v>71</v>
      </c>
      <c r="F27" s="10" t="s">
        <v>47</v>
      </c>
      <c r="G27" s="10"/>
      <c r="H27" s="11" t="s">
        <v>33</v>
      </c>
      <c r="I27" s="12" t="str">
        <f aca="false">IF(OR(H27="Passed",H27="Accepted Exception"),"GREEN",IF(OR(H27="Not Started",H27="Failed"),"RED","AMBER"))</f>
        <v>RED</v>
      </c>
      <c r="J27" s="13" t="s">
        <v>34</v>
      </c>
      <c r="K27" s="14" t="str">
        <f aca="false">IF(OR(J27="Réussi",J27="Exception acceptée"),"GREEN",IF(OR(J27="Non commencé",J27="Échec"),"RED","AMBER"))</f>
        <v>RED</v>
      </c>
      <c r="L27" s="10"/>
      <c r="M27" s="10"/>
      <c r="N27" s="15" t="str">
        <f aca="true">IF(G27&lt;&gt;"",TODAY()-G27,"")</f>
        <v/>
      </c>
    </row>
    <row r="28" customFormat="false" ht="18" hidden="false" customHeight="true" outlineLevel="0" collapsed="false">
      <c r="A28" s="16" t="s">
        <v>49</v>
      </c>
      <c r="B28" s="17" t="s">
        <v>48</v>
      </c>
      <c r="C28" s="17" t="s">
        <v>70</v>
      </c>
      <c r="D28" s="16" t="s">
        <v>46</v>
      </c>
      <c r="E28" s="17" t="s">
        <v>71</v>
      </c>
      <c r="F28" s="17" t="s">
        <v>50</v>
      </c>
      <c r="G28" s="17"/>
      <c r="H28" s="18" t="s">
        <v>33</v>
      </c>
      <c r="I28" s="12" t="str">
        <f aca="false">IF(OR(H28="Passed",H28="Accepted Exception"),"GREEN",IF(OR(H28="Not Started",H28="Failed"),"RED","AMBER"))</f>
        <v>RED</v>
      </c>
      <c r="J28" s="19" t="s">
        <v>34</v>
      </c>
      <c r="K28" s="14" t="str">
        <f aca="false">IF(OR(J28="Réussi",J28="Exception acceptée"),"GREEN",IF(OR(J28="Non commencé",J28="Échec"),"RED","AMBER"))</f>
        <v>RED</v>
      </c>
      <c r="L28" s="17"/>
      <c r="M28" s="17"/>
      <c r="N28" s="15" t="str">
        <f aca="true">IF(G28&lt;&gt;"",TODAY()-G28,"")</f>
        <v/>
      </c>
    </row>
    <row r="29" customFormat="false" ht="18" hidden="false" customHeight="true" outlineLevel="0" collapsed="false">
      <c r="A29" s="9" t="s">
        <v>80</v>
      </c>
      <c r="B29" s="10" t="s">
        <v>81</v>
      </c>
      <c r="C29" s="10" t="s">
        <v>70</v>
      </c>
      <c r="D29" s="9" t="s">
        <v>53</v>
      </c>
      <c r="E29" s="10" t="s">
        <v>71</v>
      </c>
      <c r="F29" s="10" t="s">
        <v>80</v>
      </c>
      <c r="G29" s="10"/>
      <c r="H29" s="11" t="s">
        <v>33</v>
      </c>
      <c r="I29" s="12" t="str">
        <f aca="false">IF(OR(H29="Passed",H29="Accepted Exception"),"GREEN",IF(OR(H29="Not Started",H29="Failed"),"RED","AMBER"))</f>
        <v>RED</v>
      </c>
      <c r="J29" s="13" t="s">
        <v>34</v>
      </c>
      <c r="K29" s="14" t="str">
        <f aca="false">IF(OR(J29="Réussi",J29="Exception acceptée"),"GREEN",IF(OR(J29="Non commencé",J29="Échec"),"RED","AMBER"))</f>
        <v>RED</v>
      </c>
      <c r="L29" s="10"/>
      <c r="M29" s="10"/>
      <c r="N29" s="15" t="str">
        <f aca="true">IF(G29&lt;&gt;"",TODAY()-G29,"")</f>
        <v/>
      </c>
    </row>
    <row r="30" customFormat="false" ht="18" hidden="false" customHeight="true" outlineLevel="0" collapsed="false">
      <c r="A30" s="16" t="s">
        <v>82</v>
      </c>
      <c r="B30" s="17" t="s">
        <v>81</v>
      </c>
      <c r="C30" s="17" t="s">
        <v>70</v>
      </c>
      <c r="D30" s="16" t="s">
        <v>53</v>
      </c>
      <c r="E30" s="17" t="s">
        <v>71</v>
      </c>
      <c r="F30" s="17" t="s">
        <v>83</v>
      </c>
      <c r="G30" s="17"/>
      <c r="H30" s="18" t="s">
        <v>33</v>
      </c>
      <c r="I30" s="12" t="str">
        <f aca="false">IF(OR(H30="Passed",H30="Accepted Exception"),"GREEN",IF(OR(H30="Not Started",H30="Failed"),"RED","AMBER"))</f>
        <v>RED</v>
      </c>
      <c r="J30" s="19" t="s">
        <v>34</v>
      </c>
      <c r="K30" s="14" t="str">
        <f aca="false">IF(OR(J30="Réussi",J30="Exception acceptée"),"GREEN",IF(OR(J30="Non commencé",J30="Échec"),"RED","AMBER"))</f>
        <v>RED</v>
      </c>
      <c r="L30" s="17"/>
      <c r="M30" s="17"/>
      <c r="N30" s="15" t="str">
        <f aca="true">IF(G30&lt;&gt;"",TODAY()-G30,"")</f>
        <v/>
      </c>
    </row>
    <row r="31" customFormat="false" ht="18" hidden="false" customHeight="true" outlineLevel="0" collapsed="false">
      <c r="A31" s="9" t="s">
        <v>51</v>
      </c>
      <c r="B31" s="10" t="s">
        <v>52</v>
      </c>
      <c r="C31" s="10" t="s">
        <v>70</v>
      </c>
      <c r="D31" s="9" t="s">
        <v>53</v>
      </c>
      <c r="E31" s="10" t="s">
        <v>71</v>
      </c>
      <c r="F31" s="10" t="s">
        <v>51</v>
      </c>
      <c r="G31" s="10"/>
      <c r="H31" s="11" t="s">
        <v>33</v>
      </c>
      <c r="I31" s="12" t="str">
        <f aca="false">IF(OR(H31="Passed",H31="Accepted Exception"),"GREEN",IF(OR(H31="Not Started",H31="Failed"),"RED","AMBER"))</f>
        <v>RED</v>
      </c>
      <c r="J31" s="13" t="s">
        <v>34</v>
      </c>
      <c r="K31" s="14" t="str">
        <f aca="false">IF(OR(J31="Réussi",J31="Exception acceptée"),"GREEN",IF(OR(J31="Non commencé",J31="Échec"),"RED","AMBER"))</f>
        <v>RED</v>
      </c>
      <c r="L31" s="10"/>
      <c r="M31" s="10"/>
      <c r="N31" s="15" t="str">
        <f aca="true">IF(G31&lt;&gt;"",TODAY()-G31,"")</f>
        <v/>
      </c>
    </row>
    <row r="32" customFormat="false" ht="18" hidden="false" customHeight="true" outlineLevel="0" collapsed="false">
      <c r="A32" s="16" t="s">
        <v>54</v>
      </c>
      <c r="B32" s="17" t="s">
        <v>52</v>
      </c>
      <c r="C32" s="17" t="s">
        <v>70</v>
      </c>
      <c r="D32" s="16" t="s">
        <v>53</v>
      </c>
      <c r="E32" s="17" t="s">
        <v>71</v>
      </c>
      <c r="F32" s="17" t="s">
        <v>55</v>
      </c>
      <c r="G32" s="17"/>
      <c r="H32" s="18" t="s">
        <v>33</v>
      </c>
      <c r="I32" s="12" t="str">
        <f aca="false">IF(OR(H32="Passed",H32="Accepted Exception"),"GREEN",IF(OR(H32="Not Started",H32="Failed"),"RED","AMBER"))</f>
        <v>RED</v>
      </c>
      <c r="J32" s="19" t="s">
        <v>34</v>
      </c>
      <c r="K32" s="14" t="str">
        <f aca="false">IF(OR(J32="Réussi",J32="Exception acceptée"),"GREEN",IF(OR(J32="Non commencé",J32="Échec"),"RED","AMBER"))</f>
        <v>RED</v>
      </c>
      <c r="L32" s="17"/>
      <c r="M32" s="17"/>
      <c r="N32" s="15" t="str">
        <f aca="true">IF(G32&lt;&gt;"",TODAY()-G32,"")</f>
        <v/>
      </c>
    </row>
    <row r="33" customFormat="false" ht="18" hidden="false" customHeight="true" outlineLevel="0" collapsed="false">
      <c r="A33" s="9" t="s">
        <v>84</v>
      </c>
      <c r="B33" s="10" t="s">
        <v>85</v>
      </c>
      <c r="C33" s="10" t="s">
        <v>70</v>
      </c>
      <c r="D33" s="9" t="s">
        <v>53</v>
      </c>
      <c r="E33" s="10" t="s">
        <v>71</v>
      </c>
      <c r="F33" s="10" t="s">
        <v>84</v>
      </c>
      <c r="G33" s="10"/>
      <c r="H33" s="11" t="s">
        <v>33</v>
      </c>
      <c r="I33" s="12" t="str">
        <f aca="false">IF(OR(H33="Passed",H33="Accepted Exception"),"GREEN",IF(OR(H33="Not Started",H33="Failed"),"RED","AMBER"))</f>
        <v>RED</v>
      </c>
      <c r="J33" s="13" t="s">
        <v>34</v>
      </c>
      <c r="K33" s="14" t="str">
        <f aca="false">IF(OR(J33="Réussi",J33="Exception acceptée"),"GREEN",IF(OR(J33="Non commencé",J33="Échec"),"RED","AMBER"))</f>
        <v>RED</v>
      </c>
      <c r="L33" s="10"/>
      <c r="M33" s="10"/>
      <c r="N33" s="15" t="str">
        <f aca="true">IF(G33&lt;&gt;"",TODAY()-G33,"")</f>
        <v/>
      </c>
    </row>
    <row r="34" customFormat="false" ht="18" hidden="false" customHeight="true" outlineLevel="0" collapsed="false">
      <c r="A34" s="16" t="s">
        <v>86</v>
      </c>
      <c r="B34" s="17" t="s">
        <v>85</v>
      </c>
      <c r="C34" s="17" t="s">
        <v>70</v>
      </c>
      <c r="D34" s="16" t="s">
        <v>53</v>
      </c>
      <c r="E34" s="17" t="s">
        <v>71</v>
      </c>
      <c r="F34" s="17" t="s">
        <v>87</v>
      </c>
      <c r="G34" s="17"/>
      <c r="H34" s="18" t="s">
        <v>33</v>
      </c>
      <c r="I34" s="12" t="str">
        <f aca="false">IF(OR(H34="Passed",H34="Accepted Exception"),"GREEN",IF(OR(H34="Not Started",H34="Failed"),"RED","AMBER"))</f>
        <v>RED</v>
      </c>
      <c r="J34" s="19" t="s">
        <v>34</v>
      </c>
      <c r="K34" s="14" t="str">
        <f aca="false">IF(OR(J34="Réussi",J34="Exception acceptée"),"GREEN",IF(OR(J34="Non commencé",J34="Échec"),"RED","AMBER"))</f>
        <v>RED</v>
      </c>
      <c r="L34" s="17"/>
      <c r="M34" s="17"/>
      <c r="N34" s="15" t="str">
        <f aca="true">IF(G34&lt;&gt;"",TODAY()-G34,"")</f>
        <v/>
      </c>
    </row>
    <row r="35" customFormat="false" ht="18" hidden="false" customHeight="true" outlineLevel="0" collapsed="false">
      <c r="A35" s="9" t="s">
        <v>88</v>
      </c>
      <c r="B35" s="10" t="s">
        <v>85</v>
      </c>
      <c r="C35" s="10" t="s">
        <v>70</v>
      </c>
      <c r="D35" s="9" t="s">
        <v>53</v>
      </c>
      <c r="E35" s="10" t="s">
        <v>71</v>
      </c>
      <c r="F35" s="10" t="s">
        <v>89</v>
      </c>
      <c r="G35" s="10"/>
      <c r="H35" s="11" t="s">
        <v>33</v>
      </c>
      <c r="I35" s="12" t="str">
        <f aca="false">IF(OR(H35="Passed",H35="Accepted Exception"),"GREEN",IF(OR(H35="Not Started",H35="Failed"),"RED","AMBER"))</f>
        <v>RED</v>
      </c>
      <c r="J35" s="13" t="s">
        <v>34</v>
      </c>
      <c r="K35" s="14" t="str">
        <f aca="false">IF(OR(J35="Réussi",J35="Exception acceptée"),"GREEN",IF(OR(J35="Non commencé",J35="Échec"),"RED","AMBER"))</f>
        <v>RED</v>
      </c>
      <c r="L35" s="10"/>
      <c r="M35" s="10"/>
      <c r="N35" s="15" t="str">
        <f aca="true">IF(G35&lt;&gt;"",TODAY()-G35,"")</f>
        <v/>
      </c>
    </row>
    <row r="36" customFormat="false" ht="18" hidden="false" customHeight="true" outlineLevel="0" collapsed="false">
      <c r="A36" s="16" t="s">
        <v>90</v>
      </c>
      <c r="B36" s="17" t="s">
        <v>85</v>
      </c>
      <c r="C36" s="17" t="s">
        <v>70</v>
      </c>
      <c r="D36" s="16" t="s">
        <v>53</v>
      </c>
      <c r="E36" s="17" t="s">
        <v>71</v>
      </c>
      <c r="F36" s="17" t="s">
        <v>91</v>
      </c>
      <c r="G36" s="17"/>
      <c r="H36" s="18" t="s">
        <v>33</v>
      </c>
      <c r="I36" s="12" t="str">
        <f aca="false">IF(OR(H36="Passed",H36="Accepted Exception"),"GREEN",IF(OR(H36="Not Started",H36="Failed"),"RED","AMBER"))</f>
        <v>RED</v>
      </c>
      <c r="J36" s="19" t="s">
        <v>34</v>
      </c>
      <c r="K36" s="14" t="str">
        <f aca="false">IF(OR(J36="Réussi",J36="Exception acceptée"),"GREEN",IF(OR(J36="Non commencé",J36="Échec"),"RED","AMBER"))</f>
        <v>RED</v>
      </c>
      <c r="L36" s="17"/>
      <c r="M36" s="17"/>
      <c r="N36" s="15" t="str">
        <f aca="true">IF(G36&lt;&gt;"",TODAY()-G36,"")</f>
        <v/>
      </c>
    </row>
    <row r="37" customFormat="false" ht="18" hidden="false" customHeight="true" outlineLevel="0" collapsed="false">
      <c r="A37" s="9" t="s">
        <v>56</v>
      </c>
      <c r="B37" s="10" t="s">
        <v>57</v>
      </c>
      <c r="C37" s="10" t="s">
        <v>70</v>
      </c>
      <c r="D37" s="9" t="s">
        <v>53</v>
      </c>
      <c r="E37" s="10" t="s">
        <v>71</v>
      </c>
      <c r="F37" s="10" t="s">
        <v>56</v>
      </c>
      <c r="G37" s="10"/>
      <c r="H37" s="11" t="s">
        <v>33</v>
      </c>
      <c r="I37" s="12" t="str">
        <f aca="false">IF(OR(H37="Passed",H37="Accepted Exception"),"GREEN",IF(OR(H37="Not Started",H37="Failed"),"RED","AMBER"))</f>
        <v>RED</v>
      </c>
      <c r="J37" s="13" t="s">
        <v>34</v>
      </c>
      <c r="K37" s="14" t="str">
        <f aca="false">IF(OR(J37="Réussi",J37="Exception acceptée"),"GREEN",IF(OR(J37="Non commencé",J37="Échec"),"RED","AMBER"))</f>
        <v>RED</v>
      </c>
      <c r="L37" s="10"/>
      <c r="M37" s="10"/>
      <c r="N37" s="15" t="str">
        <f aca="true">IF(G37&lt;&gt;"",TODAY()-G37,"")</f>
        <v/>
      </c>
    </row>
    <row r="38" customFormat="false" ht="18" hidden="false" customHeight="true" outlineLevel="0" collapsed="false">
      <c r="A38" s="16" t="s">
        <v>58</v>
      </c>
      <c r="B38" s="17" t="s">
        <v>57</v>
      </c>
      <c r="C38" s="17" t="s">
        <v>70</v>
      </c>
      <c r="D38" s="16" t="s">
        <v>53</v>
      </c>
      <c r="E38" s="17" t="s">
        <v>71</v>
      </c>
      <c r="F38" s="17" t="s">
        <v>59</v>
      </c>
      <c r="G38" s="17"/>
      <c r="H38" s="18" t="s">
        <v>33</v>
      </c>
      <c r="I38" s="12" t="str">
        <f aca="false">IF(OR(H38="Passed",H38="Accepted Exception"),"GREEN",IF(OR(H38="Not Started",H38="Failed"),"RED","AMBER"))</f>
        <v>RED</v>
      </c>
      <c r="J38" s="19" t="s">
        <v>34</v>
      </c>
      <c r="K38" s="14" t="str">
        <f aca="false">IF(OR(J38="Réussi",J38="Exception acceptée"),"GREEN",IF(OR(J38="Non commencé",J38="Échec"),"RED","AMBER"))</f>
        <v>RED</v>
      </c>
      <c r="L38" s="17"/>
      <c r="M38" s="17"/>
      <c r="N38" s="15" t="str">
        <f aca="true">IF(G38&lt;&gt;"",TODAY()-G38,"")</f>
        <v/>
      </c>
    </row>
    <row r="39" customFormat="false" ht="18" hidden="false" customHeight="true" outlineLevel="0" collapsed="false">
      <c r="A39" s="9" t="s">
        <v>60</v>
      </c>
      <c r="B39" s="10" t="s">
        <v>61</v>
      </c>
      <c r="C39" s="10" t="s">
        <v>70</v>
      </c>
      <c r="D39" s="9" t="s">
        <v>62</v>
      </c>
      <c r="E39" s="10" t="s">
        <v>71</v>
      </c>
      <c r="F39" s="10" t="s">
        <v>63</v>
      </c>
      <c r="G39" s="10"/>
      <c r="H39" s="11" t="s">
        <v>33</v>
      </c>
      <c r="I39" s="12" t="str">
        <f aca="false">IF(OR(H39="Passed",H39="Accepted Exception"),"GREEN",IF(OR(H39="Not Started",H39="Failed"),"RED","AMBER"))</f>
        <v>RED</v>
      </c>
      <c r="J39" s="13" t="s">
        <v>34</v>
      </c>
      <c r="K39" s="14" t="str">
        <f aca="false">IF(OR(J39="Réussi",J39="Exception acceptée"),"GREEN",IF(OR(J39="Non commencé",J39="Échec"),"RED","AMBER"))</f>
        <v>RED</v>
      </c>
      <c r="L39" s="10"/>
      <c r="M39" s="10"/>
      <c r="N39" s="15" t="str">
        <f aca="true">IF(G39&lt;&gt;"",TODAY()-G39,"")</f>
        <v/>
      </c>
    </row>
    <row r="40" customFormat="false" ht="18" hidden="false" customHeight="true" outlineLevel="0" collapsed="false">
      <c r="A40" s="16" t="s">
        <v>92</v>
      </c>
      <c r="B40" s="17" t="s">
        <v>93</v>
      </c>
      <c r="C40" s="17" t="s">
        <v>70</v>
      </c>
      <c r="D40" s="16" t="s">
        <v>94</v>
      </c>
      <c r="E40" s="17" t="s">
        <v>71</v>
      </c>
      <c r="F40" s="17" t="s">
        <v>92</v>
      </c>
      <c r="G40" s="17"/>
      <c r="H40" s="18" t="s">
        <v>33</v>
      </c>
      <c r="I40" s="12" t="str">
        <f aca="false">IF(OR(H40="Passed",H40="Accepted Exception"),"GREEN",IF(OR(H40="Not Started",H40="Failed"),"RED","AMBER"))</f>
        <v>RED</v>
      </c>
      <c r="J40" s="19" t="s">
        <v>34</v>
      </c>
      <c r="K40" s="14" t="str">
        <f aca="false">IF(OR(J40="Réussi",J40="Exception acceptée"),"GREEN",IF(OR(J40="Non commencé",J40="Échec"),"RED","AMBER"))</f>
        <v>RED</v>
      </c>
      <c r="L40" s="17"/>
      <c r="M40" s="17"/>
      <c r="N40" s="15" t="str">
        <f aca="true">IF(G40&lt;&gt;"",TODAY()-G40,"")</f>
        <v/>
      </c>
    </row>
    <row r="41" customFormat="false" ht="18" hidden="false" customHeight="true" outlineLevel="0" collapsed="false">
      <c r="A41" s="9" t="s">
        <v>95</v>
      </c>
      <c r="B41" s="10" t="s">
        <v>96</v>
      </c>
      <c r="C41" s="10" t="s">
        <v>70</v>
      </c>
      <c r="D41" s="9" t="s">
        <v>94</v>
      </c>
      <c r="E41" s="10" t="s">
        <v>71</v>
      </c>
      <c r="F41" s="10" t="s">
        <v>95</v>
      </c>
      <c r="G41" s="10"/>
      <c r="H41" s="11" t="s">
        <v>33</v>
      </c>
      <c r="I41" s="12" t="str">
        <f aca="false">IF(OR(H41="Passed",H41="Accepted Exception"),"GREEN",IF(OR(H41="Not Started",H41="Failed"),"RED","AMBER"))</f>
        <v>RED</v>
      </c>
      <c r="J41" s="13" t="s">
        <v>34</v>
      </c>
      <c r="K41" s="14" t="str">
        <f aca="false">IF(OR(J41="Réussi",J41="Exception acceptée"),"GREEN",IF(OR(J41="Non commencé",J41="Échec"),"RED","AMBER"))</f>
        <v>RED</v>
      </c>
      <c r="L41" s="10"/>
      <c r="M41" s="10"/>
      <c r="N41" s="15" t="str">
        <f aca="true">IF(G41&lt;&gt;"",TODAY()-G41,"")</f>
        <v/>
      </c>
    </row>
    <row r="42" customFormat="false" ht="18" hidden="false" customHeight="true" outlineLevel="0" collapsed="false">
      <c r="A42" s="16" t="s">
        <v>97</v>
      </c>
      <c r="B42" s="17" t="s">
        <v>98</v>
      </c>
      <c r="C42" s="17" t="s">
        <v>70</v>
      </c>
      <c r="D42" s="16" t="s">
        <v>94</v>
      </c>
      <c r="E42" s="17" t="s">
        <v>71</v>
      </c>
      <c r="F42" s="17" t="s">
        <v>97</v>
      </c>
      <c r="G42" s="17"/>
      <c r="H42" s="18" t="s">
        <v>33</v>
      </c>
      <c r="I42" s="12" t="str">
        <f aca="false">IF(OR(H42="Passed",H42="Accepted Exception"),"GREEN",IF(OR(H42="Not Started",H42="Failed"),"RED","AMBER"))</f>
        <v>RED</v>
      </c>
      <c r="J42" s="19" t="s">
        <v>34</v>
      </c>
      <c r="K42" s="14" t="str">
        <f aca="false">IF(OR(J42="Réussi",J42="Exception acceptée"),"GREEN",IF(OR(J42="Non commencé",J42="Échec"),"RED","AMBER"))</f>
        <v>RED</v>
      </c>
      <c r="L42" s="17"/>
      <c r="M42" s="17"/>
      <c r="N42" s="15" t="str">
        <f aca="true">IF(G42&lt;&gt;"",TODAY()-G42,"")</f>
        <v/>
      </c>
    </row>
    <row r="43" customFormat="false" ht="18" hidden="false" customHeight="true" outlineLevel="0" collapsed="false">
      <c r="A43" s="9" t="s">
        <v>99</v>
      </c>
      <c r="B43" s="10" t="s">
        <v>98</v>
      </c>
      <c r="C43" s="10" t="s">
        <v>70</v>
      </c>
      <c r="D43" s="9" t="s">
        <v>94</v>
      </c>
      <c r="E43" s="10" t="s">
        <v>71</v>
      </c>
      <c r="F43" s="10" t="s">
        <v>100</v>
      </c>
      <c r="G43" s="10"/>
      <c r="H43" s="11" t="s">
        <v>33</v>
      </c>
      <c r="I43" s="12" t="str">
        <f aca="false">IF(OR(H43="Passed",H43="Accepted Exception"),"GREEN",IF(OR(H43="Not Started",H43="Failed"),"RED","AMBER"))</f>
        <v>RED</v>
      </c>
      <c r="J43" s="13" t="s">
        <v>34</v>
      </c>
      <c r="K43" s="14" t="str">
        <f aca="false">IF(OR(J43="Réussi",J43="Exception acceptée"),"GREEN",IF(OR(J43="Non commencé",J43="Échec"),"RED","AMBER"))</f>
        <v>RED</v>
      </c>
      <c r="L43" s="10"/>
      <c r="M43" s="10"/>
      <c r="N43" s="15" t="str">
        <f aca="true">IF(G43&lt;&gt;"",TODAY()-G43,"")</f>
        <v/>
      </c>
    </row>
    <row r="44" customFormat="false" ht="18" hidden="false" customHeight="true" outlineLevel="0" collapsed="false">
      <c r="A44" s="16" t="s">
        <v>64</v>
      </c>
      <c r="B44" s="17" t="s">
        <v>65</v>
      </c>
      <c r="C44" s="17" t="s">
        <v>70</v>
      </c>
      <c r="D44" s="16" t="s">
        <v>66</v>
      </c>
      <c r="E44" s="17" t="s">
        <v>71</v>
      </c>
      <c r="F44" s="17" t="s">
        <v>67</v>
      </c>
      <c r="G44" s="17"/>
      <c r="H44" s="18" t="s">
        <v>33</v>
      </c>
      <c r="I44" s="12" t="str">
        <f aca="false">IF(OR(H44="Passed",H44="Accepted Exception"),"GREEN",IF(OR(H44="Not Started",H44="Failed"),"RED","AMBER"))</f>
        <v>RED</v>
      </c>
      <c r="J44" s="19" t="s">
        <v>34</v>
      </c>
      <c r="K44" s="14" t="str">
        <f aca="false">IF(OR(J44="Réussi",J44="Exception acceptée"),"GREEN",IF(OR(J44="Non commencé",J44="Échec"),"RED","AMBER"))</f>
        <v>RED</v>
      </c>
      <c r="L44" s="17"/>
      <c r="M44" s="17"/>
      <c r="N44" s="15" t="str">
        <f aca="true">IF(G44&lt;&gt;"",TODAY()-G44,"")</f>
        <v/>
      </c>
    </row>
    <row r="45" customFormat="false" ht="18" hidden="false" customHeight="true" outlineLevel="0" collapsed="false">
      <c r="A45" s="9" t="s">
        <v>68</v>
      </c>
      <c r="B45" s="10" t="s">
        <v>69</v>
      </c>
      <c r="C45" s="10" t="s">
        <v>70</v>
      </c>
      <c r="D45" s="9" t="s">
        <v>66</v>
      </c>
      <c r="E45" s="10" t="s">
        <v>71</v>
      </c>
      <c r="F45" s="10" t="s">
        <v>68</v>
      </c>
      <c r="G45" s="10"/>
      <c r="H45" s="11" t="s">
        <v>33</v>
      </c>
      <c r="I45" s="12" t="str">
        <f aca="false">IF(OR(H45="Passed",H45="Accepted Exception"),"GREEN",IF(OR(H45="Not Started",H45="Failed"),"RED","AMBER"))</f>
        <v>RED</v>
      </c>
      <c r="J45" s="13" t="s">
        <v>34</v>
      </c>
      <c r="K45" s="14" t="str">
        <f aca="false">IF(OR(J45="Réussi",J45="Exception acceptée"),"GREEN",IF(OR(J45="Non commencé",J45="Échec"),"RED","AMBER"))</f>
        <v>RED</v>
      </c>
      <c r="L45" s="10"/>
      <c r="M45" s="10"/>
      <c r="N45" s="15" t="str">
        <f aca="true">IF(G45&lt;&gt;"",TODAY()-G45,"")</f>
        <v/>
      </c>
    </row>
    <row r="46" customFormat="false" ht="18" hidden="false" customHeight="true" outlineLevel="0" collapsed="false">
      <c r="A46" s="16" t="s">
        <v>101</v>
      </c>
      <c r="B46" s="17" t="s">
        <v>102</v>
      </c>
      <c r="C46" s="17" t="s">
        <v>103</v>
      </c>
      <c r="D46" s="16" t="s">
        <v>104</v>
      </c>
      <c r="E46" s="17" t="s">
        <v>105</v>
      </c>
      <c r="F46" s="17" t="s">
        <v>101</v>
      </c>
      <c r="G46" s="17"/>
      <c r="H46" s="18" t="s">
        <v>33</v>
      </c>
      <c r="I46" s="12" t="str">
        <f aca="false">IF(OR(H46="Passed",H46="Accepted Exception"),"GREEN",IF(OR(H46="Not Started",H46="Failed"),"RED","AMBER"))</f>
        <v>RED</v>
      </c>
      <c r="J46" s="19" t="s">
        <v>34</v>
      </c>
      <c r="K46" s="14" t="str">
        <f aca="false">IF(OR(J46="Réussi",J46="Exception acceptée"),"GREEN",IF(OR(J46="Non commencé",J46="Échec"),"RED","AMBER"))</f>
        <v>RED</v>
      </c>
      <c r="L46" s="17"/>
      <c r="M46" s="17"/>
      <c r="N46" s="15" t="str">
        <f aca="true">IF(G46&lt;&gt;"",TODAY()-G46,"")</f>
        <v/>
      </c>
    </row>
    <row r="47" customFormat="false" ht="18" hidden="false" customHeight="true" outlineLevel="0" collapsed="false">
      <c r="A47" s="9" t="s">
        <v>106</v>
      </c>
      <c r="B47" s="10" t="s">
        <v>102</v>
      </c>
      <c r="C47" s="10" t="s">
        <v>103</v>
      </c>
      <c r="D47" s="9" t="s">
        <v>104</v>
      </c>
      <c r="E47" s="10" t="s">
        <v>105</v>
      </c>
      <c r="F47" s="10" t="s">
        <v>107</v>
      </c>
      <c r="G47" s="10"/>
      <c r="H47" s="11" t="s">
        <v>33</v>
      </c>
      <c r="I47" s="12" t="str">
        <f aca="false">IF(OR(H47="Passed",H47="Accepted Exception"),"GREEN",IF(OR(H47="Not Started",H47="Failed"),"RED","AMBER"))</f>
        <v>RED</v>
      </c>
      <c r="J47" s="13" t="s">
        <v>34</v>
      </c>
      <c r="K47" s="14" t="str">
        <f aca="false">IF(OR(J47="Réussi",J47="Exception acceptée"),"GREEN",IF(OR(J47="Non commencé",J47="Échec"),"RED","AMBER"))</f>
        <v>RED</v>
      </c>
      <c r="L47" s="10"/>
      <c r="M47" s="10"/>
      <c r="N47" s="15" t="str">
        <f aca="true">IF(G47&lt;&gt;"",TODAY()-G47,"")</f>
        <v/>
      </c>
    </row>
    <row r="48" customFormat="false" ht="18" hidden="false" customHeight="true" outlineLevel="0" collapsed="false">
      <c r="A48" s="16" t="s">
        <v>108</v>
      </c>
      <c r="B48" s="17" t="s">
        <v>109</v>
      </c>
      <c r="C48" s="17" t="s">
        <v>103</v>
      </c>
      <c r="D48" s="16" t="s">
        <v>104</v>
      </c>
      <c r="E48" s="17" t="s">
        <v>105</v>
      </c>
      <c r="F48" s="17" t="s">
        <v>108</v>
      </c>
      <c r="G48" s="17"/>
      <c r="H48" s="18" t="s">
        <v>33</v>
      </c>
      <c r="I48" s="12" t="str">
        <f aca="false">IF(OR(H48="Passed",H48="Accepted Exception"),"GREEN",IF(OR(H48="Not Started",H48="Failed"),"RED","AMBER"))</f>
        <v>RED</v>
      </c>
      <c r="J48" s="19" t="s">
        <v>34</v>
      </c>
      <c r="K48" s="14" t="str">
        <f aca="false">IF(OR(J48="Réussi",J48="Exception acceptée"),"GREEN",IF(OR(J48="Non commencé",J48="Échec"),"RED","AMBER"))</f>
        <v>RED</v>
      </c>
      <c r="L48" s="17"/>
      <c r="M48" s="17"/>
      <c r="N48" s="15" t="str">
        <f aca="true">IF(G48&lt;&gt;"",TODAY()-G48,"")</f>
        <v/>
      </c>
    </row>
    <row r="49" customFormat="false" ht="18" hidden="false" customHeight="true" outlineLevel="0" collapsed="false">
      <c r="A49" s="9" t="s">
        <v>110</v>
      </c>
      <c r="B49" s="10" t="s">
        <v>111</v>
      </c>
      <c r="C49" s="10" t="s">
        <v>103</v>
      </c>
      <c r="D49" s="9" t="s">
        <v>104</v>
      </c>
      <c r="E49" s="10" t="s">
        <v>105</v>
      </c>
      <c r="F49" s="10" t="s">
        <v>110</v>
      </c>
      <c r="G49" s="10"/>
      <c r="H49" s="11" t="s">
        <v>33</v>
      </c>
      <c r="I49" s="12" t="str">
        <f aca="false">IF(OR(H49="Passed",H49="Accepted Exception"),"GREEN",IF(OR(H49="Not Started",H49="Failed"),"RED","AMBER"))</f>
        <v>RED</v>
      </c>
      <c r="J49" s="13" t="s">
        <v>34</v>
      </c>
      <c r="K49" s="14" t="str">
        <f aca="false">IF(OR(J49="Réussi",J49="Exception acceptée"),"GREEN",IF(OR(J49="Non commencé",J49="Échec"),"RED","AMBER"))</f>
        <v>RED</v>
      </c>
      <c r="L49" s="10"/>
      <c r="M49" s="10"/>
      <c r="N49" s="15" t="str">
        <f aca="true">IF(G49&lt;&gt;"",TODAY()-G49,"")</f>
        <v/>
      </c>
    </row>
    <row r="50" customFormat="false" ht="18" hidden="false" customHeight="true" outlineLevel="0" collapsed="false">
      <c r="A50" s="16" t="s">
        <v>112</v>
      </c>
      <c r="B50" s="17" t="s">
        <v>113</v>
      </c>
      <c r="C50" s="17" t="s">
        <v>103</v>
      </c>
      <c r="D50" s="16" t="s">
        <v>104</v>
      </c>
      <c r="E50" s="17" t="s">
        <v>105</v>
      </c>
      <c r="F50" s="17" t="s">
        <v>112</v>
      </c>
      <c r="G50" s="17"/>
      <c r="H50" s="18" t="s">
        <v>33</v>
      </c>
      <c r="I50" s="12" t="str">
        <f aca="false">IF(OR(H50="Passed",H50="Accepted Exception"),"GREEN",IF(OR(H50="Not Started",H50="Failed"),"RED","AMBER"))</f>
        <v>RED</v>
      </c>
      <c r="J50" s="19" t="s">
        <v>34</v>
      </c>
      <c r="K50" s="14" t="str">
        <f aca="false">IF(OR(J50="Réussi",J50="Exception acceptée"),"GREEN",IF(OR(J50="Non commencé",J50="Échec"),"RED","AMBER"))</f>
        <v>RED</v>
      </c>
      <c r="L50" s="17"/>
      <c r="M50" s="17"/>
      <c r="N50" s="15" t="str">
        <f aca="true">IF(G50&lt;&gt;"",TODAY()-G50,"")</f>
        <v/>
      </c>
    </row>
    <row r="51" customFormat="false" ht="18" hidden="false" customHeight="true" outlineLevel="0" collapsed="false">
      <c r="A51" s="9" t="s">
        <v>114</v>
      </c>
      <c r="B51" s="10" t="s">
        <v>113</v>
      </c>
      <c r="C51" s="10" t="s">
        <v>103</v>
      </c>
      <c r="D51" s="9" t="s">
        <v>104</v>
      </c>
      <c r="E51" s="10" t="s">
        <v>105</v>
      </c>
      <c r="F51" s="10" t="s">
        <v>115</v>
      </c>
      <c r="G51" s="10"/>
      <c r="H51" s="11" t="s">
        <v>33</v>
      </c>
      <c r="I51" s="12" t="str">
        <f aca="false">IF(OR(H51="Passed",H51="Accepted Exception"),"GREEN",IF(OR(H51="Not Started",H51="Failed"),"RED","AMBER"))</f>
        <v>RED</v>
      </c>
      <c r="J51" s="13" t="s">
        <v>34</v>
      </c>
      <c r="K51" s="14" t="str">
        <f aca="false">IF(OR(J51="Réussi",J51="Exception acceptée"),"GREEN",IF(OR(J51="Non commencé",J51="Échec"),"RED","AMBER"))</f>
        <v>RED</v>
      </c>
      <c r="L51" s="10"/>
      <c r="M51" s="10"/>
      <c r="N51" s="15" t="str">
        <f aca="true">IF(G51&lt;&gt;"",TODAY()-G51,"")</f>
        <v/>
      </c>
    </row>
    <row r="52" customFormat="false" ht="18" hidden="false" customHeight="true" outlineLevel="0" collapsed="false">
      <c r="A52" s="16" t="s">
        <v>116</v>
      </c>
      <c r="B52" s="17" t="s">
        <v>117</v>
      </c>
      <c r="C52" s="17" t="s">
        <v>103</v>
      </c>
      <c r="D52" s="16" t="s">
        <v>104</v>
      </c>
      <c r="E52" s="17" t="s">
        <v>105</v>
      </c>
      <c r="F52" s="17" t="s">
        <v>116</v>
      </c>
      <c r="G52" s="17"/>
      <c r="H52" s="18" t="s">
        <v>33</v>
      </c>
      <c r="I52" s="12" t="str">
        <f aca="false">IF(OR(H52="Passed",H52="Accepted Exception"),"GREEN",IF(OR(H52="Not Started",H52="Failed"),"RED","AMBER"))</f>
        <v>RED</v>
      </c>
      <c r="J52" s="19" t="s">
        <v>34</v>
      </c>
      <c r="K52" s="14" t="str">
        <f aca="false">IF(OR(J52="Réussi",J52="Exception acceptée"),"GREEN",IF(OR(J52="Non commencé",J52="Échec"),"RED","AMBER"))</f>
        <v>RED</v>
      </c>
      <c r="L52" s="17"/>
      <c r="M52" s="17"/>
      <c r="N52" s="15" t="str">
        <f aca="true">IF(G52&lt;&gt;"",TODAY()-G52,"")</f>
        <v/>
      </c>
    </row>
    <row r="53" customFormat="false" ht="18" hidden="false" customHeight="true" outlineLevel="0" collapsed="false">
      <c r="A53" s="9" t="s">
        <v>118</v>
      </c>
      <c r="B53" s="10" t="s">
        <v>119</v>
      </c>
      <c r="C53" s="10" t="s">
        <v>103</v>
      </c>
      <c r="D53" s="9" t="s">
        <v>104</v>
      </c>
      <c r="E53" s="10" t="s">
        <v>105</v>
      </c>
      <c r="F53" s="10" t="s">
        <v>120</v>
      </c>
      <c r="G53" s="10"/>
      <c r="H53" s="11" t="s">
        <v>33</v>
      </c>
      <c r="I53" s="12" t="str">
        <f aca="false">IF(OR(H53="Passed",H53="Accepted Exception"),"GREEN",IF(OR(H53="Not Started",H53="Failed"),"RED","AMBER"))</f>
        <v>RED</v>
      </c>
      <c r="J53" s="13" t="s">
        <v>34</v>
      </c>
      <c r="K53" s="14" t="str">
        <f aca="false">IF(OR(J53="Réussi",J53="Exception acceptée"),"GREEN",IF(OR(J53="Non commencé",J53="Échec"),"RED","AMBER"))</f>
        <v>RED</v>
      </c>
      <c r="L53" s="10"/>
      <c r="M53" s="10"/>
      <c r="N53" s="15" t="str">
        <f aca="true">IF(G53&lt;&gt;"",TODAY()-G53,"")</f>
        <v/>
      </c>
    </row>
    <row r="54" customFormat="false" ht="18" hidden="false" customHeight="true" outlineLevel="0" collapsed="false">
      <c r="A54" s="16" t="s">
        <v>121</v>
      </c>
      <c r="B54" s="17" t="s">
        <v>119</v>
      </c>
      <c r="C54" s="17" t="s">
        <v>103</v>
      </c>
      <c r="D54" s="16" t="s">
        <v>104</v>
      </c>
      <c r="E54" s="17" t="s">
        <v>105</v>
      </c>
      <c r="F54" s="17" t="s">
        <v>122</v>
      </c>
      <c r="G54" s="17"/>
      <c r="H54" s="18" t="s">
        <v>33</v>
      </c>
      <c r="I54" s="12" t="str">
        <f aca="false">IF(OR(H54="Passed",H54="Accepted Exception"),"GREEN",IF(OR(H54="Not Started",H54="Failed"),"RED","AMBER"))</f>
        <v>RED</v>
      </c>
      <c r="J54" s="19" t="s">
        <v>34</v>
      </c>
      <c r="K54" s="14" t="str">
        <f aca="false">IF(OR(J54="Réussi",J54="Exception acceptée"),"GREEN",IF(OR(J54="Non commencé",J54="Échec"),"RED","AMBER"))</f>
        <v>RED</v>
      </c>
      <c r="L54" s="17"/>
      <c r="M54" s="17"/>
      <c r="N54" s="15" t="str">
        <f aca="true">IF(G54&lt;&gt;"",TODAY()-G54,"")</f>
        <v/>
      </c>
    </row>
    <row r="55" customFormat="false" ht="18" hidden="false" customHeight="true" outlineLevel="0" collapsed="false">
      <c r="A55" s="9" t="s">
        <v>123</v>
      </c>
      <c r="B55" s="10" t="s">
        <v>119</v>
      </c>
      <c r="C55" s="10" t="s">
        <v>103</v>
      </c>
      <c r="D55" s="9" t="s">
        <v>104</v>
      </c>
      <c r="E55" s="10" t="s">
        <v>105</v>
      </c>
      <c r="F55" s="10" t="s">
        <v>124</v>
      </c>
      <c r="G55" s="10"/>
      <c r="H55" s="11" t="s">
        <v>33</v>
      </c>
      <c r="I55" s="12" t="str">
        <f aca="false">IF(OR(H55="Passed",H55="Accepted Exception"),"GREEN",IF(OR(H55="Not Started",H55="Failed"),"RED","AMBER"))</f>
        <v>RED</v>
      </c>
      <c r="J55" s="13" t="s">
        <v>34</v>
      </c>
      <c r="K55" s="14" t="str">
        <f aca="false">IF(OR(J55="Réussi",J55="Exception acceptée"),"GREEN",IF(OR(J55="Non commencé",J55="Échec"),"RED","AMBER"))</f>
        <v>RED</v>
      </c>
      <c r="L55" s="10"/>
      <c r="M55" s="10"/>
      <c r="N55" s="15" t="str">
        <f aca="true">IF(G55&lt;&gt;"",TODAY()-G55,"")</f>
        <v/>
      </c>
    </row>
    <row r="56" customFormat="false" ht="18" hidden="false" customHeight="true" outlineLevel="0" collapsed="false">
      <c r="A56" s="16" t="s">
        <v>28</v>
      </c>
      <c r="B56" s="17" t="s">
        <v>29</v>
      </c>
      <c r="C56" s="17" t="s">
        <v>103</v>
      </c>
      <c r="D56" s="16" t="s">
        <v>31</v>
      </c>
      <c r="E56" s="17" t="s">
        <v>105</v>
      </c>
      <c r="F56" s="17" t="s">
        <v>28</v>
      </c>
      <c r="G56" s="17"/>
      <c r="H56" s="18" t="s">
        <v>33</v>
      </c>
      <c r="I56" s="12" t="str">
        <f aca="false">IF(OR(H56="Passed",H56="Accepted Exception"),"GREEN",IF(OR(H56="Not Started",H56="Failed"),"RED","AMBER"))</f>
        <v>RED</v>
      </c>
      <c r="J56" s="19" t="s">
        <v>34</v>
      </c>
      <c r="K56" s="14" t="str">
        <f aca="false">IF(OR(J56="Réussi",J56="Exception acceptée"),"GREEN",IF(OR(J56="Non commencé",J56="Échec"),"RED","AMBER"))</f>
        <v>RED</v>
      </c>
      <c r="L56" s="17"/>
      <c r="M56" s="17"/>
      <c r="N56" s="15" t="str">
        <f aca="true">IF(G56&lt;&gt;"",TODAY()-G56,"")</f>
        <v/>
      </c>
    </row>
    <row r="57" customFormat="false" ht="18" hidden="false" customHeight="true" outlineLevel="0" collapsed="false">
      <c r="A57" s="9" t="s">
        <v>35</v>
      </c>
      <c r="B57" s="10" t="s">
        <v>36</v>
      </c>
      <c r="C57" s="10" t="s">
        <v>103</v>
      </c>
      <c r="D57" s="9" t="s">
        <v>31</v>
      </c>
      <c r="E57" s="10" t="s">
        <v>105</v>
      </c>
      <c r="F57" s="10" t="s">
        <v>35</v>
      </c>
      <c r="G57" s="10"/>
      <c r="H57" s="11" t="s">
        <v>33</v>
      </c>
      <c r="I57" s="12" t="str">
        <f aca="false">IF(OR(H57="Passed",H57="Accepted Exception"),"GREEN",IF(OR(H57="Not Started",H57="Failed"),"RED","AMBER"))</f>
        <v>RED</v>
      </c>
      <c r="J57" s="13" t="s">
        <v>34</v>
      </c>
      <c r="K57" s="14" t="str">
        <f aca="false">IF(OR(J57="Réussi",J57="Exception acceptée"),"GREEN",IF(OR(J57="Non commencé",J57="Échec"),"RED","AMBER"))</f>
        <v>RED</v>
      </c>
      <c r="L57" s="10"/>
      <c r="M57" s="10"/>
      <c r="N57" s="15" t="str">
        <f aca="true">IF(G57&lt;&gt;"",TODAY()-G57,"")</f>
        <v/>
      </c>
    </row>
    <row r="58" customFormat="false" ht="18" hidden="false" customHeight="true" outlineLevel="0" collapsed="false">
      <c r="A58" s="16" t="s">
        <v>37</v>
      </c>
      <c r="B58" s="17" t="s">
        <v>36</v>
      </c>
      <c r="C58" s="17" t="s">
        <v>103</v>
      </c>
      <c r="D58" s="16" t="s">
        <v>31</v>
      </c>
      <c r="E58" s="17" t="s">
        <v>105</v>
      </c>
      <c r="F58" s="17" t="s">
        <v>38</v>
      </c>
      <c r="G58" s="17"/>
      <c r="H58" s="18" t="s">
        <v>33</v>
      </c>
      <c r="I58" s="12" t="str">
        <f aca="false">IF(OR(H58="Passed",H58="Accepted Exception"),"GREEN",IF(OR(H58="Not Started",H58="Failed"),"RED","AMBER"))</f>
        <v>RED</v>
      </c>
      <c r="J58" s="19" t="s">
        <v>34</v>
      </c>
      <c r="K58" s="14" t="str">
        <f aca="false">IF(OR(J58="Réussi",J58="Exception acceptée"),"GREEN",IF(OR(J58="Non commencé",J58="Échec"),"RED","AMBER"))</f>
        <v>RED</v>
      </c>
      <c r="L58" s="17"/>
      <c r="M58" s="17"/>
      <c r="N58" s="15" t="str">
        <f aca="true">IF(G58&lt;&gt;"",TODAY()-G58,"")</f>
        <v/>
      </c>
    </row>
    <row r="59" customFormat="false" ht="18" hidden="false" customHeight="true" outlineLevel="0" collapsed="false">
      <c r="A59" s="9" t="s">
        <v>39</v>
      </c>
      <c r="B59" s="10" t="s">
        <v>40</v>
      </c>
      <c r="C59" s="10" t="s">
        <v>103</v>
      </c>
      <c r="D59" s="9" t="s">
        <v>31</v>
      </c>
      <c r="E59" s="10" t="s">
        <v>105</v>
      </c>
      <c r="F59" s="10" t="s">
        <v>41</v>
      </c>
      <c r="G59" s="10"/>
      <c r="H59" s="11" t="s">
        <v>33</v>
      </c>
      <c r="I59" s="12" t="str">
        <f aca="false">IF(OR(H59="Passed",H59="Accepted Exception"),"GREEN",IF(OR(H59="Not Started",H59="Failed"),"RED","AMBER"))</f>
        <v>RED</v>
      </c>
      <c r="J59" s="13" t="s">
        <v>34</v>
      </c>
      <c r="K59" s="14" t="str">
        <f aca="false">IF(OR(J59="Réussi",J59="Exception acceptée"),"GREEN",IF(OR(J59="Non commencé",J59="Échec"),"RED","AMBER"))</f>
        <v>RED</v>
      </c>
      <c r="L59" s="10"/>
      <c r="M59" s="10"/>
      <c r="N59" s="15" t="str">
        <f aca="true">IF(G59&lt;&gt;"",TODAY()-G59,"")</f>
        <v/>
      </c>
    </row>
    <row r="60" customFormat="false" ht="18" hidden="false" customHeight="true" outlineLevel="0" collapsed="false">
      <c r="A60" s="16" t="s">
        <v>42</v>
      </c>
      <c r="B60" s="17" t="s">
        <v>43</v>
      </c>
      <c r="C60" s="17" t="s">
        <v>103</v>
      </c>
      <c r="D60" s="16" t="s">
        <v>31</v>
      </c>
      <c r="E60" s="17" t="s">
        <v>105</v>
      </c>
      <c r="F60" s="17" t="s">
        <v>42</v>
      </c>
      <c r="G60" s="17"/>
      <c r="H60" s="18" t="s">
        <v>33</v>
      </c>
      <c r="I60" s="12" t="str">
        <f aca="false">IF(OR(H60="Passed",H60="Accepted Exception"),"GREEN",IF(OR(H60="Not Started",H60="Failed"),"RED","AMBER"))</f>
        <v>RED</v>
      </c>
      <c r="J60" s="19" t="s">
        <v>34</v>
      </c>
      <c r="K60" s="14" t="str">
        <f aca="false">IF(OR(J60="Réussi",J60="Exception acceptée"),"GREEN",IF(OR(J60="Non commencé",J60="Échec"),"RED","AMBER"))</f>
        <v>RED</v>
      </c>
      <c r="L60" s="17"/>
      <c r="M60" s="17"/>
      <c r="N60" s="15" t="str">
        <f aca="true">IF(G60&lt;&gt;"",TODAY()-G60,"")</f>
        <v/>
      </c>
    </row>
    <row r="61" customFormat="false" ht="18" hidden="false" customHeight="true" outlineLevel="0" collapsed="false">
      <c r="A61" s="9" t="s">
        <v>125</v>
      </c>
      <c r="B61" s="10" t="s">
        <v>126</v>
      </c>
      <c r="C61" s="10" t="s">
        <v>103</v>
      </c>
      <c r="D61" s="9" t="s">
        <v>127</v>
      </c>
      <c r="E61" s="10" t="s">
        <v>105</v>
      </c>
      <c r="F61" s="10" t="s">
        <v>128</v>
      </c>
      <c r="G61" s="10"/>
      <c r="H61" s="11" t="s">
        <v>33</v>
      </c>
      <c r="I61" s="12" t="str">
        <f aca="false">IF(OR(H61="Passed",H61="Accepted Exception"),"GREEN",IF(OR(H61="Not Started",H61="Failed"),"RED","AMBER"))</f>
        <v>RED</v>
      </c>
      <c r="J61" s="13" t="s">
        <v>34</v>
      </c>
      <c r="K61" s="14" t="str">
        <f aca="false">IF(OR(J61="Réussi",J61="Exception acceptée"),"GREEN",IF(OR(J61="Non commencé",J61="Échec"),"RED","AMBER"))</f>
        <v>RED</v>
      </c>
      <c r="L61" s="10"/>
      <c r="M61" s="10"/>
      <c r="N61" s="15" t="str">
        <f aca="true">IF(G61&lt;&gt;"",TODAY()-G61,"")</f>
        <v/>
      </c>
    </row>
    <row r="62" customFormat="false" ht="18" hidden="false" customHeight="true" outlineLevel="0" collapsed="false">
      <c r="A62" s="16" t="s">
        <v>129</v>
      </c>
      <c r="B62" s="17" t="s">
        <v>130</v>
      </c>
      <c r="C62" s="17" t="s">
        <v>103</v>
      </c>
      <c r="D62" s="16" t="s">
        <v>127</v>
      </c>
      <c r="E62" s="17" t="s">
        <v>105</v>
      </c>
      <c r="F62" s="17" t="s">
        <v>129</v>
      </c>
      <c r="G62" s="17"/>
      <c r="H62" s="18" t="s">
        <v>33</v>
      </c>
      <c r="I62" s="12" t="str">
        <f aca="false">IF(OR(H62="Passed",H62="Accepted Exception"),"GREEN",IF(OR(H62="Not Started",H62="Failed"),"RED","AMBER"))</f>
        <v>RED</v>
      </c>
      <c r="J62" s="19" t="s">
        <v>34</v>
      </c>
      <c r="K62" s="14" t="str">
        <f aca="false">IF(OR(J62="Réussi",J62="Exception acceptée"),"GREEN",IF(OR(J62="Non commencé",J62="Échec"),"RED","AMBER"))</f>
        <v>RED</v>
      </c>
      <c r="L62" s="17"/>
      <c r="M62" s="17"/>
      <c r="N62" s="15" t="str">
        <f aca="true">IF(G62&lt;&gt;"",TODAY()-G62,"")</f>
        <v/>
      </c>
    </row>
    <row r="63" customFormat="false" ht="18" hidden="false" customHeight="true" outlineLevel="0" collapsed="false">
      <c r="A63" s="9" t="s">
        <v>44</v>
      </c>
      <c r="B63" s="10" t="s">
        <v>45</v>
      </c>
      <c r="C63" s="10" t="s">
        <v>103</v>
      </c>
      <c r="D63" s="9" t="s">
        <v>46</v>
      </c>
      <c r="E63" s="10" t="s">
        <v>105</v>
      </c>
      <c r="F63" s="10" t="s">
        <v>44</v>
      </c>
      <c r="G63" s="10"/>
      <c r="H63" s="11" t="s">
        <v>33</v>
      </c>
      <c r="I63" s="12" t="str">
        <f aca="false">IF(OR(H63="Passed",H63="Accepted Exception"),"GREEN",IF(OR(H63="Not Started",H63="Failed"),"RED","AMBER"))</f>
        <v>RED</v>
      </c>
      <c r="J63" s="13" t="s">
        <v>34</v>
      </c>
      <c r="K63" s="14" t="str">
        <f aca="false">IF(OR(J63="Réussi",J63="Exception acceptée"),"GREEN",IF(OR(J63="Non commencé",J63="Échec"),"RED","AMBER"))</f>
        <v>RED</v>
      </c>
      <c r="L63" s="10"/>
      <c r="M63" s="10"/>
      <c r="N63" s="15" t="str">
        <f aca="true">IF(G63&lt;&gt;"",TODAY()-G63,"")</f>
        <v/>
      </c>
    </row>
    <row r="64" customFormat="false" ht="18" hidden="false" customHeight="true" outlineLevel="0" collapsed="false">
      <c r="A64" s="16" t="s">
        <v>47</v>
      </c>
      <c r="B64" s="17" t="s">
        <v>48</v>
      </c>
      <c r="C64" s="17" t="s">
        <v>103</v>
      </c>
      <c r="D64" s="16" t="s">
        <v>46</v>
      </c>
      <c r="E64" s="17" t="s">
        <v>105</v>
      </c>
      <c r="F64" s="17" t="s">
        <v>47</v>
      </c>
      <c r="G64" s="17"/>
      <c r="H64" s="18" t="s">
        <v>33</v>
      </c>
      <c r="I64" s="12" t="str">
        <f aca="false">IF(OR(H64="Passed",H64="Accepted Exception"),"GREEN",IF(OR(H64="Not Started",H64="Failed"),"RED","AMBER"))</f>
        <v>RED</v>
      </c>
      <c r="J64" s="19" t="s">
        <v>34</v>
      </c>
      <c r="K64" s="14" t="str">
        <f aca="false">IF(OR(J64="Réussi",J64="Exception acceptée"),"GREEN",IF(OR(J64="Non commencé",J64="Échec"),"RED","AMBER"))</f>
        <v>RED</v>
      </c>
      <c r="L64" s="17"/>
      <c r="M64" s="17"/>
      <c r="N64" s="15" t="str">
        <f aca="true">IF(G64&lt;&gt;"",TODAY()-G64,"")</f>
        <v/>
      </c>
    </row>
    <row r="65" customFormat="false" ht="18" hidden="false" customHeight="true" outlineLevel="0" collapsed="false">
      <c r="A65" s="9" t="s">
        <v>49</v>
      </c>
      <c r="B65" s="10" t="s">
        <v>48</v>
      </c>
      <c r="C65" s="10" t="s">
        <v>103</v>
      </c>
      <c r="D65" s="9" t="s">
        <v>46</v>
      </c>
      <c r="E65" s="10" t="s">
        <v>105</v>
      </c>
      <c r="F65" s="10" t="s">
        <v>50</v>
      </c>
      <c r="G65" s="10"/>
      <c r="H65" s="11" t="s">
        <v>33</v>
      </c>
      <c r="I65" s="12" t="str">
        <f aca="false">IF(OR(H65="Passed",H65="Accepted Exception"),"GREEN",IF(OR(H65="Not Started",H65="Failed"),"RED","AMBER"))</f>
        <v>RED</v>
      </c>
      <c r="J65" s="13" t="s">
        <v>34</v>
      </c>
      <c r="K65" s="14" t="str">
        <f aca="false">IF(OR(J65="Réussi",J65="Exception acceptée"),"GREEN",IF(OR(J65="Non commencé",J65="Échec"),"RED","AMBER"))</f>
        <v>RED</v>
      </c>
      <c r="L65" s="10"/>
      <c r="M65" s="10"/>
      <c r="N65" s="15" t="str">
        <f aca="true">IF(G65&lt;&gt;"",TODAY()-G65,"")</f>
        <v/>
      </c>
    </row>
    <row r="66" customFormat="false" ht="18" hidden="false" customHeight="true" outlineLevel="0" collapsed="false">
      <c r="A66" s="16" t="s">
        <v>131</v>
      </c>
      <c r="B66" s="17" t="s">
        <v>48</v>
      </c>
      <c r="C66" s="17" t="s">
        <v>103</v>
      </c>
      <c r="D66" s="16" t="s">
        <v>46</v>
      </c>
      <c r="E66" s="17" t="s">
        <v>105</v>
      </c>
      <c r="F66" s="17" t="s">
        <v>132</v>
      </c>
      <c r="G66" s="17"/>
      <c r="H66" s="18" t="s">
        <v>33</v>
      </c>
      <c r="I66" s="12" t="str">
        <f aca="false">IF(OR(H66="Passed",H66="Accepted Exception"),"GREEN",IF(OR(H66="Not Started",H66="Failed"),"RED","AMBER"))</f>
        <v>RED</v>
      </c>
      <c r="J66" s="19" t="s">
        <v>34</v>
      </c>
      <c r="K66" s="14" t="str">
        <f aca="false">IF(OR(J66="Réussi",J66="Exception acceptée"),"GREEN",IF(OR(J66="Non commencé",J66="Échec"),"RED","AMBER"))</f>
        <v>RED</v>
      </c>
      <c r="L66" s="17"/>
      <c r="M66" s="17"/>
      <c r="N66" s="15" t="str">
        <f aca="true">IF(G66&lt;&gt;"",TODAY()-G66,"")</f>
        <v/>
      </c>
    </row>
    <row r="67" customFormat="false" ht="18" hidden="false" customHeight="true" outlineLevel="0" collapsed="false">
      <c r="A67" s="9" t="s">
        <v>133</v>
      </c>
      <c r="B67" s="10" t="s">
        <v>134</v>
      </c>
      <c r="C67" s="10" t="s">
        <v>103</v>
      </c>
      <c r="D67" s="9" t="s">
        <v>46</v>
      </c>
      <c r="E67" s="10" t="s">
        <v>105</v>
      </c>
      <c r="F67" s="10" t="s">
        <v>133</v>
      </c>
      <c r="G67" s="10"/>
      <c r="H67" s="11" t="s">
        <v>33</v>
      </c>
      <c r="I67" s="12" t="str">
        <f aca="false">IF(OR(H67="Passed",H67="Accepted Exception"),"GREEN",IF(OR(H67="Not Started",H67="Failed"),"RED","AMBER"))</f>
        <v>RED</v>
      </c>
      <c r="J67" s="13" t="s">
        <v>34</v>
      </c>
      <c r="K67" s="14" t="str">
        <f aca="false">IF(OR(J67="Réussi",J67="Exception acceptée"),"GREEN",IF(OR(J67="Non commencé",J67="Échec"),"RED","AMBER"))</f>
        <v>RED</v>
      </c>
      <c r="L67" s="10"/>
      <c r="M67" s="10"/>
      <c r="N67" s="15" t="str">
        <f aca="true">IF(G67&lt;&gt;"",TODAY()-G67,"")</f>
        <v/>
      </c>
    </row>
    <row r="68" customFormat="false" ht="18" hidden="false" customHeight="true" outlineLevel="0" collapsed="false">
      <c r="A68" s="16" t="s">
        <v>80</v>
      </c>
      <c r="B68" s="17" t="s">
        <v>81</v>
      </c>
      <c r="C68" s="17" t="s">
        <v>103</v>
      </c>
      <c r="D68" s="16" t="s">
        <v>53</v>
      </c>
      <c r="E68" s="17" t="s">
        <v>105</v>
      </c>
      <c r="F68" s="17" t="s">
        <v>80</v>
      </c>
      <c r="G68" s="17"/>
      <c r="H68" s="18" t="s">
        <v>33</v>
      </c>
      <c r="I68" s="12" t="str">
        <f aca="false">IF(OR(H68="Passed",H68="Accepted Exception"),"GREEN",IF(OR(H68="Not Started",H68="Failed"),"RED","AMBER"))</f>
        <v>RED</v>
      </c>
      <c r="J68" s="19" t="s">
        <v>34</v>
      </c>
      <c r="K68" s="14" t="str">
        <f aca="false">IF(OR(J68="Réussi",J68="Exception acceptée"),"GREEN",IF(OR(J68="Non commencé",J68="Échec"),"RED","AMBER"))</f>
        <v>RED</v>
      </c>
      <c r="L68" s="17"/>
      <c r="M68" s="17"/>
      <c r="N68" s="15" t="str">
        <f aca="true">IF(G68&lt;&gt;"",TODAY()-G68,"")</f>
        <v/>
      </c>
    </row>
    <row r="69" customFormat="false" ht="18" hidden="false" customHeight="true" outlineLevel="0" collapsed="false">
      <c r="A69" s="9" t="s">
        <v>82</v>
      </c>
      <c r="B69" s="10" t="s">
        <v>81</v>
      </c>
      <c r="C69" s="10" t="s">
        <v>103</v>
      </c>
      <c r="D69" s="9" t="s">
        <v>53</v>
      </c>
      <c r="E69" s="10" t="s">
        <v>105</v>
      </c>
      <c r="F69" s="10" t="s">
        <v>83</v>
      </c>
      <c r="G69" s="10"/>
      <c r="H69" s="11" t="s">
        <v>33</v>
      </c>
      <c r="I69" s="12" t="str">
        <f aca="false">IF(OR(H69="Passed",H69="Accepted Exception"),"GREEN",IF(OR(H69="Not Started",H69="Failed"),"RED","AMBER"))</f>
        <v>RED</v>
      </c>
      <c r="J69" s="13" t="s">
        <v>34</v>
      </c>
      <c r="K69" s="14" t="str">
        <f aca="false">IF(OR(J69="Réussi",J69="Exception acceptée"),"GREEN",IF(OR(J69="Non commencé",J69="Échec"),"RED","AMBER"))</f>
        <v>RED</v>
      </c>
      <c r="L69" s="10"/>
      <c r="M69" s="10"/>
      <c r="N69" s="15" t="str">
        <f aca="true">IF(G69&lt;&gt;"",TODAY()-G69,"")</f>
        <v/>
      </c>
    </row>
    <row r="70" customFormat="false" ht="18" hidden="false" customHeight="true" outlineLevel="0" collapsed="false">
      <c r="A70" s="16" t="s">
        <v>51</v>
      </c>
      <c r="B70" s="17" t="s">
        <v>52</v>
      </c>
      <c r="C70" s="17" t="s">
        <v>103</v>
      </c>
      <c r="D70" s="16" t="s">
        <v>53</v>
      </c>
      <c r="E70" s="17" t="s">
        <v>105</v>
      </c>
      <c r="F70" s="17" t="s">
        <v>51</v>
      </c>
      <c r="G70" s="17"/>
      <c r="H70" s="18" t="s">
        <v>33</v>
      </c>
      <c r="I70" s="12" t="str">
        <f aca="false">IF(OR(H70="Passed",H70="Accepted Exception"),"GREEN",IF(OR(H70="Not Started",H70="Failed"),"RED","AMBER"))</f>
        <v>RED</v>
      </c>
      <c r="J70" s="19" t="s">
        <v>34</v>
      </c>
      <c r="K70" s="14" t="str">
        <f aca="false">IF(OR(J70="Réussi",J70="Exception acceptée"),"GREEN",IF(OR(J70="Non commencé",J70="Échec"),"RED","AMBER"))</f>
        <v>RED</v>
      </c>
      <c r="L70" s="17"/>
      <c r="M70" s="17"/>
      <c r="N70" s="15" t="str">
        <f aca="true">IF(G70&lt;&gt;"",TODAY()-G70,"")</f>
        <v/>
      </c>
    </row>
    <row r="71" customFormat="false" ht="18" hidden="false" customHeight="true" outlineLevel="0" collapsed="false">
      <c r="A71" s="9" t="s">
        <v>54</v>
      </c>
      <c r="B71" s="10" t="s">
        <v>52</v>
      </c>
      <c r="C71" s="10" t="s">
        <v>103</v>
      </c>
      <c r="D71" s="9" t="s">
        <v>53</v>
      </c>
      <c r="E71" s="10" t="s">
        <v>105</v>
      </c>
      <c r="F71" s="10" t="s">
        <v>55</v>
      </c>
      <c r="G71" s="10"/>
      <c r="H71" s="11" t="s">
        <v>33</v>
      </c>
      <c r="I71" s="12" t="str">
        <f aca="false">IF(OR(H71="Passed",H71="Accepted Exception"),"GREEN",IF(OR(H71="Not Started",H71="Failed"),"RED","AMBER"))</f>
        <v>RED</v>
      </c>
      <c r="J71" s="13" t="s">
        <v>34</v>
      </c>
      <c r="K71" s="14" t="str">
        <f aca="false">IF(OR(J71="Réussi",J71="Exception acceptée"),"GREEN",IF(OR(J71="Non commencé",J71="Échec"),"RED","AMBER"))</f>
        <v>RED</v>
      </c>
      <c r="L71" s="10"/>
      <c r="M71" s="10"/>
      <c r="N71" s="15" t="str">
        <f aca="true">IF(G71&lt;&gt;"",TODAY()-G71,"")</f>
        <v/>
      </c>
    </row>
    <row r="72" customFormat="false" ht="18" hidden="false" customHeight="true" outlineLevel="0" collapsed="false">
      <c r="A72" s="16" t="s">
        <v>84</v>
      </c>
      <c r="B72" s="17" t="s">
        <v>85</v>
      </c>
      <c r="C72" s="17" t="s">
        <v>103</v>
      </c>
      <c r="D72" s="16" t="s">
        <v>53</v>
      </c>
      <c r="E72" s="17" t="s">
        <v>105</v>
      </c>
      <c r="F72" s="17" t="s">
        <v>84</v>
      </c>
      <c r="G72" s="17"/>
      <c r="H72" s="18" t="s">
        <v>33</v>
      </c>
      <c r="I72" s="12" t="str">
        <f aca="false">IF(OR(H72="Passed",H72="Accepted Exception"),"GREEN",IF(OR(H72="Not Started",H72="Failed"),"RED","AMBER"))</f>
        <v>RED</v>
      </c>
      <c r="J72" s="19" t="s">
        <v>34</v>
      </c>
      <c r="K72" s="14" t="str">
        <f aca="false">IF(OR(J72="Réussi",J72="Exception acceptée"),"GREEN",IF(OR(J72="Non commencé",J72="Échec"),"RED","AMBER"))</f>
        <v>RED</v>
      </c>
      <c r="L72" s="17"/>
      <c r="M72" s="17"/>
      <c r="N72" s="15" t="str">
        <f aca="true">IF(G72&lt;&gt;"",TODAY()-G72,"")</f>
        <v/>
      </c>
    </row>
    <row r="73" customFormat="false" ht="18" hidden="false" customHeight="true" outlineLevel="0" collapsed="false">
      <c r="A73" s="9" t="s">
        <v>86</v>
      </c>
      <c r="B73" s="10" t="s">
        <v>85</v>
      </c>
      <c r="C73" s="10" t="s">
        <v>103</v>
      </c>
      <c r="D73" s="9" t="s">
        <v>53</v>
      </c>
      <c r="E73" s="10" t="s">
        <v>105</v>
      </c>
      <c r="F73" s="10" t="s">
        <v>87</v>
      </c>
      <c r="G73" s="10"/>
      <c r="H73" s="11" t="s">
        <v>33</v>
      </c>
      <c r="I73" s="12" t="str">
        <f aca="false">IF(OR(H73="Passed",H73="Accepted Exception"),"GREEN",IF(OR(H73="Not Started",H73="Failed"),"RED","AMBER"))</f>
        <v>RED</v>
      </c>
      <c r="J73" s="13" t="s">
        <v>34</v>
      </c>
      <c r="K73" s="14" t="str">
        <f aca="false">IF(OR(J73="Réussi",J73="Exception acceptée"),"GREEN",IF(OR(J73="Non commencé",J73="Échec"),"RED","AMBER"))</f>
        <v>RED</v>
      </c>
      <c r="L73" s="10"/>
      <c r="M73" s="10"/>
      <c r="N73" s="15" t="str">
        <f aca="true">IF(G73&lt;&gt;"",TODAY()-G73,"")</f>
        <v/>
      </c>
    </row>
    <row r="74" customFormat="false" ht="18" hidden="false" customHeight="true" outlineLevel="0" collapsed="false">
      <c r="A74" s="16" t="s">
        <v>88</v>
      </c>
      <c r="B74" s="17" t="s">
        <v>85</v>
      </c>
      <c r="C74" s="17" t="s">
        <v>103</v>
      </c>
      <c r="D74" s="16" t="s">
        <v>53</v>
      </c>
      <c r="E74" s="17" t="s">
        <v>105</v>
      </c>
      <c r="F74" s="17" t="s">
        <v>89</v>
      </c>
      <c r="G74" s="17"/>
      <c r="H74" s="18" t="s">
        <v>33</v>
      </c>
      <c r="I74" s="12" t="str">
        <f aca="false">IF(OR(H74="Passed",H74="Accepted Exception"),"GREEN",IF(OR(H74="Not Started",H74="Failed"),"RED","AMBER"))</f>
        <v>RED</v>
      </c>
      <c r="J74" s="19" t="s">
        <v>34</v>
      </c>
      <c r="K74" s="14" t="str">
        <f aca="false">IF(OR(J74="Réussi",J74="Exception acceptée"),"GREEN",IF(OR(J74="Non commencé",J74="Échec"),"RED","AMBER"))</f>
        <v>RED</v>
      </c>
      <c r="L74" s="17"/>
      <c r="M74" s="17"/>
      <c r="N74" s="15" t="str">
        <f aca="true">IF(G74&lt;&gt;"",TODAY()-G74,"")</f>
        <v/>
      </c>
    </row>
    <row r="75" customFormat="false" ht="18" hidden="false" customHeight="true" outlineLevel="0" collapsed="false">
      <c r="A75" s="9" t="s">
        <v>90</v>
      </c>
      <c r="B75" s="10" t="s">
        <v>85</v>
      </c>
      <c r="C75" s="10" t="s">
        <v>103</v>
      </c>
      <c r="D75" s="9" t="s">
        <v>53</v>
      </c>
      <c r="E75" s="10" t="s">
        <v>105</v>
      </c>
      <c r="F75" s="10" t="s">
        <v>91</v>
      </c>
      <c r="G75" s="10"/>
      <c r="H75" s="11" t="s">
        <v>33</v>
      </c>
      <c r="I75" s="12" t="str">
        <f aca="false">IF(OR(H75="Passed",H75="Accepted Exception"),"GREEN",IF(OR(H75="Not Started",H75="Failed"),"RED","AMBER"))</f>
        <v>RED</v>
      </c>
      <c r="J75" s="13" t="s">
        <v>34</v>
      </c>
      <c r="K75" s="14" t="str">
        <f aca="false">IF(OR(J75="Réussi",J75="Exception acceptée"),"GREEN",IF(OR(J75="Non commencé",J75="Échec"),"RED","AMBER"))</f>
        <v>RED</v>
      </c>
      <c r="L75" s="10"/>
      <c r="M75" s="10"/>
      <c r="N75" s="15" t="str">
        <f aca="true">IF(G75&lt;&gt;"",TODAY()-G75,"")</f>
        <v/>
      </c>
    </row>
    <row r="76" customFormat="false" ht="18" hidden="false" customHeight="true" outlineLevel="0" collapsed="false">
      <c r="A76" s="16" t="s">
        <v>56</v>
      </c>
      <c r="B76" s="17" t="s">
        <v>57</v>
      </c>
      <c r="C76" s="17" t="s">
        <v>103</v>
      </c>
      <c r="D76" s="16" t="s">
        <v>53</v>
      </c>
      <c r="E76" s="17" t="s">
        <v>105</v>
      </c>
      <c r="F76" s="17" t="s">
        <v>56</v>
      </c>
      <c r="G76" s="17"/>
      <c r="H76" s="18" t="s">
        <v>33</v>
      </c>
      <c r="I76" s="12" t="str">
        <f aca="false">IF(OR(H76="Passed",H76="Accepted Exception"),"GREEN",IF(OR(H76="Not Started",H76="Failed"),"RED","AMBER"))</f>
        <v>RED</v>
      </c>
      <c r="J76" s="19" t="s">
        <v>34</v>
      </c>
      <c r="K76" s="14" t="str">
        <f aca="false">IF(OR(J76="Réussi",J76="Exception acceptée"),"GREEN",IF(OR(J76="Non commencé",J76="Échec"),"RED","AMBER"))</f>
        <v>RED</v>
      </c>
      <c r="L76" s="17"/>
      <c r="M76" s="17"/>
      <c r="N76" s="15" t="str">
        <f aca="true">IF(G76&lt;&gt;"",TODAY()-G76,"")</f>
        <v/>
      </c>
    </row>
    <row r="77" customFormat="false" ht="18" hidden="false" customHeight="true" outlineLevel="0" collapsed="false">
      <c r="A77" s="9" t="s">
        <v>58</v>
      </c>
      <c r="B77" s="10" t="s">
        <v>57</v>
      </c>
      <c r="C77" s="10" t="s">
        <v>103</v>
      </c>
      <c r="D77" s="9" t="s">
        <v>53</v>
      </c>
      <c r="E77" s="10" t="s">
        <v>105</v>
      </c>
      <c r="F77" s="10" t="s">
        <v>59</v>
      </c>
      <c r="G77" s="10"/>
      <c r="H77" s="11" t="s">
        <v>33</v>
      </c>
      <c r="I77" s="12" t="str">
        <f aca="false">IF(OR(H77="Passed",H77="Accepted Exception"),"GREEN",IF(OR(H77="Not Started",H77="Failed"),"RED","AMBER"))</f>
        <v>RED</v>
      </c>
      <c r="J77" s="13" t="s">
        <v>34</v>
      </c>
      <c r="K77" s="14" t="str">
        <f aca="false">IF(OR(J77="Réussi",J77="Exception acceptée"),"GREEN",IF(OR(J77="Non commencé",J77="Échec"),"RED","AMBER"))</f>
        <v>RED</v>
      </c>
      <c r="L77" s="10"/>
      <c r="M77" s="10"/>
      <c r="N77" s="15" t="str">
        <f aca="true">IF(G77&lt;&gt;"",TODAY()-G77,"")</f>
        <v/>
      </c>
    </row>
    <row r="78" customFormat="false" ht="18" hidden="false" customHeight="true" outlineLevel="0" collapsed="false">
      <c r="A78" s="16" t="s">
        <v>135</v>
      </c>
      <c r="B78" s="17" t="s">
        <v>136</v>
      </c>
      <c r="C78" s="17" t="s">
        <v>103</v>
      </c>
      <c r="D78" s="16" t="s">
        <v>137</v>
      </c>
      <c r="E78" s="17" t="s">
        <v>105</v>
      </c>
      <c r="F78" s="17" t="s">
        <v>138</v>
      </c>
      <c r="G78" s="17"/>
      <c r="H78" s="18" t="s">
        <v>33</v>
      </c>
      <c r="I78" s="12" t="str">
        <f aca="false">IF(OR(H78="Passed",H78="Accepted Exception"),"GREEN",IF(OR(H78="Not Started",H78="Failed"),"RED","AMBER"))</f>
        <v>RED</v>
      </c>
      <c r="J78" s="19" t="s">
        <v>34</v>
      </c>
      <c r="K78" s="14" t="str">
        <f aca="false">IF(OR(J78="Réussi",J78="Exception acceptée"),"GREEN",IF(OR(J78="Non commencé",J78="Échec"),"RED","AMBER"))</f>
        <v>RED</v>
      </c>
      <c r="L78" s="17"/>
      <c r="M78" s="17"/>
      <c r="N78" s="15" t="str">
        <f aca="true">IF(G78&lt;&gt;"",TODAY()-G78,"")</f>
        <v/>
      </c>
    </row>
    <row r="79" customFormat="false" ht="18" hidden="false" customHeight="true" outlineLevel="0" collapsed="false">
      <c r="A79" s="9" t="s">
        <v>139</v>
      </c>
      <c r="B79" s="10" t="s">
        <v>136</v>
      </c>
      <c r="C79" s="10" t="s">
        <v>103</v>
      </c>
      <c r="D79" s="9" t="s">
        <v>137</v>
      </c>
      <c r="E79" s="10" t="s">
        <v>105</v>
      </c>
      <c r="F79" s="10" t="s">
        <v>140</v>
      </c>
      <c r="G79" s="10"/>
      <c r="H79" s="11" t="s">
        <v>33</v>
      </c>
      <c r="I79" s="12" t="str">
        <f aca="false">IF(OR(H79="Passed",H79="Accepted Exception"),"GREEN",IF(OR(H79="Not Started",H79="Failed"),"RED","AMBER"))</f>
        <v>RED</v>
      </c>
      <c r="J79" s="13" t="s">
        <v>34</v>
      </c>
      <c r="K79" s="14" t="str">
        <f aca="false">IF(OR(J79="Réussi",J79="Exception acceptée"),"GREEN",IF(OR(J79="Non commencé",J79="Échec"),"RED","AMBER"))</f>
        <v>RED</v>
      </c>
      <c r="L79" s="10"/>
      <c r="M79" s="10"/>
      <c r="N79" s="15" t="str">
        <f aca="true">IF(G79&lt;&gt;"",TODAY()-G79,"")</f>
        <v/>
      </c>
    </row>
    <row r="80" customFormat="false" ht="18" hidden="false" customHeight="true" outlineLevel="0" collapsed="false">
      <c r="A80" s="16" t="s">
        <v>60</v>
      </c>
      <c r="B80" s="17" t="s">
        <v>61</v>
      </c>
      <c r="C80" s="17" t="s">
        <v>103</v>
      </c>
      <c r="D80" s="16" t="s">
        <v>62</v>
      </c>
      <c r="E80" s="17" t="s">
        <v>105</v>
      </c>
      <c r="F80" s="17" t="s">
        <v>63</v>
      </c>
      <c r="G80" s="17"/>
      <c r="H80" s="18" t="s">
        <v>33</v>
      </c>
      <c r="I80" s="12" t="str">
        <f aca="false">IF(OR(H80="Passed",H80="Accepted Exception"),"GREEN",IF(OR(H80="Not Started",H80="Failed"),"RED","AMBER"))</f>
        <v>RED</v>
      </c>
      <c r="J80" s="19" t="s">
        <v>34</v>
      </c>
      <c r="K80" s="14" t="str">
        <f aca="false">IF(OR(J80="Réussi",J80="Exception acceptée"),"GREEN",IF(OR(J80="Non commencé",J80="Échec"),"RED","AMBER"))</f>
        <v>RED</v>
      </c>
      <c r="L80" s="17"/>
      <c r="M80" s="17"/>
      <c r="N80" s="15" t="str">
        <f aca="true">IF(G80&lt;&gt;"",TODAY()-G80,"")</f>
        <v/>
      </c>
    </row>
    <row r="81" customFormat="false" ht="18" hidden="false" customHeight="true" outlineLevel="0" collapsed="false">
      <c r="A81" s="9" t="s">
        <v>141</v>
      </c>
      <c r="B81" s="10" t="s">
        <v>142</v>
      </c>
      <c r="C81" s="10" t="s">
        <v>103</v>
      </c>
      <c r="D81" s="9" t="s">
        <v>62</v>
      </c>
      <c r="E81" s="10" t="s">
        <v>105</v>
      </c>
      <c r="F81" s="10" t="s">
        <v>143</v>
      </c>
      <c r="G81" s="10"/>
      <c r="H81" s="11" t="s">
        <v>33</v>
      </c>
      <c r="I81" s="12" t="str">
        <f aca="false">IF(OR(H81="Passed",H81="Accepted Exception"),"GREEN",IF(OR(H81="Not Started",H81="Failed"),"RED","AMBER"))</f>
        <v>RED</v>
      </c>
      <c r="J81" s="13" t="s">
        <v>34</v>
      </c>
      <c r="K81" s="14" t="str">
        <f aca="false">IF(OR(J81="Réussi",J81="Exception acceptée"),"GREEN",IF(OR(J81="Non commencé",J81="Échec"),"RED","AMBER"))</f>
        <v>RED</v>
      </c>
      <c r="L81" s="10"/>
      <c r="M81" s="10"/>
      <c r="N81" s="15" t="str">
        <f aca="true">IF(G81&lt;&gt;"",TODAY()-G81,"")</f>
        <v/>
      </c>
    </row>
    <row r="82" customFormat="false" ht="18" hidden="false" customHeight="true" outlineLevel="0" collapsed="false">
      <c r="A82" s="16" t="s">
        <v>144</v>
      </c>
      <c r="B82" s="17" t="s">
        <v>145</v>
      </c>
      <c r="C82" s="17" t="s">
        <v>103</v>
      </c>
      <c r="D82" s="16" t="s">
        <v>94</v>
      </c>
      <c r="E82" s="17" t="s">
        <v>105</v>
      </c>
      <c r="F82" s="17" t="s">
        <v>144</v>
      </c>
      <c r="G82" s="17"/>
      <c r="H82" s="18" t="s">
        <v>33</v>
      </c>
      <c r="I82" s="12" t="str">
        <f aca="false">IF(OR(H82="Passed",H82="Accepted Exception"),"GREEN",IF(OR(H82="Not Started",H82="Failed"),"RED","AMBER"))</f>
        <v>RED</v>
      </c>
      <c r="J82" s="19" t="s">
        <v>34</v>
      </c>
      <c r="K82" s="14" t="str">
        <f aca="false">IF(OR(J82="Réussi",J82="Exception acceptée"),"GREEN",IF(OR(J82="Non commencé",J82="Échec"),"RED","AMBER"))</f>
        <v>RED</v>
      </c>
      <c r="L82" s="17"/>
      <c r="M82" s="17"/>
      <c r="N82" s="15" t="str">
        <f aca="true">IF(G82&lt;&gt;"",TODAY()-G82,"")</f>
        <v/>
      </c>
    </row>
    <row r="83" customFormat="false" ht="18" hidden="false" customHeight="true" outlineLevel="0" collapsed="false">
      <c r="A83" s="9" t="s">
        <v>146</v>
      </c>
      <c r="B83" s="10" t="s">
        <v>147</v>
      </c>
      <c r="C83" s="10" t="s">
        <v>103</v>
      </c>
      <c r="D83" s="9" t="s">
        <v>94</v>
      </c>
      <c r="E83" s="10" t="s">
        <v>105</v>
      </c>
      <c r="F83" s="10" t="s">
        <v>146</v>
      </c>
      <c r="G83" s="10"/>
      <c r="H83" s="11" t="s">
        <v>33</v>
      </c>
      <c r="I83" s="12" t="str">
        <f aca="false">IF(OR(H83="Passed",H83="Accepted Exception"),"GREEN",IF(OR(H83="Not Started",H83="Failed"),"RED","AMBER"))</f>
        <v>RED</v>
      </c>
      <c r="J83" s="13" t="s">
        <v>34</v>
      </c>
      <c r="K83" s="14" t="str">
        <f aca="false">IF(OR(J83="Réussi",J83="Exception acceptée"),"GREEN",IF(OR(J83="Non commencé",J83="Échec"),"RED","AMBER"))</f>
        <v>RED</v>
      </c>
      <c r="L83" s="10"/>
      <c r="M83" s="10"/>
      <c r="N83" s="15" t="str">
        <f aca="true">IF(G83&lt;&gt;"",TODAY()-G83,"")</f>
        <v/>
      </c>
    </row>
    <row r="84" customFormat="false" ht="18" hidden="false" customHeight="true" outlineLevel="0" collapsed="false">
      <c r="A84" s="16" t="s">
        <v>148</v>
      </c>
      <c r="B84" s="17" t="s">
        <v>149</v>
      </c>
      <c r="C84" s="17" t="s">
        <v>103</v>
      </c>
      <c r="D84" s="16" t="s">
        <v>94</v>
      </c>
      <c r="E84" s="17" t="s">
        <v>105</v>
      </c>
      <c r="F84" s="17" t="s">
        <v>150</v>
      </c>
      <c r="G84" s="17"/>
      <c r="H84" s="18" t="s">
        <v>33</v>
      </c>
      <c r="I84" s="12" t="str">
        <f aca="false">IF(OR(H84="Passed",H84="Accepted Exception"),"GREEN",IF(OR(H84="Not Started",H84="Failed"),"RED","AMBER"))</f>
        <v>RED</v>
      </c>
      <c r="J84" s="19" t="s">
        <v>34</v>
      </c>
      <c r="K84" s="14" t="str">
        <f aca="false">IF(OR(J84="Réussi",J84="Exception acceptée"),"GREEN",IF(OR(J84="Non commencé",J84="Échec"),"RED","AMBER"))</f>
        <v>RED</v>
      </c>
      <c r="L84" s="17"/>
      <c r="M84" s="17"/>
      <c r="N84" s="15" t="str">
        <f aca="true">IF(G84&lt;&gt;"",TODAY()-G84,"")</f>
        <v/>
      </c>
    </row>
    <row r="85" customFormat="false" ht="18" hidden="false" customHeight="true" outlineLevel="0" collapsed="false">
      <c r="A85" s="9" t="s">
        <v>151</v>
      </c>
      <c r="B85" s="10" t="s">
        <v>149</v>
      </c>
      <c r="C85" s="10" t="s">
        <v>103</v>
      </c>
      <c r="D85" s="9" t="s">
        <v>94</v>
      </c>
      <c r="E85" s="10" t="s">
        <v>105</v>
      </c>
      <c r="F85" s="10" t="s">
        <v>152</v>
      </c>
      <c r="G85" s="10"/>
      <c r="H85" s="11" t="s">
        <v>33</v>
      </c>
      <c r="I85" s="12" t="str">
        <f aca="false">IF(OR(H85="Passed",H85="Accepted Exception"),"GREEN",IF(OR(H85="Not Started",H85="Failed"),"RED","AMBER"))</f>
        <v>RED</v>
      </c>
      <c r="J85" s="13" t="s">
        <v>34</v>
      </c>
      <c r="K85" s="14" t="str">
        <f aca="false">IF(OR(J85="Réussi",J85="Exception acceptée"),"GREEN",IF(OR(J85="Non commencé",J85="Échec"),"RED","AMBER"))</f>
        <v>RED</v>
      </c>
      <c r="L85" s="10"/>
      <c r="M85" s="10"/>
      <c r="N85" s="15" t="str">
        <f aca="true">IF(G85&lt;&gt;"",TODAY()-G85,"")</f>
        <v/>
      </c>
    </row>
    <row r="86" customFormat="false" ht="18" hidden="false" customHeight="true" outlineLevel="0" collapsed="false">
      <c r="A86" s="16" t="s">
        <v>153</v>
      </c>
      <c r="B86" s="17" t="s">
        <v>154</v>
      </c>
      <c r="C86" s="17" t="s">
        <v>103</v>
      </c>
      <c r="D86" s="16" t="s">
        <v>94</v>
      </c>
      <c r="E86" s="17" t="s">
        <v>105</v>
      </c>
      <c r="F86" s="17" t="s">
        <v>153</v>
      </c>
      <c r="G86" s="17"/>
      <c r="H86" s="18" t="s">
        <v>33</v>
      </c>
      <c r="I86" s="12" t="str">
        <f aca="false">IF(OR(H86="Passed",H86="Accepted Exception"),"GREEN",IF(OR(H86="Not Started",H86="Failed"),"RED","AMBER"))</f>
        <v>RED</v>
      </c>
      <c r="J86" s="19" t="s">
        <v>34</v>
      </c>
      <c r="K86" s="14" t="str">
        <f aca="false">IF(OR(J86="Réussi",J86="Exception acceptée"),"GREEN",IF(OR(J86="Non commencé",J86="Échec"),"RED","AMBER"))</f>
        <v>RED</v>
      </c>
      <c r="L86" s="17"/>
      <c r="M86" s="17"/>
      <c r="N86" s="15" t="str">
        <f aca="true">IF(G86&lt;&gt;"",TODAY()-G86,"")</f>
        <v/>
      </c>
    </row>
    <row r="87" customFormat="false" ht="18" hidden="false" customHeight="true" outlineLevel="0" collapsed="false">
      <c r="A87" s="9" t="s">
        <v>155</v>
      </c>
      <c r="B87" s="10" t="s">
        <v>154</v>
      </c>
      <c r="C87" s="10" t="s">
        <v>103</v>
      </c>
      <c r="D87" s="9" t="s">
        <v>94</v>
      </c>
      <c r="E87" s="10" t="s">
        <v>105</v>
      </c>
      <c r="F87" s="10" t="s">
        <v>156</v>
      </c>
      <c r="G87" s="10"/>
      <c r="H87" s="11" t="s">
        <v>33</v>
      </c>
      <c r="I87" s="12" t="str">
        <f aca="false">IF(OR(H87="Passed",H87="Accepted Exception"),"GREEN",IF(OR(H87="Not Started",H87="Failed"),"RED","AMBER"))</f>
        <v>RED</v>
      </c>
      <c r="J87" s="13" t="s">
        <v>34</v>
      </c>
      <c r="K87" s="14" t="str">
        <f aca="false">IF(OR(J87="Réussi",J87="Exception acceptée"),"GREEN",IF(OR(J87="Non commencé",J87="Échec"),"RED","AMBER"))</f>
        <v>RED</v>
      </c>
      <c r="L87" s="10"/>
      <c r="M87" s="10"/>
      <c r="N87" s="15" t="str">
        <f aca="true">IF(G87&lt;&gt;"",TODAY()-G87,"")</f>
        <v/>
      </c>
    </row>
    <row r="88" customFormat="false" ht="18" hidden="false" customHeight="true" outlineLevel="0" collapsed="false">
      <c r="A88" s="16" t="s">
        <v>157</v>
      </c>
      <c r="B88" s="17" t="s">
        <v>158</v>
      </c>
      <c r="C88" s="17" t="s">
        <v>103</v>
      </c>
      <c r="D88" s="16" t="s">
        <v>94</v>
      </c>
      <c r="E88" s="17" t="s">
        <v>105</v>
      </c>
      <c r="F88" s="17" t="s">
        <v>157</v>
      </c>
      <c r="G88" s="17"/>
      <c r="H88" s="18" t="s">
        <v>33</v>
      </c>
      <c r="I88" s="12" t="str">
        <f aca="false">IF(OR(H88="Passed",H88="Accepted Exception"),"GREEN",IF(OR(H88="Not Started",H88="Failed"),"RED","AMBER"))</f>
        <v>RED</v>
      </c>
      <c r="J88" s="19" t="s">
        <v>34</v>
      </c>
      <c r="K88" s="14" t="str">
        <f aca="false">IF(OR(J88="Réussi",J88="Exception acceptée"),"GREEN",IF(OR(J88="Non commencé",J88="Échec"),"RED","AMBER"))</f>
        <v>RED</v>
      </c>
      <c r="L88" s="17"/>
      <c r="M88" s="17"/>
      <c r="N88" s="15" t="str">
        <f aca="true">IF(G88&lt;&gt;"",TODAY()-G88,"")</f>
        <v/>
      </c>
    </row>
    <row r="89" customFormat="false" ht="18" hidden="false" customHeight="true" outlineLevel="0" collapsed="false">
      <c r="A89" s="9" t="s">
        <v>95</v>
      </c>
      <c r="B89" s="10" t="s">
        <v>96</v>
      </c>
      <c r="C89" s="10" t="s">
        <v>103</v>
      </c>
      <c r="D89" s="9" t="s">
        <v>94</v>
      </c>
      <c r="E89" s="10" t="s">
        <v>105</v>
      </c>
      <c r="F89" s="10" t="s">
        <v>95</v>
      </c>
      <c r="G89" s="10"/>
      <c r="H89" s="11" t="s">
        <v>33</v>
      </c>
      <c r="I89" s="12" t="str">
        <f aca="false">IF(OR(H89="Passed",H89="Accepted Exception"),"GREEN",IF(OR(H89="Not Started",H89="Failed"),"RED","AMBER"))</f>
        <v>RED</v>
      </c>
      <c r="J89" s="13" t="s">
        <v>34</v>
      </c>
      <c r="K89" s="14" t="str">
        <f aca="false">IF(OR(J89="Réussi",J89="Exception acceptée"),"GREEN",IF(OR(J89="Non commencé",J89="Échec"),"RED","AMBER"))</f>
        <v>RED</v>
      </c>
      <c r="L89" s="10"/>
      <c r="M89" s="10"/>
      <c r="N89" s="15" t="str">
        <f aca="true">IF(G89&lt;&gt;"",TODAY()-G89,"")</f>
        <v/>
      </c>
    </row>
    <row r="90" customFormat="false" ht="18" hidden="false" customHeight="true" outlineLevel="0" collapsed="false">
      <c r="A90" s="16" t="s">
        <v>159</v>
      </c>
      <c r="B90" s="17" t="s">
        <v>160</v>
      </c>
      <c r="C90" s="17" t="s">
        <v>103</v>
      </c>
      <c r="D90" s="16" t="s">
        <v>94</v>
      </c>
      <c r="E90" s="17" t="s">
        <v>105</v>
      </c>
      <c r="F90" s="17" t="s">
        <v>159</v>
      </c>
      <c r="G90" s="17"/>
      <c r="H90" s="18" t="s">
        <v>33</v>
      </c>
      <c r="I90" s="12" t="str">
        <f aca="false">IF(OR(H90="Passed",H90="Accepted Exception"),"GREEN",IF(OR(H90="Not Started",H90="Failed"),"RED","AMBER"))</f>
        <v>RED</v>
      </c>
      <c r="J90" s="19" t="s">
        <v>34</v>
      </c>
      <c r="K90" s="14" t="str">
        <f aca="false">IF(OR(J90="Réussi",J90="Exception acceptée"),"GREEN",IF(OR(J90="Non commencé",J90="Échec"),"RED","AMBER"))</f>
        <v>RED</v>
      </c>
      <c r="L90" s="17"/>
      <c r="M90" s="17"/>
      <c r="N90" s="15" t="str">
        <f aca="true">IF(G90&lt;&gt;"",TODAY()-G90,"")</f>
        <v/>
      </c>
    </row>
    <row r="91" customFormat="false" ht="18" hidden="false" customHeight="true" outlineLevel="0" collapsed="false">
      <c r="A91" s="9" t="s">
        <v>161</v>
      </c>
      <c r="B91" s="10" t="s">
        <v>160</v>
      </c>
      <c r="C91" s="10" t="s">
        <v>103</v>
      </c>
      <c r="D91" s="9" t="s">
        <v>94</v>
      </c>
      <c r="E91" s="10" t="s">
        <v>105</v>
      </c>
      <c r="F91" s="10" t="s">
        <v>162</v>
      </c>
      <c r="G91" s="10"/>
      <c r="H91" s="11" t="s">
        <v>33</v>
      </c>
      <c r="I91" s="12" t="str">
        <f aca="false">IF(OR(H91="Passed",H91="Accepted Exception"),"GREEN",IF(OR(H91="Not Started",H91="Failed"),"RED","AMBER"))</f>
        <v>RED</v>
      </c>
      <c r="J91" s="13" t="s">
        <v>34</v>
      </c>
      <c r="K91" s="14" t="str">
        <f aca="false">IF(OR(J91="Réussi",J91="Exception acceptée"),"GREEN",IF(OR(J91="Non commencé",J91="Échec"),"RED","AMBER"))</f>
        <v>RED</v>
      </c>
      <c r="L91" s="10"/>
      <c r="M91" s="10"/>
      <c r="N91" s="15" t="str">
        <f aca="true">IF(G91&lt;&gt;"",TODAY()-G91,"")</f>
        <v/>
      </c>
    </row>
    <row r="92" customFormat="false" ht="18" hidden="false" customHeight="true" outlineLevel="0" collapsed="false">
      <c r="A92" s="16" t="s">
        <v>163</v>
      </c>
      <c r="B92" s="17" t="s">
        <v>160</v>
      </c>
      <c r="C92" s="17" t="s">
        <v>103</v>
      </c>
      <c r="D92" s="16" t="s">
        <v>94</v>
      </c>
      <c r="E92" s="17" t="s">
        <v>105</v>
      </c>
      <c r="F92" s="17" t="s">
        <v>164</v>
      </c>
      <c r="G92" s="17"/>
      <c r="H92" s="18" t="s">
        <v>33</v>
      </c>
      <c r="I92" s="12" t="str">
        <f aca="false">IF(OR(H92="Passed",H92="Accepted Exception"),"GREEN",IF(OR(H92="Not Started",H92="Failed"),"RED","AMBER"))</f>
        <v>RED</v>
      </c>
      <c r="J92" s="19" t="s">
        <v>34</v>
      </c>
      <c r="K92" s="14" t="str">
        <f aca="false">IF(OR(J92="Réussi",J92="Exception acceptée"),"GREEN",IF(OR(J92="Non commencé",J92="Échec"),"RED","AMBER"))</f>
        <v>RED</v>
      </c>
      <c r="L92" s="17"/>
      <c r="M92" s="17"/>
      <c r="N92" s="15" t="str">
        <f aca="true">IF(G92&lt;&gt;"",TODAY()-G92,"")</f>
        <v/>
      </c>
    </row>
    <row r="93" customFormat="false" ht="18" hidden="false" customHeight="true" outlineLevel="0" collapsed="false">
      <c r="A93" s="9" t="s">
        <v>165</v>
      </c>
      <c r="B93" s="10" t="s">
        <v>166</v>
      </c>
      <c r="C93" s="10" t="s">
        <v>103</v>
      </c>
      <c r="D93" s="9" t="s">
        <v>94</v>
      </c>
      <c r="E93" s="10" t="s">
        <v>105</v>
      </c>
      <c r="F93" s="10" t="s">
        <v>165</v>
      </c>
      <c r="G93" s="10"/>
      <c r="H93" s="11" t="s">
        <v>33</v>
      </c>
      <c r="I93" s="12" t="str">
        <f aca="false">IF(OR(H93="Passed",H93="Accepted Exception"),"GREEN",IF(OR(H93="Not Started",H93="Failed"),"RED","AMBER"))</f>
        <v>RED</v>
      </c>
      <c r="J93" s="13" t="s">
        <v>34</v>
      </c>
      <c r="K93" s="14" t="str">
        <f aca="false">IF(OR(J93="Réussi",J93="Exception acceptée"),"GREEN",IF(OR(J93="Non commencé",J93="Échec"),"RED","AMBER"))</f>
        <v>RED</v>
      </c>
      <c r="L93" s="10"/>
      <c r="M93" s="10"/>
      <c r="N93" s="15" t="str">
        <f aca="true">IF(G93&lt;&gt;"",TODAY()-G93,"")</f>
        <v/>
      </c>
    </row>
    <row r="94" customFormat="false" ht="18" hidden="false" customHeight="true" outlineLevel="0" collapsed="false">
      <c r="A94" s="16" t="s">
        <v>167</v>
      </c>
      <c r="B94" s="17" t="s">
        <v>166</v>
      </c>
      <c r="C94" s="17" t="s">
        <v>103</v>
      </c>
      <c r="D94" s="16" t="s">
        <v>94</v>
      </c>
      <c r="E94" s="17" t="s">
        <v>105</v>
      </c>
      <c r="F94" s="17" t="s">
        <v>168</v>
      </c>
      <c r="G94" s="17"/>
      <c r="H94" s="18" t="s">
        <v>33</v>
      </c>
      <c r="I94" s="12" t="str">
        <f aca="false">IF(OR(H94="Passed",H94="Accepted Exception"),"GREEN",IF(OR(H94="Not Started",H94="Failed"),"RED","AMBER"))</f>
        <v>RED</v>
      </c>
      <c r="J94" s="19" t="s">
        <v>34</v>
      </c>
      <c r="K94" s="14" t="str">
        <f aca="false">IF(OR(J94="Réussi",J94="Exception acceptée"),"GREEN",IF(OR(J94="Non commencé",J94="Échec"),"RED","AMBER"))</f>
        <v>RED</v>
      </c>
      <c r="L94" s="17"/>
      <c r="M94" s="17"/>
      <c r="N94" s="15" t="str">
        <f aca="true">IF(G94&lt;&gt;"",TODAY()-G94,"")</f>
        <v/>
      </c>
    </row>
    <row r="95" customFormat="false" ht="18" hidden="false" customHeight="true" outlineLevel="0" collapsed="false">
      <c r="A95" s="9" t="s">
        <v>97</v>
      </c>
      <c r="B95" s="10" t="s">
        <v>98</v>
      </c>
      <c r="C95" s="10" t="s">
        <v>103</v>
      </c>
      <c r="D95" s="9" t="s">
        <v>94</v>
      </c>
      <c r="E95" s="10" t="s">
        <v>105</v>
      </c>
      <c r="F95" s="10" t="s">
        <v>97</v>
      </c>
      <c r="G95" s="10"/>
      <c r="H95" s="11" t="s">
        <v>33</v>
      </c>
      <c r="I95" s="12" t="str">
        <f aca="false">IF(OR(H95="Passed",H95="Accepted Exception"),"GREEN",IF(OR(H95="Not Started",H95="Failed"),"RED","AMBER"))</f>
        <v>RED</v>
      </c>
      <c r="J95" s="13" t="s">
        <v>34</v>
      </c>
      <c r="K95" s="14" t="str">
        <f aca="false">IF(OR(J95="Réussi",J95="Exception acceptée"),"GREEN",IF(OR(J95="Non commencé",J95="Échec"),"RED","AMBER"))</f>
        <v>RED</v>
      </c>
      <c r="L95" s="10"/>
      <c r="M95" s="10"/>
      <c r="N95" s="15" t="str">
        <f aca="true">IF(G95&lt;&gt;"",TODAY()-G95,"")</f>
        <v/>
      </c>
    </row>
    <row r="96" customFormat="false" ht="18" hidden="false" customHeight="true" outlineLevel="0" collapsed="false">
      <c r="A96" s="16" t="s">
        <v>99</v>
      </c>
      <c r="B96" s="17" t="s">
        <v>98</v>
      </c>
      <c r="C96" s="17" t="s">
        <v>103</v>
      </c>
      <c r="D96" s="16" t="s">
        <v>94</v>
      </c>
      <c r="E96" s="17" t="s">
        <v>105</v>
      </c>
      <c r="F96" s="17" t="s">
        <v>100</v>
      </c>
      <c r="G96" s="17"/>
      <c r="H96" s="18" t="s">
        <v>33</v>
      </c>
      <c r="I96" s="12" t="str">
        <f aca="false">IF(OR(H96="Passed",H96="Accepted Exception"),"GREEN",IF(OR(H96="Not Started",H96="Failed"),"RED","AMBER"))</f>
        <v>RED</v>
      </c>
      <c r="J96" s="19" t="s">
        <v>34</v>
      </c>
      <c r="K96" s="14" t="str">
        <f aca="false">IF(OR(J96="Réussi",J96="Exception acceptée"),"GREEN",IF(OR(J96="Non commencé",J96="Échec"),"RED","AMBER"))</f>
        <v>RED</v>
      </c>
      <c r="L96" s="17"/>
      <c r="M96" s="17"/>
      <c r="N96" s="15" t="str">
        <f aca="true">IF(G96&lt;&gt;"",TODAY()-G96,"")</f>
        <v/>
      </c>
    </row>
    <row r="97" customFormat="false" ht="18" hidden="false" customHeight="true" outlineLevel="0" collapsed="false">
      <c r="A97" s="9" t="s">
        <v>169</v>
      </c>
      <c r="B97" s="10" t="s">
        <v>170</v>
      </c>
      <c r="C97" s="10" t="s">
        <v>103</v>
      </c>
      <c r="D97" s="9" t="s">
        <v>94</v>
      </c>
      <c r="E97" s="10" t="s">
        <v>105</v>
      </c>
      <c r="F97" s="10" t="s">
        <v>169</v>
      </c>
      <c r="G97" s="10"/>
      <c r="H97" s="11" t="s">
        <v>33</v>
      </c>
      <c r="I97" s="12" t="str">
        <f aca="false">IF(OR(H97="Passed",H97="Accepted Exception"),"GREEN",IF(OR(H97="Not Started",H97="Failed"),"RED","AMBER"))</f>
        <v>RED</v>
      </c>
      <c r="J97" s="13" t="s">
        <v>34</v>
      </c>
      <c r="K97" s="14" t="str">
        <f aca="false">IF(OR(J97="Réussi",J97="Exception acceptée"),"GREEN",IF(OR(J97="Non commencé",J97="Échec"),"RED","AMBER"))</f>
        <v>RED</v>
      </c>
      <c r="L97" s="10"/>
      <c r="M97" s="10"/>
      <c r="N97" s="15" t="str">
        <f aca="true">IF(G97&lt;&gt;"",TODAY()-G97,"")</f>
        <v/>
      </c>
    </row>
    <row r="98" customFormat="false" ht="18" hidden="false" customHeight="true" outlineLevel="0" collapsed="false">
      <c r="A98" s="16" t="s">
        <v>64</v>
      </c>
      <c r="B98" s="17" t="s">
        <v>65</v>
      </c>
      <c r="C98" s="17" t="s">
        <v>103</v>
      </c>
      <c r="D98" s="16" t="s">
        <v>66</v>
      </c>
      <c r="E98" s="17" t="s">
        <v>105</v>
      </c>
      <c r="F98" s="17" t="s">
        <v>67</v>
      </c>
      <c r="G98" s="17"/>
      <c r="H98" s="18" t="s">
        <v>33</v>
      </c>
      <c r="I98" s="12" t="str">
        <f aca="false">IF(OR(H98="Passed",H98="Accepted Exception"),"GREEN",IF(OR(H98="Not Started",H98="Failed"),"RED","AMBER"))</f>
        <v>RED</v>
      </c>
      <c r="J98" s="19" t="s">
        <v>34</v>
      </c>
      <c r="K98" s="14" t="str">
        <f aca="false">IF(OR(J98="Réussi",J98="Exception acceptée"),"GREEN",IF(OR(J98="Non commencé",J98="Échec"),"RED","AMBER"))</f>
        <v>RED</v>
      </c>
      <c r="L98" s="17"/>
      <c r="M98" s="17"/>
      <c r="N98" s="15" t="str">
        <f aca="true">IF(G98&lt;&gt;"",TODAY()-G98,"")</f>
        <v/>
      </c>
    </row>
    <row r="99" customFormat="false" ht="18" hidden="false" customHeight="true" outlineLevel="0" collapsed="false">
      <c r="A99" s="9" t="s">
        <v>171</v>
      </c>
      <c r="B99" s="10" t="s">
        <v>65</v>
      </c>
      <c r="C99" s="10" t="s">
        <v>103</v>
      </c>
      <c r="D99" s="9" t="s">
        <v>66</v>
      </c>
      <c r="E99" s="10" t="s">
        <v>105</v>
      </c>
      <c r="F99" s="10" t="s">
        <v>172</v>
      </c>
      <c r="G99" s="10"/>
      <c r="H99" s="11" t="s">
        <v>33</v>
      </c>
      <c r="I99" s="12" t="str">
        <f aca="false">IF(OR(H99="Passed",H99="Accepted Exception"),"GREEN",IF(OR(H99="Not Started",H99="Failed"),"RED","AMBER"))</f>
        <v>RED</v>
      </c>
      <c r="J99" s="13" t="s">
        <v>34</v>
      </c>
      <c r="K99" s="14" t="str">
        <f aca="false">IF(OR(J99="Réussi",J99="Exception acceptée"),"GREEN",IF(OR(J99="Non commencé",J99="Échec"),"RED","AMBER"))</f>
        <v>RED</v>
      </c>
      <c r="L99" s="10"/>
      <c r="M99" s="10"/>
      <c r="N99" s="15" t="str">
        <f aca="true">IF(G99&lt;&gt;"",TODAY()-G99,"")</f>
        <v/>
      </c>
    </row>
    <row r="100" customFormat="false" ht="18" hidden="false" customHeight="true" outlineLevel="0" collapsed="false">
      <c r="A100" s="16" t="s">
        <v>173</v>
      </c>
      <c r="B100" s="17" t="s">
        <v>65</v>
      </c>
      <c r="C100" s="17" t="s">
        <v>103</v>
      </c>
      <c r="D100" s="16" t="s">
        <v>66</v>
      </c>
      <c r="E100" s="17" t="s">
        <v>105</v>
      </c>
      <c r="F100" s="17" t="s">
        <v>174</v>
      </c>
      <c r="G100" s="17"/>
      <c r="H100" s="18" t="s">
        <v>33</v>
      </c>
      <c r="I100" s="12" t="str">
        <f aca="false">IF(OR(H100="Passed",H100="Accepted Exception"),"GREEN",IF(OR(H100="Not Started",H100="Failed"),"RED","AMBER"))</f>
        <v>RED</v>
      </c>
      <c r="J100" s="19" t="s">
        <v>34</v>
      </c>
      <c r="K100" s="14" t="str">
        <f aca="false">IF(OR(J100="Réussi",J100="Exception acceptée"),"GREEN",IF(OR(J100="Non commencé",J100="Échec"),"RED","AMBER"))</f>
        <v>RED</v>
      </c>
      <c r="L100" s="17"/>
      <c r="M100" s="17"/>
      <c r="N100" s="15" t="str">
        <f aca="true">IF(G100&lt;&gt;"",TODAY()-G100,"")</f>
        <v/>
      </c>
    </row>
    <row r="101" customFormat="false" ht="18" hidden="false" customHeight="true" outlineLevel="0" collapsed="false">
      <c r="A101" s="9" t="s">
        <v>68</v>
      </c>
      <c r="B101" s="10" t="s">
        <v>69</v>
      </c>
      <c r="C101" s="10" t="s">
        <v>103</v>
      </c>
      <c r="D101" s="9" t="s">
        <v>66</v>
      </c>
      <c r="E101" s="10" t="s">
        <v>105</v>
      </c>
      <c r="F101" s="10" t="s">
        <v>68</v>
      </c>
      <c r="G101" s="10"/>
      <c r="H101" s="11" t="s">
        <v>33</v>
      </c>
      <c r="I101" s="12" t="str">
        <f aca="false">IF(OR(H101="Passed",H101="Accepted Exception"),"GREEN",IF(OR(H101="Not Started",H101="Failed"),"RED","AMBER"))</f>
        <v>RED</v>
      </c>
      <c r="J101" s="13" t="s">
        <v>34</v>
      </c>
      <c r="K101" s="14" t="str">
        <f aca="false">IF(OR(J101="Réussi",J101="Exception acceptée"),"GREEN",IF(OR(J101="Non commencé",J101="Échec"),"RED","AMBER"))</f>
        <v>RED</v>
      </c>
      <c r="L101" s="10"/>
      <c r="M101" s="10"/>
      <c r="N101" s="15" t="str">
        <f aca="true">IF(G101&lt;&gt;"",TODAY()-G101,"")</f>
        <v/>
      </c>
    </row>
    <row r="102" customFormat="false" ht="18" hidden="false" customHeight="true" outlineLevel="0" collapsed="false">
      <c r="A102" s="16" t="s">
        <v>175</v>
      </c>
      <c r="B102" s="17" t="s">
        <v>176</v>
      </c>
      <c r="C102" s="17" t="s">
        <v>103</v>
      </c>
      <c r="D102" s="16" t="s">
        <v>66</v>
      </c>
      <c r="E102" s="17" t="s">
        <v>105</v>
      </c>
      <c r="F102" s="17" t="s">
        <v>175</v>
      </c>
      <c r="G102" s="17"/>
      <c r="H102" s="18" t="s">
        <v>33</v>
      </c>
      <c r="I102" s="12" t="str">
        <f aca="false">IF(OR(H102="Passed",H102="Accepted Exception"),"GREEN",IF(OR(H102="Not Started",H102="Failed"),"RED","AMBER"))</f>
        <v>RED</v>
      </c>
      <c r="J102" s="19" t="s">
        <v>34</v>
      </c>
      <c r="K102" s="14" t="str">
        <f aca="false">IF(OR(J102="Réussi",J102="Exception acceptée"),"GREEN",IF(OR(J102="Non commencé",J102="Échec"),"RED","AMBER"))</f>
        <v>RED</v>
      </c>
      <c r="L102" s="17"/>
      <c r="M102" s="17"/>
      <c r="N102" s="15" t="str">
        <f aca="true">IF(G102&lt;&gt;"",TODAY()-G102,"")</f>
        <v/>
      </c>
    </row>
    <row r="103" customFormat="false" ht="18" hidden="false" customHeight="true" outlineLevel="0" collapsed="false">
      <c r="A103" s="9" t="s">
        <v>177</v>
      </c>
      <c r="B103" s="10" t="s">
        <v>176</v>
      </c>
      <c r="C103" s="10" t="s">
        <v>103</v>
      </c>
      <c r="D103" s="9" t="s">
        <v>66</v>
      </c>
      <c r="E103" s="10" t="s">
        <v>105</v>
      </c>
      <c r="F103" s="10" t="s">
        <v>178</v>
      </c>
      <c r="G103" s="10"/>
      <c r="H103" s="11" t="s">
        <v>33</v>
      </c>
      <c r="I103" s="12" t="str">
        <f aca="false">IF(OR(H103="Passed",H103="Accepted Exception"),"GREEN",IF(OR(H103="Not Started",H103="Failed"),"RED","AMBER"))</f>
        <v>RED</v>
      </c>
      <c r="J103" s="13" t="s">
        <v>34</v>
      </c>
      <c r="K103" s="14" t="str">
        <f aca="false">IF(OR(J103="Réussi",J103="Exception acceptée"),"GREEN",IF(OR(J103="Non commencé",J103="Échec"),"RED","AMBER"))</f>
        <v>RED</v>
      </c>
      <c r="L103" s="10"/>
      <c r="M103" s="10"/>
      <c r="N103" s="15" t="str">
        <f aca="true">IF(G103&lt;&gt;"",TODAY()-G103,"")</f>
        <v/>
      </c>
    </row>
    <row r="104" customFormat="false" ht="18" hidden="false" customHeight="true" outlineLevel="0" collapsed="false">
      <c r="A104" s="16" t="s">
        <v>179</v>
      </c>
      <c r="B104" s="17" t="s">
        <v>180</v>
      </c>
      <c r="C104" s="17" t="s">
        <v>103</v>
      </c>
      <c r="D104" s="16" t="s">
        <v>66</v>
      </c>
      <c r="E104" s="17" t="s">
        <v>105</v>
      </c>
      <c r="F104" s="17" t="s">
        <v>179</v>
      </c>
      <c r="G104" s="17"/>
      <c r="H104" s="18" t="s">
        <v>33</v>
      </c>
      <c r="I104" s="12" t="str">
        <f aca="false">IF(OR(H104="Passed",H104="Accepted Exception"),"GREEN",IF(OR(H104="Not Started",H104="Failed"),"RED","AMBER"))</f>
        <v>RED</v>
      </c>
      <c r="J104" s="19" t="s">
        <v>34</v>
      </c>
      <c r="K104" s="14" t="str">
        <f aca="false">IF(OR(J104="Réussi",J104="Exception acceptée"),"GREEN",IF(OR(J104="Non commencé",J104="Échec"),"RED","AMBER"))</f>
        <v>RED</v>
      </c>
      <c r="L104" s="17"/>
      <c r="M104" s="17"/>
      <c r="N104" s="15" t="str">
        <f aca="true">IF(G104&lt;&gt;"",TODAY()-G104,"")</f>
        <v/>
      </c>
    </row>
    <row r="105" customFormat="false" ht="18" hidden="false" customHeight="true" outlineLevel="0" collapsed="false">
      <c r="A105" s="9" t="s">
        <v>181</v>
      </c>
      <c r="B105" s="10" t="s">
        <v>182</v>
      </c>
      <c r="C105" s="10" t="s">
        <v>103</v>
      </c>
      <c r="D105" s="9" t="s">
        <v>66</v>
      </c>
      <c r="E105" s="10" t="s">
        <v>105</v>
      </c>
      <c r="F105" s="10" t="s">
        <v>181</v>
      </c>
      <c r="G105" s="10"/>
      <c r="H105" s="11" t="s">
        <v>33</v>
      </c>
      <c r="I105" s="12" t="str">
        <f aca="false">IF(OR(H105="Passed",H105="Accepted Exception"),"GREEN",IF(OR(H105="Not Started",H105="Failed"),"RED","AMBER"))</f>
        <v>RED</v>
      </c>
      <c r="J105" s="13" t="s">
        <v>34</v>
      </c>
      <c r="K105" s="14" t="str">
        <f aca="false">IF(OR(J105="Réussi",J105="Exception acceptée"),"GREEN",IF(OR(J105="Non commencé",J105="Échec"),"RED","AMBER"))</f>
        <v>RED</v>
      </c>
      <c r="L105" s="10"/>
      <c r="M105" s="10"/>
      <c r="N105" s="15" t="str">
        <f aca="true">IF(G105&lt;&gt;"",TODAY()-G105,"")</f>
        <v/>
      </c>
    </row>
    <row r="106" customFormat="false" ht="18" hidden="false" customHeight="true" outlineLevel="0" collapsed="false">
      <c r="A106" s="16" t="s">
        <v>101</v>
      </c>
      <c r="B106" s="17" t="s">
        <v>102</v>
      </c>
      <c r="C106" s="17" t="s">
        <v>183</v>
      </c>
      <c r="D106" s="16" t="s">
        <v>104</v>
      </c>
      <c r="E106" s="17" t="s">
        <v>184</v>
      </c>
      <c r="F106" s="17" t="s">
        <v>101</v>
      </c>
      <c r="G106" s="17"/>
      <c r="H106" s="18" t="s">
        <v>33</v>
      </c>
      <c r="I106" s="12" t="str">
        <f aca="false">IF(OR(H106="Passed",H106="Accepted Exception"),"GREEN",IF(OR(H106="Not Started",H106="Failed"),"RED","AMBER"))</f>
        <v>RED</v>
      </c>
      <c r="J106" s="19" t="s">
        <v>34</v>
      </c>
      <c r="K106" s="14" t="str">
        <f aca="false">IF(OR(J106="Réussi",J106="Exception acceptée"),"GREEN",IF(OR(J106="Non commencé",J106="Échec"),"RED","AMBER"))</f>
        <v>RED</v>
      </c>
      <c r="L106" s="17"/>
      <c r="M106" s="17"/>
      <c r="N106" s="15" t="str">
        <f aca="true">IF(G106&lt;&gt;"",TODAY()-G106,"")</f>
        <v/>
      </c>
    </row>
    <row r="107" customFormat="false" ht="18" hidden="false" customHeight="true" outlineLevel="0" collapsed="false">
      <c r="A107" s="9" t="s">
        <v>106</v>
      </c>
      <c r="B107" s="10" t="s">
        <v>102</v>
      </c>
      <c r="C107" s="10" t="s">
        <v>183</v>
      </c>
      <c r="D107" s="9" t="s">
        <v>104</v>
      </c>
      <c r="E107" s="10" t="s">
        <v>184</v>
      </c>
      <c r="F107" s="10" t="s">
        <v>107</v>
      </c>
      <c r="G107" s="10"/>
      <c r="H107" s="11" t="s">
        <v>33</v>
      </c>
      <c r="I107" s="12" t="str">
        <f aca="false">IF(OR(H107="Passed",H107="Accepted Exception"),"GREEN",IF(OR(H107="Not Started",H107="Failed"),"RED","AMBER"))</f>
        <v>RED</v>
      </c>
      <c r="J107" s="13" t="s">
        <v>34</v>
      </c>
      <c r="K107" s="14" t="str">
        <f aca="false">IF(OR(J107="Réussi",J107="Exception acceptée"),"GREEN",IF(OR(J107="Non commencé",J107="Échec"),"RED","AMBER"))</f>
        <v>RED</v>
      </c>
      <c r="L107" s="10"/>
      <c r="M107" s="10"/>
      <c r="N107" s="15" t="str">
        <f aca="true">IF(G107&lt;&gt;"",TODAY()-G107,"")</f>
        <v/>
      </c>
    </row>
    <row r="108" customFormat="false" ht="18" hidden="false" customHeight="true" outlineLevel="0" collapsed="false">
      <c r="A108" s="16" t="s">
        <v>185</v>
      </c>
      <c r="B108" s="17" t="s">
        <v>119</v>
      </c>
      <c r="C108" s="17" t="s">
        <v>183</v>
      </c>
      <c r="D108" s="16" t="s">
        <v>104</v>
      </c>
      <c r="E108" s="17" t="s">
        <v>184</v>
      </c>
      <c r="F108" s="17" t="s">
        <v>186</v>
      </c>
      <c r="G108" s="17"/>
      <c r="H108" s="18" t="s">
        <v>33</v>
      </c>
      <c r="I108" s="12" t="str">
        <f aca="false">IF(OR(H108="Passed",H108="Accepted Exception"),"GREEN",IF(OR(H108="Not Started",H108="Failed"),"RED","AMBER"))</f>
        <v>RED</v>
      </c>
      <c r="J108" s="19" t="s">
        <v>34</v>
      </c>
      <c r="K108" s="14" t="str">
        <f aca="false">IF(OR(J108="Réussi",J108="Exception acceptée"),"GREEN",IF(OR(J108="Non commencé",J108="Échec"),"RED","AMBER"))</f>
        <v>RED</v>
      </c>
      <c r="L108" s="17"/>
      <c r="M108" s="17"/>
      <c r="N108" s="15" t="str">
        <f aca="true">IF(G108&lt;&gt;"",TODAY()-G108,"")</f>
        <v/>
      </c>
    </row>
    <row r="109" customFormat="false" ht="18" hidden="false" customHeight="true" outlineLevel="0" collapsed="false">
      <c r="A109" s="9" t="s">
        <v>28</v>
      </c>
      <c r="B109" s="10" t="s">
        <v>29</v>
      </c>
      <c r="C109" s="10" t="s">
        <v>183</v>
      </c>
      <c r="D109" s="9" t="s">
        <v>31</v>
      </c>
      <c r="E109" s="10" t="s">
        <v>184</v>
      </c>
      <c r="F109" s="10" t="s">
        <v>28</v>
      </c>
      <c r="G109" s="10"/>
      <c r="H109" s="11" t="s">
        <v>33</v>
      </c>
      <c r="I109" s="12" t="str">
        <f aca="false">IF(OR(H109="Passed",H109="Accepted Exception"),"GREEN",IF(OR(H109="Not Started",H109="Failed"),"RED","AMBER"))</f>
        <v>RED</v>
      </c>
      <c r="J109" s="13" t="s">
        <v>34</v>
      </c>
      <c r="K109" s="14" t="str">
        <f aca="false">IF(OR(J109="Réussi",J109="Exception acceptée"),"GREEN",IF(OR(J109="Non commencé",J109="Échec"),"RED","AMBER"))</f>
        <v>RED</v>
      </c>
      <c r="L109" s="10"/>
      <c r="M109" s="10"/>
      <c r="N109" s="15" t="str">
        <f aca="true">IF(G109&lt;&gt;"",TODAY()-G109,"")</f>
        <v/>
      </c>
    </row>
    <row r="110" customFormat="false" ht="18" hidden="false" customHeight="true" outlineLevel="0" collapsed="false">
      <c r="A110" s="16" t="s">
        <v>35</v>
      </c>
      <c r="B110" s="17" t="s">
        <v>36</v>
      </c>
      <c r="C110" s="17" t="s">
        <v>183</v>
      </c>
      <c r="D110" s="16" t="s">
        <v>31</v>
      </c>
      <c r="E110" s="17" t="s">
        <v>184</v>
      </c>
      <c r="F110" s="17" t="s">
        <v>35</v>
      </c>
      <c r="G110" s="17"/>
      <c r="H110" s="18" t="s">
        <v>33</v>
      </c>
      <c r="I110" s="12" t="str">
        <f aca="false">IF(OR(H110="Passed",H110="Accepted Exception"),"GREEN",IF(OR(H110="Not Started",H110="Failed"),"RED","AMBER"))</f>
        <v>RED</v>
      </c>
      <c r="J110" s="19" t="s">
        <v>34</v>
      </c>
      <c r="K110" s="14" t="str">
        <f aca="false">IF(OR(J110="Réussi",J110="Exception acceptée"),"GREEN",IF(OR(J110="Non commencé",J110="Échec"),"RED","AMBER"))</f>
        <v>RED</v>
      </c>
      <c r="L110" s="17"/>
      <c r="M110" s="17"/>
      <c r="N110" s="15" t="str">
        <f aca="true">IF(G110&lt;&gt;"",TODAY()-G110,"")</f>
        <v/>
      </c>
    </row>
    <row r="111" customFormat="false" ht="18" hidden="false" customHeight="true" outlineLevel="0" collapsed="false">
      <c r="A111" s="9" t="s">
        <v>37</v>
      </c>
      <c r="B111" s="10" t="s">
        <v>36</v>
      </c>
      <c r="C111" s="10" t="s">
        <v>183</v>
      </c>
      <c r="D111" s="9" t="s">
        <v>31</v>
      </c>
      <c r="E111" s="10" t="s">
        <v>184</v>
      </c>
      <c r="F111" s="10" t="s">
        <v>38</v>
      </c>
      <c r="G111" s="10"/>
      <c r="H111" s="11" t="s">
        <v>33</v>
      </c>
      <c r="I111" s="12" t="str">
        <f aca="false">IF(OR(H111="Passed",H111="Accepted Exception"),"GREEN",IF(OR(H111="Not Started",H111="Failed"),"RED","AMBER"))</f>
        <v>RED</v>
      </c>
      <c r="J111" s="13" t="s">
        <v>34</v>
      </c>
      <c r="K111" s="14" t="str">
        <f aca="false">IF(OR(J111="Réussi",J111="Exception acceptée"),"GREEN",IF(OR(J111="Non commencé",J111="Échec"),"RED","AMBER"))</f>
        <v>RED</v>
      </c>
      <c r="L111" s="10"/>
      <c r="M111" s="10"/>
      <c r="N111" s="15" t="str">
        <f aca="true">IF(G111&lt;&gt;"",TODAY()-G111,"")</f>
        <v/>
      </c>
    </row>
    <row r="112" customFormat="false" ht="18" hidden="false" customHeight="true" outlineLevel="0" collapsed="false">
      <c r="A112" s="16" t="s">
        <v>39</v>
      </c>
      <c r="B112" s="17" t="s">
        <v>40</v>
      </c>
      <c r="C112" s="17" t="s">
        <v>183</v>
      </c>
      <c r="D112" s="16" t="s">
        <v>31</v>
      </c>
      <c r="E112" s="17" t="s">
        <v>184</v>
      </c>
      <c r="F112" s="17" t="s">
        <v>41</v>
      </c>
      <c r="G112" s="17"/>
      <c r="H112" s="18" t="s">
        <v>33</v>
      </c>
      <c r="I112" s="12" t="str">
        <f aca="false">IF(OR(H112="Passed",H112="Accepted Exception"),"GREEN",IF(OR(H112="Not Started",H112="Failed"),"RED","AMBER"))</f>
        <v>RED</v>
      </c>
      <c r="J112" s="19" t="s">
        <v>34</v>
      </c>
      <c r="K112" s="14" t="str">
        <f aca="false">IF(OR(J112="Réussi",J112="Exception acceptée"),"GREEN",IF(OR(J112="Non commencé",J112="Échec"),"RED","AMBER"))</f>
        <v>RED</v>
      </c>
      <c r="L112" s="17"/>
      <c r="M112" s="17"/>
      <c r="N112" s="15" t="str">
        <f aca="true">IF(G112&lt;&gt;"",TODAY()-G112,"")</f>
        <v/>
      </c>
    </row>
    <row r="113" customFormat="false" ht="18" hidden="false" customHeight="true" outlineLevel="0" collapsed="false">
      <c r="A113" s="9" t="s">
        <v>42</v>
      </c>
      <c r="B113" s="10" t="s">
        <v>43</v>
      </c>
      <c r="C113" s="10" t="s">
        <v>183</v>
      </c>
      <c r="D113" s="9" t="s">
        <v>31</v>
      </c>
      <c r="E113" s="10" t="s">
        <v>184</v>
      </c>
      <c r="F113" s="10" t="s">
        <v>42</v>
      </c>
      <c r="G113" s="10"/>
      <c r="H113" s="11" t="s">
        <v>33</v>
      </c>
      <c r="I113" s="12" t="str">
        <f aca="false">IF(OR(H113="Passed",H113="Accepted Exception"),"GREEN",IF(OR(H113="Not Started",H113="Failed"),"RED","AMBER"))</f>
        <v>RED</v>
      </c>
      <c r="J113" s="13" t="s">
        <v>34</v>
      </c>
      <c r="K113" s="14" t="str">
        <f aca="false">IF(OR(J113="Réussi",J113="Exception acceptée"),"GREEN",IF(OR(J113="Non commencé",J113="Échec"),"RED","AMBER"))</f>
        <v>RED</v>
      </c>
      <c r="L113" s="10"/>
      <c r="M113" s="10"/>
      <c r="N113" s="15" t="str">
        <f aca="true">IF(G113&lt;&gt;"",TODAY()-G113,"")</f>
        <v/>
      </c>
    </row>
    <row r="114" customFormat="false" ht="18" hidden="false" customHeight="true" outlineLevel="0" collapsed="false">
      <c r="A114" s="16" t="s">
        <v>125</v>
      </c>
      <c r="B114" s="17" t="s">
        <v>126</v>
      </c>
      <c r="C114" s="17" t="s">
        <v>183</v>
      </c>
      <c r="D114" s="16" t="s">
        <v>127</v>
      </c>
      <c r="E114" s="17" t="s">
        <v>184</v>
      </c>
      <c r="F114" s="17" t="s">
        <v>128</v>
      </c>
      <c r="G114" s="17"/>
      <c r="H114" s="18" t="s">
        <v>33</v>
      </c>
      <c r="I114" s="12" t="str">
        <f aca="false">IF(OR(H114="Passed",H114="Accepted Exception"),"GREEN",IF(OR(H114="Not Started",H114="Failed"),"RED","AMBER"))</f>
        <v>RED</v>
      </c>
      <c r="J114" s="19" t="s">
        <v>34</v>
      </c>
      <c r="K114" s="14" t="str">
        <f aca="false">IF(OR(J114="Réussi",J114="Exception acceptée"),"GREEN",IF(OR(J114="Non commencé",J114="Échec"),"RED","AMBER"))</f>
        <v>RED</v>
      </c>
      <c r="L114" s="17"/>
      <c r="M114" s="17"/>
      <c r="N114" s="15" t="str">
        <f aca="true">IF(G114&lt;&gt;"",TODAY()-G114,"")</f>
        <v/>
      </c>
    </row>
    <row r="115" customFormat="false" ht="18" hidden="false" customHeight="true" outlineLevel="0" collapsed="false">
      <c r="A115" s="9" t="s">
        <v>129</v>
      </c>
      <c r="B115" s="10" t="s">
        <v>130</v>
      </c>
      <c r="C115" s="10" t="s">
        <v>183</v>
      </c>
      <c r="D115" s="9" t="s">
        <v>127</v>
      </c>
      <c r="E115" s="10" t="s">
        <v>184</v>
      </c>
      <c r="F115" s="10" t="s">
        <v>129</v>
      </c>
      <c r="G115" s="10"/>
      <c r="H115" s="11" t="s">
        <v>33</v>
      </c>
      <c r="I115" s="12" t="str">
        <f aca="false">IF(OR(H115="Passed",H115="Accepted Exception"),"GREEN",IF(OR(H115="Not Started",H115="Failed"),"RED","AMBER"))</f>
        <v>RED</v>
      </c>
      <c r="J115" s="13" t="s">
        <v>34</v>
      </c>
      <c r="K115" s="14" t="str">
        <f aca="false">IF(OR(J115="Réussi",J115="Exception acceptée"),"GREEN",IF(OR(J115="Non commencé",J115="Échec"),"RED","AMBER"))</f>
        <v>RED</v>
      </c>
      <c r="L115" s="10"/>
      <c r="M115" s="10"/>
      <c r="N115" s="15" t="str">
        <f aca="true">IF(G115&lt;&gt;"",TODAY()-G115,"")</f>
        <v/>
      </c>
    </row>
    <row r="116" customFormat="false" ht="18" hidden="false" customHeight="true" outlineLevel="0" collapsed="false">
      <c r="A116" s="16" t="s">
        <v>74</v>
      </c>
      <c r="B116" s="17" t="s">
        <v>75</v>
      </c>
      <c r="C116" s="17" t="s">
        <v>183</v>
      </c>
      <c r="D116" s="16" t="s">
        <v>46</v>
      </c>
      <c r="E116" s="17" t="s">
        <v>184</v>
      </c>
      <c r="F116" s="17" t="s">
        <v>76</v>
      </c>
      <c r="G116" s="17"/>
      <c r="H116" s="18" t="s">
        <v>33</v>
      </c>
      <c r="I116" s="12" t="str">
        <f aca="false">IF(OR(H116="Passed",H116="Accepted Exception"),"GREEN",IF(OR(H116="Not Started",H116="Failed"),"RED","AMBER"))</f>
        <v>RED</v>
      </c>
      <c r="J116" s="19" t="s">
        <v>34</v>
      </c>
      <c r="K116" s="14" t="str">
        <f aca="false">IF(OR(J116="Réussi",J116="Exception acceptée"),"GREEN",IF(OR(J116="Non commencé",J116="Échec"),"RED","AMBER"))</f>
        <v>RED</v>
      </c>
      <c r="L116" s="17"/>
      <c r="M116" s="17"/>
      <c r="N116" s="15" t="str">
        <f aca="true">IF(G116&lt;&gt;"",TODAY()-G116,"")</f>
        <v/>
      </c>
    </row>
    <row r="117" customFormat="false" ht="18" hidden="false" customHeight="true" outlineLevel="0" collapsed="false">
      <c r="A117" s="9" t="s">
        <v>187</v>
      </c>
      <c r="B117" s="10" t="s">
        <v>78</v>
      </c>
      <c r="C117" s="10" t="s">
        <v>183</v>
      </c>
      <c r="D117" s="9" t="s">
        <v>46</v>
      </c>
      <c r="E117" s="10" t="s">
        <v>184</v>
      </c>
      <c r="F117" s="10" t="s">
        <v>188</v>
      </c>
      <c r="G117" s="10"/>
      <c r="H117" s="11" t="s">
        <v>33</v>
      </c>
      <c r="I117" s="12" t="str">
        <f aca="false">IF(OR(H117="Passed",H117="Accepted Exception"),"GREEN",IF(OR(H117="Not Started",H117="Failed"),"RED","AMBER"))</f>
        <v>RED</v>
      </c>
      <c r="J117" s="13" t="s">
        <v>34</v>
      </c>
      <c r="K117" s="14" t="str">
        <f aca="false">IF(OR(J117="Réussi",J117="Exception acceptée"),"GREEN",IF(OR(J117="Non commencé",J117="Échec"),"RED","AMBER"))</f>
        <v>RED</v>
      </c>
      <c r="L117" s="10"/>
      <c r="M117" s="10"/>
      <c r="N117" s="15" t="str">
        <f aca="true">IF(G117&lt;&gt;"",TODAY()-G117,"")</f>
        <v/>
      </c>
    </row>
    <row r="118" customFormat="false" ht="18" hidden="false" customHeight="true" outlineLevel="0" collapsed="false">
      <c r="A118" s="16" t="s">
        <v>44</v>
      </c>
      <c r="B118" s="17" t="s">
        <v>45</v>
      </c>
      <c r="C118" s="17" t="s">
        <v>183</v>
      </c>
      <c r="D118" s="16" t="s">
        <v>46</v>
      </c>
      <c r="E118" s="17" t="s">
        <v>184</v>
      </c>
      <c r="F118" s="17" t="s">
        <v>44</v>
      </c>
      <c r="G118" s="17"/>
      <c r="H118" s="18" t="s">
        <v>33</v>
      </c>
      <c r="I118" s="12" t="str">
        <f aca="false">IF(OR(H118="Passed",H118="Accepted Exception"),"GREEN",IF(OR(H118="Not Started",H118="Failed"),"RED","AMBER"))</f>
        <v>RED</v>
      </c>
      <c r="J118" s="19" t="s">
        <v>34</v>
      </c>
      <c r="K118" s="14" t="str">
        <f aca="false">IF(OR(J118="Réussi",J118="Exception acceptée"),"GREEN",IF(OR(J118="Non commencé",J118="Échec"),"RED","AMBER"))</f>
        <v>RED</v>
      </c>
      <c r="L118" s="17"/>
      <c r="M118" s="17"/>
      <c r="N118" s="15" t="str">
        <f aca="true">IF(G118&lt;&gt;"",TODAY()-G118,"")</f>
        <v/>
      </c>
    </row>
    <row r="119" customFormat="false" ht="18" hidden="false" customHeight="true" outlineLevel="0" collapsed="false">
      <c r="A119" s="9" t="s">
        <v>47</v>
      </c>
      <c r="B119" s="10" t="s">
        <v>48</v>
      </c>
      <c r="C119" s="10" t="s">
        <v>183</v>
      </c>
      <c r="D119" s="9" t="s">
        <v>46</v>
      </c>
      <c r="E119" s="10" t="s">
        <v>184</v>
      </c>
      <c r="F119" s="10" t="s">
        <v>47</v>
      </c>
      <c r="G119" s="10"/>
      <c r="H119" s="11" t="s">
        <v>33</v>
      </c>
      <c r="I119" s="12" t="str">
        <f aca="false">IF(OR(H119="Passed",H119="Accepted Exception"),"GREEN",IF(OR(H119="Not Started",H119="Failed"),"RED","AMBER"))</f>
        <v>RED</v>
      </c>
      <c r="J119" s="13" t="s">
        <v>34</v>
      </c>
      <c r="K119" s="14" t="str">
        <f aca="false">IF(OR(J119="Réussi",J119="Exception acceptée"),"GREEN",IF(OR(J119="Non commencé",J119="Échec"),"RED","AMBER"))</f>
        <v>RED</v>
      </c>
      <c r="L119" s="10"/>
      <c r="M119" s="10"/>
      <c r="N119" s="15" t="str">
        <f aca="true">IF(G119&lt;&gt;"",TODAY()-G119,"")</f>
        <v/>
      </c>
    </row>
    <row r="120" customFormat="false" ht="18" hidden="false" customHeight="true" outlineLevel="0" collapsed="false">
      <c r="A120" s="16" t="s">
        <v>49</v>
      </c>
      <c r="B120" s="17" t="s">
        <v>48</v>
      </c>
      <c r="C120" s="17" t="s">
        <v>183</v>
      </c>
      <c r="D120" s="16" t="s">
        <v>46</v>
      </c>
      <c r="E120" s="17" t="s">
        <v>184</v>
      </c>
      <c r="F120" s="17" t="s">
        <v>50</v>
      </c>
      <c r="G120" s="17"/>
      <c r="H120" s="18" t="s">
        <v>33</v>
      </c>
      <c r="I120" s="12" t="str">
        <f aca="false">IF(OR(H120="Passed",H120="Accepted Exception"),"GREEN",IF(OR(H120="Not Started",H120="Failed"),"RED","AMBER"))</f>
        <v>RED</v>
      </c>
      <c r="J120" s="19" t="s">
        <v>34</v>
      </c>
      <c r="K120" s="14" t="str">
        <f aca="false">IF(OR(J120="Réussi",J120="Exception acceptée"),"GREEN",IF(OR(J120="Non commencé",J120="Échec"),"RED","AMBER"))</f>
        <v>RED</v>
      </c>
      <c r="L120" s="17"/>
      <c r="M120" s="17"/>
      <c r="N120" s="15" t="str">
        <f aca="true">IF(G120&lt;&gt;"",TODAY()-G120,"")</f>
        <v/>
      </c>
    </row>
    <row r="121" customFormat="false" ht="18" hidden="false" customHeight="true" outlineLevel="0" collapsed="false">
      <c r="A121" s="9" t="s">
        <v>131</v>
      </c>
      <c r="B121" s="10" t="s">
        <v>48</v>
      </c>
      <c r="C121" s="10" t="s">
        <v>183</v>
      </c>
      <c r="D121" s="9" t="s">
        <v>46</v>
      </c>
      <c r="E121" s="10" t="s">
        <v>184</v>
      </c>
      <c r="F121" s="10" t="s">
        <v>132</v>
      </c>
      <c r="G121" s="10"/>
      <c r="H121" s="11" t="s">
        <v>33</v>
      </c>
      <c r="I121" s="12" t="str">
        <f aca="false">IF(OR(H121="Passed",H121="Accepted Exception"),"GREEN",IF(OR(H121="Not Started",H121="Failed"),"RED","AMBER"))</f>
        <v>RED</v>
      </c>
      <c r="J121" s="13" t="s">
        <v>34</v>
      </c>
      <c r="K121" s="14" t="str">
        <f aca="false">IF(OR(J121="Réussi",J121="Exception acceptée"),"GREEN",IF(OR(J121="Non commencé",J121="Échec"),"RED","AMBER"))</f>
        <v>RED</v>
      </c>
      <c r="L121" s="10"/>
      <c r="M121" s="10"/>
      <c r="N121" s="15" t="str">
        <f aca="true">IF(G121&lt;&gt;"",TODAY()-G121,"")</f>
        <v/>
      </c>
    </row>
    <row r="122" customFormat="false" ht="18" hidden="false" customHeight="true" outlineLevel="0" collapsed="false">
      <c r="A122" s="16" t="s">
        <v>133</v>
      </c>
      <c r="B122" s="17" t="s">
        <v>134</v>
      </c>
      <c r="C122" s="17" t="s">
        <v>183</v>
      </c>
      <c r="D122" s="16" t="s">
        <v>46</v>
      </c>
      <c r="E122" s="17" t="s">
        <v>184</v>
      </c>
      <c r="F122" s="17" t="s">
        <v>133</v>
      </c>
      <c r="G122" s="17"/>
      <c r="H122" s="18" t="s">
        <v>33</v>
      </c>
      <c r="I122" s="12" t="str">
        <f aca="false">IF(OR(H122="Passed",H122="Accepted Exception"),"GREEN",IF(OR(H122="Not Started",H122="Failed"),"RED","AMBER"))</f>
        <v>RED</v>
      </c>
      <c r="J122" s="19" t="s">
        <v>34</v>
      </c>
      <c r="K122" s="14" t="str">
        <f aca="false">IF(OR(J122="Réussi",J122="Exception acceptée"),"GREEN",IF(OR(J122="Non commencé",J122="Échec"),"RED","AMBER"))</f>
        <v>RED</v>
      </c>
      <c r="L122" s="17"/>
      <c r="M122" s="17"/>
      <c r="N122" s="15" t="str">
        <f aca="true">IF(G122&lt;&gt;"",TODAY()-G122,"")</f>
        <v/>
      </c>
    </row>
    <row r="123" customFormat="false" ht="18" hidden="false" customHeight="true" outlineLevel="0" collapsed="false">
      <c r="A123" s="9" t="s">
        <v>80</v>
      </c>
      <c r="B123" s="10" t="s">
        <v>81</v>
      </c>
      <c r="C123" s="10" t="s">
        <v>183</v>
      </c>
      <c r="D123" s="9" t="s">
        <v>53</v>
      </c>
      <c r="E123" s="10" t="s">
        <v>184</v>
      </c>
      <c r="F123" s="10" t="s">
        <v>80</v>
      </c>
      <c r="G123" s="10"/>
      <c r="H123" s="11" t="s">
        <v>33</v>
      </c>
      <c r="I123" s="12" t="str">
        <f aca="false">IF(OR(H123="Passed",H123="Accepted Exception"),"GREEN",IF(OR(H123="Not Started",H123="Failed"),"RED","AMBER"))</f>
        <v>RED</v>
      </c>
      <c r="J123" s="13" t="s">
        <v>34</v>
      </c>
      <c r="K123" s="14" t="str">
        <f aca="false">IF(OR(J123="Réussi",J123="Exception acceptée"),"GREEN",IF(OR(J123="Non commencé",J123="Échec"),"RED","AMBER"))</f>
        <v>RED</v>
      </c>
      <c r="L123" s="10"/>
      <c r="M123" s="10"/>
      <c r="N123" s="15" t="str">
        <f aca="true">IF(G123&lt;&gt;"",TODAY()-G123,"")</f>
        <v/>
      </c>
    </row>
    <row r="124" customFormat="false" ht="18" hidden="false" customHeight="true" outlineLevel="0" collapsed="false">
      <c r="A124" s="16" t="s">
        <v>82</v>
      </c>
      <c r="B124" s="17" t="s">
        <v>81</v>
      </c>
      <c r="C124" s="17" t="s">
        <v>183</v>
      </c>
      <c r="D124" s="16" t="s">
        <v>53</v>
      </c>
      <c r="E124" s="17" t="s">
        <v>184</v>
      </c>
      <c r="F124" s="17" t="s">
        <v>83</v>
      </c>
      <c r="G124" s="17"/>
      <c r="H124" s="18" t="s">
        <v>33</v>
      </c>
      <c r="I124" s="12" t="str">
        <f aca="false">IF(OR(H124="Passed",H124="Accepted Exception"),"GREEN",IF(OR(H124="Not Started",H124="Failed"),"RED","AMBER"))</f>
        <v>RED</v>
      </c>
      <c r="J124" s="19" t="s">
        <v>34</v>
      </c>
      <c r="K124" s="14" t="str">
        <f aca="false">IF(OR(J124="Réussi",J124="Exception acceptée"),"GREEN",IF(OR(J124="Non commencé",J124="Échec"),"RED","AMBER"))</f>
        <v>RED</v>
      </c>
      <c r="L124" s="17"/>
      <c r="M124" s="17"/>
      <c r="N124" s="15" t="str">
        <f aca="true">IF(G124&lt;&gt;"",TODAY()-G124,"")</f>
        <v/>
      </c>
    </row>
    <row r="125" customFormat="false" ht="18" hidden="false" customHeight="true" outlineLevel="0" collapsed="false">
      <c r="A125" s="9" t="s">
        <v>51</v>
      </c>
      <c r="B125" s="10" t="s">
        <v>52</v>
      </c>
      <c r="C125" s="10" t="s">
        <v>183</v>
      </c>
      <c r="D125" s="9" t="s">
        <v>53</v>
      </c>
      <c r="E125" s="10" t="s">
        <v>184</v>
      </c>
      <c r="F125" s="10" t="s">
        <v>51</v>
      </c>
      <c r="G125" s="10"/>
      <c r="H125" s="11" t="s">
        <v>33</v>
      </c>
      <c r="I125" s="12" t="str">
        <f aca="false">IF(OR(H125="Passed",H125="Accepted Exception"),"GREEN",IF(OR(H125="Not Started",H125="Failed"),"RED","AMBER"))</f>
        <v>RED</v>
      </c>
      <c r="J125" s="13" t="s">
        <v>34</v>
      </c>
      <c r="K125" s="14" t="str">
        <f aca="false">IF(OR(J125="Réussi",J125="Exception acceptée"),"GREEN",IF(OR(J125="Non commencé",J125="Échec"),"RED","AMBER"))</f>
        <v>RED</v>
      </c>
      <c r="L125" s="10"/>
      <c r="M125" s="10"/>
      <c r="N125" s="15" t="str">
        <f aca="true">IF(G125&lt;&gt;"",TODAY()-G125,"")</f>
        <v/>
      </c>
    </row>
    <row r="126" customFormat="false" ht="18" hidden="false" customHeight="true" outlineLevel="0" collapsed="false">
      <c r="A126" s="16" t="s">
        <v>54</v>
      </c>
      <c r="B126" s="17" t="s">
        <v>52</v>
      </c>
      <c r="C126" s="17" t="s">
        <v>183</v>
      </c>
      <c r="D126" s="16" t="s">
        <v>53</v>
      </c>
      <c r="E126" s="17" t="s">
        <v>184</v>
      </c>
      <c r="F126" s="17" t="s">
        <v>55</v>
      </c>
      <c r="G126" s="17"/>
      <c r="H126" s="18" t="s">
        <v>33</v>
      </c>
      <c r="I126" s="12" t="str">
        <f aca="false">IF(OR(H126="Passed",H126="Accepted Exception"),"GREEN",IF(OR(H126="Not Started",H126="Failed"),"RED","AMBER"))</f>
        <v>RED</v>
      </c>
      <c r="J126" s="19" t="s">
        <v>34</v>
      </c>
      <c r="K126" s="14" t="str">
        <f aca="false">IF(OR(J126="Réussi",J126="Exception acceptée"),"GREEN",IF(OR(J126="Non commencé",J126="Échec"),"RED","AMBER"))</f>
        <v>RED</v>
      </c>
      <c r="L126" s="17"/>
      <c r="M126" s="17"/>
      <c r="N126" s="15" t="str">
        <f aca="true">IF(G126&lt;&gt;"",TODAY()-G126,"")</f>
        <v/>
      </c>
    </row>
    <row r="127" customFormat="false" ht="18" hidden="false" customHeight="true" outlineLevel="0" collapsed="false">
      <c r="A127" s="9" t="s">
        <v>84</v>
      </c>
      <c r="B127" s="10" t="s">
        <v>85</v>
      </c>
      <c r="C127" s="10" t="s">
        <v>183</v>
      </c>
      <c r="D127" s="9" t="s">
        <v>53</v>
      </c>
      <c r="E127" s="10" t="s">
        <v>184</v>
      </c>
      <c r="F127" s="10" t="s">
        <v>84</v>
      </c>
      <c r="G127" s="10"/>
      <c r="H127" s="11" t="s">
        <v>33</v>
      </c>
      <c r="I127" s="12" t="str">
        <f aca="false">IF(OR(H127="Passed",H127="Accepted Exception"),"GREEN",IF(OR(H127="Not Started",H127="Failed"),"RED","AMBER"))</f>
        <v>RED</v>
      </c>
      <c r="J127" s="13" t="s">
        <v>34</v>
      </c>
      <c r="K127" s="14" t="str">
        <f aca="false">IF(OR(J127="Réussi",J127="Exception acceptée"),"GREEN",IF(OR(J127="Non commencé",J127="Échec"),"RED","AMBER"))</f>
        <v>RED</v>
      </c>
      <c r="L127" s="10"/>
      <c r="M127" s="10"/>
      <c r="N127" s="15" t="str">
        <f aca="true">IF(G127&lt;&gt;"",TODAY()-G127,"")</f>
        <v/>
      </c>
    </row>
    <row r="128" customFormat="false" ht="18" hidden="false" customHeight="true" outlineLevel="0" collapsed="false">
      <c r="A128" s="16" t="s">
        <v>86</v>
      </c>
      <c r="B128" s="17" t="s">
        <v>85</v>
      </c>
      <c r="C128" s="17" t="s">
        <v>183</v>
      </c>
      <c r="D128" s="16" t="s">
        <v>53</v>
      </c>
      <c r="E128" s="17" t="s">
        <v>184</v>
      </c>
      <c r="F128" s="17" t="s">
        <v>87</v>
      </c>
      <c r="G128" s="17"/>
      <c r="H128" s="18" t="s">
        <v>33</v>
      </c>
      <c r="I128" s="12" t="str">
        <f aca="false">IF(OR(H128="Passed",H128="Accepted Exception"),"GREEN",IF(OR(H128="Not Started",H128="Failed"),"RED","AMBER"))</f>
        <v>RED</v>
      </c>
      <c r="J128" s="19" t="s">
        <v>34</v>
      </c>
      <c r="K128" s="14" t="str">
        <f aca="false">IF(OR(J128="Réussi",J128="Exception acceptée"),"GREEN",IF(OR(J128="Non commencé",J128="Échec"),"RED","AMBER"))</f>
        <v>RED</v>
      </c>
      <c r="L128" s="17"/>
      <c r="M128" s="17"/>
      <c r="N128" s="15" t="str">
        <f aca="true">IF(G128&lt;&gt;"",TODAY()-G128,"")</f>
        <v/>
      </c>
    </row>
    <row r="129" customFormat="false" ht="18" hidden="false" customHeight="true" outlineLevel="0" collapsed="false">
      <c r="A129" s="9" t="s">
        <v>88</v>
      </c>
      <c r="B129" s="10" t="s">
        <v>85</v>
      </c>
      <c r="C129" s="10" t="s">
        <v>183</v>
      </c>
      <c r="D129" s="9" t="s">
        <v>53</v>
      </c>
      <c r="E129" s="10" t="s">
        <v>184</v>
      </c>
      <c r="F129" s="10" t="s">
        <v>89</v>
      </c>
      <c r="G129" s="10"/>
      <c r="H129" s="11" t="s">
        <v>33</v>
      </c>
      <c r="I129" s="12" t="str">
        <f aca="false">IF(OR(H129="Passed",H129="Accepted Exception"),"GREEN",IF(OR(H129="Not Started",H129="Failed"),"RED","AMBER"))</f>
        <v>RED</v>
      </c>
      <c r="J129" s="13" t="s">
        <v>34</v>
      </c>
      <c r="K129" s="14" t="str">
        <f aca="false">IF(OR(J129="Réussi",J129="Exception acceptée"),"GREEN",IF(OR(J129="Non commencé",J129="Échec"),"RED","AMBER"))</f>
        <v>RED</v>
      </c>
      <c r="L129" s="10"/>
      <c r="M129" s="10"/>
      <c r="N129" s="15" t="str">
        <f aca="true">IF(G129&lt;&gt;"",TODAY()-G129,"")</f>
        <v/>
      </c>
    </row>
    <row r="130" customFormat="false" ht="18" hidden="false" customHeight="true" outlineLevel="0" collapsed="false">
      <c r="A130" s="16" t="s">
        <v>90</v>
      </c>
      <c r="B130" s="17" t="s">
        <v>85</v>
      </c>
      <c r="C130" s="17" t="s">
        <v>183</v>
      </c>
      <c r="D130" s="16" t="s">
        <v>53</v>
      </c>
      <c r="E130" s="17" t="s">
        <v>184</v>
      </c>
      <c r="F130" s="17" t="s">
        <v>91</v>
      </c>
      <c r="G130" s="17"/>
      <c r="H130" s="18" t="s">
        <v>33</v>
      </c>
      <c r="I130" s="12" t="str">
        <f aca="false">IF(OR(H130="Passed",H130="Accepted Exception"),"GREEN",IF(OR(H130="Not Started",H130="Failed"),"RED","AMBER"))</f>
        <v>RED</v>
      </c>
      <c r="J130" s="19" t="s">
        <v>34</v>
      </c>
      <c r="K130" s="14" t="str">
        <f aca="false">IF(OR(J130="Réussi",J130="Exception acceptée"),"GREEN",IF(OR(J130="Non commencé",J130="Échec"),"RED","AMBER"))</f>
        <v>RED</v>
      </c>
      <c r="L130" s="17"/>
      <c r="M130" s="17"/>
      <c r="N130" s="15" t="str">
        <f aca="true">IF(G130&lt;&gt;"",TODAY()-G130,"")</f>
        <v/>
      </c>
    </row>
    <row r="131" customFormat="false" ht="18" hidden="false" customHeight="true" outlineLevel="0" collapsed="false">
      <c r="A131" s="9" t="s">
        <v>56</v>
      </c>
      <c r="B131" s="10" t="s">
        <v>57</v>
      </c>
      <c r="C131" s="10" t="s">
        <v>183</v>
      </c>
      <c r="D131" s="9" t="s">
        <v>53</v>
      </c>
      <c r="E131" s="10" t="s">
        <v>184</v>
      </c>
      <c r="F131" s="10" t="s">
        <v>56</v>
      </c>
      <c r="G131" s="10"/>
      <c r="H131" s="11" t="s">
        <v>33</v>
      </c>
      <c r="I131" s="12" t="str">
        <f aca="false">IF(OR(H131="Passed",H131="Accepted Exception"),"GREEN",IF(OR(H131="Not Started",H131="Failed"),"RED","AMBER"))</f>
        <v>RED</v>
      </c>
      <c r="J131" s="13" t="s">
        <v>34</v>
      </c>
      <c r="K131" s="14" t="str">
        <f aca="false">IF(OR(J131="Réussi",J131="Exception acceptée"),"GREEN",IF(OR(J131="Non commencé",J131="Échec"),"RED","AMBER"))</f>
        <v>RED</v>
      </c>
      <c r="L131" s="10"/>
      <c r="M131" s="10"/>
      <c r="N131" s="15" t="str">
        <f aca="true">IF(G131&lt;&gt;"",TODAY()-G131,"")</f>
        <v/>
      </c>
    </row>
    <row r="132" customFormat="false" ht="18" hidden="false" customHeight="true" outlineLevel="0" collapsed="false">
      <c r="A132" s="16" t="s">
        <v>58</v>
      </c>
      <c r="B132" s="17" t="s">
        <v>57</v>
      </c>
      <c r="C132" s="17" t="s">
        <v>183</v>
      </c>
      <c r="D132" s="16" t="s">
        <v>53</v>
      </c>
      <c r="E132" s="17" t="s">
        <v>184</v>
      </c>
      <c r="F132" s="17" t="s">
        <v>59</v>
      </c>
      <c r="G132" s="17"/>
      <c r="H132" s="18" t="s">
        <v>33</v>
      </c>
      <c r="I132" s="12" t="str">
        <f aca="false">IF(OR(H132="Passed",H132="Accepted Exception"),"GREEN",IF(OR(H132="Not Started",H132="Failed"),"RED","AMBER"))</f>
        <v>RED</v>
      </c>
      <c r="J132" s="19" t="s">
        <v>34</v>
      </c>
      <c r="K132" s="14" t="str">
        <f aca="false">IF(OR(J132="Réussi",J132="Exception acceptée"),"GREEN",IF(OR(J132="Non commencé",J132="Échec"),"RED","AMBER"))</f>
        <v>RED</v>
      </c>
      <c r="L132" s="17"/>
      <c r="M132" s="17"/>
      <c r="N132" s="15" t="str">
        <f aca="true">IF(G132&lt;&gt;"",TODAY()-G132,"")</f>
        <v/>
      </c>
    </row>
    <row r="133" customFormat="false" ht="18" hidden="false" customHeight="true" outlineLevel="0" collapsed="false">
      <c r="A133" s="9" t="s">
        <v>139</v>
      </c>
      <c r="B133" s="10" t="s">
        <v>136</v>
      </c>
      <c r="C133" s="10" t="s">
        <v>183</v>
      </c>
      <c r="D133" s="9" t="s">
        <v>137</v>
      </c>
      <c r="E133" s="10" t="s">
        <v>184</v>
      </c>
      <c r="F133" s="10" t="s">
        <v>140</v>
      </c>
      <c r="G133" s="10"/>
      <c r="H133" s="11" t="s">
        <v>33</v>
      </c>
      <c r="I133" s="12" t="str">
        <f aca="false">IF(OR(H133="Passed",H133="Accepted Exception"),"GREEN",IF(OR(H133="Not Started",H133="Failed"),"RED","AMBER"))</f>
        <v>RED</v>
      </c>
      <c r="J133" s="13" t="s">
        <v>34</v>
      </c>
      <c r="K133" s="14" t="str">
        <f aca="false">IF(OR(J133="Réussi",J133="Exception acceptée"),"GREEN",IF(OR(J133="Non commencé",J133="Échec"),"RED","AMBER"))</f>
        <v>RED</v>
      </c>
      <c r="L133" s="10"/>
      <c r="M133" s="10"/>
      <c r="N133" s="15" t="str">
        <f aca="true">IF(G133&lt;&gt;"",TODAY()-G133,"")</f>
        <v/>
      </c>
    </row>
    <row r="134" customFormat="false" ht="18" hidden="false" customHeight="true" outlineLevel="0" collapsed="false">
      <c r="A134" s="16" t="s">
        <v>60</v>
      </c>
      <c r="B134" s="17" t="s">
        <v>61</v>
      </c>
      <c r="C134" s="17" t="s">
        <v>183</v>
      </c>
      <c r="D134" s="16" t="s">
        <v>62</v>
      </c>
      <c r="E134" s="17" t="s">
        <v>184</v>
      </c>
      <c r="F134" s="17" t="s">
        <v>63</v>
      </c>
      <c r="G134" s="17"/>
      <c r="H134" s="18" t="s">
        <v>33</v>
      </c>
      <c r="I134" s="12" t="str">
        <f aca="false">IF(OR(H134="Passed",H134="Accepted Exception"),"GREEN",IF(OR(H134="Not Started",H134="Failed"),"RED","AMBER"))</f>
        <v>RED</v>
      </c>
      <c r="J134" s="19" t="s">
        <v>34</v>
      </c>
      <c r="K134" s="14" t="str">
        <f aca="false">IF(OR(J134="Réussi",J134="Exception acceptée"),"GREEN",IF(OR(J134="Non commencé",J134="Échec"),"RED","AMBER"))</f>
        <v>RED</v>
      </c>
      <c r="L134" s="17"/>
      <c r="M134" s="17"/>
      <c r="N134" s="15" t="str">
        <f aca="true">IF(G134&lt;&gt;"",TODAY()-G134,"")</f>
        <v/>
      </c>
    </row>
    <row r="135" customFormat="false" ht="18" hidden="false" customHeight="true" outlineLevel="0" collapsed="false">
      <c r="A135" s="9" t="s">
        <v>92</v>
      </c>
      <c r="B135" s="10" t="s">
        <v>93</v>
      </c>
      <c r="C135" s="10" t="s">
        <v>183</v>
      </c>
      <c r="D135" s="9" t="s">
        <v>94</v>
      </c>
      <c r="E135" s="10" t="s">
        <v>184</v>
      </c>
      <c r="F135" s="10" t="s">
        <v>92</v>
      </c>
      <c r="G135" s="10"/>
      <c r="H135" s="11" t="s">
        <v>33</v>
      </c>
      <c r="I135" s="12" t="str">
        <f aca="false">IF(OR(H135="Passed",H135="Accepted Exception"),"GREEN",IF(OR(H135="Not Started",H135="Failed"),"RED","AMBER"))</f>
        <v>RED</v>
      </c>
      <c r="J135" s="13" t="s">
        <v>34</v>
      </c>
      <c r="K135" s="14" t="str">
        <f aca="false">IF(OR(J135="Réussi",J135="Exception acceptée"),"GREEN",IF(OR(J135="Non commencé",J135="Échec"),"RED","AMBER"))</f>
        <v>RED</v>
      </c>
      <c r="L135" s="10"/>
      <c r="M135" s="10"/>
      <c r="N135" s="15" t="str">
        <f aca="true">IF(G135&lt;&gt;"",TODAY()-G135,"")</f>
        <v/>
      </c>
    </row>
    <row r="136" customFormat="false" ht="18" hidden="false" customHeight="true" outlineLevel="0" collapsed="false">
      <c r="A136" s="16" t="s">
        <v>153</v>
      </c>
      <c r="B136" s="17" t="s">
        <v>154</v>
      </c>
      <c r="C136" s="17" t="s">
        <v>183</v>
      </c>
      <c r="D136" s="16" t="s">
        <v>94</v>
      </c>
      <c r="E136" s="17" t="s">
        <v>184</v>
      </c>
      <c r="F136" s="17" t="s">
        <v>153</v>
      </c>
      <c r="G136" s="17"/>
      <c r="H136" s="18" t="s">
        <v>33</v>
      </c>
      <c r="I136" s="12" t="str">
        <f aca="false">IF(OR(H136="Passed",H136="Accepted Exception"),"GREEN",IF(OR(H136="Not Started",H136="Failed"),"RED","AMBER"))</f>
        <v>RED</v>
      </c>
      <c r="J136" s="19" t="s">
        <v>34</v>
      </c>
      <c r="K136" s="14" t="str">
        <f aca="false">IF(OR(J136="Réussi",J136="Exception acceptée"),"GREEN",IF(OR(J136="Non commencé",J136="Échec"),"RED","AMBER"))</f>
        <v>RED</v>
      </c>
      <c r="L136" s="17"/>
      <c r="M136" s="17"/>
      <c r="N136" s="15" t="str">
        <f aca="true">IF(G136&lt;&gt;"",TODAY()-G136,"")</f>
        <v/>
      </c>
    </row>
    <row r="137" customFormat="false" ht="18" hidden="false" customHeight="true" outlineLevel="0" collapsed="false">
      <c r="A137" s="9" t="s">
        <v>155</v>
      </c>
      <c r="B137" s="10" t="s">
        <v>154</v>
      </c>
      <c r="C137" s="10" t="s">
        <v>183</v>
      </c>
      <c r="D137" s="9" t="s">
        <v>94</v>
      </c>
      <c r="E137" s="10" t="s">
        <v>184</v>
      </c>
      <c r="F137" s="10" t="s">
        <v>156</v>
      </c>
      <c r="G137" s="10"/>
      <c r="H137" s="11" t="s">
        <v>33</v>
      </c>
      <c r="I137" s="12" t="str">
        <f aca="false">IF(OR(H137="Passed",H137="Accepted Exception"),"GREEN",IF(OR(H137="Not Started",H137="Failed"),"RED","AMBER"))</f>
        <v>RED</v>
      </c>
      <c r="J137" s="13" t="s">
        <v>34</v>
      </c>
      <c r="K137" s="14" t="str">
        <f aca="false">IF(OR(J137="Réussi",J137="Exception acceptée"),"GREEN",IF(OR(J137="Non commencé",J137="Échec"),"RED","AMBER"))</f>
        <v>RED</v>
      </c>
      <c r="L137" s="10"/>
      <c r="M137" s="10"/>
      <c r="N137" s="15" t="str">
        <f aca="true">IF(G137&lt;&gt;"",TODAY()-G137,"")</f>
        <v/>
      </c>
    </row>
    <row r="138" customFormat="false" ht="18" hidden="false" customHeight="true" outlineLevel="0" collapsed="false">
      <c r="A138" s="16" t="s">
        <v>157</v>
      </c>
      <c r="B138" s="17" t="s">
        <v>158</v>
      </c>
      <c r="C138" s="17" t="s">
        <v>183</v>
      </c>
      <c r="D138" s="16" t="s">
        <v>94</v>
      </c>
      <c r="E138" s="17" t="s">
        <v>184</v>
      </c>
      <c r="F138" s="17" t="s">
        <v>157</v>
      </c>
      <c r="G138" s="17"/>
      <c r="H138" s="18" t="s">
        <v>33</v>
      </c>
      <c r="I138" s="12" t="str">
        <f aca="false">IF(OR(H138="Passed",H138="Accepted Exception"),"GREEN",IF(OR(H138="Not Started",H138="Failed"),"RED","AMBER"))</f>
        <v>RED</v>
      </c>
      <c r="J138" s="19" t="s">
        <v>34</v>
      </c>
      <c r="K138" s="14" t="str">
        <f aca="false">IF(OR(J138="Réussi",J138="Exception acceptée"),"GREEN",IF(OR(J138="Non commencé",J138="Échec"),"RED","AMBER"))</f>
        <v>RED</v>
      </c>
      <c r="L138" s="17"/>
      <c r="M138" s="17"/>
      <c r="N138" s="15" t="str">
        <f aca="true">IF(G138&lt;&gt;"",TODAY()-G138,"")</f>
        <v/>
      </c>
    </row>
    <row r="139" customFormat="false" ht="18" hidden="false" customHeight="true" outlineLevel="0" collapsed="false">
      <c r="A139" s="9" t="s">
        <v>95</v>
      </c>
      <c r="B139" s="10" t="s">
        <v>96</v>
      </c>
      <c r="C139" s="10" t="s">
        <v>183</v>
      </c>
      <c r="D139" s="9" t="s">
        <v>94</v>
      </c>
      <c r="E139" s="10" t="s">
        <v>184</v>
      </c>
      <c r="F139" s="10" t="s">
        <v>95</v>
      </c>
      <c r="G139" s="10"/>
      <c r="H139" s="11" t="s">
        <v>33</v>
      </c>
      <c r="I139" s="12" t="str">
        <f aca="false">IF(OR(H139="Passed",H139="Accepted Exception"),"GREEN",IF(OR(H139="Not Started",H139="Failed"),"RED","AMBER"))</f>
        <v>RED</v>
      </c>
      <c r="J139" s="13" t="s">
        <v>34</v>
      </c>
      <c r="K139" s="14" t="str">
        <f aca="false">IF(OR(J139="Réussi",J139="Exception acceptée"),"GREEN",IF(OR(J139="Non commencé",J139="Échec"),"RED","AMBER"))</f>
        <v>RED</v>
      </c>
      <c r="L139" s="10"/>
      <c r="M139" s="10"/>
      <c r="N139" s="15" t="str">
        <f aca="true">IF(G139&lt;&gt;"",TODAY()-G139,"")</f>
        <v/>
      </c>
    </row>
    <row r="140" customFormat="false" ht="18" hidden="false" customHeight="true" outlineLevel="0" collapsed="false">
      <c r="A140" s="16" t="s">
        <v>159</v>
      </c>
      <c r="B140" s="17" t="s">
        <v>160</v>
      </c>
      <c r="C140" s="17" t="s">
        <v>183</v>
      </c>
      <c r="D140" s="16" t="s">
        <v>94</v>
      </c>
      <c r="E140" s="17" t="s">
        <v>184</v>
      </c>
      <c r="F140" s="17" t="s">
        <v>159</v>
      </c>
      <c r="G140" s="17"/>
      <c r="H140" s="18" t="s">
        <v>33</v>
      </c>
      <c r="I140" s="12" t="str">
        <f aca="false">IF(OR(H140="Passed",H140="Accepted Exception"),"GREEN",IF(OR(H140="Not Started",H140="Failed"),"RED","AMBER"))</f>
        <v>RED</v>
      </c>
      <c r="J140" s="19" t="s">
        <v>34</v>
      </c>
      <c r="K140" s="14" t="str">
        <f aca="false">IF(OR(J140="Réussi",J140="Exception acceptée"),"GREEN",IF(OR(J140="Non commencé",J140="Échec"),"RED","AMBER"))</f>
        <v>RED</v>
      </c>
      <c r="L140" s="17"/>
      <c r="M140" s="17"/>
      <c r="N140" s="15" t="str">
        <f aca="true">IF(G140&lt;&gt;"",TODAY()-G140,"")</f>
        <v/>
      </c>
    </row>
    <row r="141" customFormat="false" ht="18" hidden="false" customHeight="true" outlineLevel="0" collapsed="false">
      <c r="A141" s="9" t="s">
        <v>161</v>
      </c>
      <c r="B141" s="10" t="s">
        <v>160</v>
      </c>
      <c r="C141" s="10" t="s">
        <v>183</v>
      </c>
      <c r="D141" s="9" t="s">
        <v>94</v>
      </c>
      <c r="E141" s="10" t="s">
        <v>184</v>
      </c>
      <c r="F141" s="10" t="s">
        <v>162</v>
      </c>
      <c r="G141" s="10"/>
      <c r="H141" s="11" t="s">
        <v>33</v>
      </c>
      <c r="I141" s="12" t="str">
        <f aca="false">IF(OR(H141="Passed",H141="Accepted Exception"),"GREEN",IF(OR(H141="Not Started",H141="Failed"),"RED","AMBER"))</f>
        <v>RED</v>
      </c>
      <c r="J141" s="13" t="s">
        <v>34</v>
      </c>
      <c r="K141" s="14" t="str">
        <f aca="false">IF(OR(J141="Réussi",J141="Exception acceptée"),"GREEN",IF(OR(J141="Non commencé",J141="Échec"),"RED","AMBER"))</f>
        <v>RED</v>
      </c>
      <c r="L141" s="10"/>
      <c r="M141" s="10"/>
      <c r="N141" s="15" t="str">
        <f aca="true">IF(G141&lt;&gt;"",TODAY()-G141,"")</f>
        <v/>
      </c>
    </row>
    <row r="142" customFormat="false" ht="18" hidden="false" customHeight="true" outlineLevel="0" collapsed="false">
      <c r="A142" s="16" t="s">
        <v>163</v>
      </c>
      <c r="B142" s="17" t="s">
        <v>160</v>
      </c>
      <c r="C142" s="17" t="s">
        <v>183</v>
      </c>
      <c r="D142" s="16" t="s">
        <v>94</v>
      </c>
      <c r="E142" s="17" t="s">
        <v>184</v>
      </c>
      <c r="F142" s="17" t="s">
        <v>164</v>
      </c>
      <c r="G142" s="17"/>
      <c r="H142" s="18" t="s">
        <v>33</v>
      </c>
      <c r="I142" s="12" t="str">
        <f aca="false">IF(OR(H142="Passed",H142="Accepted Exception"),"GREEN",IF(OR(H142="Not Started",H142="Failed"),"RED","AMBER"))</f>
        <v>RED</v>
      </c>
      <c r="J142" s="19" t="s">
        <v>34</v>
      </c>
      <c r="K142" s="14" t="str">
        <f aca="false">IF(OR(J142="Réussi",J142="Exception acceptée"),"GREEN",IF(OR(J142="Non commencé",J142="Échec"),"RED","AMBER"))</f>
        <v>RED</v>
      </c>
      <c r="L142" s="17"/>
      <c r="M142" s="17"/>
      <c r="N142" s="15" t="str">
        <f aca="true">IF(G142&lt;&gt;"",TODAY()-G142,"")</f>
        <v/>
      </c>
    </row>
    <row r="143" customFormat="false" ht="18" hidden="false" customHeight="true" outlineLevel="0" collapsed="false">
      <c r="A143" s="9" t="s">
        <v>165</v>
      </c>
      <c r="B143" s="10" t="s">
        <v>166</v>
      </c>
      <c r="C143" s="10" t="s">
        <v>183</v>
      </c>
      <c r="D143" s="9" t="s">
        <v>94</v>
      </c>
      <c r="E143" s="10" t="s">
        <v>184</v>
      </c>
      <c r="F143" s="10" t="s">
        <v>165</v>
      </c>
      <c r="G143" s="10"/>
      <c r="H143" s="11" t="s">
        <v>33</v>
      </c>
      <c r="I143" s="12" t="str">
        <f aca="false">IF(OR(H143="Passed",H143="Accepted Exception"),"GREEN",IF(OR(H143="Not Started",H143="Failed"),"RED","AMBER"))</f>
        <v>RED</v>
      </c>
      <c r="J143" s="13" t="s">
        <v>34</v>
      </c>
      <c r="K143" s="14" t="str">
        <f aca="false">IF(OR(J143="Réussi",J143="Exception acceptée"),"GREEN",IF(OR(J143="Non commencé",J143="Échec"),"RED","AMBER"))</f>
        <v>RED</v>
      </c>
      <c r="L143" s="10"/>
      <c r="M143" s="10"/>
      <c r="N143" s="15" t="str">
        <f aca="true">IF(G143&lt;&gt;"",TODAY()-G143,"")</f>
        <v/>
      </c>
    </row>
    <row r="144" customFormat="false" ht="18" hidden="false" customHeight="true" outlineLevel="0" collapsed="false">
      <c r="A144" s="16" t="s">
        <v>97</v>
      </c>
      <c r="B144" s="17" t="s">
        <v>98</v>
      </c>
      <c r="C144" s="17" t="s">
        <v>183</v>
      </c>
      <c r="D144" s="16" t="s">
        <v>94</v>
      </c>
      <c r="E144" s="17" t="s">
        <v>184</v>
      </c>
      <c r="F144" s="17" t="s">
        <v>97</v>
      </c>
      <c r="G144" s="17"/>
      <c r="H144" s="18" t="s">
        <v>33</v>
      </c>
      <c r="I144" s="12" t="str">
        <f aca="false">IF(OR(H144="Passed",H144="Accepted Exception"),"GREEN",IF(OR(H144="Not Started",H144="Failed"),"RED","AMBER"))</f>
        <v>RED</v>
      </c>
      <c r="J144" s="19" t="s">
        <v>34</v>
      </c>
      <c r="K144" s="14" t="str">
        <f aca="false">IF(OR(J144="Réussi",J144="Exception acceptée"),"GREEN",IF(OR(J144="Non commencé",J144="Échec"),"RED","AMBER"))</f>
        <v>RED</v>
      </c>
      <c r="L144" s="17"/>
      <c r="M144" s="17"/>
      <c r="N144" s="15" t="str">
        <f aca="true">IF(G144&lt;&gt;"",TODAY()-G144,"")</f>
        <v/>
      </c>
    </row>
    <row r="145" customFormat="false" ht="18" hidden="false" customHeight="true" outlineLevel="0" collapsed="false">
      <c r="A145" s="9" t="s">
        <v>99</v>
      </c>
      <c r="B145" s="10" t="s">
        <v>98</v>
      </c>
      <c r="C145" s="10" t="s">
        <v>183</v>
      </c>
      <c r="D145" s="9" t="s">
        <v>94</v>
      </c>
      <c r="E145" s="10" t="s">
        <v>184</v>
      </c>
      <c r="F145" s="10" t="s">
        <v>100</v>
      </c>
      <c r="G145" s="10"/>
      <c r="H145" s="11" t="s">
        <v>33</v>
      </c>
      <c r="I145" s="12" t="str">
        <f aca="false">IF(OR(H145="Passed",H145="Accepted Exception"),"GREEN",IF(OR(H145="Not Started",H145="Failed"),"RED","AMBER"))</f>
        <v>RED</v>
      </c>
      <c r="J145" s="13" t="s">
        <v>34</v>
      </c>
      <c r="K145" s="14" t="str">
        <f aca="false">IF(OR(J145="Réussi",J145="Exception acceptée"),"GREEN",IF(OR(J145="Non commencé",J145="Échec"),"RED","AMBER"))</f>
        <v>RED</v>
      </c>
      <c r="L145" s="10"/>
      <c r="M145" s="10"/>
      <c r="N145" s="15" t="str">
        <f aca="true">IF(G145&lt;&gt;"",TODAY()-G145,"")</f>
        <v/>
      </c>
    </row>
    <row r="146" customFormat="false" ht="18" hidden="false" customHeight="true" outlineLevel="0" collapsed="false">
      <c r="A146" s="16" t="s">
        <v>169</v>
      </c>
      <c r="B146" s="17" t="s">
        <v>170</v>
      </c>
      <c r="C146" s="17" t="s">
        <v>183</v>
      </c>
      <c r="D146" s="16" t="s">
        <v>94</v>
      </c>
      <c r="E146" s="17" t="s">
        <v>184</v>
      </c>
      <c r="F146" s="17" t="s">
        <v>169</v>
      </c>
      <c r="G146" s="17"/>
      <c r="H146" s="18" t="s">
        <v>33</v>
      </c>
      <c r="I146" s="12" t="str">
        <f aca="false">IF(OR(H146="Passed",H146="Accepted Exception"),"GREEN",IF(OR(H146="Not Started",H146="Failed"),"RED","AMBER"))</f>
        <v>RED</v>
      </c>
      <c r="J146" s="19" t="s">
        <v>34</v>
      </c>
      <c r="K146" s="14" t="str">
        <f aca="false">IF(OR(J146="Réussi",J146="Exception acceptée"),"GREEN",IF(OR(J146="Non commencé",J146="Échec"),"RED","AMBER"))</f>
        <v>RED</v>
      </c>
      <c r="L146" s="17"/>
      <c r="M146" s="17"/>
      <c r="N146" s="15" t="str">
        <f aca="true">IF(G146&lt;&gt;"",TODAY()-G146,"")</f>
        <v/>
      </c>
    </row>
    <row r="147" customFormat="false" ht="18" hidden="false" customHeight="true" outlineLevel="0" collapsed="false">
      <c r="A147" s="9" t="s">
        <v>64</v>
      </c>
      <c r="B147" s="10" t="s">
        <v>65</v>
      </c>
      <c r="C147" s="10" t="s">
        <v>183</v>
      </c>
      <c r="D147" s="9" t="s">
        <v>66</v>
      </c>
      <c r="E147" s="10" t="s">
        <v>184</v>
      </c>
      <c r="F147" s="10" t="s">
        <v>67</v>
      </c>
      <c r="G147" s="10"/>
      <c r="H147" s="11" t="s">
        <v>33</v>
      </c>
      <c r="I147" s="12" t="str">
        <f aca="false">IF(OR(H147="Passed",H147="Accepted Exception"),"GREEN",IF(OR(H147="Not Started",H147="Failed"),"RED","AMBER"))</f>
        <v>RED</v>
      </c>
      <c r="J147" s="13" t="s">
        <v>34</v>
      </c>
      <c r="K147" s="14" t="str">
        <f aca="false">IF(OR(J147="Réussi",J147="Exception acceptée"),"GREEN",IF(OR(J147="Non commencé",J147="Échec"),"RED","AMBER"))</f>
        <v>RED</v>
      </c>
      <c r="L147" s="10"/>
      <c r="M147" s="10"/>
      <c r="N147" s="15" t="str">
        <f aca="true">IF(G147&lt;&gt;"",TODAY()-G147,"")</f>
        <v/>
      </c>
    </row>
    <row r="148" customFormat="false" ht="18" hidden="false" customHeight="true" outlineLevel="0" collapsed="false">
      <c r="A148" s="16" t="s">
        <v>173</v>
      </c>
      <c r="B148" s="17" t="s">
        <v>65</v>
      </c>
      <c r="C148" s="17" t="s">
        <v>183</v>
      </c>
      <c r="D148" s="16" t="s">
        <v>66</v>
      </c>
      <c r="E148" s="17" t="s">
        <v>184</v>
      </c>
      <c r="F148" s="17" t="s">
        <v>174</v>
      </c>
      <c r="G148" s="17"/>
      <c r="H148" s="18" t="s">
        <v>33</v>
      </c>
      <c r="I148" s="12" t="str">
        <f aca="false">IF(OR(H148="Passed",H148="Accepted Exception"),"GREEN",IF(OR(H148="Not Started",H148="Failed"),"RED","AMBER"))</f>
        <v>RED</v>
      </c>
      <c r="J148" s="19" t="s">
        <v>34</v>
      </c>
      <c r="K148" s="14" t="str">
        <f aca="false">IF(OR(J148="Réussi",J148="Exception acceptée"),"GREEN",IF(OR(J148="Non commencé",J148="Échec"),"RED","AMBER"))</f>
        <v>RED</v>
      </c>
      <c r="L148" s="17"/>
      <c r="M148" s="17"/>
      <c r="N148" s="15" t="str">
        <f aca="true">IF(G148&lt;&gt;"",TODAY()-G148,"")</f>
        <v/>
      </c>
    </row>
    <row r="149" customFormat="false" ht="18" hidden="false" customHeight="true" outlineLevel="0" collapsed="false">
      <c r="A149" s="9" t="s">
        <v>68</v>
      </c>
      <c r="B149" s="10" t="s">
        <v>69</v>
      </c>
      <c r="C149" s="10" t="s">
        <v>183</v>
      </c>
      <c r="D149" s="9" t="s">
        <v>66</v>
      </c>
      <c r="E149" s="10" t="s">
        <v>184</v>
      </c>
      <c r="F149" s="10" t="s">
        <v>68</v>
      </c>
      <c r="G149" s="10"/>
      <c r="H149" s="11" t="s">
        <v>33</v>
      </c>
      <c r="I149" s="12" t="str">
        <f aca="false">IF(OR(H149="Passed",H149="Accepted Exception"),"GREEN",IF(OR(H149="Not Started",H149="Failed"),"RED","AMBER"))</f>
        <v>RED</v>
      </c>
      <c r="J149" s="13" t="s">
        <v>34</v>
      </c>
      <c r="K149" s="14" t="str">
        <f aca="false">IF(OR(J149="Réussi",J149="Exception acceptée"),"GREEN",IF(OR(J149="Non commencé",J149="Échec"),"RED","AMBER"))</f>
        <v>RED</v>
      </c>
      <c r="L149" s="10"/>
      <c r="M149" s="10"/>
      <c r="N149" s="15" t="str">
        <f aca="true">IF(G149&lt;&gt;"",TODAY()-G149,"")</f>
        <v/>
      </c>
    </row>
    <row r="150" customFormat="false" ht="18" hidden="false" customHeight="true" outlineLevel="0" collapsed="false">
      <c r="A150" s="16" t="s">
        <v>175</v>
      </c>
      <c r="B150" s="17" t="s">
        <v>176</v>
      </c>
      <c r="C150" s="17" t="s">
        <v>183</v>
      </c>
      <c r="D150" s="16" t="s">
        <v>66</v>
      </c>
      <c r="E150" s="17" t="s">
        <v>184</v>
      </c>
      <c r="F150" s="17" t="s">
        <v>175</v>
      </c>
      <c r="G150" s="17"/>
      <c r="H150" s="18" t="s">
        <v>33</v>
      </c>
      <c r="I150" s="12" t="str">
        <f aca="false">IF(OR(H150="Passed",H150="Accepted Exception"),"GREEN",IF(OR(H150="Not Started",H150="Failed"),"RED","AMBER"))</f>
        <v>RED</v>
      </c>
      <c r="J150" s="19" t="s">
        <v>34</v>
      </c>
      <c r="K150" s="14" t="str">
        <f aca="false">IF(OR(J150="Réussi",J150="Exception acceptée"),"GREEN",IF(OR(J150="Non commencé",J150="Échec"),"RED","AMBER"))</f>
        <v>RED</v>
      </c>
      <c r="L150" s="17"/>
      <c r="M150" s="17"/>
      <c r="N150" s="15" t="str">
        <f aca="true">IF(G150&lt;&gt;"",TODAY()-G150,"")</f>
        <v/>
      </c>
    </row>
    <row r="151" customFormat="false" ht="18" hidden="false" customHeight="true" outlineLevel="0" collapsed="false">
      <c r="A151" s="9" t="s">
        <v>177</v>
      </c>
      <c r="B151" s="10" t="s">
        <v>176</v>
      </c>
      <c r="C151" s="10" t="s">
        <v>183</v>
      </c>
      <c r="D151" s="9" t="s">
        <v>66</v>
      </c>
      <c r="E151" s="10" t="s">
        <v>184</v>
      </c>
      <c r="F151" s="10" t="s">
        <v>178</v>
      </c>
      <c r="G151" s="10"/>
      <c r="H151" s="11" t="s">
        <v>33</v>
      </c>
      <c r="I151" s="12" t="str">
        <f aca="false">IF(OR(H151="Passed",H151="Accepted Exception"),"GREEN",IF(OR(H151="Not Started",H151="Failed"),"RED","AMBER"))</f>
        <v>RED</v>
      </c>
      <c r="J151" s="13" t="s">
        <v>34</v>
      </c>
      <c r="K151" s="14" t="str">
        <f aca="false">IF(OR(J151="Réussi",J151="Exception acceptée"),"GREEN",IF(OR(J151="Non commencé",J151="Échec"),"RED","AMBER"))</f>
        <v>RED</v>
      </c>
      <c r="L151" s="10"/>
      <c r="M151" s="10"/>
      <c r="N151" s="15" t="str">
        <f aca="true">IF(G151&lt;&gt;"",TODAY()-G151,"")</f>
        <v/>
      </c>
    </row>
    <row r="152" customFormat="false" ht="18" hidden="false" customHeight="true" outlineLevel="0" collapsed="false">
      <c r="A152" s="16" t="s">
        <v>28</v>
      </c>
      <c r="B152" s="17" t="s">
        <v>29</v>
      </c>
      <c r="C152" s="17" t="s">
        <v>189</v>
      </c>
      <c r="D152" s="16" t="s">
        <v>31</v>
      </c>
      <c r="E152" s="17" t="s">
        <v>190</v>
      </c>
      <c r="F152" s="17" t="s">
        <v>28</v>
      </c>
      <c r="G152" s="17"/>
      <c r="H152" s="18" t="s">
        <v>33</v>
      </c>
      <c r="I152" s="12" t="str">
        <f aca="false">IF(OR(H152="Passed",H152="Accepted Exception"),"GREEN",IF(OR(H152="Not Started",H152="Failed"),"RED","AMBER"))</f>
        <v>RED</v>
      </c>
      <c r="J152" s="19" t="s">
        <v>34</v>
      </c>
      <c r="K152" s="14" t="str">
        <f aca="false">IF(OR(J152="Réussi",J152="Exception acceptée"),"GREEN",IF(OR(J152="Non commencé",J152="Échec"),"RED","AMBER"))</f>
        <v>RED</v>
      </c>
      <c r="L152" s="17"/>
      <c r="M152" s="17"/>
      <c r="N152" s="15" t="str">
        <f aca="true">IF(G152&lt;&gt;"",TODAY()-G152,"")</f>
        <v/>
      </c>
    </row>
    <row r="153" customFormat="false" ht="18" hidden="false" customHeight="true" outlineLevel="0" collapsed="false">
      <c r="A153" s="9" t="s">
        <v>35</v>
      </c>
      <c r="B153" s="10" t="s">
        <v>36</v>
      </c>
      <c r="C153" s="10" t="s">
        <v>189</v>
      </c>
      <c r="D153" s="9" t="s">
        <v>31</v>
      </c>
      <c r="E153" s="10" t="s">
        <v>190</v>
      </c>
      <c r="F153" s="10" t="s">
        <v>35</v>
      </c>
      <c r="G153" s="10"/>
      <c r="H153" s="11" t="s">
        <v>33</v>
      </c>
      <c r="I153" s="12" t="str">
        <f aca="false">IF(OR(H153="Passed",H153="Accepted Exception"),"GREEN",IF(OR(H153="Not Started",H153="Failed"),"RED","AMBER"))</f>
        <v>RED</v>
      </c>
      <c r="J153" s="13" t="s">
        <v>34</v>
      </c>
      <c r="K153" s="14" t="str">
        <f aca="false">IF(OR(J153="Réussi",J153="Exception acceptée"),"GREEN",IF(OR(J153="Non commencé",J153="Échec"),"RED","AMBER"))</f>
        <v>RED</v>
      </c>
      <c r="L153" s="10"/>
      <c r="M153" s="10"/>
      <c r="N153" s="15" t="str">
        <f aca="true">IF(G153&lt;&gt;"",TODAY()-G153,"")</f>
        <v/>
      </c>
    </row>
    <row r="154" customFormat="false" ht="18" hidden="false" customHeight="true" outlineLevel="0" collapsed="false">
      <c r="A154" s="16" t="s">
        <v>37</v>
      </c>
      <c r="B154" s="17" t="s">
        <v>36</v>
      </c>
      <c r="C154" s="17" t="s">
        <v>189</v>
      </c>
      <c r="D154" s="16" t="s">
        <v>31</v>
      </c>
      <c r="E154" s="17" t="s">
        <v>190</v>
      </c>
      <c r="F154" s="17" t="s">
        <v>38</v>
      </c>
      <c r="G154" s="17"/>
      <c r="H154" s="18" t="s">
        <v>33</v>
      </c>
      <c r="I154" s="12" t="str">
        <f aca="false">IF(OR(H154="Passed",H154="Accepted Exception"),"GREEN",IF(OR(H154="Not Started",H154="Failed"),"RED","AMBER"))</f>
        <v>RED</v>
      </c>
      <c r="J154" s="19" t="s">
        <v>34</v>
      </c>
      <c r="K154" s="14" t="str">
        <f aca="false">IF(OR(J154="Réussi",J154="Exception acceptée"),"GREEN",IF(OR(J154="Non commencé",J154="Échec"),"RED","AMBER"))</f>
        <v>RED</v>
      </c>
      <c r="L154" s="17"/>
      <c r="M154" s="17"/>
      <c r="N154" s="15" t="str">
        <f aca="true">IF(G154&lt;&gt;"",TODAY()-G154,"")</f>
        <v/>
      </c>
    </row>
    <row r="155" customFormat="false" ht="18" hidden="false" customHeight="true" outlineLevel="0" collapsed="false">
      <c r="A155" s="9" t="s">
        <v>39</v>
      </c>
      <c r="B155" s="10" t="s">
        <v>40</v>
      </c>
      <c r="C155" s="10" t="s">
        <v>189</v>
      </c>
      <c r="D155" s="9" t="s">
        <v>31</v>
      </c>
      <c r="E155" s="10" t="s">
        <v>190</v>
      </c>
      <c r="F155" s="10" t="s">
        <v>41</v>
      </c>
      <c r="G155" s="10"/>
      <c r="H155" s="11" t="s">
        <v>33</v>
      </c>
      <c r="I155" s="12" t="str">
        <f aca="false">IF(OR(H155="Passed",H155="Accepted Exception"),"GREEN",IF(OR(H155="Not Started",H155="Failed"),"RED","AMBER"))</f>
        <v>RED</v>
      </c>
      <c r="J155" s="13" t="s">
        <v>34</v>
      </c>
      <c r="K155" s="14" t="str">
        <f aca="false">IF(OR(J155="Réussi",J155="Exception acceptée"),"GREEN",IF(OR(J155="Non commencé",J155="Échec"),"RED","AMBER"))</f>
        <v>RED</v>
      </c>
      <c r="L155" s="10"/>
      <c r="M155" s="10"/>
      <c r="N155" s="15" t="str">
        <f aca="true">IF(G155&lt;&gt;"",TODAY()-G155,"")</f>
        <v/>
      </c>
    </row>
    <row r="156" customFormat="false" ht="18" hidden="false" customHeight="true" outlineLevel="0" collapsed="false">
      <c r="A156" s="16" t="s">
        <v>42</v>
      </c>
      <c r="B156" s="17" t="s">
        <v>43</v>
      </c>
      <c r="C156" s="17" t="s">
        <v>189</v>
      </c>
      <c r="D156" s="16" t="s">
        <v>31</v>
      </c>
      <c r="E156" s="17" t="s">
        <v>190</v>
      </c>
      <c r="F156" s="17" t="s">
        <v>42</v>
      </c>
      <c r="G156" s="17"/>
      <c r="H156" s="18" t="s">
        <v>33</v>
      </c>
      <c r="I156" s="12" t="str">
        <f aca="false">IF(OR(H156="Passed",H156="Accepted Exception"),"GREEN",IF(OR(H156="Not Started",H156="Failed"),"RED","AMBER"))</f>
        <v>RED</v>
      </c>
      <c r="J156" s="19" t="s">
        <v>34</v>
      </c>
      <c r="K156" s="14" t="str">
        <f aca="false">IF(OR(J156="Réussi",J156="Exception acceptée"),"GREEN",IF(OR(J156="Non commencé",J156="Échec"),"RED","AMBER"))</f>
        <v>RED</v>
      </c>
      <c r="L156" s="17"/>
      <c r="M156" s="17"/>
      <c r="N156" s="15" t="str">
        <f aca="true">IF(G156&lt;&gt;"",TODAY()-G156,"")</f>
        <v/>
      </c>
    </row>
    <row r="157" customFormat="false" ht="18" hidden="false" customHeight="true" outlineLevel="0" collapsed="false">
      <c r="A157" s="9" t="s">
        <v>44</v>
      </c>
      <c r="B157" s="10" t="s">
        <v>45</v>
      </c>
      <c r="C157" s="10" t="s">
        <v>189</v>
      </c>
      <c r="D157" s="9" t="s">
        <v>46</v>
      </c>
      <c r="E157" s="10" t="s">
        <v>190</v>
      </c>
      <c r="F157" s="10" t="s">
        <v>44</v>
      </c>
      <c r="G157" s="10"/>
      <c r="H157" s="11" t="s">
        <v>33</v>
      </c>
      <c r="I157" s="12" t="str">
        <f aca="false">IF(OR(H157="Passed",H157="Accepted Exception"),"GREEN",IF(OR(H157="Not Started",H157="Failed"),"RED","AMBER"))</f>
        <v>RED</v>
      </c>
      <c r="J157" s="13" t="s">
        <v>34</v>
      </c>
      <c r="K157" s="14" t="str">
        <f aca="false">IF(OR(J157="Réussi",J157="Exception acceptée"),"GREEN",IF(OR(J157="Non commencé",J157="Échec"),"RED","AMBER"))</f>
        <v>RED</v>
      </c>
      <c r="L157" s="10"/>
      <c r="M157" s="10"/>
      <c r="N157" s="15" t="str">
        <f aca="true">IF(G157&lt;&gt;"",TODAY()-G157,"")</f>
        <v/>
      </c>
    </row>
    <row r="158" customFormat="false" ht="18" hidden="false" customHeight="true" outlineLevel="0" collapsed="false">
      <c r="A158" s="16" t="s">
        <v>47</v>
      </c>
      <c r="B158" s="17" t="s">
        <v>48</v>
      </c>
      <c r="C158" s="17" t="s">
        <v>189</v>
      </c>
      <c r="D158" s="16" t="s">
        <v>46</v>
      </c>
      <c r="E158" s="17" t="s">
        <v>190</v>
      </c>
      <c r="F158" s="17" t="s">
        <v>47</v>
      </c>
      <c r="G158" s="17"/>
      <c r="H158" s="18" t="s">
        <v>33</v>
      </c>
      <c r="I158" s="12" t="str">
        <f aca="false">IF(OR(H158="Passed",H158="Accepted Exception"),"GREEN",IF(OR(H158="Not Started",H158="Failed"),"RED","AMBER"))</f>
        <v>RED</v>
      </c>
      <c r="J158" s="19" t="s">
        <v>34</v>
      </c>
      <c r="K158" s="14" t="str">
        <f aca="false">IF(OR(J158="Réussi",J158="Exception acceptée"),"GREEN",IF(OR(J158="Non commencé",J158="Échec"),"RED","AMBER"))</f>
        <v>RED</v>
      </c>
      <c r="L158" s="17"/>
      <c r="M158" s="17"/>
      <c r="N158" s="15" t="str">
        <f aca="true">IF(G158&lt;&gt;"",TODAY()-G158,"")</f>
        <v/>
      </c>
    </row>
    <row r="159" customFormat="false" ht="18" hidden="false" customHeight="true" outlineLevel="0" collapsed="false">
      <c r="A159" s="9" t="s">
        <v>49</v>
      </c>
      <c r="B159" s="10" t="s">
        <v>48</v>
      </c>
      <c r="C159" s="10" t="s">
        <v>189</v>
      </c>
      <c r="D159" s="9" t="s">
        <v>46</v>
      </c>
      <c r="E159" s="10" t="s">
        <v>190</v>
      </c>
      <c r="F159" s="10" t="s">
        <v>50</v>
      </c>
      <c r="G159" s="10"/>
      <c r="H159" s="11" t="s">
        <v>33</v>
      </c>
      <c r="I159" s="12" t="str">
        <f aca="false">IF(OR(H159="Passed",H159="Accepted Exception"),"GREEN",IF(OR(H159="Not Started",H159="Failed"),"RED","AMBER"))</f>
        <v>RED</v>
      </c>
      <c r="J159" s="13" t="s">
        <v>34</v>
      </c>
      <c r="K159" s="14" t="str">
        <f aca="false">IF(OR(J159="Réussi",J159="Exception acceptée"),"GREEN",IF(OR(J159="Non commencé",J159="Échec"),"RED","AMBER"))</f>
        <v>RED</v>
      </c>
      <c r="L159" s="10"/>
      <c r="M159" s="10"/>
      <c r="N159" s="15" t="str">
        <f aca="true">IF(G159&lt;&gt;"",TODAY()-G159,"")</f>
        <v/>
      </c>
    </row>
    <row r="160" customFormat="false" ht="18" hidden="false" customHeight="true" outlineLevel="0" collapsed="false">
      <c r="A160" s="16" t="s">
        <v>80</v>
      </c>
      <c r="B160" s="17" t="s">
        <v>81</v>
      </c>
      <c r="C160" s="17" t="s">
        <v>189</v>
      </c>
      <c r="D160" s="16" t="s">
        <v>53</v>
      </c>
      <c r="E160" s="17" t="s">
        <v>190</v>
      </c>
      <c r="F160" s="17" t="s">
        <v>80</v>
      </c>
      <c r="G160" s="17"/>
      <c r="H160" s="18" t="s">
        <v>33</v>
      </c>
      <c r="I160" s="12" t="str">
        <f aca="false">IF(OR(H160="Passed",H160="Accepted Exception"),"GREEN",IF(OR(H160="Not Started",H160="Failed"),"RED","AMBER"))</f>
        <v>RED</v>
      </c>
      <c r="J160" s="19" t="s">
        <v>34</v>
      </c>
      <c r="K160" s="14" t="str">
        <f aca="false">IF(OR(J160="Réussi",J160="Exception acceptée"),"GREEN",IF(OR(J160="Non commencé",J160="Échec"),"RED","AMBER"))</f>
        <v>RED</v>
      </c>
      <c r="L160" s="17"/>
      <c r="M160" s="17"/>
      <c r="N160" s="15" t="str">
        <f aca="true">IF(G160&lt;&gt;"",TODAY()-G160,"")</f>
        <v/>
      </c>
    </row>
    <row r="161" customFormat="false" ht="18" hidden="false" customHeight="true" outlineLevel="0" collapsed="false">
      <c r="A161" s="9" t="s">
        <v>82</v>
      </c>
      <c r="B161" s="10" t="s">
        <v>81</v>
      </c>
      <c r="C161" s="10" t="s">
        <v>189</v>
      </c>
      <c r="D161" s="9" t="s">
        <v>53</v>
      </c>
      <c r="E161" s="10" t="s">
        <v>190</v>
      </c>
      <c r="F161" s="10" t="s">
        <v>83</v>
      </c>
      <c r="G161" s="10"/>
      <c r="H161" s="11" t="s">
        <v>33</v>
      </c>
      <c r="I161" s="12" t="str">
        <f aca="false">IF(OR(H161="Passed",H161="Accepted Exception"),"GREEN",IF(OR(H161="Not Started",H161="Failed"),"RED","AMBER"))</f>
        <v>RED</v>
      </c>
      <c r="J161" s="13" t="s">
        <v>34</v>
      </c>
      <c r="K161" s="14" t="str">
        <f aca="false">IF(OR(J161="Réussi",J161="Exception acceptée"),"GREEN",IF(OR(J161="Non commencé",J161="Échec"),"RED","AMBER"))</f>
        <v>RED</v>
      </c>
      <c r="L161" s="10"/>
      <c r="M161" s="10"/>
      <c r="N161" s="15" t="str">
        <f aca="true">IF(G161&lt;&gt;"",TODAY()-G161,"")</f>
        <v/>
      </c>
    </row>
    <row r="162" customFormat="false" ht="18" hidden="false" customHeight="true" outlineLevel="0" collapsed="false">
      <c r="A162" s="16" t="s">
        <v>51</v>
      </c>
      <c r="B162" s="17" t="s">
        <v>52</v>
      </c>
      <c r="C162" s="17" t="s">
        <v>189</v>
      </c>
      <c r="D162" s="16" t="s">
        <v>53</v>
      </c>
      <c r="E162" s="17" t="s">
        <v>190</v>
      </c>
      <c r="F162" s="17" t="s">
        <v>51</v>
      </c>
      <c r="G162" s="17"/>
      <c r="H162" s="18" t="s">
        <v>33</v>
      </c>
      <c r="I162" s="12" t="str">
        <f aca="false">IF(OR(H162="Passed",H162="Accepted Exception"),"GREEN",IF(OR(H162="Not Started",H162="Failed"),"RED","AMBER"))</f>
        <v>RED</v>
      </c>
      <c r="J162" s="19" t="s">
        <v>34</v>
      </c>
      <c r="K162" s="14" t="str">
        <f aca="false">IF(OR(J162="Réussi",J162="Exception acceptée"),"GREEN",IF(OR(J162="Non commencé",J162="Échec"),"RED","AMBER"))</f>
        <v>RED</v>
      </c>
      <c r="L162" s="17"/>
      <c r="M162" s="17"/>
      <c r="N162" s="15" t="str">
        <f aca="true">IF(G162&lt;&gt;"",TODAY()-G162,"")</f>
        <v/>
      </c>
    </row>
    <row r="163" customFormat="false" ht="18" hidden="false" customHeight="true" outlineLevel="0" collapsed="false">
      <c r="A163" s="9" t="s">
        <v>54</v>
      </c>
      <c r="B163" s="10" t="s">
        <v>52</v>
      </c>
      <c r="C163" s="10" t="s">
        <v>189</v>
      </c>
      <c r="D163" s="9" t="s">
        <v>53</v>
      </c>
      <c r="E163" s="10" t="s">
        <v>190</v>
      </c>
      <c r="F163" s="10" t="s">
        <v>55</v>
      </c>
      <c r="G163" s="10"/>
      <c r="H163" s="11" t="s">
        <v>33</v>
      </c>
      <c r="I163" s="12" t="str">
        <f aca="false">IF(OR(H163="Passed",H163="Accepted Exception"),"GREEN",IF(OR(H163="Not Started",H163="Failed"),"RED","AMBER"))</f>
        <v>RED</v>
      </c>
      <c r="J163" s="13" t="s">
        <v>34</v>
      </c>
      <c r="K163" s="14" t="str">
        <f aca="false">IF(OR(J163="Réussi",J163="Exception acceptée"),"GREEN",IF(OR(J163="Non commencé",J163="Échec"),"RED","AMBER"))</f>
        <v>RED</v>
      </c>
      <c r="L163" s="10"/>
      <c r="M163" s="10"/>
      <c r="N163" s="15" t="str">
        <f aca="true">IF(G163&lt;&gt;"",TODAY()-G163,"")</f>
        <v/>
      </c>
    </row>
    <row r="164" customFormat="false" ht="18" hidden="false" customHeight="true" outlineLevel="0" collapsed="false">
      <c r="A164" s="16" t="s">
        <v>84</v>
      </c>
      <c r="B164" s="17" t="s">
        <v>85</v>
      </c>
      <c r="C164" s="17" t="s">
        <v>189</v>
      </c>
      <c r="D164" s="16" t="s">
        <v>53</v>
      </c>
      <c r="E164" s="17" t="s">
        <v>190</v>
      </c>
      <c r="F164" s="17" t="s">
        <v>84</v>
      </c>
      <c r="G164" s="17"/>
      <c r="H164" s="18" t="s">
        <v>33</v>
      </c>
      <c r="I164" s="12" t="str">
        <f aca="false">IF(OR(H164="Passed",H164="Accepted Exception"),"GREEN",IF(OR(H164="Not Started",H164="Failed"),"RED","AMBER"))</f>
        <v>RED</v>
      </c>
      <c r="J164" s="19" t="s">
        <v>34</v>
      </c>
      <c r="K164" s="14" t="str">
        <f aca="false">IF(OR(J164="Réussi",J164="Exception acceptée"),"GREEN",IF(OR(J164="Non commencé",J164="Échec"),"RED","AMBER"))</f>
        <v>RED</v>
      </c>
      <c r="L164" s="17"/>
      <c r="M164" s="17"/>
      <c r="N164" s="15" t="str">
        <f aca="true">IF(G164&lt;&gt;"",TODAY()-G164,"")</f>
        <v/>
      </c>
    </row>
    <row r="165" customFormat="false" ht="18" hidden="false" customHeight="true" outlineLevel="0" collapsed="false">
      <c r="A165" s="9" t="s">
        <v>86</v>
      </c>
      <c r="B165" s="10" t="s">
        <v>85</v>
      </c>
      <c r="C165" s="10" t="s">
        <v>189</v>
      </c>
      <c r="D165" s="9" t="s">
        <v>53</v>
      </c>
      <c r="E165" s="10" t="s">
        <v>190</v>
      </c>
      <c r="F165" s="10" t="s">
        <v>87</v>
      </c>
      <c r="G165" s="10"/>
      <c r="H165" s="11" t="s">
        <v>33</v>
      </c>
      <c r="I165" s="12" t="str">
        <f aca="false">IF(OR(H165="Passed",H165="Accepted Exception"),"GREEN",IF(OR(H165="Not Started",H165="Failed"),"RED","AMBER"))</f>
        <v>RED</v>
      </c>
      <c r="J165" s="13" t="s">
        <v>34</v>
      </c>
      <c r="K165" s="14" t="str">
        <f aca="false">IF(OR(J165="Réussi",J165="Exception acceptée"),"GREEN",IF(OR(J165="Non commencé",J165="Échec"),"RED","AMBER"))</f>
        <v>RED</v>
      </c>
      <c r="L165" s="10"/>
      <c r="M165" s="10"/>
      <c r="N165" s="15" t="str">
        <f aca="true">IF(G165&lt;&gt;"",TODAY()-G165,"")</f>
        <v/>
      </c>
    </row>
    <row r="166" customFormat="false" ht="18" hidden="false" customHeight="true" outlineLevel="0" collapsed="false">
      <c r="A166" s="16" t="s">
        <v>88</v>
      </c>
      <c r="B166" s="17" t="s">
        <v>85</v>
      </c>
      <c r="C166" s="17" t="s">
        <v>189</v>
      </c>
      <c r="D166" s="16" t="s">
        <v>53</v>
      </c>
      <c r="E166" s="17" t="s">
        <v>190</v>
      </c>
      <c r="F166" s="17" t="s">
        <v>89</v>
      </c>
      <c r="G166" s="17"/>
      <c r="H166" s="18" t="s">
        <v>33</v>
      </c>
      <c r="I166" s="12" t="str">
        <f aca="false">IF(OR(H166="Passed",H166="Accepted Exception"),"GREEN",IF(OR(H166="Not Started",H166="Failed"),"RED","AMBER"))</f>
        <v>RED</v>
      </c>
      <c r="J166" s="19" t="s">
        <v>34</v>
      </c>
      <c r="K166" s="14" t="str">
        <f aca="false">IF(OR(J166="Réussi",J166="Exception acceptée"),"GREEN",IF(OR(J166="Non commencé",J166="Échec"),"RED","AMBER"))</f>
        <v>RED</v>
      </c>
      <c r="L166" s="17"/>
      <c r="M166" s="17"/>
      <c r="N166" s="15" t="str">
        <f aca="true">IF(G166&lt;&gt;"",TODAY()-G166,"")</f>
        <v/>
      </c>
    </row>
    <row r="167" customFormat="false" ht="18" hidden="false" customHeight="true" outlineLevel="0" collapsed="false">
      <c r="A167" s="9" t="s">
        <v>90</v>
      </c>
      <c r="B167" s="10" t="s">
        <v>85</v>
      </c>
      <c r="C167" s="10" t="s">
        <v>189</v>
      </c>
      <c r="D167" s="9" t="s">
        <v>53</v>
      </c>
      <c r="E167" s="10" t="s">
        <v>190</v>
      </c>
      <c r="F167" s="10" t="s">
        <v>91</v>
      </c>
      <c r="G167" s="10"/>
      <c r="H167" s="11" t="s">
        <v>33</v>
      </c>
      <c r="I167" s="12" t="str">
        <f aca="false">IF(OR(H167="Passed",H167="Accepted Exception"),"GREEN",IF(OR(H167="Not Started",H167="Failed"),"RED","AMBER"))</f>
        <v>RED</v>
      </c>
      <c r="J167" s="13" t="s">
        <v>34</v>
      </c>
      <c r="K167" s="14" t="str">
        <f aca="false">IF(OR(J167="Réussi",J167="Exception acceptée"),"GREEN",IF(OR(J167="Non commencé",J167="Échec"),"RED","AMBER"))</f>
        <v>RED</v>
      </c>
      <c r="L167" s="10"/>
      <c r="M167" s="10"/>
      <c r="N167" s="15" t="str">
        <f aca="true">IF(G167&lt;&gt;"",TODAY()-G167,"")</f>
        <v/>
      </c>
    </row>
    <row r="168" customFormat="false" ht="18" hidden="false" customHeight="true" outlineLevel="0" collapsed="false">
      <c r="A168" s="16" t="s">
        <v>56</v>
      </c>
      <c r="B168" s="17" t="s">
        <v>57</v>
      </c>
      <c r="C168" s="17" t="s">
        <v>189</v>
      </c>
      <c r="D168" s="16" t="s">
        <v>53</v>
      </c>
      <c r="E168" s="17" t="s">
        <v>190</v>
      </c>
      <c r="F168" s="17" t="s">
        <v>56</v>
      </c>
      <c r="G168" s="17"/>
      <c r="H168" s="18" t="s">
        <v>33</v>
      </c>
      <c r="I168" s="12" t="str">
        <f aca="false">IF(OR(H168="Passed",H168="Accepted Exception"),"GREEN",IF(OR(H168="Not Started",H168="Failed"),"RED","AMBER"))</f>
        <v>RED</v>
      </c>
      <c r="J168" s="19" t="s">
        <v>34</v>
      </c>
      <c r="K168" s="14" t="str">
        <f aca="false">IF(OR(J168="Réussi",J168="Exception acceptée"),"GREEN",IF(OR(J168="Non commencé",J168="Échec"),"RED","AMBER"))</f>
        <v>RED</v>
      </c>
      <c r="L168" s="17"/>
      <c r="M168" s="17"/>
      <c r="N168" s="15" t="str">
        <f aca="true">IF(G168&lt;&gt;"",TODAY()-G168,"")</f>
        <v/>
      </c>
    </row>
    <row r="169" customFormat="false" ht="18" hidden="false" customHeight="true" outlineLevel="0" collapsed="false">
      <c r="A169" s="9" t="s">
        <v>191</v>
      </c>
      <c r="B169" s="10" t="s">
        <v>57</v>
      </c>
      <c r="C169" s="10" t="s">
        <v>189</v>
      </c>
      <c r="D169" s="9" t="s">
        <v>53</v>
      </c>
      <c r="E169" s="10" t="s">
        <v>190</v>
      </c>
      <c r="F169" s="10" t="s">
        <v>192</v>
      </c>
      <c r="G169" s="10"/>
      <c r="H169" s="11" t="s">
        <v>33</v>
      </c>
      <c r="I169" s="12" t="str">
        <f aca="false">IF(OR(H169="Passed",H169="Accepted Exception"),"GREEN",IF(OR(H169="Not Started",H169="Failed"),"RED","AMBER"))</f>
        <v>RED</v>
      </c>
      <c r="J169" s="13" t="s">
        <v>34</v>
      </c>
      <c r="K169" s="14" t="str">
        <f aca="false">IF(OR(J169="Réussi",J169="Exception acceptée"),"GREEN",IF(OR(J169="Non commencé",J169="Échec"),"RED","AMBER"))</f>
        <v>RED</v>
      </c>
      <c r="L169" s="10"/>
      <c r="M169" s="10"/>
      <c r="N169" s="15" t="str">
        <f aca="true">IF(G169&lt;&gt;"",TODAY()-G169,"")</f>
        <v/>
      </c>
    </row>
    <row r="170" customFormat="false" ht="18" hidden="false" customHeight="true" outlineLevel="0" collapsed="false">
      <c r="A170" s="16" t="s">
        <v>58</v>
      </c>
      <c r="B170" s="17" t="s">
        <v>57</v>
      </c>
      <c r="C170" s="17" t="s">
        <v>189</v>
      </c>
      <c r="D170" s="16" t="s">
        <v>53</v>
      </c>
      <c r="E170" s="17" t="s">
        <v>190</v>
      </c>
      <c r="F170" s="17" t="s">
        <v>59</v>
      </c>
      <c r="G170" s="17"/>
      <c r="H170" s="18" t="s">
        <v>33</v>
      </c>
      <c r="I170" s="12" t="str">
        <f aca="false">IF(OR(H170="Passed",H170="Accepted Exception"),"GREEN",IF(OR(H170="Not Started",H170="Failed"),"RED","AMBER"))</f>
        <v>RED</v>
      </c>
      <c r="J170" s="19" t="s">
        <v>34</v>
      </c>
      <c r="K170" s="14" t="str">
        <f aca="false">IF(OR(J170="Réussi",J170="Exception acceptée"),"GREEN",IF(OR(J170="Non commencé",J170="Échec"),"RED","AMBER"))</f>
        <v>RED</v>
      </c>
      <c r="L170" s="17"/>
      <c r="M170" s="17"/>
      <c r="N170" s="15" t="str">
        <f aca="true">IF(G170&lt;&gt;"",TODAY()-G170,"")</f>
        <v/>
      </c>
    </row>
    <row r="171" customFormat="false" ht="18" hidden="false" customHeight="true" outlineLevel="0" collapsed="false">
      <c r="A171" s="9" t="s">
        <v>60</v>
      </c>
      <c r="B171" s="10" t="s">
        <v>61</v>
      </c>
      <c r="C171" s="10" t="s">
        <v>189</v>
      </c>
      <c r="D171" s="9" t="s">
        <v>62</v>
      </c>
      <c r="E171" s="10" t="s">
        <v>190</v>
      </c>
      <c r="F171" s="10" t="s">
        <v>63</v>
      </c>
      <c r="G171" s="10"/>
      <c r="H171" s="11" t="s">
        <v>33</v>
      </c>
      <c r="I171" s="12" t="str">
        <f aca="false">IF(OR(H171="Passed",H171="Accepted Exception"),"GREEN",IF(OR(H171="Not Started",H171="Failed"),"RED","AMBER"))</f>
        <v>RED</v>
      </c>
      <c r="J171" s="13" t="s">
        <v>34</v>
      </c>
      <c r="K171" s="14" t="str">
        <f aca="false">IF(OR(J171="Réussi",J171="Exception acceptée"),"GREEN",IF(OR(J171="Non commencé",J171="Échec"),"RED","AMBER"))</f>
        <v>RED</v>
      </c>
      <c r="L171" s="10"/>
      <c r="M171" s="10"/>
      <c r="N171" s="15" t="str">
        <f aca="true">IF(G171&lt;&gt;"",TODAY()-G171,"")</f>
        <v/>
      </c>
    </row>
    <row r="172" customFormat="false" ht="18" hidden="false" customHeight="true" outlineLevel="0" collapsed="false">
      <c r="A172" s="16" t="s">
        <v>95</v>
      </c>
      <c r="B172" s="17" t="s">
        <v>96</v>
      </c>
      <c r="C172" s="17" t="s">
        <v>189</v>
      </c>
      <c r="D172" s="16" t="s">
        <v>94</v>
      </c>
      <c r="E172" s="17" t="s">
        <v>190</v>
      </c>
      <c r="F172" s="17" t="s">
        <v>95</v>
      </c>
      <c r="G172" s="17"/>
      <c r="H172" s="18" t="s">
        <v>33</v>
      </c>
      <c r="I172" s="12" t="str">
        <f aca="false">IF(OR(H172="Passed",H172="Accepted Exception"),"GREEN",IF(OR(H172="Not Started",H172="Failed"),"RED","AMBER"))</f>
        <v>RED</v>
      </c>
      <c r="J172" s="19" t="s">
        <v>34</v>
      </c>
      <c r="K172" s="14" t="str">
        <f aca="false">IF(OR(J172="Réussi",J172="Exception acceptée"),"GREEN",IF(OR(J172="Non commencé",J172="Échec"),"RED","AMBER"))</f>
        <v>RED</v>
      </c>
      <c r="L172" s="17"/>
      <c r="M172" s="17"/>
      <c r="N172" s="15" t="str">
        <f aca="true">IF(G172&lt;&gt;"",TODAY()-G172,"")</f>
        <v/>
      </c>
    </row>
    <row r="173" customFormat="false" ht="18" hidden="false" customHeight="true" outlineLevel="0" collapsed="false">
      <c r="A173" s="9" t="s">
        <v>97</v>
      </c>
      <c r="B173" s="10" t="s">
        <v>98</v>
      </c>
      <c r="C173" s="10" t="s">
        <v>189</v>
      </c>
      <c r="D173" s="9" t="s">
        <v>94</v>
      </c>
      <c r="E173" s="10" t="s">
        <v>190</v>
      </c>
      <c r="F173" s="10" t="s">
        <v>97</v>
      </c>
      <c r="G173" s="10"/>
      <c r="H173" s="11" t="s">
        <v>33</v>
      </c>
      <c r="I173" s="12" t="str">
        <f aca="false">IF(OR(H173="Passed",H173="Accepted Exception"),"GREEN",IF(OR(H173="Not Started",H173="Failed"),"RED","AMBER"))</f>
        <v>RED</v>
      </c>
      <c r="J173" s="13" t="s">
        <v>34</v>
      </c>
      <c r="K173" s="14" t="str">
        <f aca="false">IF(OR(J173="Réussi",J173="Exception acceptée"),"GREEN",IF(OR(J173="Non commencé",J173="Échec"),"RED","AMBER"))</f>
        <v>RED</v>
      </c>
      <c r="L173" s="10"/>
      <c r="M173" s="10"/>
      <c r="N173" s="15" t="str">
        <f aca="true">IF(G173&lt;&gt;"",TODAY()-G173,"")</f>
        <v/>
      </c>
    </row>
    <row r="174" customFormat="false" ht="18" hidden="false" customHeight="true" outlineLevel="0" collapsed="false">
      <c r="A174" s="16" t="s">
        <v>99</v>
      </c>
      <c r="B174" s="17" t="s">
        <v>98</v>
      </c>
      <c r="C174" s="17" t="s">
        <v>189</v>
      </c>
      <c r="D174" s="16" t="s">
        <v>94</v>
      </c>
      <c r="E174" s="17" t="s">
        <v>190</v>
      </c>
      <c r="F174" s="17" t="s">
        <v>100</v>
      </c>
      <c r="G174" s="17"/>
      <c r="H174" s="18" t="s">
        <v>33</v>
      </c>
      <c r="I174" s="12" t="str">
        <f aca="false">IF(OR(H174="Passed",H174="Accepted Exception"),"GREEN",IF(OR(H174="Not Started",H174="Failed"),"RED","AMBER"))</f>
        <v>RED</v>
      </c>
      <c r="J174" s="19" t="s">
        <v>34</v>
      </c>
      <c r="K174" s="14" t="str">
        <f aca="false">IF(OR(J174="Réussi",J174="Exception acceptée"),"GREEN",IF(OR(J174="Non commencé",J174="Échec"),"RED","AMBER"))</f>
        <v>RED</v>
      </c>
      <c r="L174" s="17"/>
      <c r="M174" s="17"/>
      <c r="N174" s="15" t="str">
        <f aca="true">IF(G174&lt;&gt;"",TODAY()-G174,"")</f>
        <v/>
      </c>
    </row>
    <row r="175" customFormat="false" ht="18" hidden="false" customHeight="true" outlineLevel="0" collapsed="false">
      <c r="A175" s="9" t="s">
        <v>64</v>
      </c>
      <c r="B175" s="10" t="s">
        <v>65</v>
      </c>
      <c r="C175" s="10" t="s">
        <v>189</v>
      </c>
      <c r="D175" s="9" t="s">
        <v>66</v>
      </c>
      <c r="E175" s="10" t="s">
        <v>190</v>
      </c>
      <c r="F175" s="10" t="s">
        <v>67</v>
      </c>
      <c r="G175" s="10"/>
      <c r="H175" s="11" t="s">
        <v>33</v>
      </c>
      <c r="I175" s="12" t="str">
        <f aca="false">IF(OR(H175="Passed",H175="Accepted Exception"),"GREEN",IF(OR(H175="Not Started",H175="Failed"),"RED","AMBER"))</f>
        <v>RED</v>
      </c>
      <c r="J175" s="13" t="s">
        <v>34</v>
      </c>
      <c r="K175" s="14" t="str">
        <f aca="false">IF(OR(J175="Réussi",J175="Exception acceptée"),"GREEN",IF(OR(J175="Non commencé",J175="Échec"),"RED","AMBER"))</f>
        <v>RED</v>
      </c>
      <c r="L175" s="10"/>
      <c r="M175" s="10"/>
      <c r="N175" s="15" t="str">
        <f aca="true">IF(G175&lt;&gt;"",TODAY()-G175,"")</f>
        <v/>
      </c>
    </row>
    <row r="176" customFormat="false" ht="18" hidden="false" customHeight="true" outlineLevel="0" collapsed="false">
      <c r="A176" s="16" t="s">
        <v>68</v>
      </c>
      <c r="B176" s="17" t="s">
        <v>69</v>
      </c>
      <c r="C176" s="17" t="s">
        <v>189</v>
      </c>
      <c r="D176" s="16" t="s">
        <v>66</v>
      </c>
      <c r="E176" s="17" t="s">
        <v>190</v>
      </c>
      <c r="F176" s="17" t="s">
        <v>68</v>
      </c>
      <c r="G176" s="17"/>
      <c r="H176" s="18" t="s">
        <v>33</v>
      </c>
      <c r="I176" s="12" t="str">
        <f aca="false">IF(OR(H176="Passed",H176="Accepted Exception"),"GREEN",IF(OR(H176="Not Started",H176="Failed"),"RED","AMBER"))</f>
        <v>RED</v>
      </c>
      <c r="J176" s="19" t="s">
        <v>34</v>
      </c>
      <c r="K176" s="14" t="str">
        <f aca="false">IF(OR(J176="Réussi",J176="Exception acceptée"),"GREEN",IF(OR(J176="Non commencé",J176="Échec"),"RED","AMBER"))</f>
        <v>RED</v>
      </c>
      <c r="L176" s="17"/>
      <c r="M176" s="17"/>
      <c r="N176" s="15" t="str">
        <f aca="true">IF(G176&lt;&gt;"",TODAY()-G176,"")</f>
        <v/>
      </c>
    </row>
    <row r="177" customFormat="false" ht="18" hidden="false" customHeight="true" outlineLevel="0" collapsed="false">
      <c r="A177" s="9" t="s">
        <v>193</v>
      </c>
      <c r="B177" s="10" t="s">
        <v>194</v>
      </c>
      <c r="C177" s="10" t="s">
        <v>195</v>
      </c>
      <c r="D177" s="9" t="s">
        <v>104</v>
      </c>
      <c r="E177" s="10" t="s">
        <v>196</v>
      </c>
      <c r="F177" s="10" t="s">
        <v>197</v>
      </c>
      <c r="G177" s="10"/>
      <c r="H177" s="11" t="s">
        <v>33</v>
      </c>
      <c r="I177" s="12" t="str">
        <f aca="false">IF(OR(H177="Passed",H177="Accepted Exception"),"GREEN",IF(OR(H177="Not Started",H177="Failed"),"RED","AMBER"))</f>
        <v>RED</v>
      </c>
      <c r="J177" s="13" t="s">
        <v>34</v>
      </c>
      <c r="K177" s="14" t="str">
        <f aca="false">IF(OR(J177="Réussi",J177="Exception acceptée"),"GREEN",IF(OR(J177="Non commencé",J177="Échec"),"RED","AMBER"))</f>
        <v>RED</v>
      </c>
      <c r="L177" s="10"/>
      <c r="M177" s="10"/>
      <c r="N177" s="15" t="str">
        <f aca="true">IF(G177&lt;&gt;"",TODAY()-G177,"")</f>
        <v/>
      </c>
    </row>
    <row r="178" customFormat="false" ht="18" hidden="false" customHeight="true" outlineLevel="0" collapsed="false">
      <c r="A178" s="16" t="s">
        <v>198</v>
      </c>
      <c r="B178" s="17" t="s">
        <v>194</v>
      </c>
      <c r="C178" s="17" t="s">
        <v>195</v>
      </c>
      <c r="D178" s="16" t="s">
        <v>104</v>
      </c>
      <c r="E178" s="17" t="s">
        <v>196</v>
      </c>
      <c r="F178" s="17" t="s">
        <v>199</v>
      </c>
      <c r="G178" s="17"/>
      <c r="H178" s="18" t="s">
        <v>33</v>
      </c>
      <c r="I178" s="12" t="str">
        <f aca="false">IF(OR(H178="Passed",H178="Accepted Exception"),"GREEN",IF(OR(H178="Not Started",H178="Failed"),"RED","AMBER"))</f>
        <v>RED</v>
      </c>
      <c r="J178" s="19" t="s">
        <v>34</v>
      </c>
      <c r="K178" s="14" t="str">
        <f aca="false">IF(OR(J178="Réussi",J178="Exception acceptée"),"GREEN",IF(OR(J178="Non commencé",J178="Échec"),"RED","AMBER"))</f>
        <v>RED</v>
      </c>
      <c r="L178" s="17"/>
      <c r="M178" s="17"/>
      <c r="N178" s="15" t="str">
        <f aca="true">IF(G178&lt;&gt;"",TODAY()-G178,"")</f>
        <v/>
      </c>
    </row>
    <row r="179" customFormat="false" ht="18" hidden="false" customHeight="true" outlineLevel="0" collapsed="false">
      <c r="A179" s="9" t="s">
        <v>200</v>
      </c>
      <c r="B179" s="10" t="s">
        <v>194</v>
      </c>
      <c r="C179" s="10" t="s">
        <v>195</v>
      </c>
      <c r="D179" s="9" t="s">
        <v>104</v>
      </c>
      <c r="E179" s="10" t="s">
        <v>196</v>
      </c>
      <c r="F179" s="10" t="s">
        <v>201</v>
      </c>
      <c r="G179" s="10"/>
      <c r="H179" s="11" t="s">
        <v>33</v>
      </c>
      <c r="I179" s="12" t="str">
        <f aca="false">IF(OR(H179="Passed",H179="Accepted Exception"),"GREEN",IF(OR(H179="Not Started",H179="Failed"),"RED","AMBER"))</f>
        <v>RED</v>
      </c>
      <c r="J179" s="13" t="s">
        <v>34</v>
      </c>
      <c r="K179" s="14" t="str">
        <f aca="false">IF(OR(J179="Réussi",J179="Exception acceptée"),"GREEN",IF(OR(J179="Non commencé",J179="Échec"),"RED","AMBER"))</f>
        <v>RED</v>
      </c>
      <c r="L179" s="10"/>
      <c r="M179" s="10"/>
      <c r="N179" s="15" t="str">
        <f aca="true">IF(G179&lt;&gt;"",TODAY()-G179,"")</f>
        <v/>
      </c>
    </row>
    <row r="180" customFormat="false" ht="18" hidden="false" customHeight="true" outlineLevel="0" collapsed="false">
      <c r="A180" s="16" t="s">
        <v>101</v>
      </c>
      <c r="B180" s="17" t="s">
        <v>102</v>
      </c>
      <c r="C180" s="17" t="s">
        <v>195</v>
      </c>
      <c r="D180" s="16" t="s">
        <v>104</v>
      </c>
      <c r="E180" s="17" t="s">
        <v>196</v>
      </c>
      <c r="F180" s="17" t="s">
        <v>101</v>
      </c>
      <c r="G180" s="17"/>
      <c r="H180" s="18" t="s">
        <v>33</v>
      </c>
      <c r="I180" s="12" t="str">
        <f aca="false">IF(OR(H180="Passed",H180="Accepted Exception"),"GREEN",IF(OR(H180="Not Started",H180="Failed"),"RED","AMBER"))</f>
        <v>RED</v>
      </c>
      <c r="J180" s="19" t="s">
        <v>34</v>
      </c>
      <c r="K180" s="14" t="str">
        <f aca="false">IF(OR(J180="Réussi",J180="Exception acceptée"),"GREEN",IF(OR(J180="Non commencé",J180="Échec"),"RED","AMBER"))</f>
        <v>RED</v>
      </c>
      <c r="L180" s="17"/>
      <c r="M180" s="17"/>
      <c r="N180" s="15" t="str">
        <f aca="true">IF(G180&lt;&gt;"",TODAY()-G180,"")</f>
        <v/>
      </c>
    </row>
    <row r="181" customFormat="false" ht="18" hidden="false" customHeight="true" outlineLevel="0" collapsed="false">
      <c r="A181" s="9" t="s">
        <v>106</v>
      </c>
      <c r="B181" s="10" t="s">
        <v>102</v>
      </c>
      <c r="C181" s="10" t="s">
        <v>195</v>
      </c>
      <c r="D181" s="9" t="s">
        <v>104</v>
      </c>
      <c r="E181" s="10" t="s">
        <v>196</v>
      </c>
      <c r="F181" s="10" t="s">
        <v>107</v>
      </c>
      <c r="G181" s="10"/>
      <c r="H181" s="11" t="s">
        <v>33</v>
      </c>
      <c r="I181" s="12" t="str">
        <f aca="false">IF(OR(H181="Passed",H181="Accepted Exception"),"GREEN",IF(OR(H181="Not Started",H181="Failed"),"RED","AMBER"))</f>
        <v>RED</v>
      </c>
      <c r="J181" s="13" t="s">
        <v>34</v>
      </c>
      <c r="K181" s="14" t="str">
        <f aca="false">IF(OR(J181="Réussi",J181="Exception acceptée"),"GREEN",IF(OR(J181="Non commencé",J181="Échec"),"RED","AMBER"))</f>
        <v>RED</v>
      </c>
      <c r="L181" s="10"/>
      <c r="M181" s="10"/>
      <c r="N181" s="15" t="str">
        <f aca="true">IF(G181&lt;&gt;"",TODAY()-G181,"")</f>
        <v/>
      </c>
    </row>
    <row r="182" customFormat="false" ht="18" hidden="false" customHeight="true" outlineLevel="0" collapsed="false">
      <c r="A182" s="16" t="s">
        <v>202</v>
      </c>
      <c r="B182" s="17" t="s">
        <v>102</v>
      </c>
      <c r="C182" s="17" t="s">
        <v>195</v>
      </c>
      <c r="D182" s="16" t="s">
        <v>104</v>
      </c>
      <c r="E182" s="17" t="s">
        <v>196</v>
      </c>
      <c r="F182" s="17" t="s">
        <v>203</v>
      </c>
      <c r="G182" s="17"/>
      <c r="H182" s="18" t="s">
        <v>33</v>
      </c>
      <c r="I182" s="12" t="str">
        <f aca="false">IF(OR(H182="Passed",H182="Accepted Exception"),"GREEN",IF(OR(H182="Not Started",H182="Failed"),"RED","AMBER"))</f>
        <v>RED</v>
      </c>
      <c r="J182" s="19" t="s">
        <v>34</v>
      </c>
      <c r="K182" s="14" t="str">
        <f aca="false">IF(OR(J182="Réussi",J182="Exception acceptée"),"GREEN",IF(OR(J182="Non commencé",J182="Échec"),"RED","AMBER"))</f>
        <v>RED</v>
      </c>
      <c r="L182" s="17"/>
      <c r="M182" s="17"/>
      <c r="N182" s="15" t="str">
        <f aca="true">IF(G182&lt;&gt;"",TODAY()-G182,"")</f>
        <v/>
      </c>
    </row>
    <row r="183" customFormat="false" ht="18" hidden="false" customHeight="true" outlineLevel="0" collapsed="false">
      <c r="A183" s="9" t="s">
        <v>118</v>
      </c>
      <c r="B183" s="10" t="s">
        <v>119</v>
      </c>
      <c r="C183" s="10" t="s">
        <v>195</v>
      </c>
      <c r="D183" s="9" t="s">
        <v>104</v>
      </c>
      <c r="E183" s="10" t="s">
        <v>196</v>
      </c>
      <c r="F183" s="10" t="s">
        <v>120</v>
      </c>
      <c r="G183" s="10"/>
      <c r="H183" s="11" t="s">
        <v>33</v>
      </c>
      <c r="I183" s="12" t="str">
        <f aca="false">IF(OR(H183="Passed",H183="Accepted Exception"),"GREEN",IF(OR(H183="Not Started",H183="Failed"),"RED","AMBER"))</f>
        <v>RED</v>
      </c>
      <c r="J183" s="13" t="s">
        <v>34</v>
      </c>
      <c r="K183" s="14" t="str">
        <f aca="false">IF(OR(J183="Réussi",J183="Exception acceptée"),"GREEN",IF(OR(J183="Non commencé",J183="Échec"),"RED","AMBER"))</f>
        <v>RED</v>
      </c>
      <c r="L183" s="10"/>
      <c r="M183" s="10"/>
      <c r="N183" s="15" t="str">
        <f aca="true">IF(G183&lt;&gt;"",TODAY()-G183,"")</f>
        <v/>
      </c>
    </row>
    <row r="184" customFormat="false" ht="18" hidden="false" customHeight="true" outlineLevel="0" collapsed="false">
      <c r="A184" s="16" t="s">
        <v>28</v>
      </c>
      <c r="B184" s="17" t="s">
        <v>29</v>
      </c>
      <c r="C184" s="17" t="s">
        <v>195</v>
      </c>
      <c r="D184" s="16" t="s">
        <v>31</v>
      </c>
      <c r="E184" s="17" t="s">
        <v>196</v>
      </c>
      <c r="F184" s="17" t="s">
        <v>28</v>
      </c>
      <c r="G184" s="17"/>
      <c r="H184" s="18" t="s">
        <v>33</v>
      </c>
      <c r="I184" s="12" t="str">
        <f aca="false">IF(OR(H184="Passed",H184="Accepted Exception"),"GREEN",IF(OR(H184="Not Started",H184="Failed"),"RED","AMBER"))</f>
        <v>RED</v>
      </c>
      <c r="J184" s="19" t="s">
        <v>34</v>
      </c>
      <c r="K184" s="14" t="str">
        <f aca="false">IF(OR(J184="Réussi",J184="Exception acceptée"),"GREEN",IF(OR(J184="Non commencé",J184="Échec"),"RED","AMBER"))</f>
        <v>RED</v>
      </c>
      <c r="L184" s="17"/>
      <c r="M184" s="17"/>
      <c r="N184" s="15" t="str">
        <f aca="true">IF(G184&lt;&gt;"",TODAY()-G184,"")</f>
        <v/>
      </c>
    </row>
    <row r="185" customFormat="false" ht="18" hidden="false" customHeight="true" outlineLevel="0" collapsed="false">
      <c r="A185" s="9" t="s">
        <v>35</v>
      </c>
      <c r="B185" s="10" t="s">
        <v>36</v>
      </c>
      <c r="C185" s="10" t="s">
        <v>195</v>
      </c>
      <c r="D185" s="9" t="s">
        <v>31</v>
      </c>
      <c r="E185" s="10" t="s">
        <v>196</v>
      </c>
      <c r="F185" s="10" t="s">
        <v>35</v>
      </c>
      <c r="G185" s="10"/>
      <c r="H185" s="11" t="s">
        <v>33</v>
      </c>
      <c r="I185" s="12" t="str">
        <f aca="false">IF(OR(H185="Passed",H185="Accepted Exception"),"GREEN",IF(OR(H185="Not Started",H185="Failed"),"RED","AMBER"))</f>
        <v>RED</v>
      </c>
      <c r="J185" s="13" t="s">
        <v>34</v>
      </c>
      <c r="K185" s="14" t="str">
        <f aca="false">IF(OR(J185="Réussi",J185="Exception acceptée"),"GREEN",IF(OR(J185="Non commencé",J185="Échec"),"RED","AMBER"))</f>
        <v>RED</v>
      </c>
      <c r="L185" s="10"/>
      <c r="M185" s="10"/>
      <c r="N185" s="15" t="str">
        <f aca="true">IF(G185&lt;&gt;"",TODAY()-G185,"")</f>
        <v/>
      </c>
    </row>
    <row r="186" customFormat="false" ht="18" hidden="false" customHeight="true" outlineLevel="0" collapsed="false">
      <c r="A186" s="16" t="s">
        <v>37</v>
      </c>
      <c r="B186" s="17" t="s">
        <v>36</v>
      </c>
      <c r="C186" s="17" t="s">
        <v>195</v>
      </c>
      <c r="D186" s="16" t="s">
        <v>31</v>
      </c>
      <c r="E186" s="17" t="s">
        <v>196</v>
      </c>
      <c r="F186" s="17" t="s">
        <v>38</v>
      </c>
      <c r="G186" s="17"/>
      <c r="H186" s="18" t="s">
        <v>33</v>
      </c>
      <c r="I186" s="12" t="str">
        <f aca="false">IF(OR(H186="Passed",H186="Accepted Exception"),"GREEN",IF(OR(H186="Not Started",H186="Failed"),"RED","AMBER"))</f>
        <v>RED</v>
      </c>
      <c r="J186" s="19" t="s">
        <v>34</v>
      </c>
      <c r="K186" s="14" t="str">
        <f aca="false">IF(OR(J186="Réussi",J186="Exception acceptée"),"GREEN",IF(OR(J186="Non commencé",J186="Échec"),"RED","AMBER"))</f>
        <v>RED</v>
      </c>
      <c r="L186" s="17"/>
      <c r="M186" s="17"/>
      <c r="N186" s="15" t="str">
        <f aca="true">IF(G186&lt;&gt;"",TODAY()-G186,"")</f>
        <v/>
      </c>
    </row>
    <row r="187" customFormat="false" ht="18" hidden="false" customHeight="true" outlineLevel="0" collapsed="false">
      <c r="A187" s="9" t="s">
        <v>72</v>
      </c>
      <c r="B187" s="10" t="s">
        <v>73</v>
      </c>
      <c r="C187" s="10" t="s">
        <v>195</v>
      </c>
      <c r="D187" s="9" t="s">
        <v>31</v>
      </c>
      <c r="E187" s="10" t="s">
        <v>196</v>
      </c>
      <c r="F187" s="10" t="s">
        <v>72</v>
      </c>
      <c r="G187" s="10"/>
      <c r="H187" s="11" t="s">
        <v>33</v>
      </c>
      <c r="I187" s="12" t="str">
        <f aca="false">IF(OR(H187="Passed",H187="Accepted Exception"),"GREEN",IF(OR(H187="Not Started",H187="Failed"),"RED","AMBER"))</f>
        <v>RED</v>
      </c>
      <c r="J187" s="13" t="s">
        <v>34</v>
      </c>
      <c r="K187" s="14" t="str">
        <f aca="false">IF(OR(J187="Réussi",J187="Exception acceptée"),"GREEN",IF(OR(J187="Non commencé",J187="Échec"),"RED","AMBER"))</f>
        <v>RED</v>
      </c>
      <c r="L187" s="10"/>
      <c r="M187" s="10"/>
      <c r="N187" s="15" t="str">
        <f aca="true">IF(G187&lt;&gt;"",TODAY()-G187,"")</f>
        <v/>
      </c>
    </row>
    <row r="188" customFormat="false" ht="18" hidden="false" customHeight="true" outlineLevel="0" collapsed="false">
      <c r="A188" s="16" t="s">
        <v>204</v>
      </c>
      <c r="B188" s="17" t="s">
        <v>205</v>
      </c>
      <c r="C188" s="17" t="s">
        <v>195</v>
      </c>
      <c r="D188" s="16" t="s">
        <v>31</v>
      </c>
      <c r="E188" s="17" t="s">
        <v>196</v>
      </c>
      <c r="F188" s="17" t="s">
        <v>206</v>
      </c>
      <c r="G188" s="17"/>
      <c r="H188" s="18" t="s">
        <v>33</v>
      </c>
      <c r="I188" s="12" t="str">
        <f aca="false">IF(OR(H188="Passed",H188="Accepted Exception"),"GREEN",IF(OR(H188="Not Started",H188="Failed"),"RED","AMBER"))</f>
        <v>RED</v>
      </c>
      <c r="J188" s="19" t="s">
        <v>34</v>
      </c>
      <c r="K188" s="14" t="str">
        <f aca="false">IF(OR(J188="Réussi",J188="Exception acceptée"),"GREEN",IF(OR(J188="Non commencé",J188="Échec"),"RED","AMBER"))</f>
        <v>RED</v>
      </c>
      <c r="L188" s="17"/>
      <c r="M188" s="17"/>
      <c r="N188" s="15" t="str">
        <f aca="true">IF(G188&lt;&gt;"",TODAY()-G188,"")</f>
        <v/>
      </c>
    </row>
    <row r="189" customFormat="false" ht="18" hidden="false" customHeight="true" outlineLevel="0" collapsed="false">
      <c r="A189" s="9" t="s">
        <v>207</v>
      </c>
      <c r="B189" s="10" t="s">
        <v>205</v>
      </c>
      <c r="C189" s="10" t="s">
        <v>195</v>
      </c>
      <c r="D189" s="9" t="s">
        <v>31</v>
      </c>
      <c r="E189" s="10" t="s">
        <v>196</v>
      </c>
      <c r="F189" s="10" t="s">
        <v>208</v>
      </c>
      <c r="G189" s="10"/>
      <c r="H189" s="11" t="s">
        <v>33</v>
      </c>
      <c r="I189" s="12" t="str">
        <f aca="false">IF(OR(H189="Passed",H189="Accepted Exception"),"GREEN",IF(OR(H189="Not Started",H189="Failed"),"RED","AMBER"))</f>
        <v>RED</v>
      </c>
      <c r="J189" s="13" t="s">
        <v>34</v>
      </c>
      <c r="K189" s="14" t="str">
        <f aca="false">IF(OR(J189="Réussi",J189="Exception acceptée"),"GREEN",IF(OR(J189="Non commencé",J189="Échec"),"RED","AMBER"))</f>
        <v>RED</v>
      </c>
      <c r="L189" s="10"/>
      <c r="M189" s="10"/>
      <c r="N189" s="15" t="str">
        <f aca="true">IF(G189&lt;&gt;"",TODAY()-G189,"")</f>
        <v/>
      </c>
    </row>
    <row r="190" customFormat="false" ht="18" hidden="false" customHeight="true" outlineLevel="0" collapsed="false">
      <c r="A190" s="16" t="s">
        <v>209</v>
      </c>
      <c r="B190" s="17" t="s">
        <v>210</v>
      </c>
      <c r="C190" s="17" t="s">
        <v>195</v>
      </c>
      <c r="D190" s="16" t="s">
        <v>31</v>
      </c>
      <c r="E190" s="17" t="s">
        <v>196</v>
      </c>
      <c r="F190" s="17" t="s">
        <v>209</v>
      </c>
      <c r="G190" s="17"/>
      <c r="H190" s="18" t="s">
        <v>33</v>
      </c>
      <c r="I190" s="12" t="str">
        <f aca="false">IF(OR(H190="Passed",H190="Accepted Exception"),"GREEN",IF(OR(H190="Not Started",H190="Failed"),"RED","AMBER"))</f>
        <v>RED</v>
      </c>
      <c r="J190" s="19" t="s">
        <v>34</v>
      </c>
      <c r="K190" s="14" t="str">
        <f aca="false">IF(OR(J190="Réussi",J190="Exception acceptée"),"GREEN",IF(OR(J190="Non commencé",J190="Échec"),"RED","AMBER"))</f>
        <v>RED</v>
      </c>
      <c r="L190" s="17"/>
      <c r="M190" s="17"/>
      <c r="N190" s="15" t="str">
        <f aca="true">IF(G190&lt;&gt;"",TODAY()-G190,"")</f>
        <v/>
      </c>
    </row>
    <row r="191" customFormat="false" ht="18" hidden="false" customHeight="true" outlineLevel="0" collapsed="false">
      <c r="A191" s="9" t="s">
        <v>211</v>
      </c>
      <c r="B191" s="10" t="s">
        <v>210</v>
      </c>
      <c r="C191" s="10" t="s">
        <v>195</v>
      </c>
      <c r="D191" s="9" t="s">
        <v>31</v>
      </c>
      <c r="E191" s="10" t="s">
        <v>196</v>
      </c>
      <c r="F191" s="10" t="s">
        <v>212</v>
      </c>
      <c r="G191" s="10"/>
      <c r="H191" s="11" t="s">
        <v>33</v>
      </c>
      <c r="I191" s="12" t="str">
        <f aca="false">IF(OR(H191="Passed",H191="Accepted Exception"),"GREEN",IF(OR(H191="Not Started",H191="Failed"),"RED","AMBER"))</f>
        <v>RED</v>
      </c>
      <c r="J191" s="13" t="s">
        <v>34</v>
      </c>
      <c r="K191" s="14" t="str">
        <f aca="false">IF(OR(J191="Réussi",J191="Exception acceptée"),"GREEN",IF(OR(J191="Non commencé",J191="Échec"),"RED","AMBER"))</f>
        <v>RED</v>
      </c>
      <c r="L191" s="10"/>
      <c r="M191" s="10"/>
      <c r="N191" s="15" t="str">
        <f aca="true">IF(G191&lt;&gt;"",TODAY()-G191,"")</f>
        <v/>
      </c>
    </row>
    <row r="192" customFormat="false" ht="18" hidden="false" customHeight="true" outlineLevel="0" collapsed="false">
      <c r="A192" s="16" t="s">
        <v>213</v>
      </c>
      <c r="B192" s="17" t="s">
        <v>214</v>
      </c>
      <c r="C192" s="17" t="s">
        <v>195</v>
      </c>
      <c r="D192" s="16" t="s">
        <v>31</v>
      </c>
      <c r="E192" s="17" t="s">
        <v>196</v>
      </c>
      <c r="F192" s="17" t="s">
        <v>213</v>
      </c>
      <c r="G192" s="17"/>
      <c r="H192" s="18" t="s">
        <v>33</v>
      </c>
      <c r="I192" s="12" t="str">
        <f aca="false">IF(OR(H192="Passed",H192="Accepted Exception"),"GREEN",IF(OR(H192="Not Started",H192="Failed"),"RED","AMBER"))</f>
        <v>RED</v>
      </c>
      <c r="J192" s="19" t="s">
        <v>34</v>
      </c>
      <c r="K192" s="14" t="str">
        <f aca="false">IF(OR(J192="Réussi",J192="Exception acceptée"),"GREEN",IF(OR(J192="Non commencé",J192="Échec"),"RED","AMBER"))</f>
        <v>RED</v>
      </c>
      <c r="L192" s="17"/>
      <c r="M192" s="17"/>
      <c r="N192" s="15" t="str">
        <f aca="true">IF(G192&lt;&gt;"",TODAY()-G192,"")</f>
        <v/>
      </c>
    </row>
    <row r="193" customFormat="false" ht="18" hidden="false" customHeight="true" outlineLevel="0" collapsed="false">
      <c r="A193" s="9" t="s">
        <v>215</v>
      </c>
      <c r="B193" s="10" t="s">
        <v>214</v>
      </c>
      <c r="C193" s="10" t="s">
        <v>195</v>
      </c>
      <c r="D193" s="9" t="s">
        <v>31</v>
      </c>
      <c r="E193" s="10" t="s">
        <v>196</v>
      </c>
      <c r="F193" s="10" t="s">
        <v>216</v>
      </c>
      <c r="G193" s="10"/>
      <c r="H193" s="11" t="s">
        <v>33</v>
      </c>
      <c r="I193" s="12" t="str">
        <f aca="false">IF(OR(H193="Passed",H193="Accepted Exception"),"GREEN",IF(OR(H193="Not Started",H193="Failed"),"RED","AMBER"))</f>
        <v>RED</v>
      </c>
      <c r="J193" s="13" t="s">
        <v>34</v>
      </c>
      <c r="K193" s="14" t="str">
        <f aca="false">IF(OR(J193="Réussi",J193="Exception acceptée"),"GREEN",IF(OR(J193="Non commencé",J193="Échec"),"RED","AMBER"))</f>
        <v>RED</v>
      </c>
      <c r="L193" s="10"/>
      <c r="M193" s="10"/>
      <c r="N193" s="15" t="str">
        <f aca="true">IF(G193&lt;&gt;"",TODAY()-G193,"")</f>
        <v/>
      </c>
    </row>
    <row r="194" customFormat="false" ht="18" hidden="false" customHeight="true" outlineLevel="0" collapsed="false">
      <c r="A194" s="16" t="s">
        <v>217</v>
      </c>
      <c r="B194" s="17" t="s">
        <v>40</v>
      </c>
      <c r="C194" s="17" t="s">
        <v>195</v>
      </c>
      <c r="D194" s="16" t="s">
        <v>31</v>
      </c>
      <c r="E194" s="17" t="s">
        <v>196</v>
      </c>
      <c r="F194" s="17" t="s">
        <v>217</v>
      </c>
      <c r="G194" s="17"/>
      <c r="H194" s="18" t="s">
        <v>33</v>
      </c>
      <c r="I194" s="12" t="str">
        <f aca="false">IF(OR(H194="Passed",H194="Accepted Exception"),"GREEN",IF(OR(H194="Not Started",H194="Failed"),"RED","AMBER"))</f>
        <v>RED</v>
      </c>
      <c r="J194" s="19" t="s">
        <v>34</v>
      </c>
      <c r="K194" s="14" t="str">
        <f aca="false">IF(OR(J194="Réussi",J194="Exception acceptée"),"GREEN",IF(OR(J194="Non commencé",J194="Échec"),"RED","AMBER"))</f>
        <v>RED</v>
      </c>
      <c r="L194" s="17"/>
      <c r="M194" s="17"/>
      <c r="N194" s="15" t="str">
        <f aca="true">IF(G194&lt;&gt;"",TODAY()-G194,"")</f>
        <v/>
      </c>
    </row>
    <row r="195" customFormat="false" ht="18" hidden="false" customHeight="true" outlineLevel="0" collapsed="false">
      <c r="A195" s="9" t="s">
        <v>39</v>
      </c>
      <c r="B195" s="10" t="s">
        <v>40</v>
      </c>
      <c r="C195" s="10" t="s">
        <v>195</v>
      </c>
      <c r="D195" s="9" t="s">
        <v>31</v>
      </c>
      <c r="E195" s="10" t="s">
        <v>196</v>
      </c>
      <c r="F195" s="10" t="s">
        <v>41</v>
      </c>
      <c r="G195" s="10"/>
      <c r="H195" s="11" t="s">
        <v>33</v>
      </c>
      <c r="I195" s="12" t="str">
        <f aca="false">IF(OR(H195="Passed",H195="Accepted Exception"),"GREEN",IF(OR(H195="Not Started",H195="Failed"),"RED","AMBER"))</f>
        <v>RED</v>
      </c>
      <c r="J195" s="13" t="s">
        <v>34</v>
      </c>
      <c r="K195" s="14" t="str">
        <f aca="false">IF(OR(J195="Réussi",J195="Exception acceptée"),"GREEN",IF(OR(J195="Non commencé",J195="Échec"),"RED","AMBER"))</f>
        <v>RED</v>
      </c>
      <c r="L195" s="10"/>
      <c r="M195" s="10"/>
      <c r="N195" s="15" t="str">
        <f aca="true">IF(G195&lt;&gt;"",TODAY()-G195,"")</f>
        <v/>
      </c>
    </row>
    <row r="196" customFormat="false" ht="18" hidden="false" customHeight="true" outlineLevel="0" collapsed="false">
      <c r="A196" s="16" t="s">
        <v>218</v>
      </c>
      <c r="B196" s="17" t="s">
        <v>40</v>
      </c>
      <c r="C196" s="17" t="s">
        <v>195</v>
      </c>
      <c r="D196" s="16" t="s">
        <v>31</v>
      </c>
      <c r="E196" s="17" t="s">
        <v>196</v>
      </c>
      <c r="F196" s="17" t="s">
        <v>219</v>
      </c>
      <c r="G196" s="17"/>
      <c r="H196" s="18" t="s">
        <v>33</v>
      </c>
      <c r="I196" s="12" t="str">
        <f aca="false">IF(OR(H196="Passed",H196="Accepted Exception"),"GREEN",IF(OR(H196="Not Started",H196="Failed"),"RED","AMBER"))</f>
        <v>RED</v>
      </c>
      <c r="J196" s="19" t="s">
        <v>34</v>
      </c>
      <c r="K196" s="14" t="str">
        <f aca="false">IF(OR(J196="Réussi",J196="Exception acceptée"),"GREEN",IF(OR(J196="Non commencé",J196="Échec"),"RED","AMBER"))</f>
        <v>RED</v>
      </c>
      <c r="L196" s="17"/>
      <c r="M196" s="17"/>
      <c r="N196" s="15" t="str">
        <f aca="true">IF(G196&lt;&gt;"",TODAY()-G196,"")</f>
        <v/>
      </c>
    </row>
    <row r="197" customFormat="false" ht="18" hidden="false" customHeight="true" outlineLevel="0" collapsed="false">
      <c r="A197" s="9" t="s">
        <v>220</v>
      </c>
      <c r="B197" s="10" t="s">
        <v>221</v>
      </c>
      <c r="C197" s="10" t="s">
        <v>195</v>
      </c>
      <c r="D197" s="9" t="s">
        <v>31</v>
      </c>
      <c r="E197" s="10" t="s">
        <v>196</v>
      </c>
      <c r="F197" s="10" t="s">
        <v>220</v>
      </c>
      <c r="G197" s="10"/>
      <c r="H197" s="11" t="s">
        <v>33</v>
      </c>
      <c r="I197" s="12" t="str">
        <f aca="false">IF(OR(H197="Passed",H197="Accepted Exception"),"GREEN",IF(OR(H197="Not Started",H197="Failed"),"RED","AMBER"))</f>
        <v>RED</v>
      </c>
      <c r="J197" s="13" t="s">
        <v>34</v>
      </c>
      <c r="K197" s="14" t="str">
        <f aca="false">IF(OR(J197="Réussi",J197="Exception acceptée"),"GREEN",IF(OR(J197="Non commencé",J197="Échec"),"RED","AMBER"))</f>
        <v>RED</v>
      </c>
      <c r="L197" s="10"/>
      <c r="M197" s="10"/>
      <c r="N197" s="15" t="str">
        <f aca="true">IF(G197&lt;&gt;"",TODAY()-G197,"")</f>
        <v/>
      </c>
    </row>
    <row r="198" customFormat="false" ht="18" hidden="false" customHeight="true" outlineLevel="0" collapsed="false">
      <c r="A198" s="16" t="s">
        <v>42</v>
      </c>
      <c r="B198" s="17" t="s">
        <v>43</v>
      </c>
      <c r="C198" s="17" t="s">
        <v>195</v>
      </c>
      <c r="D198" s="16" t="s">
        <v>31</v>
      </c>
      <c r="E198" s="17" t="s">
        <v>196</v>
      </c>
      <c r="F198" s="17" t="s">
        <v>42</v>
      </c>
      <c r="G198" s="17"/>
      <c r="H198" s="18" t="s">
        <v>33</v>
      </c>
      <c r="I198" s="12" t="str">
        <f aca="false">IF(OR(H198="Passed",H198="Accepted Exception"),"GREEN",IF(OR(H198="Not Started",H198="Failed"),"RED","AMBER"))</f>
        <v>RED</v>
      </c>
      <c r="J198" s="19" t="s">
        <v>34</v>
      </c>
      <c r="K198" s="14" t="str">
        <f aca="false">IF(OR(J198="Réussi",J198="Exception acceptée"),"GREEN",IF(OR(J198="Non commencé",J198="Échec"),"RED","AMBER"))</f>
        <v>RED</v>
      </c>
      <c r="L198" s="17"/>
      <c r="M198" s="17"/>
      <c r="N198" s="15" t="str">
        <f aca="true">IF(G198&lt;&gt;"",TODAY()-G198,"")</f>
        <v/>
      </c>
    </row>
    <row r="199" customFormat="false" ht="18" hidden="false" customHeight="true" outlineLevel="0" collapsed="false">
      <c r="A199" s="9" t="s">
        <v>222</v>
      </c>
      <c r="B199" s="10" t="s">
        <v>223</v>
      </c>
      <c r="C199" s="10" t="s">
        <v>195</v>
      </c>
      <c r="D199" s="9" t="s">
        <v>46</v>
      </c>
      <c r="E199" s="10" t="s">
        <v>196</v>
      </c>
      <c r="F199" s="10" t="s">
        <v>222</v>
      </c>
      <c r="G199" s="10"/>
      <c r="H199" s="11" t="s">
        <v>33</v>
      </c>
      <c r="I199" s="12" t="str">
        <f aca="false">IF(OR(H199="Passed",H199="Accepted Exception"),"GREEN",IF(OR(H199="Not Started",H199="Failed"),"RED","AMBER"))</f>
        <v>RED</v>
      </c>
      <c r="J199" s="13" t="s">
        <v>34</v>
      </c>
      <c r="K199" s="14" t="str">
        <f aca="false">IF(OR(J199="Réussi",J199="Exception acceptée"),"GREEN",IF(OR(J199="Non commencé",J199="Échec"),"RED","AMBER"))</f>
        <v>RED</v>
      </c>
      <c r="L199" s="10"/>
      <c r="M199" s="10"/>
      <c r="N199" s="15" t="str">
        <f aca="true">IF(G199&lt;&gt;"",TODAY()-G199,"")</f>
        <v/>
      </c>
    </row>
    <row r="200" customFormat="false" ht="18" hidden="false" customHeight="true" outlineLevel="0" collapsed="false">
      <c r="A200" s="16" t="s">
        <v>77</v>
      </c>
      <c r="B200" s="17" t="s">
        <v>78</v>
      </c>
      <c r="C200" s="17" t="s">
        <v>195</v>
      </c>
      <c r="D200" s="16" t="s">
        <v>46</v>
      </c>
      <c r="E200" s="17" t="s">
        <v>196</v>
      </c>
      <c r="F200" s="17" t="s">
        <v>79</v>
      </c>
      <c r="G200" s="17"/>
      <c r="H200" s="18" t="s">
        <v>33</v>
      </c>
      <c r="I200" s="12" t="str">
        <f aca="false">IF(OR(H200="Passed",H200="Accepted Exception"),"GREEN",IF(OR(H200="Not Started",H200="Failed"),"RED","AMBER"))</f>
        <v>RED</v>
      </c>
      <c r="J200" s="19" t="s">
        <v>34</v>
      </c>
      <c r="K200" s="14" t="str">
        <f aca="false">IF(OR(J200="Réussi",J200="Exception acceptée"),"GREEN",IF(OR(J200="Non commencé",J200="Échec"),"RED","AMBER"))</f>
        <v>RED</v>
      </c>
      <c r="L200" s="17"/>
      <c r="M200" s="17"/>
      <c r="N200" s="15" t="str">
        <f aca="true">IF(G200&lt;&gt;"",TODAY()-G200,"")</f>
        <v/>
      </c>
    </row>
    <row r="201" customFormat="false" ht="18" hidden="false" customHeight="true" outlineLevel="0" collapsed="false">
      <c r="A201" s="9" t="s">
        <v>187</v>
      </c>
      <c r="B201" s="10" t="s">
        <v>78</v>
      </c>
      <c r="C201" s="10" t="s">
        <v>195</v>
      </c>
      <c r="D201" s="9" t="s">
        <v>46</v>
      </c>
      <c r="E201" s="10" t="s">
        <v>196</v>
      </c>
      <c r="F201" s="10" t="s">
        <v>188</v>
      </c>
      <c r="G201" s="10"/>
      <c r="H201" s="11" t="s">
        <v>33</v>
      </c>
      <c r="I201" s="12" t="str">
        <f aca="false">IF(OR(H201="Passed",H201="Accepted Exception"),"GREEN",IF(OR(H201="Not Started",H201="Failed"),"RED","AMBER"))</f>
        <v>RED</v>
      </c>
      <c r="J201" s="13" t="s">
        <v>34</v>
      </c>
      <c r="K201" s="14" t="str">
        <f aca="false">IF(OR(J201="Réussi",J201="Exception acceptée"),"GREEN",IF(OR(J201="Non commencé",J201="Échec"),"RED","AMBER"))</f>
        <v>RED</v>
      </c>
      <c r="L201" s="10"/>
      <c r="M201" s="10"/>
      <c r="N201" s="15" t="str">
        <f aca="true">IF(G201&lt;&gt;"",TODAY()-G201,"")</f>
        <v/>
      </c>
    </row>
    <row r="202" customFormat="false" ht="18" hidden="false" customHeight="true" outlineLevel="0" collapsed="false">
      <c r="A202" s="16" t="s">
        <v>44</v>
      </c>
      <c r="B202" s="17" t="s">
        <v>45</v>
      </c>
      <c r="C202" s="17" t="s">
        <v>195</v>
      </c>
      <c r="D202" s="16" t="s">
        <v>46</v>
      </c>
      <c r="E202" s="17" t="s">
        <v>196</v>
      </c>
      <c r="F202" s="17" t="s">
        <v>44</v>
      </c>
      <c r="G202" s="17"/>
      <c r="H202" s="18" t="s">
        <v>33</v>
      </c>
      <c r="I202" s="12" t="str">
        <f aca="false">IF(OR(H202="Passed",H202="Accepted Exception"),"GREEN",IF(OR(H202="Not Started",H202="Failed"),"RED","AMBER"))</f>
        <v>RED</v>
      </c>
      <c r="J202" s="19" t="s">
        <v>34</v>
      </c>
      <c r="K202" s="14" t="str">
        <f aca="false">IF(OR(J202="Réussi",J202="Exception acceptée"),"GREEN",IF(OR(J202="Non commencé",J202="Échec"),"RED","AMBER"))</f>
        <v>RED</v>
      </c>
      <c r="L202" s="17"/>
      <c r="M202" s="17"/>
      <c r="N202" s="15" t="str">
        <f aca="true">IF(G202&lt;&gt;"",TODAY()-G202,"")</f>
        <v/>
      </c>
    </row>
    <row r="203" customFormat="false" ht="18" hidden="false" customHeight="true" outlineLevel="0" collapsed="false">
      <c r="A203" s="9" t="s">
        <v>47</v>
      </c>
      <c r="B203" s="10" t="s">
        <v>48</v>
      </c>
      <c r="C203" s="10" t="s">
        <v>195</v>
      </c>
      <c r="D203" s="9" t="s">
        <v>46</v>
      </c>
      <c r="E203" s="10" t="s">
        <v>196</v>
      </c>
      <c r="F203" s="10" t="s">
        <v>47</v>
      </c>
      <c r="G203" s="10"/>
      <c r="H203" s="11" t="s">
        <v>33</v>
      </c>
      <c r="I203" s="12" t="str">
        <f aca="false">IF(OR(H203="Passed",H203="Accepted Exception"),"GREEN",IF(OR(H203="Not Started",H203="Failed"),"RED","AMBER"))</f>
        <v>RED</v>
      </c>
      <c r="J203" s="13" t="s">
        <v>34</v>
      </c>
      <c r="K203" s="14" t="str">
        <f aca="false">IF(OR(J203="Réussi",J203="Exception acceptée"),"GREEN",IF(OR(J203="Non commencé",J203="Échec"),"RED","AMBER"))</f>
        <v>RED</v>
      </c>
      <c r="L203" s="10"/>
      <c r="M203" s="10"/>
      <c r="N203" s="15" t="str">
        <f aca="true">IF(G203&lt;&gt;"",TODAY()-G203,"")</f>
        <v/>
      </c>
    </row>
    <row r="204" customFormat="false" ht="18" hidden="false" customHeight="true" outlineLevel="0" collapsed="false">
      <c r="A204" s="16" t="s">
        <v>49</v>
      </c>
      <c r="B204" s="17" t="s">
        <v>48</v>
      </c>
      <c r="C204" s="17" t="s">
        <v>195</v>
      </c>
      <c r="D204" s="16" t="s">
        <v>46</v>
      </c>
      <c r="E204" s="17" t="s">
        <v>196</v>
      </c>
      <c r="F204" s="17" t="s">
        <v>50</v>
      </c>
      <c r="G204" s="17"/>
      <c r="H204" s="18" t="s">
        <v>33</v>
      </c>
      <c r="I204" s="12" t="str">
        <f aca="false">IF(OR(H204="Passed",H204="Accepted Exception"),"GREEN",IF(OR(H204="Not Started",H204="Failed"),"RED","AMBER"))</f>
        <v>RED</v>
      </c>
      <c r="J204" s="19" t="s">
        <v>34</v>
      </c>
      <c r="K204" s="14" t="str">
        <f aca="false">IF(OR(J204="Réussi",J204="Exception acceptée"),"GREEN",IF(OR(J204="Non commencé",J204="Échec"),"RED","AMBER"))</f>
        <v>RED</v>
      </c>
      <c r="L204" s="17"/>
      <c r="M204" s="17"/>
      <c r="N204" s="15" t="str">
        <f aca="true">IF(G204&lt;&gt;"",TODAY()-G204,"")</f>
        <v/>
      </c>
    </row>
    <row r="205" customFormat="false" ht="18" hidden="false" customHeight="true" outlineLevel="0" collapsed="false">
      <c r="A205" s="9" t="s">
        <v>56</v>
      </c>
      <c r="B205" s="10" t="s">
        <v>57</v>
      </c>
      <c r="C205" s="10" t="s">
        <v>195</v>
      </c>
      <c r="D205" s="9" t="s">
        <v>53</v>
      </c>
      <c r="E205" s="10" t="s">
        <v>196</v>
      </c>
      <c r="F205" s="10" t="s">
        <v>56</v>
      </c>
      <c r="G205" s="10"/>
      <c r="H205" s="11" t="s">
        <v>33</v>
      </c>
      <c r="I205" s="12" t="str">
        <f aca="false">IF(OR(H205="Passed",H205="Accepted Exception"),"GREEN",IF(OR(H205="Not Started",H205="Failed"),"RED","AMBER"))</f>
        <v>RED</v>
      </c>
      <c r="J205" s="13" t="s">
        <v>34</v>
      </c>
      <c r="K205" s="14" t="str">
        <f aca="false">IF(OR(J205="Réussi",J205="Exception acceptée"),"GREEN",IF(OR(J205="Non commencé",J205="Échec"),"RED","AMBER"))</f>
        <v>RED</v>
      </c>
      <c r="L205" s="10"/>
      <c r="M205" s="10"/>
      <c r="N205" s="15" t="str">
        <f aca="true">IF(G205&lt;&gt;"",TODAY()-G205,"")</f>
        <v/>
      </c>
    </row>
    <row r="206" customFormat="false" ht="18" hidden="false" customHeight="true" outlineLevel="0" collapsed="false">
      <c r="A206" s="16" t="s">
        <v>58</v>
      </c>
      <c r="B206" s="17" t="s">
        <v>57</v>
      </c>
      <c r="C206" s="17" t="s">
        <v>195</v>
      </c>
      <c r="D206" s="16" t="s">
        <v>53</v>
      </c>
      <c r="E206" s="17" t="s">
        <v>196</v>
      </c>
      <c r="F206" s="17" t="s">
        <v>59</v>
      </c>
      <c r="G206" s="17"/>
      <c r="H206" s="18" t="s">
        <v>33</v>
      </c>
      <c r="I206" s="12" t="str">
        <f aca="false">IF(OR(H206="Passed",H206="Accepted Exception"),"GREEN",IF(OR(H206="Not Started",H206="Failed"),"RED","AMBER"))</f>
        <v>RED</v>
      </c>
      <c r="J206" s="19" t="s">
        <v>34</v>
      </c>
      <c r="K206" s="14" t="str">
        <f aca="false">IF(OR(J206="Réussi",J206="Exception acceptée"),"GREEN",IF(OR(J206="Non commencé",J206="Échec"),"RED","AMBER"))</f>
        <v>RED</v>
      </c>
      <c r="L206" s="17"/>
      <c r="M206" s="17"/>
      <c r="N206" s="15" t="str">
        <f aca="true">IF(G206&lt;&gt;"",TODAY()-G206,"")</f>
        <v/>
      </c>
    </row>
    <row r="207" customFormat="false" ht="18" hidden="false" customHeight="true" outlineLevel="0" collapsed="false">
      <c r="A207" s="9" t="s">
        <v>139</v>
      </c>
      <c r="B207" s="10" t="s">
        <v>136</v>
      </c>
      <c r="C207" s="10" t="s">
        <v>195</v>
      </c>
      <c r="D207" s="9" t="s">
        <v>137</v>
      </c>
      <c r="E207" s="10" t="s">
        <v>196</v>
      </c>
      <c r="F207" s="10" t="s">
        <v>140</v>
      </c>
      <c r="G207" s="10"/>
      <c r="H207" s="11" t="s">
        <v>33</v>
      </c>
      <c r="I207" s="12" t="str">
        <f aca="false">IF(OR(H207="Passed",H207="Accepted Exception"),"GREEN",IF(OR(H207="Not Started",H207="Failed"),"RED","AMBER"))</f>
        <v>RED</v>
      </c>
      <c r="J207" s="13" t="s">
        <v>34</v>
      </c>
      <c r="K207" s="14" t="str">
        <f aca="false">IF(OR(J207="Réussi",J207="Exception acceptée"),"GREEN",IF(OR(J207="Non commencé",J207="Échec"),"RED","AMBER"))</f>
        <v>RED</v>
      </c>
      <c r="L207" s="10"/>
      <c r="M207" s="10"/>
      <c r="N207" s="15" t="str">
        <f aca="true">IF(G207&lt;&gt;"",TODAY()-G207,"")</f>
        <v/>
      </c>
    </row>
    <row r="208" customFormat="false" ht="18" hidden="false" customHeight="true" outlineLevel="0" collapsed="false">
      <c r="A208" s="16" t="s">
        <v>224</v>
      </c>
      <c r="B208" s="17" t="s">
        <v>225</v>
      </c>
      <c r="C208" s="17" t="s">
        <v>195</v>
      </c>
      <c r="D208" s="16" t="s">
        <v>226</v>
      </c>
      <c r="E208" s="17" t="s">
        <v>196</v>
      </c>
      <c r="F208" s="17" t="s">
        <v>224</v>
      </c>
      <c r="G208" s="17"/>
      <c r="H208" s="18" t="s">
        <v>33</v>
      </c>
      <c r="I208" s="12" t="str">
        <f aca="false">IF(OR(H208="Passed",H208="Accepted Exception"),"GREEN",IF(OR(H208="Not Started",H208="Failed"),"RED","AMBER"))</f>
        <v>RED</v>
      </c>
      <c r="J208" s="19" t="s">
        <v>34</v>
      </c>
      <c r="K208" s="14" t="str">
        <f aca="false">IF(OR(J208="Réussi",J208="Exception acceptée"),"GREEN",IF(OR(J208="Non commencé",J208="Échec"),"RED","AMBER"))</f>
        <v>RED</v>
      </c>
      <c r="L208" s="17"/>
      <c r="M208" s="17"/>
      <c r="N208" s="15" t="str">
        <f aca="true">IF(G208&lt;&gt;"",TODAY()-G208,"")</f>
        <v/>
      </c>
    </row>
    <row r="209" customFormat="false" ht="18" hidden="false" customHeight="true" outlineLevel="0" collapsed="false">
      <c r="A209" s="9" t="s">
        <v>227</v>
      </c>
      <c r="B209" s="10" t="s">
        <v>225</v>
      </c>
      <c r="C209" s="10" t="s">
        <v>195</v>
      </c>
      <c r="D209" s="9" t="s">
        <v>226</v>
      </c>
      <c r="E209" s="10" t="s">
        <v>196</v>
      </c>
      <c r="F209" s="10" t="s">
        <v>228</v>
      </c>
      <c r="G209" s="10"/>
      <c r="H209" s="11" t="s">
        <v>33</v>
      </c>
      <c r="I209" s="12" t="str">
        <f aca="false">IF(OR(H209="Passed",H209="Accepted Exception"),"GREEN",IF(OR(H209="Not Started",H209="Failed"),"RED","AMBER"))</f>
        <v>RED</v>
      </c>
      <c r="J209" s="13" t="s">
        <v>34</v>
      </c>
      <c r="K209" s="14" t="str">
        <f aca="false">IF(OR(J209="Réussi",J209="Exception acceptée"),"GREEN",IF(OR(J209="Non commencé",J209="Échec"),"RED","AMBER"))</f>
        <v>RED</v>
      </c>
      <c r="L209" s="10"/>
      <c r="M209" s="10"/>
      <c r="N209" s="15" t="str">
        <f aca="true">IF(G209&lt;&gt;"",TODAY()-G209,"")</f>
        <v/>
      </c>
    </row>
    <row r="210" customFormat="false" ht="18" hidden="false" customHeight="true" outlineLevel="0" collapsed="false">
      <c r="A210" s="16" t="s">
        <v>60</v>
      </c>
      <c r="B210" s="17" t="s">
        <v>61</v>
      </c>
      <c r="C210" s="17" t="s">
        <v>195</v>
      </c>
      <c r="D210" s="16" t="s">
        <v>62</v>
      </c>
      <c r="E210" s="17" t="s">
        <v>196</v>
      </c>
      <c r="F210" s="17" t="s">
        <v>63</v>
      </c>
      <c r="G210" s="17"/>
      <c r="H210" s="18" t="s">
        <v>33</v>
      </c>
      <c r="I210" s="12" t="str">
        <f aca="false">IF(OR(H210="Passed",H210="Accepted Exception"),"GREEN",IF(OR(H210="Not Started",H210="Failed"),"RED","AMBER"))</f>
        <v>RED</v>
      </c>
      <c r="J210" s="19" t="s">
        <v>34</v>
      </c>
      <c r="K210" s="14" t="str">
        <f aca="false">IF(OR(J210="Réussi",J210="Exception acceptée"),"GREEN",IF(OR(J210="Non commencé",J210="Échec"),"RED","AMBER"))</f>
        <v>RED</v>
      </c>
      <c r="L210" s="17"/>
      <c r="M210" s="17"/>
      <c r="N210" s="15" t="str">
        <f aca="true">IF(G210&lt;&gt;"",TODAY()-G210,"")</f>
        <v/>
      </c>
    </row>
    <row r="211" customFormat="false" ht="18" hidden="false" customHeight="true" outlineLevel="0" collapsed="false">
      <c r="A211" s="9" t="s">
        <v>229</v>
      </c>
      <c r="B211" s="10" t="s">
        <v>230</v>
      </c>
      <c r="C211" s="10" t="s">
        <v>195</v>
      </c>
      <c r="D211" s="9" t="s">
        <v>62</v>
      </c>
      <c r="E211" s="10" t="s">
        <v>196</v>
      </c>
      <c r="F211" s="10" t="s">
        <v>231</v>
      </c>
      <c r="G211" s="10"/>
      <c r="H211" s="11" t="s">
        <v>33</v>
      </c>
      <c r="I211" s="12" t="str">
        <f aca="false">IF(OR(H211="Passed",H211="Accepted Exception"),"GREEN",IF(OR(H211="Not Started",H211="Failed"),"RED","AMBER"))</f>
        <v>RED</v>
      </c>
      <c r="J211" s="13" t="s">
        <v>34</v>
      </c>
      <c r="K211" s="14" t="str">
        <f aca="false">IF(OR(J211="Réussi",J211="Exception acceptée"),"GREEN",IF(OR(J211="Non commencé",J211="Échec"),"RED","AMBER"))</f>
        <v>RED</v>
      </c>
      <c r="L211" s="10"/>
      <c r="M211" s="10"/>
      <c r="N211" s="15" t="str">
        <f aca="true">IF(G211&lt;&gt;"",TODAY()-G211,"")</f>
        <v/>
      </c>
    </row>
    <row r="212" customFormat="false" ht="18" hidden="false" customHeight="true" outlineLevel="0" collapsed="false">
      <c r="A212" s="16" t="s">
        <v>232</v>
      </c>
      <c r="B212" s="17" t="s">
        <v>230</v>
      </c>
      <c r="C212" s="17" t="s">
        <v>195</v>
      </c>
      <c r="D212" s="16" t="s">
        <v>62</v>
      </c>
      <c r="E212" s="17" t="s">
        <v>196</v>
      </c>
      <c r="F212" s="17" t="s">
        <v>233</v>
      </c>
      <c r="G212" s="17"/>
      <c r="H212" s="18" t="s">
        <v>33</v>
      </c>
      <c r="I212" s="12" t="str">
        <f aca="false">IF(OR(H212="Passed",H212="Accepted Exception"),"GREEN",IF(OR(H212="Not Started",H212="Failed"),"RED","AMBER"))</f>
        <v>RED</v>
      </c>
      <c r="J212" s="19" t="s">
        <v>34</v>
      </c>
      <c r="K212" s="14" t="str">
        <f aca="false">IF(OR(J212="Réussi",J212="Exception acceptée"),"GREEN",IF(OR(J212="Non commencé",J212="Échec"),"RED","AMBER"))</f>
        <v>RED</v>
      </c>
      <c r="L212" s="17"/>
      <c r="M212" s="17"/>
      <c r="N212" s="15" t="str">
        <f aca="true">IF(G212&lt;&gt;"",TODAY()-G212,"")</f>
        <v/>
      </c>
    </row>
    <row r="213" customFormat="false" ht="18" hidden="false" customHeight="true" outlineLevel="0" collapsed="false">
      <c r="A213" s="9" t="s">
        <v>234</v>
      </c>
      <c r="B213" s="10" t="s">
        <v>149</v>
      </c>
      <c r="C213" s="10" t="s">
        <v>195</v>
      </c>
      <c r="D213" s="9" t="s">
        <v>94</v>
      </c>
      <c r="E213" s="10" t="s">
        <v>196</v>
      </c>
      <c r="F213" s="10" t="s">
        <v>234</v>
      </c>
      <c r="G213" s="10"/>
      <c r="H213" s="11" t="s">
        <v>33</v>
      </c>
      <c r="I213" s="12" t="str">
        <f aca="false">IF(OR(H213="Passed",H213="Accepted Exception"),"GREEN",IF(OR(H213="Not Started",H213="Failed"),"RED","AMBER"))</f>
        <v>RED</v>
      </c>
      <c r="J213" s="13" t="s">
        <v>34</v>
      </c>
      <c r="K213" s="14" t="str">
        <f aca="false">IF(OR(J213="Réussi",J213="Exception acceptée"),"GREEN",IF(OR(J213="Non commencé",J213="Échec"),"RED","AMBER"))</f>
        <v>RED</v>
      </c>
      <c r="L213" s="10"/>
      <c r="M213" s="10"/>
      <c r="N213" s="15" t="str">
        <f aca="true">IF(G213&lt;&gt;"",TODAY()-G213,"")</f>
        <v/>
      </c>
    </row>
    <row r="214" customFormat="false" ht="18" hidden="false" customHeight="true" outlineLevel="0" collapsed="false">
      <c r="A214" s="16" t="s">
        <v>159</v>
      </c>
      <c r="B214" s="17" t="s">
        <v>160</v>
      </c>
      <c r="C214" s="17" t="s">
        <v>195</v>
      </c>
      <c r="D214" s="16" t="s">
        <v>94</v>
      </c>
      <c r="E214" s="17" t="s">
        <v>196</v>
      </c>
      <c r="F214" s="17" t="s">
        <v>159</v>
      </c>
      <c r="G214" s="17"/>
      <c r="H214" s="18" t="s">
        <v>33</v>
      </c>
      <c r="I214" s="12" t="str">
        <f aca="false">IF(OR(H214="Passed",H214="Accepted Exception"),"GREEN",IF(OR(H214="Not Started",H214="Failed"),"RED","AMBER"))</f>
        <v>RED</v>
      </c>
      <c r="J214" s="19" t="s">
        <v>34</v>
      </c>
      <c r="K214" s="14" t="str">
        <f aca="false">IF(OR(J214="Réussi",J214="Exception acceptée"),"GREEN",IF(OR(J214="Non commencé",J214="Échec"),"RED","AMBER"))</f>
        <v>RED</v>
      </c>
      <c r="L214" s="17"/>
      <c r="M214" s="17"/>
      <c r="N214" s="15" t="str">
        <f aca="true">IF(G214&lt;&gt;"",TODAY()-G214,"")</f>
        <v/>
      </c>
    </row>
    <row r="215" customFormat="false" ht="18" hidden="false" customHeight="true" outlineLevel="0" collapsed="false">
      <c r="A215" s="9" t="s">
        <v>235</v>
      </c>
      <c r="B215" s="10" t="s">
        <v>65</v>
      </c>
      <c r="C215" s="10" t="s">
        <v>195</v>
      </c>
      <c r="D215" s="9" t="s">
        <v>66</v>
      </c>
      <c r="E215" s="10" t="s">
        <v>196</v>
      </c>
      <c r="F215" s="10" t="s">
        <v>235</v>
      </c>
      <c r="G215" s="10"/>
      <c r="H215" s="11" t="s">
        <v>33</v>
      </c>
      <c r="I215" s="12" t="str">
        <f aca="false">IF(OR(H215="Passed",H215="Accepted Exception"),"GREEN",IF(OR(H215="Not Started",H215="Failed"),"RED","AMBER"))</f>
        <v>RED</v>
      </c>
      <c r="J215" s="13" t="s">
        <v>34</v>
      </c>
      <c r="K215" s="14" t="str">
        <f aca="false">IF(OR(J215="Réussi",J215="Exception acceptée"),"GREEN",IF(OR(J215="Non commencé",J215="Échec"),"RED","AMBER"))</f>
        <v>RED</v>
      </c>
      <c r="L215" s="10"/>
      <c r="M215" s="10"/>
      <c r="N215" s="15" t="str">
        <f aca="true">IF(G215&lt;&gt;"",TODAY()-G215,"")</f>
        <v/>
      </c>
    </row>
    <row r="216" customFormat="false" ht="18" hidden="false" customHeight="true" outlineLevel="0" collapsed="false">
      <c r="A216" s="16" t="s">
        <v>236</v>
      </c>
      <c r="B216" s="17" t="s">
        <v>65</v>
      </c>
      <c r="C216" s="17" t="s">
        <v>195</v>
      </c>
      <c r="D216" s="16" t="s">
        <v>66</v>
      </c>
      <c r="E216" s="17" t="s">
        <v>196</v>
      </c>
      <c r="F216" s="17" t="s">
        <v>237</v>
      </c>
      <c r="G216" s="17"/>
      <c r="H216" s="18" t="s">
        <v>33</v>
      </c>
      <c r="I216" s="12" t="str">
        <f aca="false">IF(OR(H216="Passed",H216="Accepted Exception"),"GREEN",IF(OR(H216="Not Started",H216="Failed"),"RED","AMBER"))</f>
        <v>RED</v>
      </c>
      <c r="J216" s="19" t="s">
        <v>34</v>
      </c>
      <c r="K216" s="14" t="str">
        <f aca="false">IF(OR(J216="Réussi",J216="Exception acceptée"),"GREEN",IF(OR(J216="Non commencé",J216="Échec"),"RED","AMBER"))</f>
        <v>RED</v>
      </c>
      <c r="L216" s="17"/>
      <c r="M216" s="17"/>
      <c r="N216" s="15" t="str">
        <f aca="true">IF(G216&lt;&gt;"",TODAY()-G216,"")</f>
        <v/>
      </c>
    </row>
    <row r="217" customFormat="false" ht="18" hidden="false" customHeight="true" outlineLevel="0" collapsed="false">
      <c r="A217" s="9" t="s">
        <v>64</v>
      </c>
      <c r="B217" s="10" t="s">
        <v>65</v>
      </c>
      <c r="C217" s="10" t="s">
        <v>195</v>
      </c>
      <c r="D217" s="9" t="s">
        <v>66</v>
      </c>
      <c r="E217" s="10" t="s">
        <v>196</v>
      </c>
      <c r="F217" s="10" t="s">
        <v>67</v>
      </c>
      <c r="G217" s="10"/>
      <c r="H217" s="11" t="s">
        <v>33</v>
      </c>
      <c r="I217" s="12" t="str">
        <f aca="false">IF(OR(H217="Passed",H217="Accepted Exception"),"GREEN",IF(OR(H217="Not Started",H217="Failed"),"RED","AMBER"))</f>
        <v>RED</v>
      </c>
      <c r="J217" s="13" t="s">
        <v>34</v>
      </c>
      <c r="K217" s="14" t="str">
        <f aca="false">IF(OR(J217="Réussi",J217="Exception acceptée"),"GREEN",IF(OR(J217="Non commencé",J217="Échec"),"RED","AMBER"))</f>
        <v>RED</v>
      </c>
      <c r="L217" s="10"/>
      <c r="M217" s="10"/>
      <c r="N217" s="15" t="str">
        <f aca="true">IF(G217&lt;&gt;"",TODAY()-G217,"")</f>
        <v/>
      </c>
    </row>
    <row r="218" customFormat="false" ht="18" hidden="false" customHeight="true" outlineLevel="0" collapsed="false">
      <c r="A218" s="16" t="s">
        <v>171</v>
      </c>
      <c r="B218" s="17" t="s">
        <v>65</v>
      </c>
      <c r="C218" s="17" t="s">
        <v>195</v>
      </c>
      <c r="D218" s="16" t="s">
        <v>66</v>
      </c>
      <c r="E218" s="17" t="s">
        <v>196</v>
      </c>
      <c r="F218" s="17" t="s">
        <v>172</v>
      </c>
      <c r="G218" s="17"/>
      <c r="H218" s="18" t="s">
        <v>33</v>
      </c>
      <c r="I218" s="12" t="str">
        <f aca="false">IF(OR(H218="Passed",H218="Accepted Exception"),"GREEN",IF(OR(H218="Not Started",H218="Failed"),"RED","AMBER"))</f>
        <v>RED</v>
      </c>
      <c r="J218" s="19" t="s">
        <v>34</v>
      </c>
      <c r="K218" s="14" t="str">
        <f aca="false">IF(OR(J218="Réussi",J218="Exception acceptée"),"GREEN",IF(OR(J218="Non commencé",J218="Échec"),"RED","AMBER"))</f>
        <v>RED</v>
      </c>
      <c r="L218" s="17"/>
      <c r="M218" s="17"/>
      <c r="N218" s="15" t="str">
        <f aca="true">IF(G218&lt;&gt;"",TODAY()-G218,"")</f>
        <v/>
      </c>
    </row>
    <row r="219" customFormat="false" ht="18" hidden="false" customHeight="true" outlineLevel="0" collapsed="false">
      <c r="A219" s="9" t="s">
        <v>238</v>
      </c>
      <c r="B219" s="10" t="s">
        <v>65</v>
      </c>
      <c r="C219" s="10" t="s">
        <v>195</v>
      </c>
      <c r="D219" s="9" t="s">
        <v>66</v>
      </c>
      <c r="E219" s="10" t="s">
        <v>196</v>
      </c>
      <c r="F219" s="10" t="s">
        <v>239</v>
      </c>
      <c r="G219" s="10"/>
      <c r="H219" s="11" t="s">
        <v>33</v>
      </c>
      <c r="I219" s="12" t="str">
        <f aca="false">IF(OR(H219="Passed",H219="Accepted Exception"),"GREEN",IF(OR(H219="Not Started",H219="Failed"),"RED","AMBER"))</f>
        <v>RED</v>
      </c>
      <c r="J219" s="13" t="s">
        <v>34</v>
      </c>
      <c r="K219" s="14" t="str">
        <f aca="false">IF(OR(J219="Réussi",J219="Exception acceptée"),"GREEN",IF(OR(J219="Non commencé",J219="Échec"),"RED","AMBER"))</f>
        <v>RED</v>
      </c>
      <c r="L219" s="10"/>
      <c r="M219" s="10"/>
      <c r="N219" s="15" t="str">
        <f aca="true">IF(G219&lt;&gt;"",TODAY()-G219,"")</f>
        <v/>
      </c>
    </row>
    <row r="220" customFormat="false" ht="18" hidden="false" customHeight="true" outlineLevel="0" collapsed="false">
      <c r="A220" s="16" t="s">
        <v>240</v>
      </c>
      <c r="B220" s="17" t="s">
        <v>65</v>
      </c>
      <c r="C220" s="17" t="s">
        <v>195</v>
      </c>
      <c r="D220" s="16" t="s">
        <v>66</v>
      </c>
      <c r="E220" s="17" t="s">
        <v>196</v>
      </c>
      <c r="F220" s="17" t="s">
        <v>241</v>
      </c>
      <c r="G220" s="17"/>
      <c r="H220" s="18" t="s">
        <v>33</v>
      </c>
      <c r="I220" s="12" t="str">
        <f aca="false">IF(OR(H220="Passed",H220="Accepted Exception"),"GREEN",IF(OR(H220="Not Started",H220="Failed"),"RED","AMBER"))</f>
        <v>RED</v>
      </c>
      <c r="J220" s="19" t="s">
        <v>34</v>
      </c>
      <c r="K220" s="14" t="str">
        <f aca="false">IF(OR(J220="Réussi",J220="Exception acceptée"),"GREEN",IF(OR(J220="Non commencé",J220="Échec"),"RED","AMBER"))</f>
        <v>RED</v>
      </c>
      <c r="L220" s="17"/>
      <c r="M220" s="17"/>
      <c r="N220" s="15" t="str">
        <f aca="true">IF(G220&lt;&gt;"",TODAY()-G220,"")</f>
        <v/>
      </c>
    </row>
    <row r="221" customFormat="false" ht="18" hidden="false" customHeight="true" outlineLevel="0" collapsed="false">
      <c r="A221" s="9" t="s">
        <v>68</v>
      </c>
      <c r="B221" s="10" t="s">
        <v>69</v>
      </c>
      <c r="C221" s="10" t="s">
        <v>195</v>
      </c>
      <c r="D221" s="9" t="s">
        <v>66</v>
      </c>
      <c r="E221" s="10" t="s">
        <v>196</v>
      </c>
      <c r="F221" s="10" t="s">
        <v>68</v>
      </c>
      <c r="G221" s="10"/>
      <c r="H221" s="11" t="s">
        <v>33</v>
      </c>
      <c r="I221" s="12" t="str">
        <f aca="false">IF(OR(H221="Passed",H221="Accepted Exception"),"GREEN",IF(OR(H221="Not Started",H221="Failed"),"RED","AMBER"))</f>
        <v>RED</v>
      </c>
      <c r="J221" s="13" t="s">
        <v>34</v>
      </c>
      <c r="K221" s="14" t="str">
        <f aca="false">IF(OR(J221="Réussi",J221="Exception acceptée"),"GREEN",IF(OR(J221="Non commencé",J221="Échec"),"RED","AMBER"))</f>
        <v>RED</v>
      </c>
      <c r="L221" s="10"/>
      <c r="M221" s="10"/>
      <c r="N221" s="15" t="str">
        <f aca="true">IF(G221&lt;&gt;"",TODAY()-G221,"")</f>
        <v/>
      </c>
    </row>
    <row r="222" customFormat="false" ht="18" hidden="false" customHeight="true" outlineLevel="0" collapsed="false">
      <c r="A222" s="16" t="s">
        <v>242</v>
      </c>
      <c r="B222" s="17" t="s">
        <v>176</v>
      </c>
      <c r="C222" s="17" t="s">
        <v>195</v>
      </c>
      <c r="D222" s="16" t="s">
        <v>66</v>
      </c>
      <c r="E222" s="17" t="s">
        <v>196</v>
      </c>
      <c r="F222" s="17" t="s">
        <v>243</v>
      </c>
      <c r="G222" s="17"/>
      <c r="H222" s="18" t="s">
        <v>33</v>
      </c>
      <c r="I222" s="12" t="str">
        <f aca="false">IF(OR(H222="Passed",H222="Accepted Exception"),"GREEN",IF(OR(H222="Not Started",H222="Failed"),"RED","AMBER"))</f>
        <v>RED</v>
      </c>
      <c r="J222" s="19" t="s">
        <v>34</v>
      </c>
      <c r="K222" s="14" t="str">
        <f aca="false">IF(OR(J222="Réussi",J222="Exception acceptée"),"GREEN",IF(OR(J222="Non commencé",J222="Échec"),"RED","AMBER"))</f>
        <v>RED</v>
      </c>
      <c r="L222" s="17"/>
      <c r="M222" s="17"/>
      <c r="N222" s="15" t="str">
        <f aca="true">IF(G222&lt;&gt;"",TODAY()-G222,"")</f>
        <v/>
      </c>
    </row>
    <row r="223" customFormat="false" ht="18" hidden="false" customHeight="true" outlineLevel="0" collapsed="false">
      <c r="A223" s="9" t="s">
        <v>179</v>
      </c>
      <c r="B223" s="10" t="s">
        <v>180</v>
      </c>
      <c r="C223" s="10" t="s">
        <v>195</v>
      </c>
      <c r="D223" s="9" t="s">
        <v>66</v>
      </c>
      <c r="E223" s="10" t="s">
        <v>196</v>
      </c>
      <c r="F223" s="10" t="s">
        <v>179</v>
      </c>
      <c r="G223" s="10"/>
      <c r="H223" s="11" t="s">
        <v>33</v>
      </c>
      <c r="I223" s="12" t="str">
        <f aca="false">IF(OR(H223="Passed",H223="Accepted Exception"),"GREEN",IF(OR(H223="Not Started",H223="Failed"),"RED","AMBER"))</f>
        <v>RED</v>
      </c>
      <c r="J223" s="13" t="s">
        <v>34</v>
      </c>
      <c r="K223" s="14" t="str">
        <f aca="false">IF(OR(J223="Réussi",J223="Exception acceptée"),"GREEN",IF(OR(J223="Non commencé",J223="Échec"),"RED","AMBER"))</f>
        <v>RED</v>
      </c>
      <c r="L223" s="10"/>
      <c r="M223" s="10"/>
      <c r="N223" s="15" t="str">
        <f aca="true">IF(G223&lt;&gt;"",TODAY()-G223,"")</f>
        <v/>
      </c>
    </row>
    <row r="224" customFormat="false" ht="18" hidden="false" customHeight="true" outlineLevel="0" collapsed="false">
      <c r="A224" s="16" t="s">
        <v>101</v>
      </c>
      <c r="B224" s="17" t="s">
        <v>102</v>
      </c>
      <c r="C224" s="17" t="s">
        <v>244</v>
      </c>
      <c r="D224" s="16" t="s">
        <v>104</v>
      </c>
      <c r="E224" s="17" t="s">
        <v>245</v>
      </c>
      <c r="F224" s="17" t="s">
        <v>101</v>
      </c>
      <c r="G224" s="17"/>
      <c r="H224" s="18" t="s">
        <v>33</v>
      </c>
      <c r="I224" s="12" t="str">
        <f aca="false">IF(OR(H224="Passed",H224="Accepted Exception"),"GREEN",IF(OR(H224="Not Started",H224="Failed"),"RED","AMBER"))</f>
        <v>RED</v>
      </c>
      <c r="J224" s="19" t="s">
        <v>34</v>
      </c>
      <c r="K224" s="14" t="str">
        <f aca="false">IF(OR(J224="Réussi",J224="Exception acceptée"),"GREEN",IF(OR(J224="Non commencé",J224="Échec"),"RED","AMBER"))</f>
        <v>RED</v>
      </c>
      <c r="L224" s="17"/>
      <c r="M224" s="17"/>
      <c r="N224" s="15" t="str">
        <f aca="true">IF(G224&lt;&gt;"",TODAY()-G224,"")</f>
        <v/>
      </c>
    </row>
    <row r="225" customFormat="false" ht="18" hidden="false" customHeight="true" outlineLevel="0" collapsed="false">
      <c r="A225" s="9" t="s">
        <v>106</v>
      </c>
      <c r="B225" s="10" t="s">
        <v>102</v>
      </c>
      <c r="C225" s="10" t="s">
        <v>244</v>
      </c>
      <c r="D225" s="9" t="s">
        <v>104</v>
      </c>
      <c r="E225" s="10" t="s">
        <v>245</v>
      </c>
      <c r="F225" s="10" t="s">
        <v>107</v>
      </c>
      <c r="G225" s="10"/>
      <c r="H225" s="11" t="s">
        <v>33</v>
      </c>
      <c r="I225" s="12" t="str">
        <f aca="false">IF(OR(H225="Passed",H225="Accepted Exception"),"GREEN",IF(OR(H225="Not Started",H225="Failed"),"RED","AMBER"))</f>
        <v>RED</v>
      </c>
      <c r="J225" s="13" t="s">
        <v>34</v>
      </c>
      <c r="K225" s="14" t="str">
        <f aca="false">IF(OR(J225="Réussi",J225="Exception acceptée"),"GREEN",IF(OR(J225="Non commencé",J225="Échec"),"RED","AMBER"))</f>
        <v>RED</v>
      </c>
      <c r="L225" s="10"/>
      <c r="M225" s="10"/>
      <c r="N225" s="15" t="str">
        <f aca="true">IF(G225&lt;&gt;"",TODAY()-G225,"")</f>
        <v/>
      </c>
    </row>
    <row r="226" customFormat="false" ht="18" hidden="false" customHeight="true" outlineLevel="0" collapsed="false">
      <c r="A226" s="16" t="s">
        <v>28</v>
      </c>
      <c r="B226" s="17" t="s">
        <v>29</v>
      </c>
      <c r="C226" s="17" t="s">
        <v>244</v>
      </c>
      <c r="D226" s="16" t="s">
        <v>31</v>
      </c>
      <c r="E226" s="17" t="s">
        <v>245</v>
      </c>
      <c r="F226" s="17" t="s">
        <v>28</v>
      </c>
      <c r="G226" s="17"/>
      <c r="H226" s="18" t="s">
        <v>33</v>
      </c>
      <c r="I226" s="12" t="str">
        <f aca="false">IF(OR(H226="Passed",H226="Accepted Exception"),"GREEN",IF(OR(H226="Not Started",H226="Failed"),"RED","AMBER"))</f>
        <v>RED</v>
      </c>
      <c r="J226" s="19" t="s">
        <v>34</v>
      </c>
      <c r="K226" s="14" t="str">
        <f aca="false">IF(OR(J226="Réussi",J226="Exception acceptée"),"GREEN",IF(OR(J226="Non commencé",J226="Échec"),"RED","AMBER"))</f>
        <v>RED</v>
      </c>
      <c r="L226" s="17"/>
      <c r="M226" s="17"/>
      <c r="N226" s="15" t="str">
        <f aca="true">IF(G226&lt;&gt;"",TODAY()-G226,"")</f>
        <v/>
      </c>
    </row>
    <row r="227" customFormat="false" ht="18" hidden="false" customHeight="true" outlineLevel="0" collapsed="false">
      <c r="A227" s="9" t="s">
        <v>35</v>
      </c>
      <c r="B227" s="10" t="s">
        <v>36</v>
      </c>
      <c r="C227" s="10" t="s">
        <v>244</v>
      </c>
      <c r="D227" s="9" t="s">
        <v>31</v>
      </c>
      <c r="E227" s="10" t="s">
        <v>245</v>
      </c>
      <c r="F227" s="10" t="s">
        <v>35</v>
      </c>
      <c r="G227" s="10"/>
      <c r="H227" s="11" t="s">
        <v>33</v>
      </c>
      <c r="I227" s="12" t="str">
        <f aca="false">IF(OR(H227="Passed",H227="Accepted Exception"),"GREEN",IF(OR(H227="Not Started",H227="Failed"),"RED","AMBER"))</f>
        <v>RED</v>
      </c>
      <c r="J227" s="13" t="s">
        <v>34</v>
      </c>
      <c r="K227" s="14" t="str">
        <f aca="false">IF(OR(J227="Réussi",J227="Exception acceptée"),"GREEN",IF(OR(J227="Non commencé",J227="Échec"),"RED","AMBER"))</f>
        <v>RED</v>
      </c>
      <c r="L227" s="10"/>
      <c r="M227" s="10"/>
      <c r="N227" s="15" t="str">
        <f aca="true">IF(G227&lt;&gt;"",TODAY()-G227,"")</f>
        <v/>
      </c>
    </row>
    <row r="228" customFormat="false" ht="18" hidden="false" customHeight="true" outlineLevel="0" collapsed="false">
      <c r="A228" s="16" t="s">
        <v>37</v>
      </c>
      <c r="B228" s="17" t="s">
        <v>36</v>
      </c>
      <c r="C228" s="17" t="s">
        <v>244</v>
      </c>
      <c r="D228" s="16" t="s">
        <v>31</v>
      </c>
      <c r="E228" s="17" t="s">
        <v>245</v>
      </c>
      <c r="F228" s="17" t="s">
        <v>38</v>
      </c>
      <c r="G228" s="17"/>
      <c r="H228" s="18" t="s">
        <v>33</v>
      </c>
      <c r="I228" s="12" t="str">
        <f aca="false">IF(OR(H228="Passed",H228="Accepted Exception"),"GREEN",IF(OR(H228="Not Started",H228="Failed"),"RED","AMBER"))</f>
        <v>RED</v>
      </c>
      <c r="J228" s="19" t="s">
        <v>34</v>
      </c>
      <c r="K228" s="14" t="str">
        <f aca="false">IF(OR(J228="Réussi",J228="Exception acceptée"),"GREEN",IF(OR(J228="Non commencé",J228="Échec"),"RED","AMBER"))</f>
        <v>RED</v>
      </c>
      <c r="L228" s="17"/>
      <c r="M228" s="17"/>
      <c r="N228" s="15" t="str">
        <f aca="true">IF(G228&lt;&gt;"",TODAY()-G228,"")</f>
        <v/>
      </c>
    </row>
    <row r="229" customFormat="false" ht="18" hidden="false" customHeight="true" outlineLevel="0" collapsed="false">
      <c r="A229" s="9" t="s">
        <v>39</v>
      </c>
      <c r="B229" s="10" t="s">
        <v>40</v>
      </c>
      <c r="C229" s="10" t="s">
        <v>244</v>
      </c>
      <c r="D229" s="9" t="s">
        <v>31</v>
      </c>
      <c r="E229" s="10" t="s">
        <v>245</v>
      </c>
      <c r="F229" s="10" t="s">
        <v>41</v>
      </c>
      <c r="G229" s="10"/>
      <c r="H229" s="11" t="s">
        <v>33</v>
      </c>
      <c r="I229" s="12" t="str">
        <f aca="false">IF(OR(H229="Passed",H229="Accepted Exception"),"GREEN",IF(OR(H229="Not Started",H229="Failed"),"RED","AMBER"))</f>
        <v>RED</v>
      </c>
      <c r="J229" s="13" t="s">
        <v>34</v>
      </c>
      <c r="K229" s="14" t="str">
        <f aca="false">IF(OR(J229="Réussi",J229="Exception acceptée"),"GREEN",IF(OR(J229="Non commencé",J229="Échec"),"RED","AMBER"))</f>
        <v>RED</v>
      </c>
      <c r="L229" s="10"/>
      <c r="M229" s="10"/>
      <c r="N229" s="15" t="str">
        <f aca="true">IF(G229&lt;&gt;"",TODAY()-G229,"")</f>
        <v/>
      </c>
    </row>
    <row r="230" customFormat="false" ht="18" hidden="false" customHeight="true" outlineLevel="0" collapsed="false">
      <c r="A230" s="16" t="s">
        <v>42</v>
      </c>
      <c r="B230" s="17" t="s">
        <v>43</v>
      </c>
      <c r="C230" s="17" t="s">
        <v>244</v>
      </c>
      <c r="D230" s="16" t="s">
        <v>31</v>
      </c>
      <c r="E230" s="17" t="s">
        <v>245</v>
      </c>
      <c r="F230" s="17" t="s">
        <v>42</v>
      </c>
      <c r="G230" s="17"/>
      <c r="H230" s="18" t="s">
        <v>33</v>
      </c>
      <c r="I230" s="12" t="str">
        <f aca="false">IF(OR(H230="Passed",H230="Accepted Exception"),"GREEN",IF(OR(H230="Not Started",H230="Failed"),"RED","AMBER"))</f>
        <v>RED</v>
      </c>
      <c r="J230" s="19" t="s">
        <v>34</v>
      </c>
      <c r="K230" s="14" t="str">
        <f aca="false">IF(OR(J230="Réussi",J230="Exception acceptée"),"GREEN",IF(OR(J230="Non commencé",J230="Échec"),"RED","AMBER"))</f>
        <v>RED</v>
      </c>
      <c r="L230" s="17"/>
      <c r="M230" s="17"/>
      <c r="N230" s="15" t="str">
        <f aca="true">IF(G230&lt;&gt;"",TODAY()-G230,"")</f>
        <v/>
      </c>
    </row>
    <row r="231" customFormat="false" ht="18" hidden="false" customHeight="true" outlineLevel="0" collapsed="false">
      <c r="A231" s="9" t="s">
        <v>187</v>
      </c>
      <c r="B231" s="10" t="s">
        <v>78</v>
      </c>
      <c r="C231" s="10" t="s">
        <v>244</v>
      </c>
      <c r="D231" s="9" t="s">
        <v>46</v>
      </c>
      <c r="E231" s="10" t="s">
        <v>245</v>
      </c>
      <c r="F231" s="10" t="s">
        <v>188</v>
      </c>
      <c r="G231" s="10"/>
      <c r="H231" s="11" t="s">
        <v>33</v>
      </c>
      <c r="I231" s="12" t="str">
        <f aca="false">IF(OR(H231="Passed",H231="Accepted Exception"),"GREEN",IF(OR(H231="Not Started",H231="Failed"),"RED","AMBER"))</f>
        <v>RED</v>
      </c>
      <c r="J231" s="13" t="s">
        <v>34</v>
      </c>
      <c r="K231" s="14" t="str">
        <f aca="false">IF(OR(J231="Réussi",J231="Exception acceptée"),"GREEN",IF(OR(J231="Non commencé",J231="Échec"),"RED","AMBER"))</f>
        <v>RED</v>
      </c>
      <c r="L231" s="10"/>
      <c r="M231" s="10"/>
      <c r="N231" s="15" t="str">
        <f aca="true">IF(G231&lt;&gt;"",TODAY()-G231,"")</f>
        <v/>
      </c>
    </row>
    <row r="232" customFormat="false" ht="18" hidden="false" customHeight="true" outlineLevel="0" collapsed="false">
      <c r="A232" s="16" t="s">
        <v>44</v>
      </c>
      <c r="B232" s="17" t="s">
        <v>45</v>
      </c>
      <c r="C232" s="17" t="s">
        <v>244</v>
      </c>
      <c r="D232" s="16" t="s">
        <v>46</v>
      </c>
      <c r="E232" s="17" t="s">
        <v>245</v>
      </c>
      <c r="F232" s="17" t="s">
        <v>44</v>
      </c>
      <c r="G232" s="17"/>
      <c r="H232" s="18" t="s">
        <v>33</v>
      </c>
      <c r="I232" s="12" t="str">
        <f aca="false">IF(OR(H232="Passed",H232="Accepted Exception"),"GREEN",IF(OR(H232="Not Started",H232="Failed"),"RED","AMBER"))</f>
        <v>RED</v>
      </c>
      <c r="J232" s="19" t="s">
        <v>34</v>
      </c>
      <c r="K232" s="14" t="str">
        <f aca="false">IF(OR(J232="Réussi",J232="Exception acceptée"),"GREEN",IF(OR(J232="Non commencé",J232="Échec"),"RED","AMBER"))</f>
        <v>RED</v>
      </c>
      <c r="L232" s="17"/>
      <c r="M232" s="17"/>
      <c r="N232" s="15" t="str">
        <f aca="true">IF(G232&lt;&gt;"",TODAY()-G232,"")</f>
        <v/>
      </c>
    </row>
    <row r="233" customFormat="false" ht="18" hidden="false" customHeight="true" outlineLevel="0" collapsed="false">
      <c r="A233" s="9" t="s">
        <v>47</v>
      </c>
      <c r="B233" s="10" t="s">
        <v>48</v>
      </c>
      <c r="C233" s="10" t="s">
        <v>244</v>
      </c>
      <c r="D233" s="9" t="s">
        <v>46</v>
      </c>
      <c r="E233" s="10" t="s">
        <v>245</v>
      </c>
      <c r="F233" s="10" t="s">
        <v>47</v>
      </c>
      <c r="G233" s="10"/>
      <c r="H233" s="11" t="s">
        <v>33</v>
      </c>
      <c r="I233" s="12" t="str">
        <f aca="false">IF(OR(H233="Passed",H233="Accepted Exception"),"GREEN",IF(OR(H233="Not Started",H233="Failed"),"RED","AMBER"))</f>
        <v>RED</v>
      </c>
      <c r="J233" s="13" t="s">
        <v>34</v>
      </c>
      <c r="K233" s="14" t="str">
        <f aca="false">IF(OR(J233="Réussi",J233="Exception acceptée"),"GREEN",IF(OR(J233="Non commencé",J233="Échec"),"RED","AMBER"))</f>
        <v>RED</v>
      </c>
      <c r="L233" s="10"/>
      <c r="M233" s="10"/>
      <c r="N233" s="15" t="str">
        <f aca="true">IF(G233&lt;&gt;"",TODAY()-G233,"")</f>
        <v/>
      </c>
    </row>
    <row r="234" customFormat="false" ht="18" hidden="false" customHeight="true" outlineLevel="0" collapsed="false">
      <c r="A234" s="16" t="s">
        <v>49</v>
      </c>
      <c r="B234" s="17" t="s">
        <v>48</v>
      </c>
      <c r="C234" s="17" t="s">
        <v>244</v>
      </c>
      <c r="D234" s="16" t="s">
        <v>46</v>
      </c>
      <c r="E234" s="17" t="s">
        <v>245</v>
      </c>
      <c r="F234" s="17" t="s">
        <v>50</v>
      </c>
      <c r="G234" s="17"/>
      <c r="H234" s="18" t="s">
        <v>33</v>
      </c>
      <c r="I234" s="12" t="str">
        <f aca="false">IF(OR(H234="Passed",H234="Accepted Exception"),"GREEN",IF(OR(H234="Not Started",H234="Failed"),"RED","AMBER"))</f>
        <v>RED</v>
      </c>
      <c r="J234" s="19" t="s">
        <v>34</v>
      </c>
      <c r="K234" s="14" t="str">
        <f aca="false">IF(OR(J234="Réussi",J234="Exception acceptée"),"GREEN",IF(OR(J234="Non commencé",J234="Échec"),"RED","AMBER"))</f>
        <v>RED</v>
      </c>
      <c r="L234" s="17"/>
      <c r="M234" s="17"/>
      <c r="N234" s="15" t="str">
        <f aca="true">IF(G234&lt;&gt;"",TODAY()-G234,"")</f>
        <v/>
      </c>
    </row>
    <row r="235" customFormat="false" ht="18" hidden="false" customHeight="true" outlineLevel="0" collapsed="false">
      <c r="A235" s="9" t="s">
        <v>56</v>
      </c>
      <c r="B235" s="10" t="s">
        <v>57</v>
      </c>
      <c r="C235" s="10" t="s">
        <v>244</v>
      </c>
      <c r="D235" s="9" t="s">
        <v>53</v>
      </c>
      <c r="E235" s="10" t="s">
        <v>245</v>
      </c>
      <c r="F235" s="10" t="s">
        <v>56</v>
      </c>
      <c r="G235" s="10"/>
      <c r="H235" s="11" t="s">
        <v>33</v>
      </c>
      <c r="I235" s="12" t="str">
        <f aca="false">IF(OR(H235="Passed",H235="Accepted Exception"),"GREEN",IF(OR(H235="Not Started",H235="Failed"),"RED","AMBER"))</f>
        <v>RED</v>
      </c>
      <c r="J235" s="13" t="s">
        <v>34</v>
      </c>
      <c r="K235" s="14" t="str">
        <f aca="false">IF(OR(J235="Réussi",J235="Exception acceptée"),"GREEN",IF(OR(J235="Non commencé",J235="Échec"),"RED","AMBER"))</f>
        <v>RED</v>
      </c>
      <c r="L235" s="10"/>
      <c r="M235" s="10"/>
      <c r="N235" s="15" t="str">
        <f aca="true">IF(G235&lt;&gt;"",TODAY()-G235,"")</f>
        <v/>
      </c>
    </row>
    <row r="236" customFormat="false" ht="18" hidden="false" customHeight="true" outlineLevel="0" collapsed="false">
      <c r="A236" s="16" t="s">
        <v>58</v>
      </c>
      <c r="B236" s="17" t="s">
        <v>57</v>
      </c>
      <c r="C236" s="17" t="s">
        <v>244</v>
      </c>
      <c r="D236" s="16" t="s">
        <v>53</v>
      </c>
      <c r="E236" s="17" t="s">
        <v>245</v>
      </c>
      <c r="F236" s="17" t="s">
        <v>59</v>
      </c>
      <c r="G236" s="17"/>
      <c r="H236" s="18" t="s">
        <v>33</v>
      </c>
      <c r="I236" s="12" t="str">
        <f aca="false">IF(OR(H236="Passed",H236="Accepted Exception"),"GREEN",IF(OR(H236="Not Started",H236="Failed"),"RED","AMBER"))</f>
        <v>RED</v>
      </c>
      <c r="J236" s="19" t="s">
        <v>34</v>
      </c>
      <c r="K236" s="14" t="str">
        <f aca="false">IF(OR(J236="Réussi",J236="Exception acceptée"),"GREEN",IF(OR(J236="Non commencé",J236="Échec"),"RED","AMBER"))</f>
        <v>RED</v>
      </c>
      <c r="L236" s="17"/>
      <c r="M236" s="17"/>
      <c r="N236" s="15" t="str">
        <f aca="true">IF(G236&lt;&gt;"",TODAY()-G236,"")</f>
        <v/>
      </c>
    </row>
    <row r="237" customFormat="false" ht="18" hidden="false" customHeight="true" outlineLevel="0" collapsed="false">
      <c r="A237" s="9" t="s">
        <v>139</v>
      </c>
      <c r="B237" s="10" t="s">
        <v>136</v>
      </c>
      <c r="C237" s="10" t="s">
        <v>244</v>
      </c>
      <c r="D237" s="9" t="s">
        <v>137</v>
      </c>
      <c r="E237" s="10" t="s">
        <v>245</v>
      </c>
      <c r="F237" s="10" t="s">
        <v>140</v>
      </c>
      <c r="G237" s="10"/>
      <c r="H237" s="11" t="s">
        <v>33</v>
      </c>
      <c r="I237" s="12" t="str">
        <f aca="false">IF(OR(H237="Passed",H237="Accepted Exception"),"GREEN",IF(OR(H237="Not Started",H237="Failed"),"RED","AMBER"))</f>
        <v>RED</v>
      </c>
      <c r="J237" s="13" t="s">
        <v>34</v>
      </c>
      <c r="K237" s="14" t="str">
        <f aca="false">IF(OR(J237="Réussi",J237="Exception acceptée"),"GREEN",IF(OR(J237="Non commencé",J237="Échec"),"RED","AMBER"))</f>
        <v>RED</v>
      </c>
      <c r="L237" s="10"/>
      <c r="M237" s="10"/>
      <c r="N237" s="15" t="str">
        <f aca="true">IF(G237&lt;&gt;"",TODAY()-G237,"")</f>
        <v/>
      </c>
    </row>
    <row r="238" customFormat="false" ht="18" hidden="false" customHeight="true" outlineLevel="0" collapsed="false">
      <c r="A238" s="16" t="s">
        <v>60</v>
      </c>
      <c r="B238" s="17" t="s">
        <v>61</v>
      </c>
      <c r="C238" s="17" t="s">
        <v>244</v>
      </c>
      <c r="D238" s="16" t="s">
        <v>62</v>
      </c>
      <c r="E238" s="17" t="s">
        <v>245</v>
      </c>
      <c r="F238" s="17" t="s">
        <v>63</v>
      </c>
      <c r="G238" s="17"/>
      <c r="H238" s="18" t="s">
        <v>33</v>
      </c>
      <c r="I238" s="12" t="str">
        <f aca="false">IF(OR(H238="Passed",H238="Accepted Exception"),"GREEN",IF(OR(H238="Not Started",H238="Failed"),"RED","AMBER"))</f>
        <v>RED</v>
      </c>
      <c r="J238" s="19" t="s">
        <v>34</v>
      </c>
      <c r="K238" s="14" t="str">
        <f aca="false">IF(OR(J238="Réussi",J238="Exception acceptée"),"GREEN",IF(OR(J238="Non commencé",J238="Échec"),"RED","AMBER"))</f>
        <v>RED</v>
      </c>
      <c r="L238" s="17"/>
      <c r="M238" s="17"/>
      <c r="N238" s="15" t="str">
        <f aca="true">IF(G238&lt;&gt;"",TODAY()-G238,"")</f>
        <v/>
      </c>
    </row>
    <row r="239" customFormat="false" ht="18" hidden="false" customHeight="true" outlineLevel="0" collapsed="false">
      <c r="A239" s="9" t="s">
        <v>229</v>
      </c>
      <c r="B239" s="10" t="s">
        <v>230</v>
      </c>
      <c r="C239" s="10" t="s">
        <v>244</v>
      </c>
      <c r="D239" s="9" t="s">
        <v>62</v>
      </c>
      <c r="E239" s="10" t="s">
        <v>245</v>
      </c>
      <c r="F239" s="10" t="s">
        <v>231</v>
      </c>
      <c r="G239" s="10"/>
      <c r="H239" s="11" t="s">
        <v>33</v>
      </c>
      <c r="I239" s="12" t="str">
        <f aca="false">IF(OR(H239="Passed",H239="Accepted Exception"),"GREEN",IF(OR(H239="Not Started",H239="Failed"),"RED","AMBER"))</f>
        <v>RED</v>
      </c>
      <c r="J239" s="13" t="s">
        <v>34</v>
      </c>
      <c r="K239" s="14" t="str">
        <f aca="false">IF(OR(J239="Réussi",J239="Exception acceptée"),"GREEN",IF(OR(J239="Non commencé",J239="Échec"),"RED","AMBER"))</f>
        <v>RED</v>
      </c>
      <c r="L239" s="10"/>
      <c r="M239" s="10"/>
      <c r="N239" s="15" t="str">
        <f aca="true">IF(G239&lt;&gt;"",TODAY()-G239,"")</f>
        <v/>
      </c>
    </row>
    <row r="240" customFormat="false" ht="18" hidden="false" customHeight="true" outlineLevel="0" collapsed="false">
      <c r="A240" s="16" t="s">
        <v>232</v>
      </c>
      <c r="B240" s="17" t="s">
        <v>230</v>
      </c>
      <c r="C240" s="17" t="s">
        <v>244</v>
      </c>
      <c r="D240" s="16" t="s">
        <v>62</v>
      </c>
      <c r="E240" s="17" t="s">
        <v>245</v>
      </c>
      <c r="F240" s="17" t="s">
        <v>233</v>
      </c>
      <c r="G240" s="17"/>
      <c r="H240" s="18" t="s">
        <v>33</v>
      </c>
      <c r="I240" s="12" t="str">
        <f aca="false">IF(OR(H240="Passed",H240="Accepted Exception"),"GREEN",IF(OR(H240="Not Started",H240="Failed"),"RED","AMBER"))</f>
        <v>RED</v>
      </c>
      <c r="J240" s="19" t="s">
        <v>34</v>
      </c>
      <c r="K240" s="14" t="str">
        <f aca="false">IF(OR(J240="Réussi",J240="Exception acceptée"),"GREEN",IF(OR(J240="Non commencé",J240="Échec"),"RED","AMBER"))</f>
        <v>RED</v>
      </c>
      <c r="L240" s="17"/>
      <c r="M240" s="17"/>
      <c r="N240" s="15" t="str">
        <f aca="true">IF(G240&lt;&gt;"",TODAY()-G240,"")</f>
        <v/>
      </c>
    </row>
    <row r="241" customFormat="false" ht="18" hidden="false" customHeight="true" outlineLevel="0" collapsed="false">
      <c r="A241" s="9" t="s">
        <v>64</v>
      </c>
      <c r="B241" s="10" t="s">
        <v>65</v>
      </c>
      <c r="C241" s="10" t="s">
        <v>244</v>
      </c>
      <c r="D241" s="9" t="s">
        <v>66</v>
      </c>
      <c r="E241" s="10" t="s">
        <v>245</v>
      </c>
      <c r="F241" s="10" t="s">
        <v>67</v>
      </c>
      <c r="G241" s="10"/>
      <c r="H241" s="11" t="s">
        <v>33</v>
      </c>
      <c r="I241" s="12" t="str">
        <f aca="false">IF(OR(H241="Passed",H241="Accepted Exception"),"GREEN",IF(OR(H241="Not Started",H241="Failed"),"RED","AMBER"))</f>
        <v>RED</v>
      </c>
      <c r="J241" s="13" t="s">
        <v>34</v>
      </c>
      <c r="K241" s="14" t="str">
        <f aca="false">IF(OR(J241="Réussi",J241="Exception acceptée"),"GREEN",IF(OR(J241="Non commencé",J241="Échec"),"RED","AMBER"))</f>
        <v>RED</v>
      </c>
      <c r="L241" s="10"/>
      <c r="M241" s="10"/>
      <c r="N241" s="15" t="str">
        <f aca="true">IF(G241&lt;&gt;"",TODAY()-G241,"")</f>
        <v/>
      </c>
    </row>
    <row r="242" customFormat="false" ht="18" hidden="false" customHeight="true" outlineLevel="0" collapsed="false">
      <c r="A242" s="16" t="s">
        <v>68</v>
      </c>
      <c r="B242" s="17" t="s">
        <v>69</v>
      </c>
      <c r="C242" s="17" t="s">
        <v>244</v>
      </c>
      <c r="D242" s="16" t="s">
        <v>66</v>
      </c>
      <c r="E242" s="17" t="s">
        <v>245</v>
      </c>
      <c r="F242" s="17" t="s">
        <v>68</v>
      </c>
      <c r="G242" s="17"/>
      <c r="H242" s="18" t="s">
        <v>33</v>
      </c>
      <c r="I242" s="12" t="str">
        <f aca="false">IF(OR(H242="Passed",H242="Accepted Exception"),"GREEN",IF(OR(H242="Not Started",H242="Failed"),"RED","AMBER"))</f>
        <v>RED</v>
      </c>
      <c r="J242" s="19" t="s">
        <v>34</v>
      </c>
      <c r="K242" s="14" t="str">
        <f aca="false">IF(OR(J242="Réussi",J242="Exception acceptée"),"GREEN",IF(OR(J242="Non commencé",J242="Échec"),"RED","AMBER"))</f>
        <v>RED</v>
      </c>
      <c r="L242" s="17"/>
      <c r="M242" s="17"/>
      <c r="N242" s="15" t="str">
        <f aca="true">IF(G242&lt;&gt;"",TODAY()-G242,"")</f>
        <v/>
      </c>
    </row>
    <row r="243" customFormat="false" ht="18" hidden="false" customHeight="true" outlineLevel="0" collapsed="false">
      <c r="A243" s="9" t="s">
        <v>193</v>
      </c>
      <c r="B243" s="10" t="s">
        <v>194</v>
      </c>
      <c r="C243" s="10" t="s">
        <v>246</v>
      </c>
      <c r="D243" s="9" t="s">
        <v>104</v>
      </c>
      <c r="E243" s="10" t="s">
        <v>247</v>
      </c>
      <c r="F243" s="10" t="s">
        <v>197</v>
      </c>
      <c r="G243" s="10"/>
      <c r="H243" s="11" t="s">
        <v>33</v>
      </c>
      <c r="I243" s="12" t="str">
        <f aca="false">IF(OR(H243="Passed",H243="Accepted Exception"),"GREEN",IF(OR(H243="Not Started",H243="Failed"),"RED","AMBER"))</f>
        <v>RED</v>
      </c>
      <c r="J243" s="13" t="s">
        <v>34</v>
      </c>
      <c r="K243" s="14" t="str">
        <f aca="false">IF(OR(J243="Réussi",J243="Exception acceptée"),"GREEN",IF(OR(J243="Non commencé",J243="Échec"),"RED","AMBER"))</f>
        <v>RED</v>
      </c>
      <c r="L243" s="10"/>
      <c r="M243" s="10"/>
      <c r="N243" s="15" t="str">
        <f aca="true">IF(G243&lt;&gt;"",TODAY()-G243,"")</f>
        <v/>
      </c>
    </row>
    <row r="244" customFormat="false" ht="18" hidden="false" customHeight="true" outlineLevel="0" collapsed="false">
      <c r="A244" s="16" t="s">
        <v>198</v>
      </c>
      <c r="B244" s="17" t="s">
        <v>194</v>
      </c>
      <c r="C244" s="17" t="s">
        <v>246</v>
      </c>
      <c r="D244" s="16" t="s">
        <v>104</v>
      </c>
      <c r="E244" s="17" t="s">
        <v>247</v>
      </c>
      <c r="F244" s="17" t="s">
        <v>199</v>
      </c>
      <c r="G244" s="17"/>
      <c r="H244" s="18" t="s">
        <v>33</v>
      </c>
      <c r="I244" s="12" t="str">
        <f aca="false">IF(OR(H244="Passed",H244="Accepted Exception"),"GREEN",IF(OR(H244="Not Started",H244="Failed"),"RED","AMBER"))</f>
        <v>RED</v>
      </c>
      <c r="J244" s="19" t="s">
        <v>34</v>
      </c>
      <c r="K244" s="14" t="str">
        <f aca="false">IF(OR(J244="Réussi",J244="Exception acceptée"),"GREEN",IF(OR(J244="Non commencé",J244="Échec"),"RED","AMBER"))</f>
        <v>RED</v>
      </c>
      <c r="L244" s="17"/>
      <c r="M244" s="17"/>
      <c r="N244" s="15" t="str">
        <f aca="true">IF(G244&lt;&gt;"",TODAY()-G244,"")</f>
        <v/>
      </c>
    </row>
    <row r="245" customFormat="false" ht="18" hidden="false" customHeight="true" outlineLevel="0" collapsed="false">
      <c r="A245" s="9" t="s">
        <v>200</v>
      </c>
      <c r="B245" s="10" t="s">
        <v>194</v>
      </c>
      <c r="C245" s="10" t="s">
        <v>246</v>
      </c>
      <c r="D245" s="9" t="s">
        <v>104</v>
      </c>
      <c r="E245" s="10" t="s">
        <v>247</v>
      </c>
      <c r="F245" s="10" t="s">
        <v>201</v>
      </c>
      <c r="G245" s="10"/>
      <c r="H245" s="11" t="s">
        <v>33</v>
      </c>
      <c r="I245" s="12" t="str">
        <f aca="false">IF(OR(H245="Passed",H245="Accepted Exception"),"GREEN",IF(OR(H245="Not Started",H245="Failed"),"RED","AMBER"))</f>
        <v>RED</v>
      </c>
      <c r="J245" s="13" t="s">
        <v>34</v>
      </c>
      <c r="K245" s="14" t="str">
        <f aca="false">IF(OR(J245="Réussi",J245="Exception acceptée"),"GREEN",IF(OR(J245="Non commencé",J245="Échec"),"RED","AMBER"))</f>
        <v>RED</v>
      </c>
      <c r="L245" s="10"/>
      <c r="M245" s="10"/>
      <c r="N245" s="15" t="str">
        <f aca="true">IF(G245&lt;&gt;"",TODAY()-G245,"")</f>
        <v/>
      </c>
    </row>
    <row r="246" customFormat="false" ht="18" hidden="false" customHeight="true" outlineLevel="0" collapsed="false">
      <c r="A246" s="16" t="s">
        <v>101</v>
      </c>
      <c r="B246" s="17" t="s">
        <v>102</v>
      </c>
      <c r="C246" s="17" t="s">
        <v>246</v>
      </c>
      <c r="D246" s="16" t="s">
        <v>104</v>
      </c>
      <c r="E246" s="17" t="s">
        <v>247</v>
      </c>
      <c r="F246" s="17" t="s">
        <v>101</v>
      </c>
      <c r="G246" s="17"/>
      <c r="H246" s="18" t="s">
        <v>33</v>
      </c>
      <c r="I246" s="12" t="str">
        <f aca="false">IF(OR(H246="Passed",H246="Accepted Exception"),"GREEN",IF(OR(H246="Not Started",H246="Failed"),"RED","AMBER"))</f>
        <v>RED</v>
      </c>
      <c r="J246" s="19" t="s">
        <v>34</v>
      </c>
      <c r="K246" s="14" t="str">
        <f aca="false">IF(OR(J246="Réussi",J246="Exception acceptée"),"GREEN",IF(OR(J246="Non commencé",J246="Échec"),"RED","AMBER"))</f>
        <v>RED</v>
      </c>
      <c r="L246" s="17"/>
      <c r="M246" s="17"/>
      <c r="N246" s="15" t="str">
        <f aca="true">IF(G246&lt;&gt;"",TODAY()-G246,"")</f>
        <v/>
      </c>
    </row>
    <row r="247" customFormat="false" ht="18" hidden="false" customHeight="true" outlineLevel="0" collapsed="false">
      <c r="A247" s="9" t="s">
        <v>106</v>
      </c>
      <c r="B247" s="10" t="s">
        <v>102</v>
      </c>
      <c r="C247" s="10" t="s">
        <v>246</v>
      </c>
      <c r="D247" s="9" t="s">
        <v>104</v>
      </c>
      <c r="E247" s="10" t="s">
        <v>247</v>
      </c>
      <c r="F247" s="10" t="s">
        <v>107</v>
      </c>
      <c r="G247" s="10"/>
      <c r="H247" s="11" t="s">
        <v>33</v>
      </c>
      <c r="I247" s="12" t="str">
        <f aca="false">IF(OR(H247="Passed",H247="Accepted Exception"),"GREEN",IF(OR(H247="Not Started",H247="Failed"),"RED","AMBER"))</f>
        <v>RED</v>
      </c>
      <c r="J247" s="13" t="s">
        <v>34</v>
      </c>
      <c r="K247" s="14" t="str">
        <f aca="false">IF(OR(J247="Réussi",J247="Exception acceptée"),"GREEN",IF(OR(J247="Non commencé",J247="Échec"),"RED","AMBER"))</f>
        <v>RED</v>
      </c>
      <c r="L247" s="10"/>
      <c r="M247" s="10"/>
      <c r="N247" s="15" t="str">
        <f aca="true">IF(G247&lt;&gt;"",TODAY()-G247,"")</f>
        <v/>
      </c>
    </row>
    <row r="248" customFormat="false" ht="18" hidden="false" customHeight="true" outlineLevel="0" collapsed="false">
      <c r="A248" s="16" t="s">
        <v>202</v>
      </c>
      <c r="B248" s="17" t="s">
        <v>102</v>
      </c>
      <c r="C248" s="17" t="s">
        <v>246</v>
      </c>
      <c r="D248" s="16" t="s">
        <v>104</v>
      </c>
      <c r="E248" s="17" t="s">
        <v>247</v>
      </c>
      <c r="F248" s="17" t="s">
        <v>203</v>
      </c>
      <c r="G248" s="17"/>
      <c r="H248" s="18" t="s">
        <v>33</v>
      </c>
      <c r="I248" s="12" t="str">
        <f aca="false">IF(OR(H248="Passed",H248="Accepted Exception"),"GREEN",IF(OR(H248="Not Started",H248="Failed"),"RED","AMBER"))</f>
        <v>RED</v>
      </c>
      <c r="J248" s="19" t="s">
        <v>34</v>
      </c>
      <c r="K248" s="14" t="str">
        <f aca="false">IF(OR(J248="Réussi",J248="Exception acceptée"),"GREEN",IF(OR(J248="Non commencé",J248="Échec"),"RED","AMBER"))</f>
        <v>RED</v>
      </c>
      <c r="L248" s="17"/>
      <c r="M248" s="17"/>
      <c r="N248" s="15" t="str">
        <f aca="true">IF(G248&lt;&gt;"",TODAY()-G248,"")</f>
        <v/>
      </c>
    </row>
    <row r="249" customFormat="false" ht="18" hidden="false" customHeight="true" outlineLevel="0" collapsed="false">
      <c r="A249" s="9" t="s">
        <v>118</v>
      </c>
      <c r="B249" s="10" t="s">
        <v>119</v>
      </c>
      <c r="C249" s="10" t="s">
        <v>246</v>
      </c>
      <c r="D249" s="9" t="s">
        <v>104</v>
      </c>
      <c r="E249" s="10" t="s">
        <v>247</v>
      </c>
      <c r="F249" s="10" t="s">
        <v>120</v>
      </c>
      <c r="G249" s="10"/>
      <c r="H249" s="11" t="s">
        <v>33</v>
      </c>
      <c r="I249" s="12" t="str">
        <f aca="false">IF(OR(H249="Passed",H249="Accepted Exception"),"GREEN",IF(OR(H249="Not Started",H249="Failed"),"RED","AMBER"))</f>
        <v>RED</v>
      </c>
      <c r="J249" s="13" t="s">
        <v>34</v>
      </c>
      <c r="K249" s="14" t="str">
        <f aca="false">IF(OR(J249="Réussi",J249="Exception acceptée"),"GREEN",IF(OR(J249="Non commencé",J249="Échec"),"RED","AMBER"))</f>
        <v>RED</v>
      </c>
      <c r="L249" s="10"/>
      <c r="M249" s="10"/>
      <c r="N249" s="15" t="str">
        <f aca="true">IF(G249&lt;&gt;"",TODAY()-G249,"")</f>
        <v/>
      </c>
    </row>
    <row r="250" customFormat="false" ht="18" hidden="false" customHeight="true" outlineLevel="0" collapsed="false">
      <c r="A250" s="16" t="s">
        <v>28</v>
      </c>
      <c r="B250" s="17" t="s">
        <v>29</v>
      </c>
      <c r="C250" s="17" t="s">
        <v>246</v>
      </c>
      <c r="D250" s="16" t="s">
        <v>31</v>
      </c>
      <c r="E250" s="17" t="s">
        <v>247</v>
      </c>
      <c r="F250" s="17" t="s">
        <v>28</v>
      </c>
      <c r="G250" s="17"/>
      <c r="H250" s="18" t="s">
        <v>33</v>
      </c>
      <c r="I250" s="12" t="str">
        <f aca="false">IF(OR(H250="Passed",H250="Accepted Exception"),"GREEN",IF(OR(H250="Not Started",H250="Failed"),"RED","AMBER"))</f>
        <v>RED</v>
      </c>
      <c r="J250" s="19" t="s">
        <v>34</v>
      </c>
      <c r="K250" s="14" t="str">
        <f aca="false">IF(OR(J250="Réussi",J250="Exception acceptée"),"GREEN",IF(OR(J250="Non commencé",J250="Échec"),"RED","AMBER"))</f>
        <v>RED</v>
      </c>
      <c r="L250" s="17"/>
      <c r="M250" s="17"/>
      <c r="N250" s="15" t="str">
        <f aca="true">IF(G250&lt;&gt;"",TODAY()-G250,"")</f>
        <v/>
      </c>
    </row>
    <row r="251" customFormat="false" ht="18" hidden="false" customHeight="true" outlineLevel="0" collapsed="false">
      <c r="A251" s="9" t="s">
        <v>35</v>
      </c>
      <c r="B251" s="10" t="s">
        <v>36</v>
      </c>
      <c r="C251" s="10" t="s">
        <v>246</v>
      </c>
      <c r="D251" s="9" t="s">
        <v>31</v>
      </c>
      <c r="E251" s="10" t="s">
        <v>247</v>
      </c>
      <c r="F251" s="10" t="s">
        <v>35</v>
      </c>
      <c r="G251" s="10"/>
      <c r="H251" s="11" t="s">
        <v>33</v>
      </c>
      <c r="I251" s="12" t="str">
        <f aca="false">IF(OR(H251="Passed",H251="Accepted Exception"),"GREEN",IF(OR(H251="Not Started",H251="Failed"),"RED","AMBER"))</f>
        <v>RED</v>
      </c>
      <c r="J251" s="13" t="s">
        <v>34</v>
      </c>
      <c r="K251" s="14" t="str">
        <f aca="false">IF(OR(J251="Réussi",J251="Exception acceptée"),"GREEN",IF(OR(J251="Non commencé",J251="Échec"),"RED","AMBER"))</f>
        <v>RED</v>
      </c>
      <c r="L251" s="10"/>
      <c r="M251" s="10"/>
      <c r="N251" s="15" t="str">
        <f aca="true">IF(G251&lt;&gt;"",TODAY()-G251,"")</f>
        <v/>
      </c>
    </row>
    <row r="252" customFormat="false" ht="18" hidden="false" customHeight="true" outlineLevel="0" collapsed="false">
      <c r="A252" s="16" t="s">
        <v>37</v>
      </c>
      <c r="B252" s="17" t="s">
        <v>36</v>
      </c>
      <c r="C252" s="17" t="s">
        <v>246</v>
      </c>
      <c r="D252" s="16" t="s">
        <v>31</v>
      </c>
      <c r="E252" s="17" t="s">
        <v>247</v>
      </c>
      <c r="F252" s="17" t="s">
        <v>38</v>
      </c>
      <c r="G252" s="17"/>
      <c r="H252" s="18" t="s">
        <v>33</v>
      </c>
      <c r="I252" s="12" t="str">
        <f aca="false">IF(OR(H252="Passed",H252="Accepted Exception"),"GREEN",IF(OR(H252="Not Started",H252="Failed"),"RED","AMBER"))</f>
        <v>RED</v>
      </c>
      <c r="J252" s="19" t="s">
        <v>34</v>
      </c>
      <c r="K252" s="14" t="str">
        <f aca="false">IF(OR(J252="Réussi",J252="Exception acceptée"),"GREEN",IF(OR(J252="Non commencé",J252="Échec"),"RED","AMBER"))</f>
        <v>RED</v>
      </c>
      <c r="L252" s="17"/>
      <c r="M252" s="17"/>
      <c r="N252" s="15" t="str">
        <f aca="true">IF(G252&lt;&gt;"",TODAY()-G252,"")</f>
        <v/>
      </c>
    </row>
    <row r="253" customFormat="false" ht="18" hidden="false" customHeight="true" outlineLevel="0" collapsed="false">
      <c r="A253" s="9" t="s">
        <v>72</v>
      </c>
      <c r="B253" s="10" t="s">
        <v>73</v>
      </c>
      <c r="C253" s="10" t="s">
        <v>246</v>
      </c>
      <c r="D253" s="9" t="s">
        <v>31</v>
      </c>
      <c r="E253" s="10" t="s">
        <v>247</v>
      </c>
      <c r="F253" s="10" t="s">
        <v>72</v>
      </c>
      <c r="G253" s="10"/>
      <c r="H253" s="11" t="s">
        <v>33</v>
      </c>
      <c r="I253" s="12" t="str">
        <f aca="false">IF(OR(H253="Passed",H253="Accepted Exception"),"GREEN",IF(OR(H253="Not Started",H253="Failed"),"RED","AMBER"))</f>
        <v>RED</v>
      </c>
      <c r="J253" s="13" t="s">
        <v>34</v>
      </c>
      <c r="K253" s="14" t="str">
        <f aca="false">IF(OR(J253="Réussi",J253="Exception acceptée"),"GREEN",IF(OR(J253="Non commencé",J253="Échec"),"RED","AMBER"))</f>
        <v>RED</v>
      </c>
      <c r="L253" s="10"/>
      <c r="M253" s="10"/>
      <c r="N253" s="15" t="str">
        <f aca="true">IF(G253&lt;&gt;"",TODAY()-G253,"")</f>
        <v/>
      </c>
    </row>
    <row r="254" customFormat="false" ht="18" hidden="false" customHeight="true" outlineLevel="0" collapsed="false">
      <c r="A254" s="16" t="s">
        <v>204</v>
      </c>
      <c r="B254" s="17" t="s">
        <v>205</v>
      </c>
      <c r="C254" s="17" t="s">
        <v>246</v>
      </c>
      <c r="D254" s="16" t="s">
        <v>31</v>
      </c>
      <c r="E254" s="17" t="s">
        <v>247</v>
      </c>
      <c r="F254" s="17" t="s">
        <v>206</v>
      </c>
      <c r="G254" s="17"/>
      <c r="H254" s="18" t="s">
        <v>33</v>
      </c>
      <c r="I254" s="12" t="str">
        <f aca="false">IF(OR(H254="Passed",H254="Accepted Exception"),"GREEN",IF(OR(H254="Not Started",H254="Failed"),"RED","AMBER"))</f>
        <v>RED</v>
      </c>
      <c r="J254" s="19" t="s">
        <v>34</v>
      </c>
      <c r="K254" s="14" t="str">
        <f aca="false">IF(OR(J254="Réussi",J254="Exception acceptée"),"GREEN",IF(OR(J254="Non commencé",J254="Échec"),"RED","AMBER"))</f>
        <v>RED</v>
      </c>
      <c r="L254" s="17"/>
      <c r="M254" s="17"/>
      <c r="N254" s="15" t="str">
        <f aca="true">IF(G254&lt;&gt;"",TODAY()-G254,"")</f>
        <v/>
      </c>
    </row>
    <row r="255" customFormat="false" ht="18" hidden="false" customHeight="true" outlineLevel="0" collapsed="false">
      <c r="A255" s="9" t="s">
        <v>207</v>
      </c>
      <c r="B255" s="10" t="s">
        <v>205</v>
      </c>
      <c r="C255" s="10" t="s">
        <v>246</v>
      </c>
      <c r="D255" s="9" t="s">
        <v>31</v>
      </c>
      <c r="E255" s="10" t="s">
        <v>247</v>
      </c>
      <c r="F255" s="10" t="s">
        <v>208</v>
      </c>
      <c r="G255" s="10"/>
      <c r="H255" s="11" t="s">
        <v>33</v>
      </c>
      <c r="I255" s="12" t="str">
        <f aca="false">IF(OR(H255="Passed",H255="Accepted Exception"),"GREEN",IF(OR(H255="Not Started",H255="Failed"),"RED","AMBER"))</f>
        <v>RED</v>
      </c>
      <c r="J255" s="13" t="s">
        <v>34</v>
      </c>
      <c r="K255" s="14" t="str">
        <f aca="false">IF(OR(J255="Réussi",J255="Exception acceptée"),"GREEN",IF(OR(J255="Non commencé",J255="Échec"),"RED","AMBER"))</f>
        <v>RED</v>
      </c>
      <c r="L255" s="10"/>
      <c r="M255" s="10"/>
      <c r="N255" s="15" t="str">
        <f aca="true">IF(G255&lt;&gt;"",TODAY()-G255,"")</f>
        <v/>
      </c>
    </row>
    <row r="256" customFormat="false" ht="18" hidden="false" customHeight="true" outlineLevel="0" collapsed="false">
      <c r="A256" s="16" t="s">
        <v>209</v>
      </c>
      <c r="B256" s="17" t="s">
        <v>210</v>
      </c>
      <c r="C256" s="17" t="s">
        <v>246</v>
      </c>
      <c r="D256" s="16" t="s">
        <v>31</v>
      </c>
      <c r="E256" s="17" t="s">
        <v>247</v>
      </c>
      <c r="F256" s="17" t="s">
        <v>209</v>
      </c>
      <c r="G256" s="17"/>
      <c r="H256" s="18" t="s">
        <v>33</v>
      </c>
      <c r="I256" s="12" t="str">
        <f aca="false">IF(OR(H256="Passed",H256="Accepted Exception"),"GREEN",IF(OR(H256="Not Started",H256="Failed"),"RED","AMBER"))</f>
        <v>RED</v>
      </c>
      <c r="J256" s="19" t="s">
        <v>34</v>
      </c>
      <c r="K256" s="14" t="str">
        <f aca="false">IF(OR(J256="Réussi",J256="Exception acceptée"),"GREEN",IF(OR(J256="Non commencé",J256="Échec"),"RED","AMBER"))</f>
        <v>RED</v>
      </c>
      <c r="L256" s="17"/>
      <c r="M256" s="17"/>
      <c r="N256" s="15" t="str">
        <f aca="true">IF(G256&lt;&gt;"",TODAY()-G256,"")</f>
        <v/>
      </c>
    </row>
    <row r="257" customFormat="false" ht="18" hidden="false" customHeight="true" outlineLevel="0" collapsed="false">
      <c r="A257" s="9" t="s">
        <v>211</v>
      </c>
      <c r="B257" s="10" t="s">
        <v>210</v>
      </c>
      <c r="C257" s="10" t="s">
        <v>246</v>
      </c>
      <c r="D257" s="9" t="s">
        <v>31</v>
      </c>
      <c r="E257" s="10" t="s">
        <v>247</v>
      </c>
      <c r="F257" s="10" t="s">
        <v>212</v>
      </c>
      <c r="G257" s="10"/>
      <c r="H257" s="11" t="s">
        <v>33</v>
      </c>
      <c r="I257" s="12" t="str">
        <f aca="false">IF(OR(H257="Passed",H257="Accepted Exception"),"GREEN",IF(OR(H257="Not Started",H257="Failed"),"RED","AMBER"))</f>
        <v>RED</v>
      </c>
      <c r="J257" s="13" t="s">
        <v>34</v>
      </c>
      <c r="K257" s="14" t="str">
        <f aca="false">IF(OR(J257="Réussi",J257="Exception acceptée"),"GREEN",IF(OR(J257="Non commencé",J257="Échec"),"RED","AMBER"))</f>
        <v>RED</v>
      </c>
      <c r="L257" s="10"/>
      <c r="M257" s="10"/>
      <c r="N257" s="15" t="str">
        <f aca="true">IF(G257&lt;&gt;"",TODAY()-G257,"")</f>
        <v/>
      </c>
    </row>
    <row r="258" customFormat="false" ht="18" hidden="false" customHeight="true" outlineLevel="0" collapsed="false">
      <c r="A258" s="16" t="s">
        <v>213</v>
      </c>
      <c r="B258" s="17" t="s">
        <v>214</v>
      </c>
      <c r="C258" s="17" t="s">
        <v>246</v>
      </c>
      <c r="D258" s="16" t="s">
        <v>31</v>
      </c>
      <c r="E258" s="17" t="s">
        <v>247</v>
      </c>
      <c r="F258" s="17" t="s">
        <v>213</v>
      </c>
      <c r="G258" s="17"/>
      <c r="H258" s="18" t="s">
        <v>33</v>
      </c>
      <c r="I258" s="12" t="str">
        <f aca="false">IF(OR(H258="Passed",H258="Accepted Exception"),"GREEN",IF(OR(H258="Not Started",H258="Failed"),"RED","AMBER"))</f>
        <v>RED</v>
      </c>
      <c r="J258" s="19" t="s">
        <v>34</v>
      </c>
      <c r="K258" s="14" t="str">
        <f aca="false">IF(OR(J258="Réussi",J258="Exception acceptée"),"GREEN",IF(OR(J258="Non commencé",J258="Échec"),"RED","AMBER"))</f>
        <v>RED</v>
      </c>
      <c r="L258" s="17"/>
      <c r="M258" s="17"/>
      <c r="N258" s="15" t="str">
        <f aca="true">IF(G258&lt;&gt;"",TODAY()-G258,"")</f>
        <v/>
      </c>
    </row>
    <row r="259" customFormat="false" ht="18" hidden="false" customHeight="true" outlineLevel="0" collapsed="false">
      <c r="A259" s="9" t="s">
        <v>215</v>
      </c>
      <c r="B259" s="10" t="s">
        <v>214</v>
      </c>
      <c r="C259" s="10" t="s">
        <v>246</v>
      </c>
      <c r="D259" s="9" t="s">
        <v>31</v>
      </c>
      <c r="E259" s="10" t="s">
        <v>247</v>
      </c>
      <c r="F259" s="10" t="s">
        <v>216</v>
      </c>
      <c r="G259" s="10"/>
      <c r="H259" s="11" t="s">
        <v>33</v>
      </c>
      <c r="I259" s="12" t="str">
        <f aca="false">IF(OR(H259="Passed",H259="Accepted Exception"),"GREEN",IF(OR(H259="Not Started",H259="Failed"),"RED","AMBER"))</f>
        <v>RED</v>
      </c>
      <c r="J259" s="13" t="s">
        <v>34</v>
      </c>
      <c r="K259" s="14" t="str">
        <f aca="false">IF(OR(J259="Réussi",J259="Exception acceptée"),"GREEN",IF(OR(J259="Non commencé",J259="Échec"),"RED","AMBER"))</f>
        <v>RED</v>
      </c>
      <c r="L259" s="10"/>
      <c r="M259" s="10"/>
      <c r="N259" s="15" t="str">
        <f aca="true">IF(G259&lt;&gt;"",TODAY()-G259,"")</f>
        <v/>
      </c>
    </row>
    <row r="260" customFormat="false" ht="18" hidden="false" customHeight="true" outlineLevel="0" collapsed="false">
      <c r="A260" s="16" t="s">
        <v>217</v>
      </c>
      <c r="B260" s="17" t="s">
        <v>40</v>
      </c>
      <c r="C260" s="17" t="s">
        <v>246</v>
      </c>
      <c r="D260" s="16" t="s">
        <v>31</v>
      </c>
      <c r="E260" s="17" t="s">
        <v>247</v>
      </c>
      <c r="F260" s="17" t="s">
        <v>217</v>
      </c>
      <c r="G260" s="17"/>
      <c r="H260" s="18" t="s">
        <v>33</v>
      </c>
      <c r="I260" s="12" t="str">
        <f aca="false">IF(OR(H260="Passed",H260="Accepted Exception"),"GREEN",IF(OR(H260="Not Started",H260="Failed"),"RED","AMBER"))</f>
        <v>RED</v>
      </c>
      <c r="J260" s="19" t="s">
        <v>34</v>
      </c>
      <c r="K260" s="14" t="str">
        <f aca="false">IF(OR(J260="Réussi",J260="Exception acceptée"),"GREEN",IF(OR(J260="Non commencé",J260="Échec"),"RED","AMBER"))</f>
        <v>RED</v>
      </c>
      <c r="L260" s="17"/>
      <c r="M260" s="17"/>
      <c r="N260" s="15" t="str">
        <f aca="true">IF(G260&lt;&gt;"",TODAY()-G260,"")</f>
        <v/>
      </c>
    </row>
    <row r="261" customFormat="false" ht="18" hidden="false" customHeight="true" outlineLevel="0" collapsed="false">
      <c r="A261" s="9" t="s">
        <v>39</v>
      </c>
      <c r="B261" s="10" t="s">
        <v>40</v>
      </c>
      <c r="C261" s="10" t="s">
        <v>246</v>
      </c>
      <c r="D261" s="9" t="s">
        <v>31</v>
      </c>
      <c r="E261" s="10" t="s">
        <v>247</v>
      </c>
      <c r="F261" s="10" t="s">
        <v>41</v>
      </c>
      <c r="G261" s="10"/>
      <c r="H261" s="11" t="s">
        <v>33</v>
      </c>
      <c r="I261" s="12" t="str">
        <f aca="false">IF(OR(H261="Passed",H261="Accepted Exception"),"GREEN",IF(OR(H261="Not Started",H261="Failed"),"RED","AMBER"))</f>
        <v>RED</v>
      </c>
      <c r="J261" s="13" t="s">
        <v>34</v>
      </c>
      <c r="K261" s="14" t="str">
        <f aca="false">IF(OR(J261="Réussi",J261="Exception acceptée"),"GREEN",IF(OR(J261="Non commencé",J261="Échec"),"RED","AMBER"))</f>
        <v>RED</v>
      </c>
      <c r="L261" s="10"/>
      <c r="M261" s="10"/>
      <c r="N261" s="15" t="str">
        <f aca="true">IF(G261&lt;&gt;"",TODAY()-G261,"")</f>
        <v/>
      </c>
    </row>
    <row r="262" customFormat="false" ht="18" hidden="false" customHeight="true" outlineLevel="0" collapsed="false">
      <c r="A262" s="16" t="s">
        <v>218</v>
      </c>
      <c r="B262" s="17" t="s">
        <v>40</v>
      </c>
      <c r="C262" s="17" t="s">
        <v>246</v>
      </c>
      <c r="D262" s="16" t="s">
        <v>31</v>
      </c>
      <c r="E262" s="17" t="s">
        <v>247</v>
      </c>
      <c r="F262" s="17" t="s">
        <v>219</v>
      </c>
      <c r="G262" s="17"/>
      <c r="H262" s="18" t="s">
        <v>33</v>
      </c>
      <c r="I262" s="12" t="str">
        <f aca="false">IF(OR(H262="Passed",H262="Accepted Exception"),"GREEN",IF(OR(H262="Not Started",H262="Failed"),"RED","AMBER"))</f>
        <v>RED</v>
      </c>
      <c r="J262" s="19" t="s">
        <v>34</v>
      </c>
      <c r="K262" s="14" t="str">
        <f aca="false">IF(OR(J262="Réussi",J262="Exception acceptée"),"GREEN",IF(OR(J262="Non commencé",J262="Échec"),"RED","AMBER"))</f>
        <v>RED</v>
      </c>
      <c r="L262" s="17"/>
      <c r="M262" s="17"/>
      <c r="N262" s="15" t="str">
        <f aca="true">IF(G262&lt;&gt;"",TODAY()-G262,"")</f>
        <v/>
      </c>
    </row>
    <row r="263" customFormat="false" ht="18" hidden="false" customHeight="true" outlineLevel="0" collapsed="false">
      <c r="A263" s="9" t="s">
        <v>220</v>
      </c>
      <c r="B263" s="10" t="s">
        <v>221</v>
      </c>
      <c r="C263" s="10" t="s">
        <v>246</v>
      </c>
      <c r="D263" s="9" t="s">
        <v>31</v>
      </c>
      <c r="E263" s="10" t="s">
        <v>247</v>
      </c>
      <c r="F263" s="10" t="s">
        <v>220</v>
      </c>
      <c r="G263" s="10"/>
      <c r="H263" s="11" t="s">
        <v>33</v>
      </c>
      <c r="I263" s="12" t="str">
        <f aca="false">IF(OR(H263="Passed",H263="Accepted Exception"),"GREEN",IF(OR(H263="Not Started",H263="Failed"),"RED","AMBER"))</f>
        <v>RED</v>
      </c>
      <c r="J263" s="13" t="s">
        <v>34</v>
      </c>
      <c r="K263" s="14" t="str">
        <f aca="false">IF(OR(J263="Réussi",J263="Exception acceptée"),"GREEN",IF(OR(J263="Non commencé",J263="Échec"),"RED","AMBER"))</f>
        <v>RED</v>
      </c>
      <c r="L263" s="10"/>
      <c r="M263" s="10"/>
      <c r="N263" s="15" t="str">
        <f aca="true">IF(G263&lt;&gt;"",TODAY()-G263,"")</f>
        <v/>
      </c>
    </row>
    <row r="264" customFormat="false" ht="18" hidden="false" customHeight="true" outlineLevel="0" collapsed="false">
      <c r="A264" s="16" t="s">
        <v>42</v>
      </c>
      <c r="B264" s="17" t="s">
        <v>43</v>
      </c>
      <c r="C264" s="17" t="s">
        <v>246</v>
      </c>
      <c r="D264" s="16" t="s">
        <v>31</v>
      </c>
      <c r="E264" s="17" t="s">
        <v>247</v>
      </c>
      <c r="F264" s="17" t="s">
        <v>42</v>
      </c>
      <c r="G264" s="17"/>
      <c r="H264" s="18" t="s">
        <v>33</v>
      </c>
      <c r="I264" s="12" t="str">
        <f aca="false">IF(OR(H264="Passed",H264="Accepted Exception"),"GREEN",IF(OR(H264="Not Started",H264="Failed"),"RED","AMBER"))</f>
        <v>RED</v>
      </c>
      <c r="J264" s="19" t="s">
        <v>34</v>
      </c>
      <c r="K264" s="14" t="str">
        <f aca="false">IF(OR(J264="Réussi",J264="Exception acceptée"),"GREEN",IF(OR(J264="Non commencé",J264="Échec"),"RED","AMBER"))</f>
        <v>RED</v>
      </c>
      <c r="L264" s="17"/>
      <c r="M264" s="17"/>
      <c r="N264" s="15" t="str">
        <f aca="true">IF(G264&lt;&gt;"",TODAY()-G264,"")</f>
        <v/>
      </c>
    </row>
    <row r="265" customFormat="false" ht="18" hidden="false" customHeight="true" outlineLevel="0" collapsed="false">
      <c r="A265" s="9" t="s">
        <v>129</v>
      </c>
      <c r="B265" s="10" t="s">
        <v>130</v>
      </c>
      <c r="C265" s="10" t="s">
        <v>246</v>
      </c>
      <c r="D265" s="9" t="s">
        <v>127</v>
      </c>
      <c r="E265" s="10" t="s">
        <v>247</v>
      </c>
      <c r="F265" s="10" t="s">
        <v>129</v>
      </c>
      <c r="G265" s="10"/>
      <c r="H265" s="11" t="s">
        <v>33</v>
      </c>
      <c r="I265" s="12" t="str">
        <f aca="false">IF(OR(H265="Passed",H265="Accepted Exception"),"GREEN",IF(OR(H265="Not Started",H265="Failed"),"RED","AMBER"))</f>
        <v>RED</v>
      </c>
      <c r="J265" s="13" t="s">
        <v>34</v>
      </c>
      <c r="K265" s="14" t="str">
        <f aca="false">IF(OR(J265="Réussi",J265="Exception acceptée"),"GREEN",IF(OR(J265="Non commencé",J265="Échec"),"RED","AMBER"))</f>
        <v>RED</v>
      </c>
      <c r="L265" s="10"/>
      <c r="M265" s="10"/>
      <c r="N265" s="15" t="str">
        <f aca="true">IF(G265&lt;&gt;"",TODAY()-G265,"")</f>
        <v/>
      </c>
    </row>
    <row r="266" customFormat="false" ht="18" hidden="false" customHeight="true" outlineLevel="0" collapsed="false">
      <c r="A266" s="16" t="s">
        <v>77</v>
      </c>
      <c r="B266" s="17" t="s">
        <v>78</v>
      </c>
      <c r="C266" s="17" t="s">
        <v>246</v>
      </c>
      <c r="D266" s="16" t="s">
        <v>46</v>
      </c>
      <c r="E266" s="17" t="s">
        <v>247</v>
      </c>
      <c r="F266" s="17" t="s">
        <v>79</v>
      </c>
      <c r="G266" s="17"/>
      <c r="H266" s="18" t="s">
        <v>33</v>
      </c>
      <c r="I266" s="12" t="str">
        <f aca="false">IF(OR(H266="Passed",H266="Accepted Exception"),"GREEN",IF(OR(H266="Not Started",H266="Failed"),"RED","AMBER"))</f>
        <v>RED</v>
      </c>
      <c r="J266" s="19" t="s">
        <v>34</v>
      </c>
      <c r="K266" s="14" t="str">
        <f aca="false">IF(OR(J266="Réussi",J266="Exception acceptée"),"GREEN",IF(OR(J266="Non commencé",J266="Échec"),"RED","AMBER"))</f>
        <v>RED</v>
      </c>
      <c r="L266" s="17"/>
      <c r="M266" s="17"/>
      <c r="N266" s="15" t="str">
        <f aca="true">IF(G266&lt;&gt;"",TODAY()-G266,"")</f>
        <v/>
      </c>
    </row>
    <row r="267" customFormat="false" ht="18" hidden="false" customHeight="true" outlineLevel="0" collapsed="false">
      <c r="A267" s="9" t="s">
        <v>187</v>
      </c>
      <c r="B267" s="10" t="s">
        <v>78</v>
      </c>
      <c r="C267" s="10" t="s">
        <v>246</v>
      </c>
      <c r="D267" s="9" t="s">
        <v>46</v>
      </c>
      <c r="E267" s="10" t="s">
        <v>247</v>
      </c>
      <c r="F267" s="10" t="s">
        <v>188</v>
      </c>
      <c r="G267" s="10"/>
      <c r="H267" s="11" t="s">
        <v>33</v>
      </c>
      <c r="I267" s="12" t="str">
        <f aca="false">IF(OR(H267="Passed",H267="Accepted Exception"),"GREEN",IF(OR(H267="Not Started",H267="Failed"),"RED","AMBER"))</f>
        <v>RED</v>
      </c>
      <c r="J267" s="13" t="s">
        <v>34</v>
      </c>
      <c r="K267" s="14" t="str">
        <f aca="false">IF(OR(J267="Réussi",J267="Exception acceptée"),"GREEN",IF(OR(J267="Non commencé",J267="Échec"),"RED","AMBER"))</f>
        <v>RED</v>
      </c>
      <c r="L267" s="10"/>
      <c r="M267" s="10"/>
      <c r="N267" s="15" t="str">
        <f aca="true">IF(G267&lt;&gt;"",TODAY()-G267,"")</f>
        <v/>
      </c>
    </row>
    <row r="268" customFormat="false" ht="18" hidden="false" customHeight="true" outlineLevel="0" collapsed="false">
      <c r="A268" s="16" t="s">
        <v>44</v>
      </c>
      <c r="B268" s="17" t="s">
        <v>45</v>
      </c>
      <c r="C268" s="17" t="s">
        <v>246</v>
      </c>
      <c r="D268" s="16" t="s">
        <v>46</v>
      </c>
      <c r="E268" s="17" t="s">
        <v>247</v>
      </c>
      <c r="F268" s="17" t="s">
        <v>44</v>
      </c>
      <c r="G268" s="17"/>
      <c r="H268" s="18" t="s">
        <v>33</v>
      </c>
      <c r="I268" s="12" t="str">
        <f aca="false">IF(OR(H268="Passed",H268="Accepted Exception"),"GREEN",IF(OR(H268="Not Started",H268="Failed"),"RED","AMBER"))</f>
        <v>RED</v>
      </c>
      <c r="J268" s="19" t="s">
        <v>34</v>
      </c>
      <c r="K268" s="14" t="str">
        <f aca="false">IF(OR(J268="Réussi",J268="Exception acceptée"),"GREEN",IF(OR(J268="Non commencé",J268="Échec"),"RED","AMBER"))</f>
        <v>RED</v>
      </c>
      <c r="L268" s="17"/>
      <c r="M268" s="17"/>
      <c r="N268" s="15" t="str">
        <f aca="true">IF(G268&lt;&gt;"",TODAY()-G268,"")</f>
        <v/>
      </c>
    </row>
    <row r="269" customFormat="false" ht="18" hidden="false" customHeight="true" outlineLevel="0" collapsed="false">
      <c r="A269" s="9" t="s">
        <v>47</v>
      </c>
      <c r="B269" s="10" t="s">
        <v>48</v>
      </c>
      <c r="C269" s="10" t="s">
        <v>246</v>
      </c>
      <c r="D269" s="9" t="s">
        <v>46</v>
      </c>
      <c r="E269" s="10" t="s">
        <v>247</v>
      </c>
      <c r="F269" s="10" t="s">
        <v>47</v>
      </c>
      <c r="G269" s="10"/>
      <c r="H269" s="11" t="s">
        <v>33</v>
      </c>
      <c r="I269" s="12" t="str">
        <f aca="false">IF(OR(H269="Passed",H269="Accepted Exception"),"GREEN",IF(OR(H269="Not Started",H269="Failed"),"RED","AMBER"))</f>
        <v>RED</v>
      </c>
      <c r="J269" s="13" t="s">
        <v>34</v>
      </c>
      <c r="K269" s="14" t="str">
        <f aca="false">IF(OR(J269="Réussi",J269="Exception acceptée"),"GREEN",IF(OR(J269="Non commencé",J269="Échec"),"RED","AMBER"))</f>
        <v>RED</v>
      </c>
      <c r="L269" s="10"/>
      <c r="M269" s="10"/>
      <c r="N269" s="15" t="str">
        <f aca="true">IF(G269&lt;&gt;"",TODAY()-G269,"")</f>
        <v/>
      </c>
    </row>
    <row r="270" customFormat="false" ht="18" hidden="false" customHeight="true" outlineLevel="0" collapsed="false">
      <c r="A270" s="16" t="s">
        <v>49</v>
      </c>
      <c r="B270" s="17" t="s">
        <v>48</v>
      </c>
      <c r="C270" s="17" t="s">
        <v>246</v>
      </c>
      <c r="D270" s="16" t="s">
        <v>46</v>
      </c>
      <c r="E270" s="17" t="s">
        <v>247</v>
      </c>
      <c r="F270" s="17" t="s">
        <v>50</v>
      </c>
      <c r="G270" s="17"/>
      <c r="H270" s="18" t="s">
        <v>33</v>
      </c>
      <c r="I270" s="12" t="str">
        <f aca="false">IF(OR(H270="Passed",H270="Accepted Exception"),"GREEN",IF(OR(H270="Not Started",H270="Failed"),"RED","AMBER"))</f>
        <v>RED</v>
      </c>
      <c r="J270" s="19" t="s">
        <v>34</v>
      </c>
      <c r="K270" s="14" t="str">
        <f aca="false">IF(OR(J270="Réussi",J270="Exception acceptée"),"GREEN",IF(OR(J270="Non commencé",J270="Échec"),"RED","AMBER"))</f>
        <v>RED</v>
      </c>
      <c r="L270" s="17"/>
      <c r="M270" s="17"/>
      <c r="N270" s="15" t="str">
        <f aca="true">IF(G270&lt;&gt;"",TODAY()-G270,"")</f>
        <v/>
      </c>
    </row>
    <row r="271" customFormat="false" ht="18" hidden="false" customHeight="true" outlineLevel="0" collapsed="false">
      <c r="A271" s="9" t="s">
        <v>80</v>
      </c>
      <c r="B271" s="10" t="s">
        <v>81</v>
      </c>
      <c r="C271" s="10" t="s">
        <v>246</v>
      </c>
      <c r="D271" s="9" t="s">
        <v>53</v>
      </c>
      <c r="E271" s="10" t="s">
        <v>247</v>
      </c>
      <c r="F271" s="10" t="s">
        <v>80</v>
      </c>
      <c r="G271" s="10"/>
      <c r="H271" s="11" t="s">
        <v>33</v>
      </c>
      <c r="I271" s="12" t="str">
        <f aca="false">IF(OR(H271="Passed",H271="Accepted Exception"),"GREEN",IF(OR(H271="Not Started",H271="Failed"),"RED","AMBER"))</f>
        <v>RED</v>
      </c>
      <c r="J271" s="13" t="s">
        <v>34</v>
      </c>
      <c r="K271" s="14" t="str">
        <f aca="false">IF(OR(J271="Réussi",J271="Exception acceptée"),"GREEN",IF(OR(J271="Non commencé",J271="Échec"),"RED","AMBER"))</f>
        <v>RED</v>
      </c>
      <c r="L271" s="10"/>
      <c r="M271" s="10"/>
      <c r="N271" s="15" t="str">
        <f aca="true">IF(G271&lt;&gt;"",TODAY()-G271,"")</f>
        <v/>
      </c>
    </row>
    <row r="272" customFormat="false" ht="18" hidden="false" customHeight="true" outlineLevel="0" collapsed="false">
      <c r="A272" s="16" t="s">
        <v>82</v>
      </c>
      <c r="B272" s="17" t="s">
        <v>81</v>
      </c>
      <c r="C272" s="17" t="s">
        <v>246</v>
      </c>
      <c r="D272" s="16" t="s">
        <v>53</v>
      </c>
      <c r="E272" s="17" t="s">
        <v>247</v>
      </c>
      <c r="F272" s="17" t="s">
        <v>83</v>
      </c>
      <c r="G272" s="17"/>
      <c r="H272" s="18" t="s">
        <v>33</v>
      </c>
      <c r="I272" s="12" t="str">
        <f aca="false">IF(OR(H272="Passed",H272="Accepted Exception"),"GREEN",IF(OR(H272="Not Started",H272="Failed"),"RED","AMBER"))</f>
        <v>RED</v>
      </c>
      <c r="J272" s="19" t="s">
        <v>34</v>
      </c>
      <c r="K272" s="14" t="str">
        <f aca="false">IF(OR(J272="Réussi",J272="Exception acceptée"),"GREEN",IF(OR(J272="Non commencé",J272="Échec"),"RED","AMBER"))</f>
        <v>RED</v>
      </c>
      <c r="L272" s="17"/>
      <c r="M272" s="17"/>
      <c r="N272" s="15" t="str">
        <f aca="true">IF(G272&lt;&gt;"",TODAY()-G272,"")</f>
        <v/>
      </c>
    </row>
    <row r="273" customFormat="false" ht="18" hidden="false" customHeight="true" outlineLevel="0" collapsed="false">
      <c r="A273" s="9" t="s">
        <v>51</v>
      </c>
      <c r="B273" s="10" t="s">
        <v>52</v>
      </c>
      <c r="C273" s="10" t="s">
        <v>246</v>
      </c>
      <c r="D273" s="9" t="s">
        <v>53</v>
      </c>
      <c r="E273" s="10" t="s">
        <v>247</v>
      </c>
      <c r="F273" s="10" t="s">
        <v>51</v>
      </c>
      <c r="G273" s="10"/>
      <c r="H273" s="11" t="s">
        <v>33</v>
      </c>
      <c r="I273" s="12" t="str">
        <f aca="false">IF(OR(H273="Passed",H273="Accepted Exception"),"GREEN",IF(OR(H273="Not Started",H273="Failed"),"RED","AMBER"))</f>
        <v>RED</v>
      </c>
      <c r="J273" s="13" t="s">
        <v>34</v>
      </c>
      <c r="K273" s="14" t="str">
        <f aca="false">IF(OR(J273="Réussi",J273="Exception acceptée"),"GREEN",IF(OR(J273="Non commencé",J273="Échec"),"RED","AMBER"))</f>
        <v>RED</v>
      </c>
      <c r="L273" s="10"/>
      <c r="M273" s="10"/>
      <c r="N273" s="15" t="str">
        <f aca="true">IF(G273&lt;&gt;"",TODAY()-G273,"")</f>
        <v/>
      </c>
    </row>
    <row r="274" customFormat="false" ht="18" hidden="false" customHeight="true" outlineLevel="0" collapsed="false">
      <c r="A274" s="16" t="s">
        <v>54</v>
      </c>
      <c r="B274" s="17" t="s">
        <v>52</v>
      </c>
      <c r="C274" s="17" t="s">
        <v>246</v>
      </c>
      <c r="D274" s="16" t="s">
        <v>53</v>
      </c>
      <c r="E274" s="17" t="s">
        <v>247</v>
      </c>
      <c r="F274" s="17" t="s">
        <v>55</v>
      </c>
      <c r="G274" s="17"/>
      <c r="H274" s="18" t="s">
        <v>33</v>
      </c>
      <c r="I274" s="12" t="str">
        <f aca="false">IF(OR(H274="Passed",H274="Accepted Exception"),"GREEN",IF(OR(H274="Not Started",H274="Failed"),"RED","AMBER"))</f>
        <v>RED</v>
      </c>
      <c r="J274" s="19" t="s">
        <v>34</v>
      </c>
      <c r="K274" s="14" t="str">
        <f aca="false">IF(OR(J274="Réussi",J274="Exception acceptée"),"GREEN",IF(OR(J274="Non commencé",J274="Échec"),"RED","AMBER"))</f>
        <v>RED</v>
      </c>
      <c r="L274" s="17"/>
      <c r="M274" s="17"/>
      <c r="N274" s="15" t="str">
        <f aca="true">IF(G274&lt;&gt;"",TODAY()-G274,"")</f>
        <v/>
      </c>
    </row>
    <row r="275" customFormat="false" ht="18" hidden="false" customHeight="true" outlineLevel="0" collapsed="false">
      <c r="A275" s="9" t="s">
        <v>84</v>
      </c>
      <c r="B275" s="10" t="s">
        <v>85</v>
      </c>
      <c r="C275" s="10" t="s">
        <v>246</v>
      </c>
      <c r="D275" s="9" t="s">
        <v>53</v>
      </c>
      <c r="E275" s="10" t="s">
        <v>247</v>
      </c>
      <c r="F275" s="10" t="s">
        <v>84</v>
      </c>
      <c r="G275" s="10"/>
      <c r="H275" s="11" t="s">
        <v>33</v>
      </c>
      <c r="I275" s="12" t="str">
        <f aca="false">IF(OR(H275="Passed",H275="Accepted Exception"),"GREEN",IF(OR(H275="Not Started",H275="Failed"),"RED","AMBER"))</f>
        <v>RED</v>
      </c>
      <c r="J275" s="13" t="s">
        <v>34</v>
      </c>
      <c r="K275" s="14" t="str">
        <f aca="false">IF(OR(J275="Réussi",J275="Exception acceptée"),"GREEN",IF(OR(J275="Non commencé",J275="Échec"),"RED","AMBER"))</f>
        <v>RED</v>
      </c>
      <c r="L275" s="10"/>
      <c r="M275" s="10"/>
      <c r="N275" s="15" t="str">
        <f aca="true">IF(G275&lt;&gt;"",TODAY()-G275,"")</f>
        <v/>
      </c>
    </row>
    <row r="276" customFormat="false" ht="18" hidden="false" customHeight="true" outlineLevel="0" collapsed="false">
      <c r="A276" s="16" t="s">
        <v>86</v>
      </c>
      <c r="B276" s="17" t="s">
        <v>85</v>
      </c>
      <c r="C276" s="17" t="s">
        <v>246</v>
      </c>
      <c r="D276" s="16" t="s">
        <v>53</v>
      </c>
      <c r="E276" s="17" t="s">
        <v>247</v>
      </c>
      <c r="F276" s="17" t="s">
        <v>87</v>
      </c>
      <c r="G276" s="17"/>
      <c r="H276" s="18" t="s">
        <v>33</v>
      </c>
      <c r="I276" s="12" t="str">
        <f aca="false">IF(OR(H276="Passed",H276="Accepted Exception"),"GREEN",IF(OR(H276="Not Started",H276="Failed"),"RED","AMBER"))</f>
        <v>RED</v>
      </c>
      <c r="J276" s="19" t="s">
        <v>34</v>
      </c>
      <c r="K276" s="14" t="str">
        <f aca="false">IF(OR(J276="Réussi",J276="Exception acceptée"),"GREEN",IF(OR(J276="Non commencé",J276="Échec"),"RED","AMBER"))</f>
        <v>RED</v>
      </c>
      <c r="L276" s="17"/>
      <c r="M276" s="17"/>
      <c r="N276" s="15" t="str">
        <f aca="true">IF(G276&lt;&gt;"",TODAY()-G276,"")</f>
        <v/>
      </c>
    </row>
    <row r="277" customFormat="false" ht="18" hidden="false" customHeight="true" outlineLevel="0" collapsed="false">
      <c r="A277" s="9" t="s">
        <v>88</v>
      </c>
      <c r="B277" s="10" t="s">
        <v>85</v>
      </c>
      <c r="C277" s="10" t="s">
        <v>246</v>
      </c>
      <c r="D277" s="9" t="s">
        <v>53</v>
      </c>
      <c r="E277" s="10" t="s">
        <v>247</v>
      </c>
      <c r="F277" s="10" t="s">
        <v>89</v>
      </c>
      <c r="G277" s="10"/>
      <c r="H277" s="11" t="s">
        <v>33</v>
      </c>
      <c r="I277" s="12" t="str">
        <f aca="false">IF(OR(H277="Passed",H277="Accepted Exception"),"GREEN",IF(OR(H277="Not Started",H277="Failed"),"RED","AMBER"))</f>
        <v>RED</v>
      </c>
      <c r="J277" s="13" t="s">
        <v>34</v>
      </c>
      <c r="K277" s="14" t="str">
        <f aca="false">IF(OR(J277="Réussi",J277="Exception acceptée"),"GREEN",IF(OR(J277="Non commencé",J277="Échec"),"RED","AMBER"))</f>
        <v>RED</v>
      </c>
      <c r="L277" s="10"/>
      <c r="M277" s="10"/>
      <c r="N277" s="15" t="str">
        <f aca="true">IF(G277&lt;&gt;"",TODAY()-G277,"")</f>
        <v/>
      </c>
    </row>
    <row r="278" customFormat="false" ht="18" hidden="false" customHeight="true" outlineLevel="0" collapsed="false">
      <c r="A278" s="16" t="s">
        <v>90</v>
      </c>
      <c r="B278" s="17" t="s">
        <v>85</v>
      </c>
      <c r="C278" s="17" t="s">
        <v>246</v>
      </c>
      <c r="D278" s="16" t="s">
        <v>53</v>
      </c>
      <c r="E278" s="17" t="s">
        <v>247</v>
      </c>
      <c r="F278" s="17" t="s">
        <v>91</v>
      </c>
      <c r="G278" s="17"/>
      <c r="H278" s="18" t="s">
        <v>33</v>
      </c>
      <c r="I278" s="12" t="str">
        <f aca="false">IF(OR(H278="Passed",H278="Accepted Exception"),"GREEN",IF(OR(H278="Not Started",H278="Failed"),"RED","AMBER"))</f>
        <v>RED</v>
      </c>
      <c r="J278" s="19" t="s">
        <v>34</v>
      </c>
      <c r="K278" s="14" t="str">
        <f aca="false">IF(OR(J278="Réussi",J278="Exception acceptée"),"GREEN",IF(OR(J278="Non commencé",J278="Échec"),"RED","AMBER"))</f>
        <v>RED</v>
      </c>
      <c r="L278" s="17"/>
      <c r="M278" s="17"/>
      <c r="N278" s="15" t="str">
        <f aca="true">IF(G278&lt;&gt;"",TODAY()-G278,"")</f>
        <v/>
      </c>
    </row>
    <row r="279" customFormat="false" ht="18" hidden="false" customHeight="true" outlineLevel="0" collapsed="false">
      <c r="A279" s="9" t="s">
        <v>56</v>
      </c>
      <c r="B279" s="10" t="s">
        <v>57</v>
      </c>
      <c r="C279" s="10" t="s">
        <v>246</v>
      </c>
      <c r="D279" s="9" t="s">
        <v>53</v>
      </c>
      <c r="E279" s="10" t="s">
        <v>247</v>
      </c>
      <c r="F279" s="10" t="s">
        <v>56</v>
      </c>
      <c r="G279" s="10"/>
      <c r="H279" s="11" t="s">
        <v>33</v>
      </c>
      <c r="I279" s="12" t="str">
        <f aca="false">IF(OR(H279="Passed",H279="Accepted Exception"),"GREEN",IF(OR(H279="Not Started",H279="Failed"),"RED","AMBER"))</f>
        <v>RED</v>
      </c>
      <c r="J279" s="13" t="s">
        <v>34</v>
      </c>
      <c r="K279" s="14" t="str">
        <f aca="false">IF(OR(J279="Réussi",J279="Exception acceptée"),"GREEN",IF(OR(J279="Non commencé",J279="Échec"),"RED","AMBER"))</f>
        <v>RED</v>
      </c>
      <c r="L279" s="10"/>
      <c r="M279" s="10"/>
      <c r="N279" s="15" t="str">
        <f aca="true">IF(G279&lt;&gt;"",TODAY()-G279,"")</f>
        <v/>
      </c>
    </row>
    <row r="280" customFormat="false" ht="18" hidden="false" customHeight="true" outlineLevel="0" collapsed="false">
      <c r="A280" s="16" t="s">
        <v>191</v>
      </c>
      <c r="B280" s="17" t="s">
        <v>57</v>
      </c>
      <c r="C280" s="17" t="s">
        <v>246</v>
      </c>
      <c r="D280" s="16" t="s">
        <v>53</v>
      </c>
      <c r="E280" s="17" t="s">
        <v>247</v>
      </c>
      <c r="F280" s="17" t="s">
        <v>192</v>
      </c>
      <c r="G280" s="17"/>
      <c r="H280" s="18" t="s">
        <v>33</v>
      </c>
      <c r="I280" s="12" t="str">
        <f aca="false">IF(OR(H280="Passed",H280="Accepted Exception"),"GREEN",IF(OR(H280="Not Started",H280="Failed"),"RED","AMBER"))</f>
        <v>RED</v>
      </c>
      <c r="J280" s="19" t="s">
        <v>34</v>
      </c>
      <c r="K280" s="14" t="str">
        <f aca="false">IF(OR(J280="Réussi",J280="Exception acceptée"),"GREEN",IF(OR(J280="Non commencé",J280="Échec"),"RED","AMBER"))</f>
        <v>RED</v>
      </c>
      <c r="L280" s="17"/>
      <c r="M280" s="17"/>
      <c r="N280" s="15" t="str">
        <f aca="true">IF(G280&lt;&gt;"",TODAY()-G280,"")</f>
        <v/>
      </c>
    </row>
    <row r="281" customFormat="false" ht="18" hidden="false" customHeight="true" outlineLevel="0" collapsed="false">
      <c r="A281" s="9" t="s">
        <v>58</v>
      </c>
      <c r="B281" s="10" t="s">
        <v>57</v>
      </c>
      <c r="C281" s="10" t="s">
        <v>246</v>
      </c>
      <c r="D281" s="9" t="s">
        <v>53</v>
      </c>
      <c r="E281" s="10" t="s">
        <v>247</v>
      </c>
      <c r="F281" s="10" t="s">
        <v>59</v>
      </c>
      <c r="G281" s="10"/>
      <c r="H281" s="11" t="s">
        <v>33</v>
      </c>
      <c r="I281" s="12" t="str">
        <f aca="false">IF(OR(H281="Passed",H281="Accepted Exception"),"GREEN",IF(OR(H281="Not Started",H281="Failed"),"RED","AMBER"))</f>
        <v>RED</v>
      </c>
      <c r="J281" s="13" t="s">
        <v>34</v>
      </c>
      <c r="K281" s="14" t="str">
        <f aca="false">IF(OR(J281="Réussi",J281="Exception acceptée"),"GREEN",IF(OR(J281="Non commencé",J281="Échec"),"RED","AMBER"))</f>
        <v>RED</v>
      </c>
      <c r="L281" s="10"/>
      <c r="M281" s="10"/>
      <c r="N281" s="15" t="str">
        <f aca="true">IF(G281&lt;&gt;"",TODAY()-G281,"")</f>
        <v/>
      </c>
    </row>
    <row r="282" customFormat="false" ht="18" hidden="false" customHeight="true" outlineLevel="0" collapsed="false">
      <c r="A282" s="16" t="s">
        <v>139</v>
      </c>
      <c r="B282" s="17" t="s">
        <v>136</v>
      </c>
      <c r="C282" s="17" t="s">
        <v>246</v>
      </c>
      <c r="D282" s="16" t="s">
        <v>137</v>
      </c>
      <c r="E282" s="17" t="s">
        <v>247</v>
      </c>
      <c r="F282" s="17" t="s">
        <v>140</v>
      </c>
      <c r="G282" s="17"/>
      <c r="H282" s="18" t="s">
        <v>33</v>
      </c>
      <c r="I282" s="12" t="str">
        <f aca="false">IF(OR(H282="Passed",H282="Accepted Exception"),"GREEN",IF(OR(H282="Not Started",H282="Failed"),"RED","AMBER"))</f>
        <v>RED</v>
      </c>
      <c r="J282" s="19" t="s">
        <v>34</v>
      </c>
      <c r="K282" s="14" t="str">
        <f aca="false">IF(OR(J282="Réussi",J282="Exception acceptée"),"GREEN",IF(OR(J282="Non commencé",J282="Échec"),"RED","AMBER"))</f>
        <v>RED</v>
      </c>
      <c r="L282" s="17"/>
      <c r="M282" s="17"/>
      <c r="N282" s="15" t="str">
        <f aca="true">IF(G282&lt;&gt;"",TODAY()-G282,"")</f>
        <v/>
      </c>
    </row>
    <row r="283" customFormat="false" ht="18" hidden="false" customHeight="true" outlineLevel="0" collapsed="false">
      <c r="A283" s="9" t="s">
        <v>248</v>
      </c>
      <c r="B283" s="10" t="s">
        <v>249</v>
      </c>
      <c r="C283" s="10" t="s">
        <v>246</v>
      </c>
      <c r="D283" s="9" t="s">
        <v>250</v>
      </c>
      <c r="E283" s="10" t="s">
        <v>247</v>
      </c>
      <c r="F283" s="10" t="s">
        <v>248</v>
      </c>
      <c r="G283" s="10"/>
      <c r="H283" s="11" t="s">
        <v>33</v>
      </c>
      <c r="I283" s="12" t="str">
        <f aca="false">IF(OR(H283="Passed",H283="Accepted Exception"),"GREEN",IF(OR(H283="Not Started",H283="Failed"),"RED","AMBER"))</f>
        <v>RED</v>
      </c>
      <c r="J283" s="13" t="s">
        <v>34</v>
      </c>
      <c r="K283" s="14" t="str">
        <f aca="false">IF(OR(J283="Réussi",J283="Exception acceptée"),"GREEN",IF(OR(J283="Non commencé",J283="Échec"),"RED","AMBER"))</f>
        <v>RED</v>
      </c>
      <c r="L283" s="10"/>
      <c r="M283" s="10"/>
      <c r="N283" s="15" t="str">
        <f aca="true">IF(G283&lt;&gt;"",TODAY()-G283,"")</f>
        <v/>
      </c>
    </row>
    <row r="284" customFormat="false" ht="18" hidden="false" customHeight="true" outlineLevel="0" collapsed="false">
      <c r="A284" s="16" t="s">
        <v>251</v>
      </c>
      <c r="B284" s="17" t="s">
        <v>249</v>
      </c>
      <c r="C284" s="17" t="s">
        <v>246</v>
      </c>
      <c r="D284" s="16" t="s">
        <v>250</v>
      </c>
      <c r="E284" s="17" t="s">
        <v>247</v>
      </c>
      <c r="F284" s="17" t="s">
        <v>252</v>
      </c>
      <c r="G284" s="17"/>
      <c r="H284" s="18" t="s">
        <v>33</v>
      </c>
      <c r="I284" s="12" t="str">
        <f aca="false">IF(OR(H284="Passed",H284="Accepted Exception"),"GREEN",IF(OR(H284="Not Started",H284="Failed"),"RED","AMBER"))</f>
        <v>RED</v>
      </c>
      <c r="J284" s="19" t="s">
        <v>34</v>
      </c>
      <c r="K284" s="14" t="str">
        <f aca="false">IF(OR(J284="Réussi",J284="Exception acceptée"),"GREEN",IF(OR(J284="Non commencé",J284="Échec"),"RED","AMBER"))</f>
        <v>RED</v>
      </c>
      <c r="L284" s="17"/>
      <c r="M284" s="17"/>
      <c r="N284" s="15" t="str">
        <f aca="true">IF(G284&lt;&gt;"",TODAY()-G284,"")</f>
        <v/>
      </c>
    </row>
    <row r="285" customFormat="false" ht="18" hidden="false" customHeight="true" outlineLevel="0" collapsed="false">
      <c r="A285" s="9" t="s">
        <v>253</v>
      </c>
      <c r="B285" s="10" t="s">
        <v>249</v>
      </c>
      <c r="C285" s="10" t="s">
        <v>246</v>
      </c>
      <c r="D285" s="9" t="s">
        <v>250</v>
      </c>
      <c r="E285" s="10" t="s">
        <v>247</v>
      </c>
      <c r="F285" s="10" t="s">
        <v>254</v>
      </c>
      <c r="G285" s="10"/>
      <c r="H285" s="11" t="s">
        <v>33</v>
      </c>
      <c r="I285" s="12" t="str">
        <f aca="false">IF(OR(H285="Passed",H285="Accepted Exception"),"GREEN",IF(OR(H285="Not Started",H285="Failed"),"RED","AMBER"))</f>
        <v>RED</v>
      </c>
      <c r="J285" s="13" t="s">
        <v>34</v>
      </c>
      <c r="K285" s="14" t="str">
        <f aca="false">IF(OR(J285="Réussi",J285="Exception acceptée"),"GREEN",IF(OR(J285="Non commencé",J285="Échec"),"RED","AMBER"))</f>
        <v>RED</v>
      </c>
      <c r="L285" s="10"/>
      <c r="M285" s="10"/>
      <c r="N285" s="15" t="str">
        <f aca="true">IF(G285&lt;&gt;"",TODAY()-G285,"")</f>
        <v/>
      </c>
    </row>
    <row r="286" customFormat="false" ht="18" hidden="false" customHeight="true" outlineLevel="0" collapsed="false">
      <c r="A286" s="16" t="s">
        <v>255</v>
      </c>
      <c r="B286" s="17" t="s">
        <v>249</v>
      </c>
      <c r="C286" s="17" t="s">
        <v>246</v>
      </c>
      <c r="D286" s="16" t="s">
        <v>250</v>
      </c>
      <c r="E286" s="17" t="s">
        <v>247</v>
      </c>
      <c r="F286" s="17" t="s">
        <v>256</v>
      </c>
      <c r="G286" s="17"/>
      <c r="H286" s="18" t="s">
        <v>33</v>
      </c>
      <c r="I286" s="12" t="str">
        <f aca="false">IF(OR(H286="Passed",H286="Accepted Exception"),"GREEN",IF(OR(H286="Not Started",H286="Failed"),"RED","AMBER"))</f>
        <v>RED</v>
      </c>
      <c r="J286" s="19" t="s">
        <v>34</v>
      </c>
      <c r="K286" s="14" t="str">
        <f aca="false">IF(OR(J286="Réussi",J286="Exception acceptée"),"GREEN",IF(OR(J286="Non commencé",J286="Échec"),"RED","AMBER"))</f>
        <v>RED</v>
      </c>
      <c r="L286" s="17"/>
      <c r="M286" s="17"/>
      <c r="N286" s="15" t="str">
        <f aca="true">IF(G286&lt;&gt;"",TODAY()-G286,"")</f>
        <v/>
      </c>
    </row>
    <row r="287" customFormat="false" ht="18" hidden="false" customHeight="true" outlineLevel="0" collapsed="false">
      <c r="A287" s="9" t="s">
        <v>257</v>
      </c>
      <c r="B287" s="10" t="s">
        <v>249</v>
      </c>
      <c r="C287" s="10" t="s">
        <v>246</v>
      </c>
      <c r="D287" s="9" t="s">
        <v>250</v>
      </c>
      <c r="E287" s="10" t="s">
        <v>247</v>
      </c>
      <c r="F287" s="10" t="s">
        <v>258</v>
      </c>
      <c r="G287" s="10"/>
      <c r="H287" s="11" t="s">
        <v>33</v>
      </c>
      <c r="I287" s="12" t="str">
        <f aca="false">IF(OR(H287="Passed",H287="Accepted Exception"),"GREEN",IF(OR(H287="Not Started",H287="Failed"),"RED","AMBER"))</f>
        <v>RED</v>
      </c>
      <c r="J287" s="13" t="s">
        <v>34</v>
      </c>
      <c r="K287" s="14" t="str">
        <f aca="false">IF(OR(J287="Réussi",J287="Exception acceptée"),"GREEN",IF(OR(J287="Non commencé",J287="Échec"),"RED","AMBER"))</f>
        <v>RED</v>
      </c>
      <c r="L287" s="10"/>
      <c r="M287" s="10"/>
      <c r="N287" s="15" t="str">
        <f aca="true">IF(G287&lt;&gt;"",TODAY()-G287,"")</f>
        <v/>
      </c>
    </row>
    <row r="288" customFormat="false" ht="18" hidden="false" customHeight="true" outlineLevel="0" collapsed="false">
      <c r="A288" s="16" t="s">
        <v>259</v>
      </c>
      <c r="B288" s="17" t="s">
        <v>249</v>
      </c>
      <c r="C288" s="17" t="s">
        <v>246</v>
      </c>
      <c r="D288" s="16" t="s">
        <v>250</v>
      </c>
      <c r="E288" s="17" t="s">
        <v>247</v>
      </c>
      <c r="F288" s="17" t="s">
        <v>260</v>
      </c>
      <c r="G288" s="17"/>
      <c r="H288" s="18" t="s">
        <v>33</v>
      </c>
      <c r="I288" s="12" t="str">
        <f aca="false">IF(OR(H288="Passed",H288="Accepted Exception"),"GREEN",IF(OR(H288="Not Started",H288="Failed"),"RED","AMBER"))</f>
        <v>RED</v>
      </c>
      <c r="J288" s="19" t="s">
        <v>34</v>
      </c>
      <c r="K288" s="14" t="str">
        <f aca="false">IF(OR(J288="Réussi",J288="Exception acceptée"),"GREEN",IF(OR(J288="Non commencé",J288="Échec"),"RED","AMBER"))</f>
        <v>RED</v>
      </c>
      <c r="L288" s="17"/>
      <c r="M288" s="17"/>
      <c r="N288" s="15" t="str">
        <f aca="true">IF(G288&lt;&gt;"",TODAY()-G288,"")</f>
        <v/>
      </c>
    </row>
    <row r="289" customFormat="false" ht="18" hidden="false" customHeight="true" outlineLevel="0" collapsed="false">
      <c r="A289" s="9" t="s">
        <v>261</v>
      </c>
      <c r="B289" s="10" t="s">
        <v>249</v>
      </c>
      <c r="C289" s="10" t="s">
        <v>246</v>
      </c>
      <c r="D289" s="9" t="s">
        <v>250</v>
      </c>
      <c r="E289" s="10" t="s">
        <v>247</v>
      </c>
      <c r="F289" s="10" t="s">
        <v>262</v>
      </c>
      <c r="G289" s="10"/>
      <c r="H289" s="11" t="s">
        <v>33</v>
      </c>
      <c r="I289" s="12" t="str">
        <f aca="false">IF(OR(H289="Passed",H289="Accepted Exception"),"GREEN",IF(OR(H289="Not Started",H289="Failed"),"RED","AMBER"))</f>
        <v>RED</v>
      </c>
      <c r="J289" s="13" t="s">
        <v>34</v>
      </c>
      <c r="K289" s="14" t="str">
        <f aca="false">IF(OR(J289="Réussi",J289="Exception acceptée"),"GREEN",IF(OR(J289="Non commencé",J289="Échec"),"RED","AMBER"))</f>
        <v>RED</v>
      </c>
      <c r="L289" s="10"/>
      <c r="M289" s="10"/>
      <c r="N289" s="15" t="str">
        <f aca="true">IF(G289&lt;&gt;"",TODAY()-G289,"")</f>
        <v/>
      </c>
    </row>
    <row r="290" customFormat="false" ht="18" hidden="false" customHeight="true" outlineLevel="0" collapsed="false">
      <c r="A290" s="16" t="s">
        <v>60</v>
      </c>
      <c r="B290" s="17" t="s">
        <v>61</v>
      </c>
      <c r="C290" s="17" t="s">
        <v>246</v>
      </c>
      <c r="D290" s="16" t="s">
        <v>62</v>
      </c>
      <c r="E290" s="17" t="s">
        <v>247</v>
      </c>
      <c r="F290" s="17" t="s">
        <v>63</v>
      </c>
      <c r="G290" s="17"/>
      <c r="H290" s="18" t="s">
        <v>33</v>
      </c>
      <c r="I290" s="12" t="str">
        <f aca="false">IF(OR(H290="Passed",H290="Accepted Exception"),"GREEN",IF(OR(H290="Not Started",H290="Failed"),"RED","AMBER"))</f>
        <v>RED</v>
      </c>
      <c r="J290" s="19" t="s">
        <v>34</v>
      </c>
      <c r="K290" s="14" t="str">
        <f aca="false">IF(OR(J290="Réussi",J290="Exception acceptée"),"GREEN",IF(OR(J290="Non commencé",J290="Échec"),"RED","AMBER"))</f>
        <v>RED</v>
      </c>
      <c r="L290" s="17"/>
      <c r="M290" s="17"/>
      <c r="N290" s="15" t="str">
        <f aca="true">IF(G290&lt;&gt;"",TODAY()-G290,"")</f>
        <v/>
      </c>
    </row>
    <row r="291" customFormat="false" ht="18" hidden="false" customHeight="true" outlineLevel="0" collapsed="false">
      <c r="A291" s="9" t="s">
        <v>229</v>
      </c>
      <c r="B291" s="10" t="s">
        <v>230</v>
      </c>
      <c r="C291" s="10" t="s">
        <v>246</v>
      </c>
      <c r="D291" s="9" t="s">
        <v>62</v>
      </c>
      <c r="E291" s="10" t="s">
        <v>247</v>
      </c>
      <c r="F291" s="10" t="s">
        <v>231</v>
      </c>
      <c r="G291" s="10"/>
      <c r="H291" s="11" t="s">
        <v>33</v>
      </c>
      <c r="I291" s="12" t="str">
        <f aca="false">IF(OR(H291="Passed",H291="Accepted Exception"),"GREEN",IF(OR(H291="Not Started",H291="Failed"),"RED","AMBER"))</f>
        <v>RED</v>
      </c>
      <c r="J291" s="13" t="s">
        <v>34</v>
      </c>
      <c r="K291" s="14" t="str">
        <f aca="false">IF(OR(J291="Réussi",J291="Exception acceptée"),"GREEN",IF(OR(J291="Non commencé",J291="Échec"),"RED","AMBER"))</f>
        <v>RED</v>
      </c>
      <c r="L291" s="10"/>
      <c r="M291" s="10"/>
      <c r="N291" s="15" t="str">
        <f aca="true">IF(G291&lt;&gt;"",TODAY()-G291,"")</f>
        <v/>
      </c>
    </row>
    <row r="292" customFormat="false" ht="18" hidden="false" customHeight="true" outlineLevel="0" collapsed="false">
      <c r="A292" s="16" t="s">
        <v>232</v>
      </c>
      <c r="B292" s="17" t="s">
        <v>230</v>
      </c>
      <c r="C292" s="17" t="s">
        <v>246</v>
      </c>
      <c r="D292" s="16" t="s">
        <v>62</v>
      </c>
      <c r="E292" s="17" t="s">
        <v>247</v>
      </c>
      <c r="F292" s="17" t="s">
        <v>233</v>
      </c>
      <c r="G292" s="17"/>
      <c r="H292" s="18" t="s">
        <v>33</v>
      </c>
      <c r="I292" s="12" t="str">
        <f aca="false">IF(OR(H292="Passed",H292="Accepted Exception"),"GREEN",IF(OR(H292="Not Started",H292="Failed"),"RED","AMBER"))</f>
        <v>RED</v>
      </c>
      <c r="J292" s="19" t="s">
        <v>34</v>
      </c>
      <c r="K292" s="14" t="str">
        <f aca="false">IF(OR(J292="Réussi",J292="Exception acceptée"),"GREEN",IF(OR(J292="Non commencé",J292="Échec"),"RED","AMBER"))</f>
        <v>RED</v>
      </c>
      <c r="L292" s="17"/>
      <c r="M292" s="17"/>
      <c r="N292" s="15" t="str">
        <f aca="true">IF(G292&lt;&gt;"",TODAY()-G292,"")</f>
        <v/>
      </c>
    </row>
    <row r="293" customFormat="false" ht="18" hidden="false" customHeight="true" outlineLevel="0" collapsed="false">
      <c r="A293" s="9" t="s">
        <v>263</v>
      </c>
      <c r="B293" s="10" t="s">
        <v>264</v>
      </c>
      <c r="C293" s="10" t="s">
        <v>246</v>
      </c>
      <c r="D293" s="9" t="s">
        <v>94</v>
      </c>
      <c r="E293" s="10" t="s">
        <v>247</v>
      </c>
      <c r="F293" s="10" t="s">
        <v>263</v>
      </c>
      <c r="G293" s="10"/>
      <c r="H293" s="11" t="s">
        <v>33</v>
      </c>
      <c r="I293" s="12" t="str">
        <f aca="false">IF(OR(H293="Passed",H293="Accepted Exception"),"GREEN",IF(OR(H293="Not Started",H293="Failed"),"RED","AMBER"))</f>
        <v>RED</v>
      </c>
      <c r="J293" s="13" t="s">
        <v>34</v>
      </c>
      <c r="K293" s="14" t="str">
        <f aca="false">IF(OR(J293="Réussi",J293="Exception acceptée"),"GREEN",IF(OR(J293="Non commencé",J293="Échec"),"RED","AMBER"))</f>
        <v>RED</v>
      </c>
      <c r="L293" s="10"/>
      <c r="M293" s="10"/>
      <c r="N293" s="15" t="str">
        <f aca="true">IF(G293&lt;&gt;"",TODAY()-G293,"")</f>
        <v/>
      </c>
    </row>
    <row r="294" customFormat="false" ht="18" hidden="false" customHeight="true" outlineLevel="0" collapsed="false">
      <c r="A294" s="16" t="s">
        <v>234</v>
      </c>
      <c r="B294" s="17" t="s">
        <v>149</v>
      </c>
      <c r="C294" s="17" t="s">
        <v>246</v>
      </c>
      <c r="D294" s="16" t="s">
        <v>94</v>
      </c>
      <c r="E294" s="17" t="s">
        <v>247</v>
      </c>
      <c r="F294" s="17" t="s">
        <v>234</v>
      </c>
      <c r="G294" s="17"/>
      <c r="H294" s="18" t="s">
        <v>33</v>
      </c>
      <c r="I294" s="12" t="str">
        <f aca="false">IF(OR(H294="Passed",H294="Accepted Exception"),"GREEN",IF(OR(H294="Not Started",H294="Failed"),"RED","AMBER"))</f>
        <v>RED</v>
      </c>
      <c r="J294" s="19" t="s">
        <v>34</v>
      </c>
      <c r="K294" s="14" t="str">
        <f aca="false">IF(OR(J294="Réussi",J294="Exception acceptée"),"GREEN",IF(OR(J294="Non commencé",J294="Échec"),"RED","AMBER"))</f>
        <v>RED</v>
      </c>
      <c r="L294" s="17"/>
      <c r="M294" s="17"/>
      <c r="N294" s="15" t="str">
        <f aca="true">IF(G294&lt;&gt;"",TODAY()-G294,"")</f>
        <v/>
      </c>
    </row>
    <row r="295" customFormat="false" ht="18" hidden="false" customHeight="true" outlineLevel="0" collapsed="false">
      <c r="A295" s="9" t="s">
        <v>95</v>
      </c>
      <c r="B295" s="10" t="s">
        <v>96</v>
      </c>
      <c r="C295" s="10" t="s">
        <v>246</v>
      </c>
      <c r="D295" s="9" t="s">
        <v>94</v>
      </c>
      <c r="E295" s="10" t="s">
        <v>247</v>
      </c>
      <c r="F295" s="10" t="s">
        <v>95</v>
      </c>
      <c r="G295" s="10"/>
      <c r="H295" s="11" t="s">
        <v>33</v>
      </c>
      <c r="I295" s="12" t="str">
        <f aca="false">IF(OR(H295="Passed",H295="Accepted Exception"),"GREEN",IF(OR(H295="Not Started",H295="Failed"),"RED","AMBER"))</f>
        <v>RED</v>
      </c>
      <c r="J295" s="13" t="s">
        <v>34</v>
      </c>
      <c r="K295" s="14" t="str">
        <f aca="false">IF(OR(J295="Réussi",J295="Exception acceptée"),"GREEN",IF(OR(J295="Non commencé",J295="Échec"),"RED","AMBER"))</f>
        <v>RED</v>
      </c>
      <c r="L295" s="10"/>
      <c r="M295" s="10"/>
      <c r="N295" s="15" t="str">
        <f aca="true">IF(G295&lt;&gt;"",TODAY()-G295,"")</f>
        <v/>
      </c>
    </row>
    <row r="296" customFormat="false" ht="18" hidden="false" customHeight="true" outlineLevel="0" collapsed="false">
      <c r="A296" s="16" t="s">
        <v>97</v>
      </c>
      <c r="B296" s="17" t="s">
        <v>98</v>
      </c>
      <c r="C296" s="17" t="s">
        <v>246</v>
      </c>
      <c r="D296" s="16" t="s">
        <v>94</v>
      </c>
      <c r="E296" s="17" t="s">
        <v>247</v>
      </c>
      <c r="F296" s="17" t="s">
        <v>97</v>
      </c>
      <c r="G296" s="17"/>
      <c r="H296" s="18" t="s">
        <v>33</v>
      </c>
      <c r="I296" s="12" t="str">
        <f aca="false">IF(OR(H296="Passed",H296="Accepted Exception"),"GREEN",IF(OR(H296="Not Started",H296="Failed"),"RED","AMBER"))</f>
        <v>RED</v>
      </c>
      <c r="J296" s="19" t="s">
        <v>34</v>
      </c>
      <c r="K296" s="14" t="str">
        <f aca="false">IF(OR(J296="Réussi",J296="Exception acceptée"),"GREEN",IF(OR(J296="Non commencé",J296="Échec"),"RED","AMBER"))</f>
        <v>RED</v>
      </c>
      <c r="L296" s="17"/>
      <c r="M296" s="17"/>
      <c r="N296" s="15" t="str">
        <f aca="true">IF(G296&lt;&gt;"",TODAY()-G296,"")</f>
        <v/>
      </c>
    </row>
    <row r="297" customFormat="false" ht="18" hidden="false" customHeight="true" outlineLevel="0" collapsed="false">
      <c r="A297" s="9" t="s">
        <v>99</v>
      </c>
      <c r="B297" s="10" t="s">
        <v>98</v>
      </c>
      <c r="C297" s="10" t="s">
        <v>246</v>
      </c>
      <c r="D297" s="9" t="s">
        <v>94</v>
      </c>
      <c r="E297" s="10" t="s">
        <v>247</v>
      </c>
      <c r="F297" s="10" t="s">
        <v>100</v>
      </c>
      <c r="G297" s="10"/>
      <c r="H297" s="11" t="s">
        <v>33</v>
      </c>
      <c r="I297" s="12" t="str">
        <f aca="false">IF(OR(H297="Passed",H297="Accepted Exception"),"GREEN",IF(OR(H297="Not Started",H297="Failed"),"RED","AMBER"))</f>
        <v>RED</v>
      </c>
      <c r="J297" s="13" t="s">
        <v>34</v>
      </c>
      <c r="K297" s="14" t="str">
        <f aca="false">IF(OR(J297="Réussi",J297="Exception acceptée"),"GREEN",IF(OR(J297="Non commencé",J297="Échec"),"RED","AMBER"))</f>
        <v>RED</v>
      </c>
      <c r="L297" s="10"/>
      <c r="M297" s="10"/>
      <c r="N297" s="15" t="str">
        <f aca="true">IF(G297&lt;&gt;"",TODAY()-G297,"")</f>
        <v/>
      </c>
    </row>
    <row r="298" customFormat="false" ht="18" hidden="false" customHeight="true" outlineLevel="0" collapsed="false">
      <c r="A298" s="16" t="s">
        <v>265</v>
      </c>
      <c r="B298" s="17" t="s">
        <v>266</v>
      </c>
      <c r="C298" s="17" t="s">
        <v>246</v>
      </c>
      <c r="D298" s="16" t="s">
        <v>66</v>
      </c>
      <c r="E298" s="17" t="s">
        <v>247</v>
      </c>
      <c r="F298" s="17" t="s">
        <v>265</v>
      </c>
      <c r="G298" s="17"/>
      <c r="H298" s="18" t="s">
        <v>33</v>
      </c>
      <c r="I298" s="12" t="str">
        <f aca="false">IF(OR(H298="Passed",H298="Accepted Exception"),"GREEN",IF(OR(H298="Not Started",H298="Failed"),"RED","AMBER"))</f>
        <v>RED</v>
      </c>
      <c r="J298" s="19" t="s">
        <v>34</v>
      </c>
      <c r="K298" s="14" t="str">
        <f aca="false">IF(OR(J298="Réussi",J298="Exception acceptée"),"GREEN",IF(OR(J298="Non commencé",J298="Échec"),"RED","AMBER"))</f>
        <v>RED</v>
      </c>
      <c r="L298" s="17"/>
      <c r="M298" s="17"/>
      <c r="N298" s="15" t="str">
        <f aca="true">IF(G298&lt;&gt;"",TODAY()-G298,"")</f>
        <v/>
      </c>
    </row>
    <row r="299" customFormat="false" ht="18" hidden="false" customHeight="true" outlineLevel="0" collapsed="false">
      <c r="A299" s="9" t="s">
        <v>267</v>
      </c>
      <c r="B299" s="10" t="s">
        <v>266</v>
      </c>
      <c r="C299" s="10" t="s">
        <v>246</v>
      </c>
      <c r="D299" s="9" t="s">
        <v>66</v>
      </c>
      <c r="E299" s="10" t="s">
        <v>247</v>
      </c>
      <c r="F299" s="10" t="s">
        <v>268</v>
      </c>
      <c r="G299" s="10"/>
      <c r="H299" s="11" t="s">
        <v>33</v>
      </c>
      <c r="I299" s="12" t="str">
        <f aca="false">IF(OR(H299="Passed",H299="Accepted Exception"),"GREEN",IF(OR(H299="Not Started",H299="Failed"),"RED","AMBER"))</f>
        <v>RED</v>
      </c>
      <c r="J299" s="13" t="s">
        <v>34</v>
      </c>
      <c r="K299" s="14" t="str">
        <f aca="false">IF(OR(J299="Réussi",J299="Exception acceptée"),"GREEN",IF(OR(J299="Non commencé",J299="Échec"),"RED","AMBER"))</f>
        <v>RED</v>
      </c>
      <c r="L299" s="10"/>
      <c r="M299" s="10"/>
      <c r="N299" s="15" t="str">
        <f aca="true">IF(G299&lt;&gt;"",TODAY()-G299,"")</f>
        <v/>
      </c>
    </row>
    <row r="300" customFormat="false" ht="18" hidden="false" customHeight="true" outlineLevel="0" collapsed="false">
      <c r="A300" s="16" t="s">
        <v>269</v>
      </c>
      <c r="B300" s="17" t="s">
        <v>270</v>
      </c>
      <c r="C300" s="17" t="s">
        <v>246</v>
      </c>
      <c r="D300" s="16" t="s">
        <v>66</v>
      </c>
      <c r="E300" s="17" t="s">
        <v>247</v>
      </c>
      <c r="F300" s="17" t="s">
        <v>269</v>
      </c>
      <c r="G300" s="17"/>
      <c r="H300" s="18" t="s">
        <v>33</v>
      </c>
      <c r="I300" s="12" t="str">
        <f aca="false">IF(OR(H300="Passed",H300="Accepted Exception"),"GREEN",IF(OR(H300="Not Started",H300="Failed"),"RED","AMBER"))</f>
        <v>RED</v>
      </c>
      <c r="J300" s="19" t="s">
        <v>34</v>
      </c>
      <c r="K300" s="14" t="str">
        <f aca="false">IF(OR(J300="Réussi",J300="Exception acceptée"),"GREEN",IF(OR(J300="Non commencé",J300="Échec"),"RED","AMBER"))</f>
        <v>RED</v>
      </c>
      <c r="L300" s="17"/>
      <c r="M300" s="17"/>
      <c r="N300" s="15" t="str">
        <f aca="true">IF(G300&lt;&gt;"",TODAY()-G300,"")</f>
        <v/>
      </c>
    </row>
    <row r="301" customFormat="false" ht="18" hidden="false" customHeight="true" outlineLevel="0" collapsed="false">
      <c r="A301" s="9" t="s">
        <v>271</v>
      </c>
      <c r="B301" s="10" t="s">
        <v>270</v>
      </c>
      <c r="C301" s="10" t="s">
        <v>246</v>
      </c>
      <c r="D301" s="9" t="s">
        <v>66</v>
      </c>
      <c r="E301" s="10" t="s">
        <v>247</v>
      </c>
      <c r="F301" s="10" t="s">
        <v>272</v>
      </c>
      <c r="G301" s="10"/>
      <c r="H301" s="11" t="s">
        <v>33</v>
      </c>
      <c r="I301" s="12" t="str">
        <f aca="false">IF(OR(H301="Passed",H301="Accepted Exception"),"GREEN",IF(OR(H301="Not Started",H301="Failed"),"RED","AMBER"))</f>
        <v>RED</v>
      </c>
      <c r="J301" s="13" t="s">
        <v>34</v>
      </c>
      <c r="K301" s="14" t="str">
        <f aca="false">IF(OR(J301="Réussi",J301="Exception acceptée"),"GREEN",IF(OR(J301="Non commencé",J301="Échec"),"RED","AMBER"))</f>
        <v>RED</v>
      </c>
      <c r="L301" s="10"/>
      <c r="M301" s="10"/>
      <c r="N301" s="15" t="str">
        <f aca="true">IF(G301&lt;&gt;"",TODAY()-G301,"")</f>
        <v/>
      </c>
    </row>
    <row r="302" customFormat="false" ht="18" hidden="false" customHeight="true" outlineLevel="0" collapsed="false">
      <c r="A302" s="16" t="s">
        <v>273</v>
      </c>
      <c r="B302" s="17" t="s">
        <v>270</v>
      </c>
      <c r="C302" s="17" t="s">
        <v>246</v>
      </c>
      <c r="D302" s="16" t="s">
        <v>66</v>
      </c>
      <c r="E302" s="17" t="s">
        <v>247</v>
      </c>
      <c r="F302" s="17" t="s">
        <v>274</v>
      </c>
      <c r="G302" s="17"/>
      <c r="H302" s="18" t="s">
        <v>33</v>
      </c>
      <c r="I302" s="12" t="str">
        <f aca="false">IF(OR(H302="Passed",H302="Accepted Exception"),"GREEN",IF(OR(H302="Not Started",H302="Failed"),"RED","AMBER"))</f>
        <v>RED</v>
      </c>
      <c r="J302" s="19" t="s">
        <v>34</v>
      </c>
      <c r="K302" s="14" t="str">
        <f aca="false">IF(OR(J302="Réussi",J302="Exception acceptée"),"GREEN",IF(OR(J302="Non commencé",J302="Échec"),"RED","AMBER"))</f>
        <v>RED</v>
      </c>
      <c r="L302" s="17"/>
      <c r="M302" s="17"/>
      <c r="N302" s="15" t="str">
        <f aca="true">IF(G302&lt;&gt;"",TODAY()-G302,"")</f>
        <v/>
      </c>
    </row>
    <row r="303" customFormat="false" ht="18" hidden="false" customHeight="true" outlineLevel="0" collapsed="false">
      <c r="A303" s="9" t="s">
        <v>275</v>
      </c>
      <c r="B303" s="10" t="s">
        <v>270</v>
      </c>
      <c r="C303" s="10" t="s">
        <v>246</v>
      </c>
      <c r="D303" s="9" t="s">
        <v>66</v>
      </c>
      <c r="E303" s="10" t="s">
        <v>247</v>
      </c>
      <c r="F303" s="10" t="s">
        <v>276</v>
      </c>
      <c r="G303" s="10"/>
      <c r="H303" s="11" t="s">
        <v>33</v>
      </c>
      <c r="I303" s="12" t="str">
        <f aca="false">IF(OR(H303="Passed",H303="Accepted Exception"),"GREEN",IF(OR(H303="Not Started",H303="Failed"),"RED","AMBER"))</f>
        <v>RED</v>
      </c>
      <c r="J303" s="13" t="s">
        <v>34</v>
      </c>
      <c r="K303" s="14" t="str">
        <f aca="false">IF(OR(J303="Réussi",J303="Exception acceptée"),"GREEN",IF(OR(J303="Non commencé",J303="Échec"),"RED","AMBER"))</f>
        <v>RED</v>
      </c>
      <c r="L303" s="10"/>
      <c r="M303" s="10"/>
      <c r="N303" s="15" t="str">
        <f aca="true">IF(G303&lt;&gt;"",TODAY()-G303,"")</f>
        <v/>
      </c>
    </row>
    <row r="304" customFormat="false" ht="18" hidden="false" customHeight="true" outlineLevel="0" collapsed="false">
      <c r="A304" s="16" t="s">
        <v>235</v>
      </c>
      <c r="B304" s="17" t="s">
        <v>65</v>
      </c>
      <c r="C304" s="17" t="s">
        <v>246</v>
      </c>
      <c r="D304" s="16" t="s">
        <v>66</v>
      </c>
      <c r="E304" s="17" t="s">
        <v>247</v>
      </c>
      <c r="F304" s="17" t="s">
        <v>235</v>
      </c>
      <c r="G304" s="17"/>
      <c r="H304" s="18" t="s">
        <v>33</v>
      </c>
      <c r="I304" s="12" t="str">
        <f aca="false">IF(OR(H304="Passed",H304="Accepted Exception"),"GREEN",IF(OR(H304="Not Started",H304="Failed"),"RED","AMBER"))</f>
        <v>RED</v>
      </c>
      <c r="J304" s="19" t="s">
        <v>34</v>
      </c>
      <c r="K304" s="14" t="str">
        <f aca="false">IF(OR(J304="Réussi",J304="Exception acceptée"),"GREEN",IF(OR(J304="Non commencé",J304="Échec"),"RED","AMBER"))</f>
        <v>RED</v>
      </c>
      <c r="L304" s="17"/>
      <c r="M304" s="17"/>
      <c r="N304" s="15" t="str">
        <f aca="true">IF(G304&lt;&gt;"",TODAY()-G304,"")</f>
        <v/>
      </c>
    </row>
    <row r="305" customFormat="false" ht="18" hidden="false" customHeight="true" outlineLevel="0" collapsed="false">
      <c r="A305" s="9" t="s">
        <v>236</v>
      </c>
      <c r="B305" s="10" t="s">
        <v>65</v>
      </c>
      <c r="C305" s="10" t="s">
        <v>246</v>
      </c>
      <c r="D305" s="9" t="s">
        <v>66</v>
      </c>
      <c r="E305" s="10" t="s">
        <v>247</v>
      </c>
      <c r="F305" s="10" t="s">
        <v>237</v>
      </c>
      <c r="G305" s="10"/>
      <c r="H305" s="11" t="s">
        <v>33</v>
      </c>
      <c r="I305" s="12" t="str">
        <f aca="false">IF(OR(H305="Passed",H305="Accepted Exception"),"GREEN",IF(OR(H305="Not Started",H305="Failed"),"RED","AMBER"))</f>
        <v>RED</v>
      </c>
      <c r="J305" s="13" t="s">
        <v>34</v>
      </c>
      <c r="K305" s="14" t="str">
        <f aca="false">IF(OR(J305="Réussi",J305="Exception acceptée"),"GREEN",IF(OR(J305="Non commencé",J305="Échec"),"RED","AMBER"))</f>
        <v>RED</v>
      </c>
      <c r="L305" s="10"/>
      <c r="M305" s="10"/>
      <c r="N305" s="15" t="str">
        <f aca="true">IF(G305&lt;&gt;"",TODAY()-G305,"")</f>
        <v/>
      </c>
    </row>
    <row r="306" customFormat="false" ht="18" hidden="false" customHeight="true" outlineLevel="0" collapsed="false">
      <c r="A306" s="16" t="s">
        <v>64</v>
      </c>
      <c r="B306" s="17" t="s">
        <v>65</v>
      </c>
      <c r="C306" s="17" t="s">
        <v>246</v>
      </c>
      <c r="D306" s="16" t="s">
        <v>66</v>
      </c>
      <c r="E306" s="17" t="s">
        <v>247</v>
      </c>
      <c r="F306" s="17" t="s">
        <v>67</v>
      </c>
      <c r="G306" s="17"/>
      <c r="H306" s="18" t="s">
        <v>33</v>
      </c>
      <c r="I306" s="12" t="str">
        <f aca="false">IF(OR(H306="Passed",H306="Accepted Exception"),"GREEN",IF(OR(H306="Not Started",H306="Failed"),"RED","AMBER"))</f>
        <v>RED</v>
      </c>
      <c r="J306" s="19" t="s">
        <v>34</v>
      </c>
      <c r="K306" s="14" t="str">
        <f aca="false">IF(OR(J306="Réussi",J306="Exception acceptée"),"GREEN",IF(OR(J306="Non commencé",J306="Échec"),"RED","AMBER"))</f>
        <v>RED</v>
      </c>
      <c r="L306" s="17"/>
      <c r="M306" s="17"/>
      <c r="N306" s="15" t="str">
        <f aca="true">IF(G306&lt;&gt;"",TODAY()-G306,"")</f>
        <v/>
      </c>
    </row>
    <row r="307" customFormat="false" ht="18" hidden="false" customHeight="true" outlineLevel="0" collapsed="false">
      <c r="A307" s="9" t="s">
        <v>171</v>
      </c>
      <c r="B307" s="10" t="s">
        <v>65</v>
      </c>
      <c r="C307" s="10" t="s">
        <v>246</v>
      </c>
      <c r="D307" s="9" t="s">
        <v>66</v>
      </c>
      <c r="E307" s="10" t="s">
        <v>247</v>
      </c>
      <c r="F307" s="10" t="s">
        <v>172</v>
      </c>
      <c r="G307" s="10"/>
      <c r="H307" s="11" t="s">
        <v>33</v>
      </c>
      <c r="I307" s="12" t="str">
        <f aca="false">IF(OR(H307="Passed",H307="Accepted Exception"),"GREEN",IF(OR(H307="Not Started",H307="Failed"),"RED","AMBER"))</f>
        <v>RED</v>
      </c>
      <c r="J307" s="13" t="s">
        <v>34</v>
      </c>
      <c r="K307" s="14" t="str">
        <f aca="false">IF(OR(J307="Réussi",J307="Exception acceptée"),"GREEN",IF(OR(J307="Non commencé",J307="Échec"),"RED","AMBER"))</f>
        <v>RED</v>
      </c>
      <c r="L307" s="10"/>
      <c r="M307" s="10"/>
      <c r="N307" s="15" t="str">
        <f aca="true">IF(G307&lt;&gt;"",TODAY()-G307,"")</f>
        <v/>
      </c>
    </row>
    <row r="308" customFormat="false" ht="18" hidden="false" customHeight="true" outlineLevel="0" collapsed="false">
      <c r="A308" s="16" t="s">
        <v>238</v>
      </c>
      <c r="B308" s="17" t="s">
        <v>65</v>
      </c>
      <c r="C308" s="17" t="s">
        <v>246</v>
      </c>
      <c r="D308" s="16" t="s">
        <v>66</v>
      </c>
      <c r="E308" s="17" t="s">
        <v>247</v>
      </c>
      <c r="F308" s="17" t="s">
        <v>239</v>
      </c>
      <c r="G308" s="17"/>
      <c r="H308" s="18" t="s">
        <v>33</v>
      </c>
      <c r="I308" s="12" t="str">
        <f aca="false">IF(OR(H308="Passed",H308="Accepted Exception"),"GREEN",IF(OR(H308="Not Started",H308="Failed"),"RED","AMBER"))</f>
        <v>RED</v>
      </c>
      <c r="J308" s="19" t="s">
        <v>34</v>
      </c>
      <c r="K308" s="14" t="str">
        <f aca="false">IF(OR(J308="Réussi",J308="Exception acceptée"),"GREEN",IF(OR(J308="Non commencé",J308="Échec"),"RED","AMBER"))</f>
        <v>RED</v>
      </c>
      <c r="L308" s="17"/>
      <c r="M308" s="17"/>
      <c r="N308" s="15" t="str">
        <f aca="true">IF(G308&lt;&gt;"",TODAY()-G308,"")</f>
        <v/>
      </c>
    </row>
    <row r="309" customFormat="false" ht="18" hidden="false" customHeight="true" outlineLevel="0" collapsed="false">
      <c r="A309" s="9" t="s">
        <v>240</v>
      </c>
      <c r="B309" s="10" t="s">
        <v>65</v>
      </c>
      <c r="C309" s="10" t="s">
        <v>246</v>
      </c>
      <c r="D309" s="9" t="s">
        <v>66</v>
      </c>
      <c r="E309" s="10" t="s">
        <v>247</v>
      </c>
      <c r="F309" s="10" t="s">
        <v>241</v>
      </c>
      <c r="G309" s="10"/>
      <c r="H309" s="11" t="s">
        <v>33</v>
      </c>
      <c r="I309" s="12" t="str">
        <f aca="false">IF(OR(H309="Passed",H309="Accepted Exception"),"GREEN",IF(OR(H309="Not Started",H309="Failed"),"RED","AMBER"))</f>
        <v>RED</v>
      </c>
      <c r="J309" s="13" t="s">
        <v>34</v>
      </c>
      <c r="K309" s="14" t="str">
        <f aca="false">IF(OR(J309="Réussi",J309="Exception acceptée"),"GREEN",IF(OR(J309="Non commencé",J309="Échec"),"RED","AMBER"))</f>
        <v>RED</v>
      </c>
      <c r="L309" s="10"/>
      <c r="M309" s="10"/>
      <c r="N309" s="15" t="str">
        <f aca="true">IF(G309&lt;&gt;"",TODAY()-G309,"")</f>
        <v/>
      </c>
    </row>
    <row r="310" customFormat="false" ht="18" hidden="false" customHeight="true" outlineLevel="0" collapsed="false">
      <c r="A310" s="16" t="s">
        <v>68</v>
      </c>
      <c r="B310" s="17" t="s">
        <v>69</v>
      </c>
      <c r="C310" s="17" t="s">
        <v>246</v>
      </c>
      <c r="D310" s="16" t="s">
        <v>66</v>
      </c>
      <c r="E310" s="17" t="s">
        <v>247</v>
      </c>
      <c r="F310" s="17" t="s">
        <v>68</v>
      </c>
      <c r="G310" s="17"/>
      <c r="H310" s="18" t="s">
        <v>33</v>
      </c>
      <c r="I310" s="12" t="str">
        <f aca="false">IF(OR(H310="Passed",H310="Accepted Exception"),"GREEN",IF(OR(H310="Not Started",H310="Failed"),"RED","AMBER"))</f>
        <v>RED</v>
      </c>
      <c r="J310" s="19" t="s">
        <v>34</v>
      </c>
      <c r="K310" s="14" t="str">
        <f aca="false">IF(OR(J310="Réussi",J310="Exception acceptée"),"GREEN",IF(OR(J310="Non commencé",J310="Échec"),"RED","AMBER"))</f>
        <v>RED</v>
      </c>
      <c r="L310" s="17"/>
      <c r="M310" s="17"/>
      <c r="N310" s="15" t="str">
        <f aca="true">IF(G310&lt;&gt;"",TODAY()-G310,"")</f>
        <v/>
      </c>
    </row>
    <row r="311" customFormat="false" ht="18" hidden="false" customHeight="true" outlineLevel="0" collapsed="false">
      <c r="A311" s="9" t="s">
        <v>242</v>
      </c>
      <c r="B311" s="10" t="s">
        <v>176</v>
      </c>
      <c r="C311" s="10" t="s">
        <v>246</v>
      </c>
      <c r="D311" s="9" t="s">
        <v>66</v>
      </c>
      <c r="E311" s="10" t="s">
        <v>247</v>
      </c>
      <c r="F311" s="10" t="s">
        <v>243</v>
      </c>
      <c r="G311" s="10"/>
      <c r="H311" s="11" t="s">
        <v>33</v>
      </c>
      <c r="I311" s="12" t="str">
        <f aca="false">IF(OR(H311="Passed",H311="Accepted Exception"),"GREEN",IF(OR(H311="Not Started",H311="Failed"),"RED","AMBER"))</f>
        <v>RED</v>
      </c>
      <c r="J311" s="13" t="s">
        <v>34</v>
      </c>
      <c r="K311" s="14" t="str">
        <f aca="false">IF(OR(J311="Réussi",J311="Exception acceptée"),"GREEN",IF(OR(J311="Non commencé",J311="Échec"),"RED","AMBER"))</f>
        <v>RED</v>
      </c>
      <c r="L311" s="10"/>
      <c r="M311" s="10"/>
      <c r="N311" s="15" t="str">
        <f aca="true">IF(G311&lt;&gt;"",TODAY()-G311,"")</f>
        <v/>
      </c>
    </row>
    <row r="312" customFormat="false" ht="18" hidden="false" customHeight="true" outlineLevel="0" collapsed="false">
      <c r="A312" s="16" t="s">
        <v>179</v>
      </c>
      <c r="B312" s="17" t="s">
        <v>180</v>
      </c>
      <c r="C312" s="17" t="s">
        <v>246</v>
      </c>
      <c r="D312" s="16" t="s">
        <v>66</v>
      </c>
      <c r="E312" s="17" t="s">
        <v>247</v>
      </c>
      <c r="F312" s="17" t="s">
        <v>179</v>
      </c>
      <c r="G312" s="17"/>
      <c r="H312" s="18" t="s">
        <v>33</v>
      </c>
      <c r="I312" s="12" t="str">
        <f aca="false">IF(OR(H312="Passed",H312="Accepted Exception"),"GREEN",IF(OR(H312="Not Started",H312="Failed"),"RED","AMBER"))</f>
        <v>RED</v>
      </c>
      <c r="J312" s="19" t="s">
        <v>34</v>
      </c>
      <c r="K312" s="14" t="str">
        <f aca="false">IF(OR(J312="Réussi",J312="Exception acceptée"),"GREEN",IF(OR(J312="Non commencé",J312="Échec"),"RED","AMBER"))</f>
        <v>RED</v>
      </c>
      <c r="L312" s="17"/>
      <c r="M312" s="17"/>
      <c r="N312" s="15" t="str">
        <f aca="true">IF(G312&lt;&gt;"",TODAY()-G312,"")</f>
        <v/>
      </c>
    </row>
    <row r="313" customFormat="false" ht="18" hidden="false" customHeight="true" outlineLevel="0" collapsed="false">
      <c r="A313" s="9" t="s">
        <v>277</v>
      </c>
      <c r="B313" s="10" t="s">
        <v>194</v>
      </c>
      <c r="C313" s="10" t="s">
        <v>278</v>
      </c>
      <c r="D313" s="9" t="s">
        <v>104</v>
      </c>
      <c r="E313" s="10" t="s">
        <v>279</v>
      </c>
      <c r="F313" s="10" t="s">
        <v>277</v>
      </c>
      <c r="G313" s="10"/>
      <c r="H313" s="11" t="s">
        <v>33</v>
      </c>
      <c r="I313" s="12" t="str">
        <f aca="false">IF(OR(H313="Passed",H313="Accepted Exception"),"GREEN",IF(OR(H313="Not Started",H313="Failed"),"RED","AMBER"))</f>
        <v>RED</v>
      </c>
      <c r="J313" s="13" t="s">
        <v>34</v>
      </c>
      <c r="K313" s="14" t="str">
        <f aca="false">IF(OR(J313="Réussi",J313="Exception acceptée"),"GREEN",IF(OR(J313="Non commencé",J313="Échec"),"RED","AMBER"))</f>
        <v>RED</v>
      </c>
      <c r="L313" s="10"/>
      <c r="M313" s="10"/>
      <c r="N313" s="15" t="str">
        <f aca="true">IF(G313&lt;&gt;"",TODAY()-G313,"")</f>
        <v/>
      </c>
    </row>
    <row r="314" customFormat="false" ht="18" hidden="false" customHeight="true" outlineLevel="0" collapsed="false">
      <c r="A314" s="16" t="s">
        <v>280</v>
      </c>
      <c r="B314" s="17" t="s">
        <v>194</v>
      </c>
      <c r="C314" s="17" t="s">
        <v>278</v>
      </c>
      <c r="D314" s="16" t="s">
        <v>104</v>
      </c>
      <c r="E314" s="17" t="s">
        <v>279</v>
      </c>
      <c r="F314" s="17" t="s">
        <v>281</v>
      </c>
      <c r="G314" s="17"/>
      <c r="H314" s="18" t="s">
        <v>33</v>
      </c>
      <c r="I314" s="12" t="str">
        <f aca="false">IF(OR(H314="Passed",H314="Accepted Exception"),"GREEN",IF(OR(H314="Not Started",H314="Failed"),"RED","AMBER"))</f>
        <v>RED</v>
      </c>
      <c r="J314" s="19" t="s">
        <v>34</v>
      </c>
      <c r="K314" s="14" t="str">
        <f aca="false">IF(OR(J314="Réussi",J314="Exception acceptée"),"GREEN",IF(OR(J314="Non commencé",J314="Échec"),"RED","AMBER"))</f>
        <v>RED</v>
      </c>
      <c r="L314" s="17"/>
      <c r="M314" s="17"/>
      <c r="N314" s="15" t="str">
        <f aca="true">IF(G314&lt;&gt;"",TODAY()-G314,"")</f>
        <v/>
      </c>
    </row>
    <row r="315" customFormat="false" ht="18" hidden="false" customHeight="true" outlineLevel="0" collapsed="false">
      <c r="A315" s="9" t="s">
        <v>282</v>
      </c>
      <c r="B315" s="10" t="s">
        <v>194</v>
      </c>
      <c r="C315" s="10" t="s">
        <v>278</v>
      </c>
      <c r="D315" s="9" t="s">
        <v>104</v>
      </c>
      <c r="E315" s="10" t="s">
        <v>279</v>
      </c>
      <c r="F315" s="10" t="s">
        <v>283</v>
      </c>
      <c r="G315" s="10"/>
      <c r="H315" s="11" t="s">
        <v>33</v>
      </c>
      <c r="I315" s="12" t="str">
        <f aca="false">IF(OR(H315="Passed",H315="Accepted Exception"),"GREEN",IF(OR(H315="Not Started",H315="Failed"),"RED","AMBER"))</f>
        <v>RED</v>
      </c>
      <c r="J315" s="13" t="s">
        <v>34</v>
      </c>
      <c r="K315" s="14" t="str">
        <f aca="false">IF(OR(J315="Réussi",J315="Exception acceptée"),"GREEN",IF(OR(J315="Non commencé",J315="Échec"),"RED","AMBER"))</f>
        <v>RED</v>
      </c>
      <c r="L315" s="10"/>
      <c r="M315" s="10"/>
      <c r="N315" s="15" t="str">
        <f aca="true">IF(G315&lt;&gt;"",TODAY()-G315,"")</f>
        <v/>
      </c>
    </row>
    <row r="316" customFormat="false" ht="18" hidden="false" customHeight="true" outlineLevel="0" collapsed="false">
      <c r="A316" s="16" t="s">
        <v>284</v>
      </c>
      <c r="B316" s="17" t="s">
        <v>194</v>
      </c>
      <c r="C316" s="17" t="s">
        <v>278</v>
      </c>
      <c r="D316" s="16" t="s">
        <v>104</v>
      </c>
      <c r="E316" s="17" t="s">
        <v>279</v>
      </c>
      <c r="F316" s="17" t="s">
        <v>285</v>
      </c>
      <c r="G316" s="17"/>
      <c r="H316" s="18" t="s">
        <v>33</v>
      </c>
      <c r="I316" s="12" t="str">
        <f aca="false">IF(OR(H316="Passed",H316="Accepted Exception"),"GREEN",IF(OR(H316="Not Started",H316="Failed"),"RED","AMBER"))</f>
        <v>RED</v>
      </c>
      <c r="J316" s="19" t="s">
        <v>34</v>
      </c>
      <c r="K316" s="14" t="str">
        <f aca="false">IF(OR(J316="Réussi",J316="Exception acceptée"),"GREEN",IF(OR(J316="Non commencé",J316="Échec"),"RED","AMBER"))</f>
        <v>RED</v>
      </c>
      <c r="L316" s="17"/>
      <c r="M316" s="17"/>
      <c r="N316" s="15" t="str">
        <f aca="true">IF(G316&lt;&gt;"",TODAY()-G316,"")</f>
        <v/>
      </c>
    </row>
    <row r="317" customFormat="false" ht="18" hidden="false" customHeight="true" outlineLevel="0" collapsed="false">
      <c r="A317" s="9" t="s">
        <v>193</v>
      </c>
      <c r="B317" s="10" t="s">
        <v>194</v>
      </c>
      <c r="C317" s="10" t="s">
        <v>278</v>
      </c>
      <c r="D317" s="9" t="s">
        <v>104</v>
      </c>
      <c r="E317" s="10" t="s">
        <v>279</v>
      </c>
      <c r="F317" s="10" t="s">
        <v>197</v>
      </c>
      <c r="G317" s="10"/>
      <c r="H317" s="11" t="s">
        <v>33</v>
      </c>
      <c r="I317" s="12" t="str">
        <f aca="false">IF(OR(H317="Passed",H317="Accepted Exception"),"GREEN",IF(OR(H317="Not Started",H317="Failed"),"RED","AMBER"))</f>
        <v>RED</v>
      </c>
      <c r="J317" s="13" t="s">
        <v>34</v>
      </c>
      <c r="K317" s="14" t="str">
        <f aca="false">IF(OR(J317="Réussi",J317="Exception acceptée"),"GREEN",IF(OR(J317="Non commencé",J317="Échec"),"RED","AMBER"))</f>
        <v>RED</v>
      </c>
      <c r="L317" s="10"/>
      <c r="M317" s="10"/>
      <c r="N317" s="15" t="str">
        <f aca="true">IF(G317&lt;&gt;"",TODAY()-G317,"")</f>
        <v/>
      </c>
    </row>
    <row r="318" customFormat="false" ht="18" hidden="false" customHeight="true" outlineLevel="0" collapsed="false">
      <c r="A318" s="16" t="s">
        <v>198</v>
      </c>
      <c r="B318" s="17" t="s">
        <v>194</v>
      </c>
      <c r="C318" s="17" t="s">
        <v>278</v>
      </c>
      <c r="D318" s="16" t="s">
        <v>104</v>
      </c>
      <c r="E318" s="17" t="s">
        <v>279</v>
      </c>
      <c r="F318" s="17" t="s">
        <v>199</v>
      </c>
      <c r="G318" s="17"/>
      <c r="H318" s="18" t="s">
        <v>33</v>
      </c>
      <c r="I318" s="12" t="str">
        <f aca="false">IF(OR(H318="Passed",H318="Accepted Exception"),"GREEN",IF(OR(H318="Not Started",H318="Failed"),"RED","AMBER"))</f>
        <v>RED</v>
      </c>
      <c r="J318" s="19" t="s">
        <v>34</v>
      </c>
      <c r="K318" s="14" t="str">
        <f aca="false">IF(OR(J318="Réussi",J318="Exception acceptée"),"GREEN",IF(OR(J318="Non commencé",J318="Échec"),"RED","AMBER"))</f>
        <v>RED</v>
      </c>
      <c r="L318" s="17"/>
      <c r="M318" s="17"/>
      <c r="N318" s="15" t="str">
        <f aca="true">IF(G318&lt;&gt;"",TODAY()-G318,"")</f>
        <v/>
      </c>
    </row>
    <row r="319" customFormat="false" ht="18" hidden="false" customHeight="true" outlineLevel="0" collapsed="false">
      <c r="A319" s="9" t="s">
        <v>200</v>
      </c>
      <c r="B319" s="10" t="s">
        <v>194</v>
      </c>
      <c r="C319" s="10" t="s">
        <v>278</v>
      </c>
      <c r="D319" s="9" t="s">
        <v>104</v>
      </c>
      <c r="E319" s="10" t="s">
        <v>279</v>
      </c>
      <c r="F319" s="10" t="s">
        <v>201</v>
      </c>
      <c r="G319" s="10"/>
      <c r="H319" s="11" t="s">
        <v>33</v>
      </c>
      <c r="I319" s="12" t="str">
        <f aca="false">IF(OR(H319="Passed",H319="Accepted Exception"),"GREEN",IF(OR(H319="Not Started",H319="Failed"),"RED","AMBER"))</f>
        <v>RED</v>
      </c>
      <c r="J319" s="13" t="s">
        <v>34</v>
      </c>
      <c r="K319" s="14" t="str">
        <f aca="false">IF(OR(J319="Réussi",J319="Exception acceptée"),"GREEN",IF(OR(J319="Non commencé",J319="Échec"),"RED","AMBER"))</f>
        <v>RED</v>
      </c>
      <c r="L319" s="10"/>
      <c r="M319" s="10"/>
      <c r="N319" s="15" t="str">
        <f aca="true">IF(G319&lt;&gt;"",TODAY()-G319,"")</f>
        <v/>
      </c>
    </row>
    <row r="320" customFormat="false" ht="18" hidden="false" customHeight="true" outlineLevel="0" collapsed="false">
      <c r="A320" s="16" t="s">
        <v>286</v>
      </c>
      <c r="B320" s="17" t="s">
        <v>287</v>
      </c>
      <c r="C320" s="17" t="s">
        <v>278</v>
      </c>
      <c r="D320" s="16" t="s">
        <v>104</v>
      </c>
      <c r="E320" s="17" t="s">
        <v>279</v>
      </c>
      <c r="F320" s="17" t="s">
        <v>286</v>
      </c>
      <c r="G320" s="17"/>
      <c r="H320" s="18" t="s">
        <v>33</v>
      </c>
      <c r="I320" s="12" t="str">
        <f aca="false">IF(OR(H320="Passed",H320="Accepted Exception"),"GREEN",IF(OR(H320="Not Started",H320="Failed"),"RED","AMBER"))</f>
        <v>RED</v>
      </c>
      <c r="J320" s="19" t="s">
        <v>34</v>
      </c>
      <c r="K320" s="14" t="str">
        <f aca="false">IF(OR(J320="Réussi",J320="Exception acceptée"),"GREEN",IF(OR(J320="Non commencé",J320="Échec"),"RED","AMBER"))</f>
        <v>RED</v>
      </c>
      <c r="L320" s="17"/>
      <c r="M320" s="17"/>
      <c r="N320" s="15" t="str">
        <f aca="true">IF(G320&lt;&gt;"",TODAY()-G320,"")</f>
        <v/>
      </c>
    </row>
    <row r="321" customFormat="false" ht="18" hidden="false" customHeight="true" outlineLevel="0" collapsed="false">
      <c r="A321" s="9" t="s">
        <v>101</v>
      </c>
      <c r="B321" s="10" t="s">
        <v>102</v>
      </c>
      <c r="C321" s="10" t="s">
        <v>278</v>
      </c>
      <c r="D321" s="9" t="s">
        <v>104</v>
      </c>
      <c r="E321" s="10" t="s">
        <v>279</v>
      </c>
      <c r="F321" s="10" t="s">
        <v>101</v>
      </c>
      <c r="G321" s="10"/>
      <c r="H321" s="11" t="s">
        <v>33</v>
      </c>
      <c r="I321" s="12" t="str">
        <f aca="false">IF(OR(H321="Passed",H321="Accepted Exception"),"GREEN",IF(OR(H321="Not Started",H321="Failed"),"RED","AMBER"))</f>
        <v>RED</v>
      </c>
      <c r="J321" s="13" t="s">
        <v>34</v>
      </c>
      <c r="K321" s="14" t="str">
        <f aca="false">IF(OR(J321="Réussi",J321="Exception acceptée"),"GREEN",IF(OR(J321="Non commencé",J321="Échec"),"RED","AMBER"))</f>
        <v>RED</v>
      </c>
      <c r="L321" s="10"/>
      <c r="M321" s="10"/>
      <c r="N321" s="15" t="str">
        <f aca="true">IF(G321&lt;&gt;"",TODAY()-G321,"")</f>
        <v/>
      </c>
    </row>
    <row r="322" customFormat="false" ht="18" hidden="false" customHeight="true" outlineLevel="0" collapsed="false">
      <c r="A322" s="16" t="s">
        <v>106</v>
      </c>
      <c r="B322" s="17" t="s">
        <v>102</v>
      </c>
      <c r="C322" s="17" t="s">
        <v>278</v>
      </c>
      <c r="D322" s="16" t="s">
        <v>104</v>
      </c>
      <c r="E322" s="17" t="s">
        <v>279</v>
      </c>
      <c r="F322" s="17" t="s">
        <v>107</v>
      </c>
      <c r="G322" s="17"/>
      <c r="H322" s="18" t="s">
        <v>33</v>
      </c>
      <c r="I322" s="12" t="str">
        <f aca="false">IF(OR(H322="Passed",H322="Accepted Exception"),"GREEN",IF(OR(H322="Not Started",H322="Failed"),"RED","AMBER"))</f>
        <v>RED</v>
      </c>
      <c r="J322" s="19" t="s">
        <v>34</v>
      </c>
      <c r="K322" s="14" t="str">
        <f aca="false">IF(OR(J322="Réussi",J322="Exception acceptée"),"GREEN",IF(OR(J322="Non commencé",J322="Échec"),"RED","AMBER"))</f>
        <v>RED</v>
      </c>
      <c r="L322" s="17"/>
      <c r="M322" s="17"/>
      <c r="N322" s="15" t="str">
        <f aca="true">IF(G322&lt;&gt;"",TODAY()-G322,"")</f>
        <v/>
      </c>
    </row>
    <row r="323" customFormat="false" ht="18" hidden="false" customHeight="true" outlineLevel="0" collapsed="false">
      <c r="A323" s="9" t="s">
        <v>202</v>
      </c>
      <c r="B323" s="10" t="s">
        <v>102</v>
      </c>
      <c r="C323" s="10" t="s">
        <v>278</v>
      </c>
      <c r="D323" s="9" t="s">
        <v>104</v>
      </c>
      <c r="E323" s="10" t="s">
        <v>279</v>
      </c>
      <c r="F323" s="10" t="s">
        <v>203</v>
      </c>
      <c r="G323" s="10"/>
      <c r="H323" s="11" t="s">
        <v>33</v>
      </c>
      <c r="I323" s="12" t="str">
        <f aca="false">IF(OR(H323="Passed",H323="Accepted Exception"),"GREEN",IF(OR(H323="Not Started",H323="Failed"),"RED","AMBER"))</f>
        <v>RED</v>
      </c>
      <c r="J323" s="13" t="s">
        <v>34</v>
      </c>
      <c r="K323" s="14" t="str">
        <f aca="false">IF(OR(J323="Réussi",J323="Exception acceptée"),"GREEN",IF(OR(J323="Non commencé",J323="Échec"),"RED","AMBER"))</f>
        <v>RED</v>
      </c>
      <c r="L323" s="10"/>
      <c r="M323" s="10"/>
      <c r="N323" s="15" t="str">
        <f aca="true">IF(G323&lt;&gt;"",TODAY()-G323,"")</f>
        <v/>
      </c>
    </row>
    <row r="324" customFormat="false" ht="18" hidden="false" customHeight="true" outlineLevel="0" collapsed="false">
      <c r="A324" s="16" t="s">
        <v>288</v>
      </c>
      <c r="B324" s="17" t="s">
        <v>102</v>
      </c>
      <c r="C324" s="17" t="s">
        <v>278</v>
      </c>
      <c r="D324" s="16" t="s">
        <v>104</v>
      </c>
      <c r="E324" s="17" t="s">
        <v>279</v>
      </c>
      <c r="F324" s="17" t="s">
        <v>289</v>
      </c>
      <c r="G324" s="17"/>
      <c r="H324" s="18" t="s">
        <v>33</v>
      </c>
      <c r="I324" s="12" t="str">
        <f aca="false">IF(OR(H324="Passed",H324="Accepted Exception"),"GREEN",IF(OR(H324="Not Started",H324="Failed"),"RED","AMBER"))</f>
        <v>RED</v>
      </c>
      <c r="J324" s="19" t="s">
        <v>34</v>
      </c>
      <c r="K324" s="14" t="str">
        <f aca="false">IF(OR(J324="Réussi",J324="Exception acceptée"),"GREEN",IF(OR(J324="Non commencé",J324="Échec"),"RED","AMBER"))</f>
        <v>RED</v>
      </c>
      <c r="L324" s="17"/>
      <c r="M324" s="17"/>
      <c r="N324" s="15" t="str">
        <f aca="true">IF(G324&lt;&gt;"",TODAY()-G324,"")</f>
        <v/>
      </c>
    </row>
    <row r="325" customFormat="false" ht="18" hidden="false" customHeight="true" outlineLevel="0" collapsed="false">
      <c r="A325" s="9" t="s">
        <v>108</v>
      </c>
      <c r="B325" s="10" t="s">
        <v>109</v>
      </c>
      <c r="C325" s="10" t="s">
        <v>278</v>
      </c>
      <c r="D325" s="9" t="s">
        <v>104</v>
      </c>
      <c r="E325" s="10" t="s">
        <v>279</v>
      </c>
      <c r="F325" s="10" t="s">
        <v>108</v>
      </c>
      <c r="G325" s="10"/>
      <c r="H325" s="11" t="s">
        <v>33</v>
      </c>
      <c r="I325" s="12" t="str">
        <f aca="false">IF(OR(H325="Passed",H325="Accepted Exception"),"GREEN",IF(OR(H325="Not Started",H325="Failed"),"RED","AMBER"))</f>
        <v>RED</v>
      </c>
      <c r="J325" s="13" t="s">
        <v>34</v>
      </c>
      <c r="K325" s="14" t="str">
        <f aca="false">IF(OR(J325="Réussi",J325="Exception acceptée"),"GREEN",IF(OR(J325="Non commencé",J325="Échec"),"RED","AMBER"))</f>
        <v>RED</v>
      </c>
      <c r="L325" s="10"/>
      <c r="M325" s="10"/>
      <c r="N325" s="15" t="str">
        <f aca="true">IF(G325&lt;&gt;"",TODAY()-G325,"")</f>
        <v/>
      </c>
    </row>
    <row r="326" customFormat="false" ht="18" hidden="false" customHeight="true" outlineLevel="0" collapsed="false">
      <c r="A326" s="16" t="s">
        <v>290</v>
      </c>
      <c r="B326" s="17" t="s">
        <v>291</v>
      </c>
      <c r="C326" s="17" t="s">
        <v>278</v>
      </c>
      <c r="D326" s="16" t="s">
        <v>104</v>
      </c>
      <c r="E326" s="17" t="s">
        <v>279</v>
      </c>
      <c r="F326" s="17" t="s">
        <v>290</v>
      </c>
      <c r="G326" s="17"/>
      <c r="H326" s="18" t="s">
        <v>33</v>
      </c>
      <c r="I326" s="12" t="str">
        <f aca="false">IF(OR(H326="Passed",H326="Accepted Exception"),"GREEN",IF(OR(H326="Not Started",H326="Failed"),"RED","AMBER"))</f>
        <v>RED</v>
      </c>
      <c r="J326" s="19" t="s">
        <v>34</v>
      </c>
      <c r="K326" s="14" t="str">
        <f aca="false">IF(OR(J326="Réussi",J326="Exception acceptée"),"GREEN",IF(OR(J326="Non commencé",J326="Échec"),"RED","AMBER"))</f>
        <v>RED</v>
      </c>
      <c r="L326" s="17"/>
      <c r="M326" s="17"/>
      <c r="N326" s="15" t="str">
        <f aca="true">IF(G326&lt;&gt;"",TODAY()-G326,"")</f>
        <v/>
      </c>
    </row>
    <row r="327" customFormat="false" ht="18" hidden="false" customHeight="true" outlineLevel="0" collapsed="false">
      <c r="A327" s="9" t="s">
        <v>112</v>
      </c>
      <c r="B327" s="10" t="s">
        <v>113</v>
      </c>
      <c r="C327" s="10" t="s">
        <v>278</v>
      </c>
      <c r="D327" s="9" t="s">
        <v>104</v>
      </c>
      <c r="E327" s="10" t="s">
        <v>279</v>
      </c>
      <c r="F327" s="10" t="s">
        <v>112</v>
      </c>
      <c r="G327" s="10"/>
      <c r="H327" s="11" t="s">
        <v>33</v>
      </c>
      <c r="I327" s="12" t="str">
        <f aca="false">IF(OR(H327="Passed",H327="Accepted Exception"),"GREEN",IF(OR(H327="Not Started",H327="Failed"),"RED","AMBER"))</f>
        <v>RED</v>
      </c>
      <c r="J327" s="13" t="s">
        <v>34</v>
      </c>
      <c r="K327" s="14" t="str">
        <f aca="false">IF(OR(J327="Réussi",J327="Exception acceptée"),"GREEN",IF(OR(J327="Non commencé",J327="Échec"),"RED","AMBER"))</f>
        <v>RED</v>
      </c>
      <c r="L327" s="10"/>
      <c r="M327" s="10"/>
      <c r="N327" s="15" t="str">
        <f aca="true">IF(G327&lt;&gt;"",TODAY()-G327,"")</f>
        <v/>
      </c>
    </row>
    <row r="328" customFormat="false" ht="18" hidden="false" customHeight="true" outlineLevel="0" collapsed="false">
      <c r="A328" s="16" t="s">
        <v>118</v>
      </c>
      <c r="B328" s="17" t="s">
        <v>119</v>
      </c>
      <c r="C328" s="17" t="s">
        <v>278</v>
      </c>
      <c r="D328" s="16" t="s">
        <v>104</v>
      </c>
      <c r="E328" s="17" t="s">
        <v>279</v>
      </c>
      <c r="F328" s="17" t="s">
        <v>120</v>
      </c>
      <c r="G328" s="17"/>
      <c r="H328" s="18" t="s">
        <v>33</v>
      </c>
      <c r="I328" s="12" t="str">
        <f aca="false">IF(OR(H328="Passed",H328="Accepted Exception"),"GREEN",IF(OR(H328="Not Started",H328="Failed"),"RED","AMBER"))</f>
        <v>RED</v>
      </c>
      <c r="J328" s="19" t="s">
        <v>34</v>
      </c>
      <c r="K328" s="14" t="str">
        <f aca="false">IF(OR(J328="Réussi",J328="Exception acceptée"),"GREEN",IF(OR(J328="Non commencé",J328="Échec"),"RED","AMBER"))</f>
        <v>RED</v>
      </c>
      <c r="L328" s="17"/>
      <c r="M328" s="17"/>
      <c r="N328" s="15" t="str">
        <f aca="true">IF(G328&lt;&gt;"",TODAY()-G328,"")</f>
        <v/>
      </c>
    </row>
    <row r="329" customFormat="false" ht="18" hidden="false" customHeight="true" outlineLevel="0" collapsed="false">
      <c r="A329" s="9" t="s">
        <v>292</v>
      </c>
      <c r="B329" s="10" t="s">
        <v>119</v>
      </c>
      <c r="C329" s="10" t="s">
        <v>278</v>
      </c>
      <c r="D329" s="9" t="s">
        <v>104</v>
      </c>
      <c r="E329" s="10" t="s">
        <v>279</v>
      </c>
      <c r="F329" s="10" t="s">
        <v>293</v>
      </c>
      <c r="G329" s="10"/>
      <c r="H329" s="11" t="s">
        <v>33</v>
      </c>
      <c r="I329" s="12" t="str">
        <f aca="false">IF(OR(H329="Passed",H329="Accepted Exception"),"GREEN",IF(OR(H329="Not Started",H329="Failed"),"RED","AMBER"))</f>
        <v>RED</v>
      </c>
      <c r="J329" s="13" t="s">
        <v>34</v>
      </c>
      <c r="K329" s="14" t="str">
        <f aca="false">IF(OR(J329="Réussi",J329="Exception acceptée"),"GREEN",IF(OR(J329="Non commencé",J329="Échec"),"RED","AMBER"))</f>
        <v>RED</v>
      </c>
      <c r="L329" s="10"/>
      <c r="M329" s="10"/>
      <c r="N329" s="15" t="str">
        <f aca="true">IF(G329&lt;&gt;"",TODAY()-G329,"")</f>
        <v/>
      </c>
    </row>
    <row r="330" customFormat="false" ht="18" hidden="false" customHeight="true" outlineLevel="0" collapsed="false">
      <c r="A330" s="16" t="s">
        <v>294</v>
      </c>
      <c r="B330" s="17" t="s">
        <v>295</v>
      </c>
      <c r="C330" s="17" t="s">
        <v>278</v>
      </c>
      <c r="D330" s="16" t="s">
        <v>104</v>
      </c>
      <c r="E330" s="17" t="s">
        <v>279</v>
      </c>
      <c r="F330" s="17" t="s">
        <v>294</v>
      </c>
      <c r="G330" s="17"/>
      <c r="H330" s="18" t="s">
        <v>33</v>
      </c>
      <c r="I330" s="12" t="str">
        <f aca="false">IF(OR(H330="Passed",H330="Accepted Exception"),"GREEN",IF(OR(H330="Not Started",H330="Failed"),"RED","AMBER"))</f>
        <v>RED</v>
      </c>
      <c r="J330" s="19" t="s">
        <v>34</v>
      </c>
      <c r="K330" s="14" t="str">
        <f aca="false">IF(OR(J330="Réussi",J330="Exception acceptée"),"GREEN",IF(OR(J330="Non commencé",J330="Échec"),"RED","AMBER"))</f>
        <v>RED</v>
      </c>
      <c r="L330" s="17"/>
      <c r="M330" s="17"/>
      <c r="N330" s="15" t="str">
        <f aca="true">IF(G330&lt;&gt;"",TODAY()-G330,"")</f>
        <v/>
      </c>
    </row>
    <row r="331" customFormat="false" ht="18" hidden="false" customHeight="true" outlineLevel="0" collapsed="false">
      <c r="A331" s="9" t="s">
        <v>28</v>
      </c>
      <c r="B331" s="10" t="s">
        <v>29</v>
      </c>
      <c r="C331" s="10" t="s">
        <v>278</v>
      </c>
      <c r="D331" s="9" t="s">
        <v>31</v>
      </c>
      <c r="E331" s="10" t="s">
        <v>279</v>
      </c>
      <c r="F331" s="10" t="s">
        <v>28</v>
      </c>
      <c r="G331" s="10"/>
      <c r="H331" s="11" t="s">
        <v>33</v>
      </c>
      <c r="I331" s="12" t="str">
        <f aca="false">IF(OR(H331="Passed",H331="Accepted Exception"),"GREEN",IF(OR(H331="Not Started",H331="Failed"),"RED","AMBER"))</f>
        <v>RED</v>
      </c>
      <c r="J331" s="13" t="s">
        <v>34</v>
      </c>
      <c r="K331" s="14" t="str">
        <f aca="false">IF(OR(J331="Réussi",J331="Exception acceptée"),"GREEN",IF(OR(J331="Non commencé",J331="Échec"),"RED","AMBER"))</f>
        <v>RED</v>
      </c>
      <c r="L331" s="10"/>
      <c r="M331" s="10"/>
      <c r="N331" s="15" t="str">
        <f aca="true">IF(G331&lt;&gt;"",TODAY()-G331,"")</f>
        <v/>
      </c>
    </row>
    <row r="332" customFormat="false" ht="18" hidden="false" customHeight="true" outlineLevel="0" collapsed="false">
      <c r="A332" s="16" t="s">
        <v>35</v>
      </c>
      <c r="B332" s="17" t="s">
        <v>36</v>
      </c>
      <c r="C332" s="17" t="s">
        <v>278</v>
      </c>
      <c r="D332" s="16" t="s">
        <v>31</v>
      </c>
      <c r="E332" s="17" t="s">
        <v>279</v>
      </c>
      <c r="F332" s="17" t="s">
        <v>35</v>
      </c>
      <c r="G332" s="17"/>
      <c r="H332" s="18" t="s">
        <v>33</v>
      </c>
      <c r="I332" s="12" t="str">
        <f aca="false">IF(OR(H332="Passed",H332="Accepted Exception"),"GREEN",IF(OR(H332="Not Started",H332="Failed"),"RED","AMBER"))</f>
        <v>RED</v>
      </c>
      <c r="J332" s="19" t="s">
        <v>34</v>
      </c>
      <c r="K332" s="14" t="str">
        <f aca="false">IF(OR(J332="Réussi",J332="Exception acceptée"),"GREEN",IF(OR(J332="Non commencé",J332="Échec"),"RED","AMBER"))</f>
        <v>RED</v>
      </c>
      <c r="L332" s="17"/>
      <c r="M332" s="17"/>
      <c r="N332" s="15" t="str">
        <f aca="true">IF(G332&lt;&gt;"",TODAY()-G332,"")</f>
        <v/>
      </c>
    </row>
    <row r="333" customFormat="false" ht="18" hidden="false" customHeight="true" outlineLevel="0" collapsed="false">
      <c r="A333" s="9" t="s">
        <v>37</v>
      </c>
      <c r="B333" s="10" t="s">
        <v>36</v>
      </c>
      <c r="C333" s="10" t="s">
        <v>278</v>
      </c>
      <c r="D333" s="9" t="s">
        <v>31</v>
      </c>
      <c r="E333" s="10" t="s">
        <v>279</v>
      </c>
      <c r="F333" s="10" t="s">
        <v>38</v>
      </c>
      <c r="G333" s="10"/>
      <c r="H333" s="11" t="s">
        <v>33</v>
      </c>
      <c r="I333" s="12" t="str">
        <f aca="false">IF(OR(H333="Passed",H333="Accepted Exception"),"GREEN",IF(OR(H333="Not Started",H333="Failed"),"RED","AMBER"))</f>
        <v>RED</v>
      </c>
      <c r="J333" s="13" t="s">
        <v>34</v>
      </c>
      <c r="K333" s="14" t="str">
        <f aca="false">IF(OR(J333="Réussi",J333="Exception acceptée"),"GREEN",IF(OR(J333="Non commencé",J333="Échec"),"RED","AMBER"))</f>
        <v>RED</v>
      </c>
      <c r="L333" s="10"/>
      <c r="M333" s="10"/>
      <c r="N333" s="15" t="str">
        <f aca="true">IF(G333&lt;&gt;"",TODAY()-G333,"")</f>
        <v/>
      </c>
    </row>
    <row r="334" customFormat="false" ht="18" hidden="false" customHeight="true" outlineLevel="0" collapsed="false">
      <c r="A334" s="16" t="s">
        <v>217</v>
      </c>
      <c r="B334" s="17" t="s">
        <v>40</v>
      </c>
      <c r="C334" s="17" t="s">
        <v>278</v>
      </c>
      <c r="D334" s="16" t="s">
        <v>31</v>
      </c>
      <c r="E334" s="17" t="s">
        <v>279</v>
      </c>
      <c r="F334" s="17" t="s">
        <v>217</v>
      </c>
      <c r="G334" s="17"/>
      <c r="H334" s="18" t="s">
        <v>33</v>
      </c>
      <c r="I334" s="12" t="str">
        <f aca="false">IF(OR(H334="Passed",H334="Accepted Exception"),"GREEN",IF(OR(H334="Not Started",H334="Failed"),"RED","AMBER"))</f>
        <v>RED</v>
      </c>
      <c r="J334" s="19" t="s">
        <v>34</v>
      </c>
      <c r="K334" s="14" t="str">
        <f aca="false">IF(OR(J334="Réussi",J334="Exception acceptée"),"GREEN",IF(OR(J334="Non commencé",J334="Échec"),"RED","AMBER"))</f>
        <v>RED</v>
      </c>
      <c r="L334" s="17"/>
      <c r="M334" s="17"/>
      <c r="N334" s="15" t="str">
        <f aca="true">IF(G334&lt;&gt;"",TODAY()-G334,"")</f>
        <v/>
      </c>
    </row>
    <row r="335" customFormat="false" ht="18" hidden="false" customHeight="true" outlineLevel="0" collapsed="false">
      <c r="A335" s="9" t="s">
        <v>39</v>
      </c>
      <c r="B335" s="10" t="s">
        <v>40</v>
      </c>
      <c r="C335" s="10" t="s">
        <v>278</v>
      </c>
      <c r="D335" s="9" t="s">
        <v>31</v>
      </c>
      <c r="E335" s="10" t="s">
        <v>279</v>
      </c>
      <c r="F335" s="10" t="s">
        <v>41</v>
      </c>
      <c r="G335" s="10"/>
      <c r="H335" s="11" t="s">
        <v>33</v>
      </c>
      <c r="I335" s="12" t="str">
        <f aca="false">IF(OR(H335="Passed",H335="Accepted Exception"),"GREEN",IF(OR(H335="Not Started",H335="Failed"),"RED","AMBER"))</f>
        <v>RED</v>
      </c>
      <c r="J335" s="13" t="s">
        <v>34</v>
      </c>
      <c r="K335" s="14" t="str">
        <f aca="false">IF(OR(J335="Réussi",J335="Exception acceptée"),"GREEN",IF(OR(J335="Non commencé",J335="Échec"),"RED","AMBER"))</f>
        <v>RED</v>
      </c>
      <c r="L335" s="10"/>
      <c r="M335" s="10"/>
      <c r="N335" s="15" t="str">
        <f aca="true">IF(G335&lt;&gt;"",TODAY()-G335,"")</f>
        <v/>
      </c>
    </row>
    <row r="336" customFormat="false" ht="18" hidden="false" customHeight="true" outlineLevel="0" collapsed="false">
      <c r="A336" s="16" t="s">
        <v>218</v>
      </c>
      <c r="B336" s="17" t="s">
        <v>40</v>
      </c>
      <c r="C336" s="17" t="s">
        <v>278</v>
      </c>
      <c r="D336" s="16" t="s">
        <v>31</v>
      </c>
      <c r="E336" s="17" t="s">
        <v>279</v>
      </c>
      <c r="F336" s="17" t="s">
        <v>219</v>
      </c>
      <c r="G336" s="17"/>
      <c r="H336" s="18" t="s">
        <v>33</v>
      </c>
      <c r="I336" s="12" t="str">
        <f aca="false">IF(OR(H336="Passed",H336="Accepted Exception"),"GREEN",IF(OR(H336="Not Started",H336="Failed"),"RED","AMBER"))</f>
        <v>RED</v>
      </c>
      <c r="J336" s="19" t="s">
        <v>34</v>
      </c>
      <c r="K336" s="14" t="str">
        <f aca="false">IF(OR(J336="Réussi",J336="Exception acceptée"),"GREEN",IF(OR(J336="Non commencé",J336="Échec"),"RED","AMBER"))</f>
        <v>RED</v>
      </c>
      <c r="L336" s="17"/>
      <c r="M336" s="17"/>
      <c r="N336" s="15" t="str">
        <f aca="true">IF(G336&lt;&gt;"",TODAY()-G336,"")</f>
        <v/>
      </c>
    </row>
    <row r="337" customFormat="false" ht="18" hidden="false" customHeight="true" outlineLevel="0" collapsed="false">
      <c r="A337" s="9" t="s">
        <v>42</v>
      </c>
      <c r="B337" s="10" t="s">
        <v>43</v>
      </c>
      <c r="C337" s="10" t="s">
        <v>278</v>
      </c>
      <c r="D337" s="9" t="s">
        <v>31</v>
      </c>
      <c r="E337" s="10" t="s">
        <v>279</v>
      </c>
      <c r="F337" s="10" t="s">
        <v>42</v>
      </c>
      <c r="G337" s="10"/>
      <c r="H337" s="11" t="s">
        <v>33</v>
      </c>
      <c r="I337" s="12" t="str">
        <f aca="false">IF(OR(H337="Passed",H337="Accepted Exception"),"GREEN",IF(OR(H337="Not Started",H337="Failed"),"RED","AMBER"))</f>
        <v>RED</v>
      </c>
      <c r="J337" s="13" t="s">
        <v>34</v>
      </c>
      <c r="K337" s="14" t="str">
        <f aca="false">IF(OR(J337="Réussi",J337="Exception acceptée"),"GREEN",IF(OR(J337="Non commencé",J337="Échec"),"RED","AMBER"))</f>
        <v>RED</v>
      </c>
      <c r="L337" s="10"/>
      <c r="M337" s="10"/>
      <c r="N337" s="15" t="str">
        <f aca="true">IF(G337&lt;&gt;"",TODAY()-G337,"")</f>
        <v/>
      </c>
    </row>
    <row r="338" customFormat="false" ht="18" hidden="false" customHeight="true" outlineLevel="0" collapsed="false">
      <c r="A338" s="16" t="s">
        <v>77</v>
      </c>
      <c r="B338" s="17" t="s">
        <v>78</v>
      </c>
      <c r="C338" s="17" t="s">
        <v>278</v>
      </c>
      <c r="D338" s="16" t="s">
        <v>46</v>
      </c>
      <c r="E338" s="17" t="s">
        <v>279</v>
      </c>
      <c r="F338" s="17" t="s">
        <v>79</v>
      </c>
      <c r="G338" s="17"/>
      <c r="H338" s="18" t="s">
        <v>33</v>
      </c>
      <c r="I338" s="12" t="str">
        <f aca="false">IF(OR(H338="Passed",H338="Accepted Exception"),"GREEN",IF(OR(H338="Not Started",H338="Failed"),"RED","AMBER"))</f>
        <v>RED</v>
      </c>
      <c r="J338" s="19" t="s">
        <v>34</v>
      </c>
      <c r="K338" s="14" t="str">
        <f aca="false">IF(OR(J338="Réussi",J338="Exception acceptée"),"GREEN",IF(OR(J338="Non commencé",J338="Échec"),"RED","AMBER"))</f>
        <v>RED</v>
      </c>
      <c r="L338" s="17"/>
      <c r="M338" s="17"/>
      <c r="N338" s="15" t="str">
        <f aca="true">IF(G338&lt;&gt;"",TODAY()-G338,"")</f>
        <v/>
      </c>
    </row>
    <row r="339" customFormat="false" ht="18" hidden="false" customHeight="true" outlineLevel="0" collapsed="false">
      <c r="A339" s="9" t="s">
        <v>296</v>
      </c>
      <c r="B339" s="10" t="s">
        <v>78</v>
      </c>
      <c r="C339" s="10" t="s">
        <v>278</v>
      </c>
      <c r="D339" s="9" t="s">
        <v>46</v>
      </c>
      <c r="E339" s="10" t="s">
        <v>279</v>
      </c>
      <c r="F339" s="10" t="s">
        <v>297</v>
      </c>
      <c r="G339" s="10"/>
      <c r="H339" s="11" t="s">
        <v>33</v>
      </c>
      <c r="I339" s="12" t="str">
        <f aca="false">IF(OR(H339="Passed",H339="Accepted Exception"),"GREEN",IF(OR(H339="Not Started",H339="Failed"),"RED","AMBER"))</f>
        <v>RED</v>
      </c>
      <c r="J339" s="13" t="s">
        <v>34</v>
      </c>
      <c r="K339" s="14" t="str">
        <f aca="false">IF(OR(J339="Réussi",J339="Exception acceptée"),"GREEN",IF(OR(J339="Non commencé",J339="Échec"),"RED","AMBER"))</f>
        <v>RED</v>
      </c>
      <c r="L339" s="10"/>
      <c r="M339" s="10"/>
      <c r="N339" s="15" t="str">
        <f aca="true">IF(G339&lt;&gt;"",TODAY()-G339,"")</f>
        <v/>
      </c>
    </row>
    <row r="340" customFormat="false" ht="18" hidden="false" customHeight="true" outlineLevel="0" collapsed="false">
      <c r="A340" s="16" t="s">
        <v>187</v>
      </c>
      <c r="B340" s="17" t="s">
        <v>78</v>
      </c>
      <c r="C340" s="17" t="s">
        <v>278</v>
      </c>
      <c r="D340" s="16" t="s">
        <v>46</v>
      </c>
      <c r="E340" s="17" t="s">
        <v>279</v>
      </c>
      <c r="F340" s="17" t="s">
        <v>188</v>
      </c>
      <c r="G340" s="17"/>
      <c r="H340" s="18" t="s">
        <v>33</v>
      </c>
      <c r="I340" s="12" t="str">
        <f aca="false">IF(OR(H340="Passed",H340="Accepted Exception"),"GREEN",IF(OR(H340="Not Started",H340="Failed"),"RED","AMBER"))</f>
        <v>RED</v>
      </c>
      <c r="J340" s="19" t="s">
        <v>34</v>
      </c>
      <c r="K340" s="14" t="str">
        <f aca="false">IF(OR(J340="Réussi",J340="Exception acceptée"),"GREEN",IF(OR(J340="Non commencé",J340="Échec"),"RED","AMBER"))</f>
        <v>RED</v>
      </c>
      <c r="L340" s="17"/>
      <c r="M340" s="17"/>
      <c r="N340" s="15" t="str">
        <f aca="true">IF(G340&lt;&gt;"",TODAY()-G340,"")</f>
        <v/>
      </c>
    </row>
    <row r="341" customFormat="false" ht="18" hidden="false" customHeight="true" outlineLevel="0" collapsed="false">
      <c r="A341" s="9" t="s">
        <v>44</v>
      </c>
      <c r="B341" s="10" t="s">
        <v>45</v>
      </c>
      <c r="C341" s="10" t="s">
        <v>278</v>
      </c>
      <c r="D341" s="9" t="s">
        <v>46</v>
      </c>
      <c r="E341" s="10" t="s">
        <v>279</v>
      </c>
      <c r="F341" s="10" t="s">
        <v>44</v>
      </c>
      <c r="G341" s="10"/>
      <c r="H341" s="11" t="s">
        <v>33</v>
      </c>
      <c r="I341" s="12" t="str">
        <f aca="false">IF(OR(H341="Passed",H341="Accepted Exception"),"GREEN",IF(OR(H341="Not Started",H341="Failed"),"RED","AMBER"))</f>
        <v>RED</v>
      </c>
      <c r="J341" s="13" t="s">
        <v>34</v>
      </c>
      <c r="K341" s="14" t="str">
        <f aca="false">IF(OR(J341="Réussi",J341="Exception acceptée"),"GREEN",IF(OR(J341="Non commencé",J341="Échec"),"RED","AMBER"))</f>
        <v>RED</v>
      </c>
      <c r="L341" s="10"/>
      <c r="M341" s="10"/>
      <c r="N341" s="15" t="str">
        <f aca="true">IF(G341&lt;&gt;"",TODAY()-G341,"")</f>
        <v/>
      </c>
    </row>
    <row r="342" customFormat="false" ht="18" hidden="false" customHeight="true" outlineLevel="0" collapsed="false">
      <c r="A342" s="16" t="s">
        <v>47</v>
      </c>
      <c r="B342" s="17" t="s">
        <v>48</v>
      </c>
      <c r="C342" s="17" t="s">
        <v>278</v>
      </c>
      <c r="D342" s="16" t="s">
        <v>46</v>
      </c>
      <c r="E342" s="17" t="s">
        <v>279</v>
      </c>
      <c r="F342" s="17" t="s">
        <v>47</v>
      </c>
      <c r="G342" s="17"/>
      <c r="H342" s="18" t="s">
        <v>33</v>
      </c>
      <c r="I342" s="12" t="str">
        <f aca="false">IF(OR(H342="Passed",H342="Accepted Exception"),"GREEN",IF(OR(H342="Not Started",H342="Failed"),"RED","AMBER"))</f>
        <v>RED</v>
      </c>
      <c r="J342" s="19" t="s">
        <v>34</v>
      </c>
      <c r="K342" s="14" t="str">
        <f aca="false">IF(OR(J342="Réussi",J342="Exception acceptée"),"GREEN",IF(OR(J342="Non commencé",J342="Échec"),"RED","AMBER"))</f>
        <v>RED</v>
      </c>
      <c r="L342" s="17"/>
      <c r="M342" s="17"/>
      <c r="N342" s="15" t="str">
        <f aca="true">IF(G342&lt;&gt;"",TODAY()-G342,"")</f>
        <v/>
      </c>
    </row>
    <row r="343" customFormat="false" ht="18" hidden="false" customHeight="true" outlineLevel="0" collapsed="false">
      <c r="A343" s="9" t="s">
        <v>49</v>
      </c>
      <c r="B343" s="10" t="s">
        <v>48</v>
      </c>
      <c r="C343" s="10" t="s">
        <v>278</v>
      </c>
      <c r="D343" s="9" t="s">
        <v>46</v>
      </c>
      <c r="E343" s="10" t="s">
        <v>279</v>
      </c>
      <c r="F343" s="10" t="s">
        <v>50</v>
      </c>
      <c r="G343" s="10"/>
      <c r="H343" s="11" t="s">
        <v>33</v>
      </c>
      <c r="I343" s="12" t="str">
        <f aca="false">IF(OR(H343="Passed",H343="Accepted Exception"),"GREEN",IF(OR(H343="Not Started",H343="Failed"),"RED","AMBER"))</f>
        <v>RED</v>
      </c>
      <c r="J343" s="13" t="s">
        <v>34</v>
      </c>
      <c r="K343" s="14" t="str">
        <f aca="false">IF(OR(J343="Réussi",J343="Exception acceptée"),"GREEN",IF(OR(J343="Non commencé",J343="Échec"),"RED","AMBER"))</f>
        <v>RED</v>
      </c>
      <c r="L343" s="10"/>
      <c r="M343" s="10"/>
      <c r="N343" s="15" t="str">
        <f aca="true">IF(G343&lt;&gt;"",TODAY()-G343,"")</f>
        <v/>
      </c>
    </row>
    <row r="344" customFormat="false" ht="18" hidden="false" customHeight="true" outlineLevel="0" collapsed="false">
      <c r="A344" s="16" t="s">
        <v>51</v>
      </c>
      <c r="B344" s="17" t="s">
        <v>52</v>
      </c>
      <c r="C344" s="17" t="s">
        <v>278</v>
      </c>
      <c r="D344" s="16" t="s">
        <v>53</v>
      </c>
      <c r="E344" s="17" t="s">
        <v>279</v>
      </c>
      <c r="F344" s="17" t="s">
        <v>51</v>
      </c>
      <c r="G344" s="17"/>
      <c r="H344" s="18" t="s">
        <v>33</v>
      </c>
      <c r="I344" s="12" t="str">
        <f aca="false">IF(OR(H344="Passed",H344="Accepted Exception"),"GREEN",IF(OR(H344="Not Started",H344="Failed"),"RED","AMBER"))</f>
        <v>RED</v>
      </c>
      <c r="J344" s="19" t="s">
        <v>34</v>
      </c>
      <c r="K344" s="14" t="str">
        <f aca="false">IF(OR(J344="Réussi",J344="Exception acceptée"),"GREEN",IF(OR(J344="Non commencé",J344="Échec"),"RED","AMBER"))</f>
        <v>RED</v>
      </c>
      <c r="L344" s="17"/>
      <c r="M344" s="17"/>
      <c r="N344" s="15" t="str">
        <f aca="true">IF(G344&lt;&gt;"",TODAY()-G344,"")</f>
        <v/>
      </c>
    </row>
    <row r="345" customFormat="false" ht="18" hidden="false" customHeight="true" outlineLevel="0" collapsed="false">
      <c r="A345" s="9" t="s">
        <v>54</v>
      </c>
      <c r="B345" s="10" t="s">
        <v>52</v>
      </c>
      <c r="C345" s="10" t="s">
        <v>278</v>
      </c>
      <c r="D345" s="9" t="s">
        <v>53</v>
      </c>
      <c r="E345" s="10" t="s">
        <v>279</v>
      </c>
      <c r="F345" s="10" t="s">
        <v>55</v>
      </c>
      <c r="G345" s="10"/>
      <c r="H345" s="11" t="s">
        <v>33</v>
      </c>
      <c r="I345" s="12" t="str">
        <f aca="false">IF(OR(H345="Passed",H345="Accepted Exception"),"GREEN",IF(OR(H345="Not Started",H345="Failed"),"RED","AMBER"))</f>
        <v>RED</v>
      </c>
      <c r="J345" s="13" t="s">
        <v>34</v>
      </c>
      <c r="K345" s="14" t="str">
        <f aca="false">IF(OR(J345="Réussi",J345="Exception acceptée"),"GREEN",IF(OR(J345="Non commencé",J345="Échec"),"RED","AMBER"))</f>
        <v>RED</v>
      </c>
      <c r="L345" s="10"/>
      <c r="M345" s="10"/>
      <c r="N345" s="15" t="str">
        <f aca="true">IF(G345&lt;&gt;"",TODAY()-G345,"")</f>
        <v/>
      </c>
    </row>
    <row r="346" customFormat="false" ht="18" hidden="false" customHeight="true" outlineLevel="0" collapsed="false">
      <c r="A346" s="16" t="s">
        <v>56</v>
      </c>
      <c r="B346" s="17" t="s">
        <v>57</v>
      </c>
      <c r="C346" s="17" t="s">
        <v>278</v>
      </c>
      <c r="D346" s="16" t="s">
        <v>53</v>
      </c>
      <c r="E346" s="17" t="s">
        <v>279</v>
      </c>
      <c r="F346" s="17" t="s">
        <v>56</v>
      </c>
      <c r="G346" s="17"/>
      <c r="H346" s="18" t="s">
        <v>33</v>
      </c>
      <c r="I346" s="12" t="str">
        <f aca="false">IF(OR(H346="Passed",H346="Accepted Exception"),"GREEN",IF(OR(H346="Not Started",H346="Failed"),"RED","AMBER"))</f>
        <v>RED</v>
      </c>
      <c r="J346" s="19" t="s">
        <v>34</v>
      </c>
      <c r="K346" s="14" t="str">
        <f aca="false">IF(OR(J346="Réussi",J346="Exception acceptée"),"GREEN",IF(OR(J346="Non commencé",J346="Échec"),"RED","AMBER"))</f>
        <v>RED</v>
      </c>
      <c r="L346" s="17"/>
      <c r="M346" s="17"/>
      <c r="N346" s="15" t="str">
        <f aca="true">IF(G346&lt;&gt;"",TODAY()-G346,"")</f>
        <v/>
      </c>
    </row>
    <row r="347" customFormat="false" ht="18" hidden="false" customHeight="true" outlineLevel="0" collapsed="false">
      <c r="A347" s="9" t="s">
        <v>58</v>
      </c>
      <c r="B347" s="10" t="s">
        <v>57</v>
      </c>
      <c r="C347" s="10" t="s">
        <v>278</v>
      </c>
      <c r="D347" s="9" t="s">
        <v>53</v>
      </c>
      <c r="E347" s="10" t="s">
        <v>279</v>
      </c>
      <c r="F347" s="10" t="s">
        <v>59</v>
      </c>
      <c r="G347" s="10"/>
      <c r="H347" s="11" t="s">
        <v>33</v>
      </c>
      <c r="I347" s="12" t="str">
        <f aca="false">IF(OR(H347="Passed",H347="Accepted Exception"),"GREEN",IF(OR(H347="Not Started",H347="Failed"),"RED","AMBER"))</f>
        <v>RED</v>
      </c>
      <c r="J347" s="13" t="s">
        <v>34</v>
      </c>
      <c r="K347" s="14" t="str">
        <f aca="false">IF(OR(J347="Réussi",J347="Exception acceptée"),"GREEN",IF(OR(J347="Non commencé",J347="Échec"),"RED","AMBER"))</f>
        <v>RED</v>
      </c>
      <c r="L347" s="10"/>
      <c r="M347" s="10"/>
      <c r="N347" s="15" t="str">
        <f aca="true">IF(G347&lt;&gt;"",TODAY()-G347,"")</f>
        <v/>
      </c>
    </row>
    <row r="348" customFormat="false" ht="18" hidden="false" customHeight="true" outlineLevel="0" collapsed="false">
      <c r="A348" s="16" t="s">
        <v>298</v>
      </c>
      <c r="B348" s="17" t="s">
        <v>299</v>
      </c>
      <c r="C348" s="17" t="s">
        <v>278</v>
      </c>
      <c r="D348" s="16" t="s">
        <v>137</v>
      </c>
      <c r="E348" s="17" t="s">
        <v>279</v>
      </c>
      <c r="F348" s="17" t="s">
        <v>298</v>
      </c>
      <c r="G348" s="17"/>
      <c r="H348" s="18" t="s">
        <v>33</v>
      </c>
      <c r="I348" s="12" t="str">
        <f aca="false">IF(OR(H348="Passed",H348="Accepted Exception"),"GREEN",IF(OR(H348="Not Started",H348="Failed"),"RED","AMBER"))</f>
        <v>RED</v>
      </c>
      <c r="J348" s="19" t="s">
        <v>34</v>
      </c>
      <c r="K348" s="14" t="str">
        <f aca="false">IF(OR(J348="Réussi",J348="Exception acceptée"),"GREEN",IF(OR(J348="Non commencé",J348="Échec"),"RED","AMBER"))</f>
        <v>RED</v>
      </c>
      <c r="L348" s="17"/>
      <c r="M348" s="17"/>
      <c r="N348" s="15" t="str">
        <f aca="true">IF(G348&lt;&gt;"",TODAY()-G348,"")</f>
        <v/>
      </c>
    </row>
    <row r="349" customFormat="false" ht="18" hidden="false" customHeight="true" outlineLevel="0" collapsed="false">
      <c r="A349" s="9" t="s">
        <v>300</v>
      </c>
      <c r="B349" s="10" t="s">
        <v>299</v>
      </c>
      <c r="C349" s="10" t="s">
        <v>278</v>
      </c>
      <c r="D349" s="9" t="s">
        <v>137</v>
      </c>
      <c r="E349" s="10" t="s">
        <v>279</v>
      </c>
      <c r="F349" s="10" t="s">
        <v>301</v>
      </c>
      <c r="G349" s="10"/>
      <c r="H349" s="11" t="s">
        <v>33</v>
      </c>
      <c r="I349" s="12" t="str">
        <f aca="false">IF(OR(H349="Passed",H349="Accepted Exception"),"GREEN",IF(OR(H349="Not Started",H349="Failed"),"RED","AMBER"))</f>
        <v>RED</v>
      </c>
      <c r="J349" s="13" t="s">
        <v>34</v>
      </c>
      <c r="K349" s="14" t="str">
        <f aca="false">IF(OR(J349="Réussi",J349="Exception acceptée"),"GREEN",IF(OR(J349="Non commencé",J349="Échec"),"RED","AMBER"))</f>
        <v>RED</v>
      </c>
      <c r="L349" s="10"/>
      <c r="M349" s="10"/>
      <c r="N349" s="15" t="str">
        <f aca="true">IF(G349&lt;&gt;"",TODAY()-G349,"")</f>
        <v/>
      </c>
    </row>
    <row r="350" customFormat="false" ht="18" hidden="false" customHeight="true" outlineLevel="0" collapsed="false">
      <c r="A350" s="16" t="s">
        <v>302</v>
      </c>
      <c r="B350" s="17" t="s">
        <v>299</v>
      </c>
      <c r="C350" s="17" t="s">
        <v>278</v>
      </c>
      <c r="D350" s="16" t="s">
        <v>137</v>
      </c>
      <c r="E350" s="17" t="s">
        <v>279</v>
      </c>
      <c r="F350" s="17" t="s">
        <v>303</v>
      </c>
      <c r="G350" s="17"/>
      <c r="H350" s="18" t="s">
        <v>33</v>
      </c>
      <c r="I350" s="12" t="str">
        <f aca="false">IF(OR(H350="Passed",H350="Accepted Exception"),"GREEN",IF(OR(H350="Not Started",H350="Failed"),"RED","AMBER"))</f>
        <v>RED</v>
      </c>
      <c r="J350" s="19" t="s">
        <v>34</v>
      </c>
      <c r="K350" s="14" t="str">
        <f aca="false">IF(OR(J350="Réussi",J350="Exception acceptée"),"GREEN",IF(OR(J350="Non commencé",J350="Échec"),"RED","AMBER"))</f>
        <v>RED</v>
      </c>
      <c r="L350" s="17"/>
      <c r="M350" s="17"/>
      <c r="N350" s="15" t="str">
        <f aca="true">IF(G350&lt;&gt;"",TODAY()-G350,"")</f>
        <v/>
      </c>
    </row>
    <row r="351" customFormat="false" ht="18" hidden="false" customHeight="true" outlineLevel="0" collapsed="false">
      <c r="A351" s="9" t="s">
        <v>304</v>
      </c>
      <c r="B351" s="10" t="s">
        <v>299</v>
      </c>
      <c r="C351" s="10" t="s">
        <v>278</v>
      </c>
      <c r="D351" s="9" t="s">
        <v>137</v>
      </c>
      <c r="E351" s="10" t="s">
        <v>279</v>
      </c>
      <c r="F351" s="10" t="s">
        <v>305</v>
      </c>
      <c r="G351" s="10"/>
      <c r="H351" s="11" t="s">
        <v>33</v>
      </c>
      <c r="I351" s="12" t="str">
        <f aca="false">IF(OR(H351="Passed",H351="Accepted Exception"),"GREEN",IF(OR(H351="Not Started",H351="Failed"),"RED","AMBER"))</f>
        <v>RED</v>
      </c>
      <c r="J351" s="13" t="s">
        <v>34</v>
      </c>
      <c r="K351" s="14" t="str">
        <f aca="false">IF(OR(J351="Réussi",J351="Exception acceptée"),"GREEN",IF(OR(J351="Non commencé",J351="Échec"),"RED","AMBER"))</f>
        <v>RED</v>
      </c>
      <c r="L351" s="10"/>
      <c r="M351" s="10"/>
      <c r="N351" s="15" t="str">
        <f aca="true">IF(G351&lt;&gt;"",TODAY()-G351,"")</f>
        <v/>
      </c>
    </row>
    <row r="352" customFormat="false" ht="18" hidden="false" customHeight="true" outlineLevel="0" collapsed="false">
      <c r="A352" s="16" t="s">
        <v>306</v>
      </c>
      <c r="B352" s="17" t="s">
        <v>299</v>
      </c>
      <c r="C352" s="17" t="s">
        <v>278</v>
      </c>
      <c r="D352" s="16" t="s">
        <v>137</v>
      </c>
      <c r="E352" s="17" t="s">
        <v>279</v>
      </c>
      <c r="F352" s="17" t="s">
        <v>307</v>
      </c>
      <c r="G352" s="17"/>
      <c r="H352" s="18" t="s">
        <v>33</v>
      </c>
      <c r="I352" s="12" t="str">
        <f aca="false">IF(OR(H352="Passed",H352="Accepted Exception"),"GREEN",IF(OR(H352="Not Started",H352="Failed"),"RED","AMBER"))</f>
        <v>RED</v>
      </c>
      <c r="J352" s="19" t="s">
        <v>34</v>
      </c>
      <c r="K352" s="14" t="str">
        <f aca="false">IF(OR(J352="Réussi",J352="Exception acceptée"),"GREEN",IF(OR(J352="Non commencé",J352="Échec"),"RED","AMBER"))</f>
        <v>RED</v>
      </c>
      <c r="L352" s="17"/>
      <c r="M352" s="17"/>
      <c r="N352" s="15" t="str">
        <f aca="true">IF(G352&lt;&gt;"",TODAY()-G352,"")</f>
        <v/>
      </c>
    </row>
    <row r="353" customFormat="false" ht="18" hidden="false" customHeight="true" outlineLevel="0" collapsed="false">
      <c r="A353" s="9" t="s">
        <v>308</v>
      </c>
      <c r="B353" s="10" t="s">
        <v>299</v>
      </c>
      <c r="C353" s="10" t="s">
        <v>278</v>
      </c>
      <c r="D353" s="9" t="s">
        <v>137</v>
      </c>
      <c r="E353" s="10" t="s">
        <v>279</v>
      </c>
      <c r="F353" s="10" t="s">
        <v>309</v>
      </c>
      <c r="G353" s="10"/>
      <c r="H353" s="11" t="s">
        <v>33</v>
      </c>
      <c r="I353" s="12" t="str">
        <f aca="false">IF(OR(H353="Passed",H353="Accepted Exception"),"GREEN",IF(OR(H353="Not Started",H353="Failed"),"RED","AMBER"))</f>
        <v>RED</v>
      </c>
      <c r="J353" s="13" t="s">
        <v>34</v>
      </c>
      <c r="K353" s="14" t="str">
        <f aca="false">IF(OR(J353="Réussi",J353="Exception acceptée"),"GREEN",IF(OR(J353="Non commencé",J353="Échec"),"RED","AMBER"))</f>
        <v>RED</v>
      </c>
      <c r="L353" s="10"/>
      <c r="M353" s="10"/>
      <c r="N353" s="15" t="str">
        <f aca="true">IF(G353&lt;&gt;"",TODAY()-G353,"")</f>
        <v/>
      </c>
    </row>
    <row r="354" customFormat="false" ht="18" hidden="false" customHeight="true" outlineLevel="0" collapsed="false">
      <c r="A354" s="16" t="s">
        <v>310</v>
      </c>
      <c r="B354" s="17" t="s">
        <v>311</v>
      </c>
      <c r="C354" s="17" t="s">
        <v>278</v>
      </c>
      <c r="D354" s="16" t="s">
        <v>137</v>
      </c>
      <c r="E354" s="17" t="s">
        <v>279</v>
      </c>
      <c r="F354" s="17" t="s">
        <v>310</v>
      </c>
      <c r="G354" s="17"/>
      <c r="H354" s="18" t="s">
        <v>33</v>
      </c>
      <c r="I354" s="12" t="str">
        <f aca="false">IF(OR(H354="Passed",H354="Accepted Exception"),"GREEN",IF(OR(H354="Not Started",H354="Failed"),"RED","AMBER"))</f>
        <v>RED</v>
      </c>
      <c r="J354" s="19" t="s">
        <v>34</v>
      </c>
      <c r="K354" s="14" t="str">
        <f aca="false">IF(OR(J354="Réussi",J354="Exception acceptée"),"GREEN",IF(OR(J354="Non commencé",J354="Échec"),"RED","AMBER"))</f>
        <v>RED</v>
      </c>
      <c r="L354" s="17"/>
      <c r="M354" s="17"/>
      <c r="N354" s="15" t="str">
        <f aca="true">IF(G354&lt;&gt;"",TODAY()-G354,"")</f>
        <v/>
      </c>
    </row>
    <row r="355" customFormat="false" ht="18" hidden="false" customHeight="true" outlineLevel="0" collapsed="false">
      <c r="A355" s="9" t="s">
        <v>312</v>
      </c>
      <c r="B355" s="10" t="s">
        <v>136</v>
      </c>
      <c r="C355" s="10" t="s">
        <v>278</v>
      </c>
      <c r="D355" s="9" t="s">
        <v>137</v>
      </c>
      <c r="E355" s="10" t="s">
        <v>279</v>
      </c>
      <c r="F355" s="10" t="s">
        <v>312</v>
      </c>
      <c r="G355" s="10"/>
      <c r="H355" s="11" t="s">
        <v>33</v>
      </c>
      <c r="I355" s="12" t="str">
        <f aca="false">IF(OR(H355="Passed",H355="Accepted Exception"),"GREEN",IF(OR(H355="Not Started",H355="Failed"),"RED","AMBER"))</f>
        <v>RED</v>
      </c>
      <c r="J355" s="13" t="s">
        <v>34</v>
      </c>
      <c r="K355" s="14" t="str">
        <f aca="false">IF(OR(J355="Réussi",J355="Exception acceptée"),"GREEN",IF(OR(J355="Non commencé",J355="Échec"),"RED","AMBER"))</f>
        <v>RED</v>
      </c>
      <c r="L355" s="10"/>
      <c r="M355" s="10"/>
      <c r="N355" s="15" t="str">
        <f aca="true">IF(G355&lt;&gt;"",TODAY()-G355,"")</f>
        <v/>
      </c>
    </row>
    <row r="356" customFormat="false" ht="18" hidden="false" customHeight="true" outlineLevel="0" collapsed="false">
      <c r="A356" s="16" t="s">
        <v>313</v>
      </c>
      <c r="B356" s="17" t="s">
        <v>136</v>
      </c>
      <c r="C356" s="17" t="s">
        <v>278</v>
      </c>
      <c r="D356" s="16" t="s">
        <v>137</v>
      </c>
      <c r="E356" s="17" t="s">
        <v>279</v>
      </c>
      <c r="F356" s="17" t="s">
        <v>314</v>
      </c>
      <c r="G356" s="17"/>
      <c r="H356" s="18" t="s">
        <v>33</v>
      </c>
      <c r="I356" s="12" t="str">
        <f aca="false">IF(OR(H356="Passed",H356="Accepted Exception"),"GREEN",IF(OR(H356="Not Started",H356="Failed"),"RED","AMBER"))</f>
        <v>RED</v>
      </c>
      <c r="J356" s="19" t="s">
        <v>34</v>
      </c>
      <c r="K356" s="14" t="str">
        <f aca="false">IF(OR(J356="Réussi",J356="Exception acceptée"),"GREEN",IF(OR(J356="Non commencé",J356="Échec"),"RED","AMBER"))</f>
        <v>RED</v>
      </c>
      <c r="L356" s="17"/>
      <c r="M356" s="17"/>
      <c r="N356" s="15" t="str">
        <f aca="true">IF(G356&lt;&gt;"",TODAY()-G356,"")</f>
        <v/>
      </c>
    </row>
    <row r="357" customFormat="false" ht="18" hidden="false" customHeight="true" outlineLevel="0" collapsed="false">
      <c r="A357" s="9" t="s">
        <v>315</v>
      </c>
      <c r="B357" s="10" t="s">
        <v>136</v>
      </c>
      <c r="C357" s="10" t="s">
        <v>278</v>
      </c>
      <c r="D357" s="9" t="s">
        <v>137</v>
      </c>
      <c r="E357" s="10" t="s">
        <v>279</v>
      </c>
      <c r="F357" s="10" t="s">
        <v>316</v>
      </c>
      <c r="G357" s="10"/>
      <c r="H357" s="11" t="s">
        <v>33</v>
      </c>
      <c r="I357" s="12" t="str">
        <f aca="false">IF(OR(H357="Passed",H357="Accepted Exception"),"GREEN",IF(OR(H357="Not Started",H357="Failed"),"RED","AMBER"))</f>
        <v>RED</v>
      </c>
      <c r="J357" s="13" t="s">
        <v>34</v>
      </c>
      <c r="K357" s="14" t="str">
        <f aca="false">IF(OR(J357="Réussi",J357="Exception acceptée"),"GREEN",IF(OR(J357="Non commencé",J357="Échec"),"RED","AMBER"))</f>
        <v>RED</v>
      </c>
      <c r="L357" s="10"/>
      <c r="M357" s="10"/>
      <c r="N357" s="15" t="str">
        <f aca="true">IF(G357&lt;&gt;"",TODAY()-G357,"")</f>
        <v/>
      </c>
    </row>
    <row r="358" customFormat="false" ht="18" hidden="false" customHeight="true" outlineLevel="0" collapsed="false">
      <c r="A358" s="16" t="s">
        <v>317</v>
      </c>
      <c r="B358" s="17" t="s">
        <v>136</v>
      </c>
      <c r="C358" s="17" t="s">
        <v>278</v>
      </c>
      <c r="D358" s="16" t="s">
        <v>137</v>
      </c>
      <c r="E358" s="17" t="s">
        <v>279</v>
      </c>
      <c r="F358" s="17" t="s">
        <v>318</v>
      </c>
      <c r="G358" s="17"/>
      <c r="H358" s="18" t="s">
        <v>33</v>
      </c>
      <c r="I358" s="12" t="str">
        <f aca="false">IF(OR(H358="Passed",H358="Accepted Exception"),"GREEN",IF(OR(H358="Not Started",H358="Failed"),"RED","AMBER"))</f>
        <v>RED</v>
      </c>
      <c r="J358" s="19" t="s">
        <v>34</v>
      </c>
      <c r="K358" s="14" t="str">
        <f aca="false">IF(OR(J358="Réussi",J358="Exception acceptée"),"GREEN",IF(OR(J358="Non commencé",J358="Échec"),"RED","AMBER"))</f>
        <v>RED</v>
      </c>
      <c r="L358" s="17"/>
      <c r="M358" s="17"/>
      <c r="N358" s="15" t="str">
        <f aca="true">IF(G358&lt;&gt;"",TODAY()-G358,"")</f>
        <v/>
      </c>
    </row>
    <row r="359" customFormat="false" ht="18" hidden="false" customHeight="true" outlineLevel="0" collapsed="false">
      <c r="A359" s="9" t="s">
        <v>135</v>
      </c>
      <c r="B359" s="10" t="s">
        <v>136</v>
      </c>
      <c r="C359" s="10" t="s">
        <v>278</v>
      </c>
      <c r="D359" s="9" t="s">
        <v>137</v>
      </c>
      <c r="E359" s="10" t="s">
        <v>279</v>
      </c>
      <c r="F359" s="10" t="s">
        <v>138</v>
      </c>
      <c r="G359" s="10"/>
      <c r="H359" s="11" t="s">
        <v>33</v>
      </c>
      <c r="I359" s="12" t="str">
        <f aca="false">IF(OR(H359="Passed",H359="Accepted Exception"),"GREEN",IF(OR(H359="Not Started",H359="Failed"),"RED","AMBER"))</f>
        <v>RED</v>
      </c>
      <c r="J359" s="13" t="s">
        <v>34</v>
      </c>
      <c r="K359" s="14" t="str">
        <f aca="false">IF(OR(J359="Réussi",J359="Exception acceptée"),"GREEN",IF(OR(J359="Non commencé",J359="Échec"),"RED","AMBER"))</f>
        <v>RED</v>
      </c>
      <c r="L359" s="10"/>
      <c r="M359" s="10"/>
      <c r="N359" s="15" t="str">
        <f aca="true">IF(G359&lt;&gt;"",TODAY()-G359,"")</f>
        <v/>
      </c>
    </row>
    <row r="360" customFormat="false" ht="18" hidden="false" customHeight="true" outlineLevel="0" collapsed="false">
      <c r="A360" s="16" t="s">
        <v>319</v>
      </c>
      <c r="B360" s="17" t="s">
        <v>320</v>
      </c>
      <c r="C360" s="17" t="s">
        <v>278</v>
      </c>
      <c r="D360" s="16" t="s">
        <v>137</v>
      </c>
      <c r="E360" s="17" t="s">
        <v>279</v>
      </c>
      <c r="F360" s="17" t="s">
        <v>319</v>
      </c>
      <c r="G360" s="17"/>
      <c r="H360" s="18" t="s">
        <v>33</v>
      </c>
      <c r="I360" s="12" t="str">
        <f aca="false">IF(OR(H360="Passed",H360="Accepted Exception"),"GREEN",IF(OR(H360="Not Started",H360="Failed"),"RED","AMBER"))</f>
        <v>RED</v>
      </c>
      <c r="J360" s="19" t="s">
        <v>34</v>
      </c>
      <c r="K360" s="14" t="str">
        <f aca="false">IF(OR(J360="Réussi",J360="Exception acceptée"),"GREEN",IF(OR(J360="Non commencé",J360="Échec"),"RED","AMBER"))</f>
        <v>RED</v>
      </c>
      <c r="L360" s="17"/>
      <c r="M360" s="17"/>
      <c r="N360" s="15" t="str">
        <f aca="true">IF(G360&lt;&gt;"",TODAY()-G360,"")</f>
        <v/>
      </c>
    </row>
    <row r="361" customFormat="false" ht="18" hidden="false" customHeight="true" outlineLevel="0" collapsed="false">
      <c r="A361" s="9" t="s">
        <v>321</v>
      </c>
      <c r="B361" s="10" t="s">
        <v>322</v>
      </c>
      <c r="C361" s="10" t="s">
        <v>278</v>
      </c>
      <c r="D361" s="9" t="s">
        <v>137</v>
      </c>
      <c r="E361" s="10" t="s">
        <v>279</v>
      </c>
      <c r="F361" s="10" t="s">
        <v>321</v>
      </c>
      <c r="G361" s="10"/>
      <c r="H361" s="11" t="s">
        <v>33</v>
      </c>
      <c r="I361" s="12" t="str">
        <f aca="false">IF(OR(H361="Passed",H361="Accepted Exception"),"GREEN",IF(OR(H361="Not Started",H361="Failed"),"RED","AMBER"))</f>
        <v>RED</v>
      </c>
      <c r="J361" s="13" t="s">
        <v>34</v>
      </c>
      <c r="K361" s="14" t="str">
        <f aca="false">IF(OR(J361="Réussi",J361="Exception acceptée"),"GREEN",IF(OR(J361="Non commencé",J361="Échec"),"RED","AMBER"))</f>
        <v>RED</v>
      </c>
      <c r="L361" s="10"/>
      <c r="M361" s="10"/>
      <c r="N361" s="15" t="str">
        <f aca="true">IF(G361&lt;&gt;"",TODAY()-G361,"")</f>
        <v/>
      </c>
    </row>
    <row r="362" customFormat="false" ht="18" hidden="false" customHeight="true" outlineLevel="0" collapsed="false">
      <c r="A362" s="16" t="s">
        <v>323</v>
      </c>
      <c r="B362" s="17" t="s">
        <v>324</v>
      </c>
      <c r="C362" s="17" t="s">
        <v>278</v>
      </c>
      <c r="D362" s="16" t="s">
        <v>137</v>
      </c>
      <c r="E362" s="17" t="s">
        <v>279</v>
      </c>
      <c r="F362" s="17" t="s">
        <v>323</v>
      </c>
      <c r="G362" s="17"/>
      <c r="H362" s="18" t="s">
        <v>33</v>
      </c>
      <c r="I362" s="12" t="str">
        <f aca="false">IF(OR(H362="Passed",H362="Accepted Exception"),"GREEN",IF(OR(H362="Not Started",H362="Failed"),"RED","AMBER"))</f>
        <v>RED</v>
      </c>
      <c r="J362" s="19" t="s">
        <v>34</v>
      </c>
      <c r="K362" s="14" t="str">
        <f aca="false">IF(OR(J362="Réussi",J362="Exception acceptée"),"GREEN",IF(OR(J362="Non commencé",J362="Échec"),"RED","AMBER"))</f>
        <v>RED</v>
      </c>
      <c r="L362" s="17"/>
      <c r="M362" s="17"/>
      <c r="N362" s="15" t="str">
        <f aca="true">IF(G362&lt;&gt;"",TODAY()-G362,"")</f>
        <v/>
      </c>
    </row>
    <row r="363" customFormat="false" ht="18" hidden="false" customHeight="true" outlineLevel="0" collapsed="false">
      <c r="A363" s="9" t="s">
        <v>224</v>
      </c>
      <c r="B363" s="10" t="s">
        <v>225</v>
      </c>
      <c r="C363" s="10" t="s">
        <v>278</v>
      </c>
      <c r="D363" s="9" t="s">
        <v>226</v>
      </c>
      <c r="E363" s="10" t="s">
        <v>279</v>
      </c>
      <c r="F363" s="10" t="s">
        <v>224</v>
      </c>
      <c r="G363" s="10"/>
      <c r="H363" s="11" t="s">
        <v>33</v>
      </c>
      <c r="I363" s="12" t="str">
        <f aca="false">IF(OR(H363="Passed",H363="Accepted Exception"),"GREEN",IF(OR(H363="Not Started",H363="Failed"),"RED","AMBER"))</f>
        <v>RED</v>
      </c>
      <c r="J363" s="13" t="s">
        <v>34</v>
      </c>
      <c r="K363" s="14" t="str">
        <f aca="false">IF(OR(J363="Réussi",J363="Exception acceptée"),"GREEN",IF(OR(J363="Non commencé",J363="Échec"),"RED","AMBER"))</f>
        <v>RED</v>
      </c>
      <c r="L363" s="10"/>
      <c r="M363" s="10"/>
      <c r="N363" s="15" t="str">
        <f aca="true">IF(G363&lt;&gt;"",TODAY()-G363,"")</f>
        <v/>
      </c>
    </row>
    <row r="364" customFormat="false" ht="18" hidden="false" customHeight="true" outlineLevel="0" collapsed="false">
      <c r="A364" s="16" t="s">
        <v>60</v>
      </c>
      <c r="B364" s="17" t="s">
        <v>61</v>
      </c>
      <c r="C364" s="17" t="s">
        <v>278</v>
      </c>
      <c r="D364" s="16" t="s">
        <v>62</v>
      </c>
      <c r="E364" s="17" t="s">
        <v>279</v>
      </c>
      <c r="F364" s="17" t="s">
        <v>63</v>
      </c>
      <c r="G364" s="17"/>
      <c r="H364" s="18" t="s">
        <v>33</v>
      </c>
      <c r="I364" s="12" t="str">
        <f aca="false">IF(OR(H364="Passed",H364="Accepted Exception"),"GREEN",IF(OR(H364="Not Started",H364="Failed"),"RED","AMBER"))</f>
        <v>RED</v>
      </c>
      <c r="J364" s="19" t="s">
        <v>34</v>
      </c>
      <c r="K364" s="14" t="str">
        <f aca="false">IF(OR(J364="Réussi",J364="Exception acceptée"),"GREEN",IF(OR(J364="Non commencé",J364="Échec"),"RED","AMBER"))</f>
        <v>RED</v>
      </c>
      <c r="L364" s="17"/>
      <c r="M364" s="17"/>
      <c r="N364" s="15" t="str">
        <f aca="true">IF(G364&lt;&gt;"",TODAY()-G364,"")</f>
        <v/>
      </c>
    </row>
    <row r="365" customFormat="false" ht="18" hidden="false" customHeight="true" outlineLevel="0" collapsed="false">
      <c r="A365" s="9" t="s">
        <v>95</v>
      </c>
      <c r="B365" s="10" t="s">
        <v>96</v>
      </c>
      <c r="C365" s="10" t="s">
        <v>278</v>
      </c>
      <c r="D365" s="9" t="s">
        <v>94</v>
      </c>
      <c r="E365" s="10" t="s">
        <v>279</v>
      </c>
      <c r="F365" s="10" t="s">
        <v>95</v>
      </c>
      <c r="G365" s="10"/>
      <c r="H365" s="11" t="s">
        <v>33</v>
      </c>
      <c r="I365" s="12" t="str">
        <f aca="false">IF(OR(H365="Passed",H365="Accepted Exception"),"GREEN",IF(OR(H365="Not Started",H365="Failed"),"RED","AMBER"))</f>
        <v>RED</v>
      </c>
      <c r="J365" s="13" t="s">
        <v>34</v>
      </c>
      <c r="K365" s="14" t="str">
        <f aca="false">IF(OR(J365="Réussi",J365="Exception acceptée"),"GREEN",IF(OR(J365="Non commencé",J365="Échec"),"RED","AMBER"))</f>
        <v>RED</v>
      </c>
      <c r="L365" s="10"/>
      <c r="M365" s="10"/>
      <c r="N365" s="15" t="str">
        <f aca="true">IF(G365&lt;&gt;"",TODAY()-G365,"")</f>
        <v/>
      </c>
    </row>
    <row r="366" customFormat="false" ht="18" hidden="false" customHeight="true" outlineLevel="0" collapsed="false">
      <c r="A366" s="16" t="s">
        <v>64</v>
      </c>
      <c r="B366" s="17" t="s">
        <v>65</v>
      </c>
      <c r="C366" s="17" t="s">
        <v>278</v>
      </c>
      <c r="D366" s="16" t="s">
        <v>66</v>
      </c>
      <c r="E366" s="17" t="s">
        <v>279</v>
      </c>
      <c r="F366" s="17" t="s">
        <v>67</v>
      </c>
      <c r="G366" s="17"/>
      <c r="H366" s="18" t="s">
        <v>33</v>
      </c>
      <c r="I366" s="12" t="str">
        <f aca="false">IF(OR(H366="Passed",H366="Accepted Exception"),"GREEN",IF(OR(H366="Not Started",H366="Failed"),"RED","AMBER"))</f>
        <v>RED</v>
      </c>
      <c r="J366" s="19" t="s">
        <v>34</v>
      </c>
      <c r="K366" s="14" t="str">
        <f aca="false">IF(OR(J366="Réussi",J366="Exception acceptée"),"GREEN",IF(OR(J366="Non commencé",J366="Échec"),"RED","AMBER"))</f>
        <v>RED</v>
      </c>
      <c r="L366" s="17"/>
      <c r="M366" s="17"/>
      <c r="N366" s="15" t="str">
        <f aca="true">IF(G366&lt;&gt;"",TODAY()-G366,"")</f>
        <v/>
      </c>
    </row>
    <row r="367" customFormat="false" ht="18" hidden="false" customHeight="true" outlineLevel="0" collapsed="false">
      <c r="A367" s="9" t="s">
        <v>68</v>
      </c>
      <c r="B367" s="10" t="s">
        <v>69</v>
      </c>
      <c r="C367" s="10" t="s">
        <v>278</v>
      </c>
      <c r="D367" s="9" t="s">
        <v>66</v>
      </c>
      <c r="E367" s="10" t="s">
        <v>279</v>
      </c>
      <c r="F367" s="10" t="s">
        <v>68</v>
      </c>
      <c r="G367" s="10"/>
      <c r="H367" s="11" t="s">
        <v>33</v>
      </c>
      <c r="I367" s="12" t="str">
        <f aca="false">IF(OR(H367="Passed",H367="Accepted Exception"),"GREEN",IF(OR(H367="Not Started",H367="Failed"),"RED","AMBER"))</f>
        <v>RED</v>
      </c>
      <c r="J367" s="13" t="s">
        <v>34</v>
      </c>
      <c r="K367" s="14" t="str">
        <f aca="false">IF(OR(J367="Réussi",J367="Exception acceptée"),"GREEN",IF(OR(J367="Non commencé",J367="Échec"),"RED","AMBER"))</f>
        <v>RED</v>
      </c>
      <c r="L367" s="10"/>
      <c r="M367" s="10"/>
      <c r="N367" s="15" t="str">
        <f aca="true">IF(G367&lt;&gt;"",TODAY()-G367,"")</f>
        <v/>
      </c>
    </row>
    <row r="368" customFormat="false" ht="18" hidden="false" customHeight="true" outlineLevel="0" collapsed="false">
      <c r="A368" s="16" t="s">
        <v>101</v>
      </c>
      <c r="B368" s="17" t="s">
        <v>102</v>
      </c>
      <c r="C368" s="17" t="s">
        <v>325</v>
      </c>
      <c r="D368" s="16" t="s">
        <v>104</v>
      </c>
      <c r="E368" s="17" t="s">
        <v>326</v>
      </c>
      <c r="F368" s="17" t="s">
        <v>101</v>
      </c>
      <c r="G368" s="17"/>
      <c r="H368" s="18" t="s">
        <v>33</v>
      </c>
      <c r="I368" s="12" t="str">
        <f aca="false">IF(OR(H368="Passed",H368="Accepted Exception"),"GREEN",IF(OR(H368="Not Started",H368="Failed"),"RED","AMBER"))</f>
        <v>RED</v>
      </c>
      <c r="J368" s="19" t="s">
        <v>34</v>
      </c>
      <c r="K368" s="14" t="str">
        <f aca="false">IF(OR(J368="Réussi",J368="Exception acceptée"),"GREEN",IF(OR(J368="Non commencé",J368="Échec"),"RED","AMBER"))</f>
        <v>RED</v>
      </c>
      <c r="L368" s="17"/>
      <c r="M368" s="17"/>
      <c r="N368" s="15" t="str">
        <f aca="true">IF(G368&lt;&gt;"",TODAY()-G368,"")</f>
        <v/>
      </c>
    </row>
    <row r="369" customFormat="false" ht="18" hidden="false" customHeight="true" outlineLevel="0" collapsed="false">
      <c r="A369" s="9" t="s">
        <v>106</v>
      </c>
      <c r="B369" s="10" t="s">
        <v>102</v>
      </c>
      <c r="C369" s="10" t="s">
        <v>325</v>
      </c>
      <c r="D369" s="9" t="s">
        <v>104</v>
      </c>
      <c r="E369" s="10" t="s">
        <v>326</v>
      </c>
      <c r="F369" s="10" t="s">
        <v>107</v>
      </c>
      <c r="G369" s="10"/>
      <c r="H369" s="11" t="s">
        <v>33</v>
      </c>
      <c r="I369" s="12" t="str">
        <f aca="false">IF(OR(H369="Passed",H369="Accepted Exception"),"GREEN",IF(OR(H369="Not Started",H369="Failed"),"RED","AMBER"))</f>
        <v>RED</v>
      </c>
      <c r="J369" s="13" t="s">
        <v>34</v>
      </c>
      <c r="K369" s="14" t="str">
        <f aca="false">IF(OR(J369="Réussi",J369="Exception acceptée"),"GREEN",IF(OR(J369="Non commencé",J369="Échec"),"RED","AMBER"))</f>
        <v>RED</v>
      </c>
      <c r="L369" s="10"/>
      <c r="M369" s="10"/>
      <c r="N369" s="15" t="str">
        <f aca="true">IF(G369&lt;&gt;"",TODAY()-G369,"")</f>
        <v/>
      </c>
    </row>
    <row r="370" customFormat="false" ht="18" hidden="false" customHeight="true" outlineLevel="0" collapsed="false">
      <c r="A370" s="16" t="s">
        <v>28</v>
      </c>
      <c r="B370" s="17" t="s">
        <v>29</v>
      </c>
      <c r="C370" s="17" t="s">
        <v>325</v>
      </c>
      <c r="D370" s="16" t="s">
        <v>31</v>
      </c>
      <c r="E370" s="17" t="s">
        <v>326</v>
      </c>
      <c r="F370" s="17" t="s">
        <v>28</v>
      </c>
      <c r="G370" s="17"/>
      <c r="H370" s="18" t="s">
        <v>33</v>
      </c>
      <c r="I370" s="12" t="str">
        <f aca="false">IF(OR(H370="Passed",H370="Accepted Exception"),"GREEN",IF(OR(H370="Not Started",H370="Failed"),"RED","AMBER"))</f>
        <v>RED</v>
      </c>
      <c r="J370" s="19" t="s">
        <v>34</v>
      </c>
      <c r="K370" s="14" t="str">
        <f aca="false">IF(OR(J370="Réussi",J370="Exception acceptée"),"GREEN",IF(OR(J370="Non commencé",J370="Échec"),"RED","AMBER"))</f>
        <v>RED</v>
      </c>
      <c r="L370" s="17"/>
      <c r="M370" s="17"/>
      <c r="N370" s="15" t="str">
        <f aca="true">IF(G370&lt;&gt;"",TODAY()-G370,"")</f>
        <v/>
      </c>
    </row>
    <row r="371" customFormat="false" ht="18" hidden="false" customHeight="true" outlineLevel="0" collapsed="false">
      <c r="A371" s="9" t="s">
        <v>35</v>
      </c>
      <c r="B371" s="10" t="s">
        <v>36</v>
      </c>
      <c r="C371" s="10" t="s">
        <v>325</v>
      </c>
      <c r="D371" s="9" t="s">
        <v>31</v>
      </c>
      <c r="E371" s="10" t="s">
        <v>326</v>
      </c>
      <c r="F371" s="10" t="s">
        <v>35</v>
      </c>
      <c r="G371" s="10"/>
      <c r="H371" s="11" t="s">
        <v>33</v>
      </c>
      <c r="I371" s="12" t="str">
        <f aca="false">IF(OR(H371="Passed",H371="Accepted Exception"),"GREEN",IF(OR(H371="Not Started",H371="Failed"),"RED","AMBER"))</f>
        <v>RED</v>
      </c>
      <c r="J371" s="13" t="s">
        <v>34</v>
      </c>
      <c r="K371" s="14" t="str">
        <f aca="false">IF(OR(J371="Réussi",J371="Exception acceptée"),"GREEN",IF(OR(J371="Non commencé",J371="Échec"),"RED","AMBER"))</f>
        <v>RED</v>
      </c>
      <c r="L371" s="10"/>
      <c r="M371" s="10"/>
      <c r="N371" s="15" t="str">
        <f aca="true">IF(G371&lt;&gt;"",TODAY()-G371,"")</f>
        <v/>
      </c>
    </row>
    <row r="372" customFormat="false" ht="18" hidden="false" customHeight="true" outlineLevel="0" collapsed="false">
      <c r="A372" s="16" t="s">
        <v>37</v>
      </c>
      <c r="B372" s="17" t="s">
        <v>36</v>
      </c>
      <c r="C372" s="17" t="s">
        <v>325</v>
      </c>
      <c r="D372" s="16" t="s">
        <v>31</v>
      </c>
      <c r="E372" s="17" t="s">
        <v>326</v>
      </c>
      <c r="F372" s="17" t="s">
        <v>38</v>
      </c>
      <c r="G372" s="17"/>
      <c r="H372" s="18" t="s">
        <v>33</v>
      </c>
      <c r="I372" s="12" t="str">
        <f aca="false">IF(OR(H372="Passed",H372="Accepted Exception"),"GREEN",IF(OR(H372="Not Started",H372="Failed"),"RED","AMBER"))</f>
        <v>RED</v>
      </c>
      <c r="J372" s="19" t="s">
        <v>34</v>
      </c>
      <c r="K372" s="14" t="str">
        <f aca="false">IF(OR(J372="Réussi",J372="Exception acceptée"),"GREEN",IF(OR(J372="Non commencé",J372="Échec"),"RED","AMBER"))</f>
        <v>RED</v>
      </c>
      <c r="L372" s="17"/>
      <c r="M372" s="17"/>
      <c r="N372" s="15" t="str">
        <f aca="true">IF(G372&lt;&gt;"",TODAY()-G372,"")</f>
        <v/>
      </c>
    </row>
    <row r="373" customFormat="false" ht="18" hidden="false" customHeight="true" outlineLevel="0" collapsed="false">
      <c r="A373" s="9" t="s">
        <v>39</v>
      </c>
      <c r="B373" s="10" t="s">
        <v>40</v>
      </c>
      <c r="C373" s="10" t="s">
        <v>325</v>
      </c>
      <c r="D373" s="9" t="s">
        <v>31</v>
      </c>
      <c r="E373" s="10" t="s">
        <v>326</v>
      </c>
      <c r="F373" s="10" t="s">
        <v>41</v>
      </c>
      <c r="G373" s="10"/>
      <c r="H373" s="11" t="s">
        <v>33</v>
      </c>
      <c r="I373" s="12" t="str">
        <f aca="false">IF(OR(H373="Passed",H373="Accepted Exception"),"GREEN",IF(OR(H373="Not Started",H373="Failed"),"RED","AMBER"))</f>
        <v>RED</v>
      </c>
      <c r="J373" s="13" t="s">
        <v>34</v>
      </c>
      <c r="K373" s="14" t="str">
        <f aca="false">IF(OR(J373="Réussi",J373="Exception acceptée"),"GREEN",IF(OR(J373="Non commencé",J373="Échec"),"RED","AMBER"))</f>
        <v>RED</v>
      </c>
      <c r="L373" s="10"/>
      <c r="M373" s="10"/>
      <c r="N373" s="15" t="str">
        <f aca="true">IF(G373&lt;&gt;"",TODAY()-G373,"")</f>
        <v/>
      </c>
    </row>
    <row r="374" customFormat="false" ht="18" hidden="false" customHeight="true" outlineLevel="0" collapsed="false">
      <c r="A374" s="16" t="s">
        <v>42</v>
      </c>
      <c r="B374" s="17" t="s">
        <v>43</v>
      </c>
      <c r="C374" s="17" t="s">
        <v>325</v>
      </c>
      <c r="D374" s="16" t="s">
        <v>31</v>
      </c>
      <c r="E374" s="17" t="s">
        <v>326</v>
      </c>
      <c r="F374" s="17" t="s">
        <v>42</v>
      </c>
      <c r="G374" s="17"/>
      <c r="H374" s="18" t="s">
        <v>33</v>
      </c>
      <c r="I374" s="12" t="str">
        <f aca="false">IF(OR(H374="Passed",H374="Accepted Exception"),"GREEN",IF(OR(H374="Not Started",H374="Failed"),"RED","AMBER"))</f>
        <v>RED</v>
      </c>
      <c r="J374" s="19" t="s">
        <v>34</v>
      </c>
      <c r="K374" s="14" t="str">
        <f aca="false">IF(OR(J374="Réussi",J374="Exception acceptée"),"GREEN",IF(OR(J374="Non commencé",J374="Échec"),"RED","AMBER"))</f>
        <v>RED</v>
      </c>
      <c r="L374" s="17"/>
      <c r="M374" s="17"/>
      <c r="N374" s="15" t="str">
        <f aca="true">IF(G374&lt;&gt;"",TODAY()-G374,"")</f>
        <v/>
      </c>
    </row>
    <row r="375" customFormat="false" ht="18" hidden="false" customHeight="true" outlineLevel="0" collapsed="false">
      <c r="A375" s="9" t="s">
        <v>44</v>
      </c>
      <c r="B375" s="10" t="s">
        <v>45</v>
      </c>
      <c r="C375" s="10" t="s">
        <v>325</v>
      </c>
      <c r="D375" s="9" t="s">
        <v>46</v>
      </c>
      <c r="E375" s="10" t="s">
        <v>326</v>
      </c>
      <c r="F375" s="10" t="s">
        <v>44</v>
      </c>
      <c r="G375" s="10"/>
      <c r="H375" s="11" t="s">
        <v>33</v>
      </c>
      <c r="I375" s="12" t="str">
        <f aca="false">IF(OR(H375="Passed",H375="Accepted Exception"),"GREEN",IF(OR(H375="Not Started",H375="Failed"),"RED","AMBER"))</f>
        <v>RED</v>
      </c>
      <c r="J375" s="13" t="s">
        <v>34</v>
      </c>
      <c r="K375" s="14" t="str">
        <f aca="false">IF(OR(J375="Réussi",J375="Exception acceptée"),"GREEN",IF(OR(J375="Non commencé",J375="Échec"),"RED","AMBER"))</f>
        <v>RED</v>
      </c>
      <c r="L375" s="10"/>
      <c r="M375" s="10"/>
      <c r="N375" s="15" t="str">
        <f aca="true">IF(G375&lt;&gt;"",TODAY()-G375,"")</f>
        <v/>
      </c>
    </row>
    <row r="376" customFormat="false" ht="18" hidden="false" customHeight="true" outlineLevel="0" collapsed="false">
      <c r="A376" s="16" t="s">
        <v>47</v>
      </c>
      <c r="B376" s="17" t="s">
        <v>48</v>
      </c>
      <c r="C376" s="17" t="s">
        <v>325</v>
      </c>
      <c r="D376" s="16" t="s">
        <v>46</v>
      </c>
      <c r="E376" s="17" t="s">
        <v>326</v>
      </c>
      <c r="F376" s="17" t="s">
        <v>47</v>
      </c>
      <c r="G376" s="17"/>
      <c r="H376" s="18" t="s">
        <v>33</v>
      </c>
      <c r="I376" s="12" t="str">
        <f aca="false">IF(OR(H376="Passed",H376="Accepted Exception"),"GREEN",IF(OR(H376="Not Started",H376="Failed"),"RED","AMBER"))</f>
        <v>RED</v>
      </c>
      <c r="J376" s="19" t="s">
        <v>34</v>
      </c>
      <c r="K376" s="14" t="str">
        <f aca="false">IF(OR(J376="Réussi",J376="Exception acceptée"),"GREEN",IF(OR(J376="Non commencé",J376="Échec"),"RED","AMBER"))</f>
        <v>RED</v>
      </c>
      <c r="L376" s="17"/>
      <c r="M376" s="17"/>
      <c r="N376" s="15" t="str">
        <f aca="true">IF(G376&lt;&gt;"",TODAY()-G376,"")</f>
        <v/>
      </c>
    </row>
    <row r="377" customFormat="false" ht="18" hidden="false" customHeight="true" outlineLevel="0" collapsed="false">
      <c r="A377" s="9" t="s">
        <v>49</v>
      </c>
      <c r="B377" s="10" t="s">
        <v>48</v>
      </c>
      <c r="C377" s="10" t="s">
        <v>325</v>
      </c>
      <c r="D377" s="9" t="s">
        <v>46</v>
      </c>
      <c r="E377" s="10" t="s">
        <v>326</v>
      </c>
      <c r="F377" s="10" t="s">
        <v>50</v>
      </c>
      <c r="G377" s="10"/>
      <c r="H377" s="11" t="s">
        <v>33</v>
      </c>
      <c r="I377" s="12" t="str">
        <f aca="false">IF(OR(H377="Passed",H377="Accepted Exception"),"GREEN",IF(OR(H377="Not Started",H377="Failed"),"RED","AMBER"))</f>
        <v>RED</v>
      </c>
      <c r="J377" s="13" t="s">
        <v>34</v>
      </c>
      <c r="K377" s="14" t="str">
        <f aca="false">IF(OR(J377="Réussi",J377="Exception acceptée"),"GREEN",IF(OR(J377="Non commencé",J377="Échec"),"RED","AMBER"))</f>
        <v>RED</v>
      </c>
      <c r="L377" s="10"/>
      <c r="M377" s="10"/>
      <c r="N377" s="15" t="str">
        <f aca="true">IF(G377&lt;&gt;"",TODAY()-G377,"")</f>
        <v/>
      </c>
    </row>
    <row r="378" customFormat="false" ht="18" hidden="false" customHeight="true" outlineLevel="0" collapsed="false">
      <c r="A378" s="16" t="s">
        <v>51</v>
      </c>
      <c r="B378" s="17" t="s">
        <v>52</v>
      </c>
      <c r="C378" s="17" t="s">
        <v>325</v>
      </c>
      <c r="D378" s="16" t="s">
        <v>53</v>
      </c>
      <c r="E378" s="17" t="s">
        <v>326</v>
      </c>
      <c r="F378" s="17" t="s">
        <v>51</v>
      </c>
      <c r="G378" s="17"/>
      <c r="H378" s="18" t="s">
        <v>33</v>
      </c>
      <c r="I378" s="12" t="str">
        <f aca="false">IF(OR(H378="Passed",H378="Accepted Exception"),"GREEN",IF(OR(H378="Not Started",H378="Failed"),"RED","AMBER"))</f>
        <v>RED</v>
      </c>
      <c r="J378" s="19" t="s">
        <v>34</v>
      </c>
      <c r="K378" s="14" t="str">
        <f aca="false">IF(OR(J378="Réussi",J378="Exception acceptée"),"GREEN",IF(OR(J378="Non commencé",J378="Échec"),"RED","AMBER"))</f>
        <v>RED</v>
      </c>
      <c r="L378" s="17"/>
      <c r="M378" s="17"/>
      <c r="N378" s="15" t="str">
        <f aca="true">IF(G378&lt;&gt;"",TODAY()-G378,"")</f>
        <v/>
      </c>
    </row>
    <row r="379" customFormat="false" ht="18" hidden="false" customHeight="true" outlineLevel="0" collapsed="false">
      <c r="A379" s="9" t="s">
        <v>54</v>
      </c>
      <c r="B379" s="10" t="s">
        <v>52</v>
      </c>
      <c r="C379" s="10" t="s">
        <v>325</v>
      </c>
      <c r="D379" s="9" t="s">
        <v>53</v>
      </c>
      <c r="E379" s="10" t="s">
        <v>326</v>
      </c>
      <c r="F379" s="10" t="s">
        <v>55</v>
      </c>
      <c r="G379" s="10"/>
      <c r="H379" s="11" t="s">
        <v>33</v>
      </c>
      <c r="I379" s="12" t="str">
        <f aca="false">IF(OR(H379="Passed",H379="Accepted Exception"),"GREEN",IF(OR(H379="Not Started",H379="Failed"),"RED","AMBER"))</f>
        <v>RED</v>
      </c>
      <c r="J379" s="13" t="s">
        <v>34</v>
      </c>
      <c r="K379" s="14" t="str">
        <f aca="false">IF(OR(J379="Réussi",J379="Exception acceptée"),"GREEN",IF(OR(J379="Non commencé",J379="Échec"),"RED","AMBER"))</f>
        <v>RED</v>
      </c>
      <c r="L379" s="10"/>
      <c r="M379" s="10"/>
      <c r="N379" s="15" t="str">
        <f aca="true">IF(G379&lt;&gt;"",TODAY()-G379,"")</f>
        <v/>
      </c>
    </row>
    <row r="380" customFormat="false" ht="18" hidden="false" customHeight="true" outlineLevel="0" collapsed="false">
      <c r="A380" s="16" t="s">
        <v>56</v>
      </c>
      <c r="B380" s="17" t="s">
        <v>57</v>
      </c>
      <c r="C380" s="17" t="s">
        <v>325</v>
      </c>
      <c r="D380" s="16" t="s">
        <v>53</v>
      </c>
      <c r="E380" s="17" t="s">
        <v>326</v>
      </c>
      <c r="F380" s="17" t="s">
        <v>56</v>
      </c>
      <c r="G380" s="17"/>
      <c r="H380" s="18" t="s">
        <v>33</v>
      </c>
      <c r="I380" s="12" t="str">
        <f aca="false">IF(OR(H380="Passed",H380="Accepted Exception"),"GREEN",IF(OR(H380="Not Started",H380="Failed"),"RED","AMBER"))</f>
        <v>RED</v>
      </c>
      <c r="J380" s="19" t="s">
        <v>34</v>
      </c>
      <c r="K380" s="14" t="str">
        <f aca="false">IF(OR(J380="Réussi",J380="Exception acceptée"),"GREEN",IF(OR(J380="Non commencé",J380="Échec"),"RED","AMBER"))</f>
        <v>RED</v>
      </c>
      <c r="L380" s="17"/>
      <c r="M380" s="17"/>
      <c r="N380" s="15" t="str">
        <f aca="true">IF(G380&lt;&gt;"",TODAY()-G380,"")</f>
        <v/>
      </c>
    </row>
    <row r="381" customFormat="false" ht="18" hidden="false" customHeight="true" outlineLevel="0" collapsed="false">
      <c r="A381" s="9" t="s">
        <v>58</v>
      </c>
      <c r="B381" s="10" t="s">
        <v>57</v>
      </c>
      <c r="C381" s="10" t="s">
        <v>325</v>
      </c>
      <c r="D381" s="9" t="s">
        <v>53</v>
      </c>
      <c r="E381" s="10" t="s">
        <v>326</v>
      </c>
      <c r="F381" s="10" t="s">
        <v>59</v>
      </c>
      <c r="G381" s="10"/>
      <c r="H381" s="11" t="s">
        <v>33</v>
      </c>
      <c r="I381" s="12" t="str">
        <f aca="false">IF(OR(H381="Passed",H381="Accepted Exception"),"GREEN",IF(OR(H381="Not Started",H381="Failed"),"RED","AMBER"))</f>
        <v>RED</v>
      </c>
      <c r="J381" s="13" t="s">
        <v>34</v>
      </c>
      <c r="K381" s="14" t="str">
        <f aca="false">IF(OR(J381="Réussi",J381="Exception acceptée"),"GREEN",IF(OR(J381="Non commencé",J381="Échec"),"RED","AMBER"))</f>
        <v>RED</v>
      </c>
      <c r="L381" s="10"/>
      <c r="M381" s="10"/>
      <c r="N381" s="15" t="str">
        <f aca="true">IF(G381&lt;&gt;"",TODAY()-G381,"")</f>
        <v/>
      </c>
    </row>
    <row r="382" customFormat="false" ht="18" hidden="false" customHeight="true" outlineLevel="0" collapsed="false">
      <c r="A382" s="16" t="s">
        <v>139</v>
      </c>
      <c r="B382" s="17" t="s">
        <v>136</v>
      </c>
      <c r="C382" s="17" t="s">
        <v>325</v>
      </c>
      <c r="D382" s="16" t="s">
        <v>137</v>
      </c>
      <c r="E382" s="17" t="s">
        <v>326</v>
      </c>
      <c r="F382" s="17" t="s">
        <v>140</v>
      </c>
      <c r="G382" s="17"/>
      <c r="H382" s="18" t="s">
        <v>33</v>
      </c>
      <c r="I382" s="12" t="str">
        <f aca="false">IF(OR(H382="Passed",H382="Accepted Exception"),"GREEN",IF(OR(H382="Not Started",H382="Failed"),"RED","AMBER"))</f>
        <v>RED</v>
      </c>
      <c r="J382" s="19" t="s">
        <v>34</v>
      </c>
      <c r="K382" s="14" t="str">
        <f aca="false">IF(OR(J382="Réussi",J382="Exception acceptée"),"GREEN",IF(OR(J382="Non commencé",J382="Échec"),"RED","AMBER"))</f>
        <v>RED</v>
      </c>
      <c r="L382" s="17"/>
      <c r="M382" s="17"/>
      <c r="N382" s="15" t="str">
        <f aca="true">IF(G382&lt;&gt;"",TODAY()-G382,"")</f>
        <v/>
      </c>
    </row>
    <row r="383" customFormat="false" ht="18" hidden="false" customHeight="true" outlineLevel="0" collapsed="false">
      <c r="A383" s="9" t="s">
        <v>60</v>
      </c>
      <c r="B383" s="10" t="s">
        <v>61</v>
      </c>
      <c r="C383" s="10" t="s">
        <v>325</v>
      </c>
      <c r="D383" s="9" t="s">
        <v>62</v>
      </c>
      <c r="E383" s="10" t="s">
        <v>326</v>
      </c>
      <c r="F383" s="10" t="s">
        <v>63</v>
      </c>
      <c r="G383" s="10"/>
      <c r="H383" s="11" t="s">
        <v>33</v>
      </c>
      <c r="I383" s="12" t="str">
        <f aca="false">IF(OR(H383="Passed",H383="Accepted Exception"),"GREEN",IF(OR(H383="Not Started",H383="Failed"),"RED","AMBER"))</f>
        <v>RED</v>
      </c>
      <c r="J383" s="13" t="s">
        <v>34</v>
      </c>
      <c r="K383" s="14" t="str">
        <f aca="false">IF(OR(J383="Réussi",J383="Exception acceptée"),"GREEN",IF(OR(J383="Non commencé",J383="Échec"),"RED","AMBER"))</f>
        <v>RED</v>
      </c>
      <c r="L383" s="10"/>
      <c r="M383" s="10"/>
      <c r="N383" s="15" t="str">
        <f aca="true">IF(G383&lt;&gt;"",TODAY()-G383,"")</f>
        <v/>
      </c>
    </row>
    <row r="384" customFormat="false" ht="18" hidden="false" customHeight="true" outlineLevel="0" collapsed="false">
      <c r="A384" s="16" t="s">
        <v>95</v>
      </c>
      <c r="B384" s="17" t="s">
        <v>96</v>
      </c>
      <c r="C384" s="17" t="s">
        <v>325</v>
      </c>
      <c r="D384" s="16" t="s">
        <v>94</v>
      </c>
      <c r="E384" s="17" t="s">
        <v>326</v>
      </c>
      <c r="F384" s="17" t="s">
        <v>95</v>
      </c>
      <c r="G384" s="17"/>
      <c r="H384" s="18" t="s">
        <v>33</v>
      </c>
      <c r="I384" s="12" t="str">
        <f aca="false">IF(OR(H384="Passed",H384="Accepted Exception"),"GREEN",IF(OR(H384="Not Started",H384="Failed"),"RED","AMBER"))</f>
        <v>RED</v>
      </c>
      <c r="J384" s="19" t="s">
        <v>34</v>
      </c>
      <c r="K384" s="14" t="str">
        <f aca="false">IF(OR(J384="Réussi",J384="Exception acceptée"),"GREEN",IF(OR(J384="Non commencé",J384="Échec"),"RED","AMBER"))</f>
        <v>RED</v>
      </c>
      <c r="L384" s="17"/>
      <c r="M384" s="17"/>
      <c r="N384" s="15" t="str">
        <f aca="true">IF(G384&lt;&gt;"",TODAY()-G384,"")</f>
        <v/>
      </c>
    </row>
    <row r="385" customFormat="false" ht="18" hidden="false" customHeight="true" outlineLevel="0" collapsed="false">
      <c r="A385" s="9" t="s">
        <v>159</v>
      </c>
      <c r="B385" s="10" t="s">
        <v>160</v>
      </c>
      <c r="C385" s="10" t="s">
        <v>325</v>
      </c>
      <c r="D385" s="9" t="s">
        <v>94</v>
      </c>
      <c r="E385" s="10" t="s">
        <v>326</v>
      </c>
      <c r="F385" s="10" t="s">
        <v>159</v>
      </c>
      <c r="G385" s="10"/>
      <c r="H385" s="11" t="s">
        <v>33</v>
      </c>
      <c r="I385" s="12" t="str">
        <f aca="false">IF(OR(H385="Passed",H385="Accepted Exception"),"GREEN",IF(OR(H385="Not Started",H385="Failed"),"RED","AMBER"))</f>
        <v>RED</v>
      </c>
      <c r="J385" s="13" t="s">
        <v>34</v>
      </c>
      <c r="K385" s="14" t="str">
        <f aca="false">IF(OR(J385="Réussi",J385="Exception acceptée"),"GREEN",IF(OR(J385="Non commencé",J385="Échec"),"RED","AMBER"))</f>
        <v>RED</v>
      </c>
      <c r="L385" s="10"/>
      <c r="M385" s="10"/>
      <c r="N385" s="15" t="str">
        <f aca="true">IF(G385&lt;&gt;"",TODAY()-G385,"")</f>
        <v/>
      </c>
    </row>
    <row r="386" customFormat="false" ht="18" hidden="false" customHeight="true" outlineLevel="0" collapsed="false">
      <c r="A386" s="16" t="s">
        <v>99</v>
      </c>
      <c r="B386" s="17" t="s">
        <v>98</v>
      </c>
      <c r="C386" s="17" t="s">
        <v>325</v>
      </c>
      <c r="D386" s="16" t="s">
        <v>94</v>
      </c>
      <c r="E386" s="17" t="s">
        <v>326</v>
      </c>
      <c r="F386" s="17" t="s">
        <v>100</v>
      </c>
      <c r="G386" s="17"/>
      <c r="H386" s="18" t="s">
        <v>33</v>
      </c>
      <c r="I386" s="12" t="str">
        <f aca="false">IF(OR(H386="Passed",H386="Accepted Exception"),"GREEN",IF(OR(H386="Not Started",H386="Failed"),"RED","AMBER"))</f>
        <v>RED</v>
      </c>
      <c r="J386" s="19" t="s">
        <v>34</v>
      </c>
      <c r="K386" s="14" t="str">
        <f aca="false">IF(OR(J386="Réussi",J386="Exception acceptée"),"GREEN",IF(OR(J386="Non commencé",J386="Échec"),"RED","AMBER"))</f>
        <v>RED</v>
      </c>
      <c r="L386" s="17"/>
      <c r="M386" s="17"/>
      <c r="N386" s="15" t="str">
        <f aca="true">IF(G386&lt;&gt;"",TODAY()-G386,"")</f>
        <v/>
      </c>
    </row>
    <row r="387" customFormat="false" ht="18" hidden="false" customHeight="true" outlineLevel="0" collapsed="false">
      <c r="A387" s="9" t="s">
        <v>64</v>
      </c>
      <c r="B387" s="10" t="s">
        <v>65</v>
      </c>
      <c r="C387" s="10" t="s">
        <v>325</v>
      </c>
      <c r="D387" s="9" t="s">
        <v>66</v>
      </c>
      <c r="E387" s="10" t="s">
        <v>326</v>
      </c>
      <c r="F387" s="10" t="s">
        <v>67</v>
      </c>
      <c r="G387" s="10"/>
      <c r="H387" s="11" t="s">
        <v>33</v>
      </c>
      <c r="I387" s="12" t="str">
        <f aca="false">IF(OR(H387="Passed",H387="Accepted Exception"),"GREEN",IF(OR(H387="Not Started",H387="Failed"),"RED","AMBER"))</f>
        <v>RED</v>
      </c>
      <c r="J387" s="13" t="s">
        <v>34</v>
      </c>
      <c r="K387" s="14" t="str">
        <f aca="false">IF(OR(J387="Réussi",J387="Exception acceptée"),"GREEN",IF(OR(J387="Non commencé",J387="Échec"),"RED","AMBER"))</f>
        <v>RED</v>
      </c>
      <c r="L387" s="10"/>
      <c r="M387" s="10"/>
      <c r="N387" s="15" t="str">
        <f aca="true">IF(G387&lt;&gt;"",TODAY()-G387,"")</f>
        <v/>
      </c>
    </row>
    <row r="388" customFormat="false" ht="18" hidden="false" customHeight="true" outlineLevel="0" collapsed="false">
      <c r="A388" s="16" t="s">
        <v>68</v>
      </c>
      <c r="B388" s="17" t="s">
        <v>69</v>
      </c>
      <c r="C388" s="17" t="s">
        <v>325</v>
      </c>
      <c r="D388" s="16" t="s">
        <v>66</v>
      </c>
      <c r="E388" s="17" t="s">
        <v>326</v>
      </c>
      <c r="F388" s="17" t="s">
        <v>68</v>
      </c>
      <c r="G388" s="17"/>
      <c r="H388" s="18" t="s">
        <v>33</v>
      </c>
      <c r="I388" s="12" t="str">
        <f aca="false">IF(OR(H388="Passed",H388="Accepted Exception"),"GREEN",IF(OR(H388="Not Started",H388="Failed"),"RED","AMBER"))</f>
        <v>RED</v>
      </c>
      <c r="J388" s="19" t="s">
        <v>34</v>
      </c>
      <c r="K388" s="14" t="str">
        <f aca="false">IF(OR(J388="Réussi",J388="Exception acceptée"),"GREEN",IF(OR(J388="Non commencé",J388="Échec"),"RED","AMBER"))</f>
        <v>RED</v>
      </c>
      <c r="L388" s="17"/>
      <c r="M388" s="17"/>
      <c r="N388" s="15" t="str">
        <f aca="true">IF(G388&lt;&gt;"",TODAY()-G388,"")</f>
        <v/>
      </c>
    </row>
    <row r="389" customFormat="false" ht="18" hidden="false" customHeight="true" outlineLevel="0" collapsed="false">
      <c r="A389" s="9" t="s">
        <v>280</v>
      </c>
      <c r="B389" s="10" t="s">
        <v>194</v>
      </c>
      <c r="C389" s="10" t="s">
        <v>327</v>
      </c>
      <c r="D389" s="9" t="s">
        <v>104</v>
      </c>
      <c r="E389" s="10" t="s">
        <v>328</v>
      </c>
      <c r="F389" s="10" t="s">
        <v>281</v>
      </c>
      <c r="G389" s="10"/>
      <c r="H389" s="11" t="s">
        <v>33</v>
      </c>
      <c r="I389" s="12" t="str">
        <f aca="false">IF(OR(H389="Passed",H389="Accepted Exception"),"GREEN",IF(OR(H389="Not Started",H389="Failed"),"RED","AMBER"))</f>
        <v>RED</v>
      </c>
      <c r="J389" s="13" t="s">
        <v>34</v>
      </c>
      <c r="K389" s="14" t="str">
        <f aca="false">IF(OR(J389="Réussi",J389="Exception acceptée"),"GREEN",IF(OR(J389="Non commencé",J389="Échec"),"RED","AMBER"))</f>
        <v>RED</v>
      </c>
      <c r="L389" s="10"/>
      <c r="M389" s="10"/>
      <c r="N389" s="15" t="str">
        <f aca="true">IF(G389&lt;&gt;"",TODAY()-G389,"")</f>
        <v/>
      </c>
    </row>
    <row r="390" customFormat="false" ht="18" hidden="false" customHeight="true" outlineLevel="0" collapsed="false">
      <c r="A390" s="16" t="s">
        <v>282</v>
      </c>
      <c r="B390" s="17" t="s">
        <v>194</v>
      </c>
      <c r="C390" s="17" t="s">
        <v>327</v>
      </c>
      <c r="D390" s="16" t="s">
        <v>104</v>
      </c>
      <c r="E390" s="17" t="s">
        <v>328</v>
      </c>
      <c r="F390" s="17" t="s">
        <v>283</v>
      </c>
      <c r="G390" s="17"/>
      <c r="H390" s="18" t="s">
        <v>33</v>
      </c>
      <c r="I390" s="12" t="str">
        <f aca="false">IF(OR(H390="Passed",H390="Accepted Exception"),"GREEN",IF(OR(H390="Not Started",H390="Failed"),"RED","AMBER"))</f>
        <v>RED</v>
      </c>
      <c r="J390" s="19" t="s">
        <v>34</v>
      </c>
      <c r="K390" s="14" t="str">
        <f aca="false">IF(OR(J390="Réussi",J390="Exception acceptée"),"GREEN",IF(OR(J390="Non commencé",J390="Échec"),"RED","AMBER"))</f>
        <v>RED</v>
      </c>
      <c r="L390" s="17"/>
      <c r="M390" s="17"/>
      <c r="N390" s="15" t="str">
        <f aca="true">IF(G390&lt;&gt;"",TODAY()-G390,"")</f>
        <v/>
      </c>
    </row>
    <row r="391" customFormat="false" ht="18" hidden="false" customHeight="true" outlineLevel="0" collapsed="false">
      <c r="A391" s="9" t="s">
        <v>284</v>
      </c>
      <c r="B391" s="10" t="s">
        <v>194</v>
      </c>
      <c r="C391" s="10" t="s">
        <v>327</v>
      </c>
      <c r="D391" s="9" t="s">
        <v>104</v>
      </c>
      <c r="E391" s="10" t="s">
        <v>328</v>
      </c>
      <c r="F391" s="10" t="s">
        <v>285</v>
      </c>
      <c r="G391" s="10"/>
      <c r="H391" s="11" t="s">
        <v>33</v>
      </c>
      <c r="I391" s="12" t="str">
        <f aca="false">IF(OR(H391="Passed",H391="Accepted Exception"),"GREEN",IF(OR(H391="Not Started",H391="Failed"),"RED","AMBER"))</f>
        <v>RED</v>
      </c>
      <c r="J391" s="13" t="s">
        <v>34</v>
      </c>
      <c r="K391" s="14" t="str">
        <f aca="false">IF(OR(J391="Réussi",J391="Exception acceptée"),"GREEN",IF(OR(J391="Non commencé",J391="Échec"),"RED","AMBER"))</f>
        <v>RED</v>
      </c>
      <c r="L391" s="10"/>
      <c r="M391" s="10"/>
      <c r="N391" s="15" t="str">
        <f aca="true">IF(G391&lt;&gt;"",TODAY()-G391,"")</f>
        <v/>
      </c>
    </row>
    <row r="392" customFormat="false" ht="18" hidden="false" customHeight="true" outlineLevel="0" collapsed="false">
      <c r="A392" s="16" t="s">
        <v>193</v>
      </c>
      <c r="B392" s="17" t="s">
        <v>194</v>
      </c>
      <c r="C392" s="17" t="s">
        <v>327</v>
      </c>
      <c r="D392" s="16" t="s">
        <v>104</v>
      </c>
      <c r="E392" s="17" t="s">
        <v>328</v>
      </c>
      <c r="F392" s="17" t="s">
        <v>197</v>
      </c>
      <c r="G392" s="17"/>
      <c r="H392" s="18" t="s">
        <v>33</v>
      </c>
      <c r="I392" s="12" t="str">
        <f aca="false">IF(OR(H392="Passed",H392="Accepted Exception"),"GREEN",IF(OR(H392="Not Started",H392="Failed"),"RED","AMBER"))</f>
        <v>RED</v>
      </c>
      <c r="J392" s="19" t="s">
        <v>34</v>
      </c>
      <c r="K392" s="14" t="str">
        <f aca="false">IF(OR(J392="Réussi",J392="Exception acceptée"),"GREEN",IF(OR(J392="Non commencé",J392="Échec"),"RED","AMBER"))</f>
        <v>RED</v>
      </c>
      <c r="L392" s="17"/>
      <c r="M392" s="17"/>
      <c r="N392" s="15" t="str">
        <f aca="true">IF(G392&lt;&gt;"",TODAY()-G392,"")</f>
        <v/>
      </c>
    </row>
    <row r="393" customFormat="false" ht="18" hidden="false" customHeight="true" outlineLevel="0" collapsed="false">
      <c r="A393" s="9" t="s">
        <v>198</v>
      </c>
      <c r="B393" s="10" t="s">
        <v>194</v>
      </c>
      <c r="C393" s="10" t="s">
        <v>327</v>
      </c>
      <c r="D393" s="9" t="s">
        <v>104</v>
      </c>
      <c r="E393" s="10" t="s">
        <v>328</v>
      </c>
      <c r="F393" s="10" t="s">
        <v>199</v>
      </c>
      <c r="G393" s="10"/>
      <c r="H393" s="11" t="s">
        <v>33</v>
      </c>
      <c r="I393" s="12" t="str">
        <f aca="false">IF(OR(H393="Passed",H393="Accepted Exception"),"GREEN",IF(OR(H393="Not Started",H393="Failed"),"RED","AMBER"))</f>
        <v>RED</v>
      </c>
      <c r="J393" s="13" t="s">
        <v>34</v>
      </c>
      <c r="K393" s="14" t="str">
        <f aca="false">IF(OR(J393="Réussi",J393="Exception acceptée"),"GREEN",IF(OR(J393="Non commencé",J393="Échec"),"RED","AMBER"))</f>
        <v>RED</v>
      </c>
      <c r="L393" s="10"/>
      <c r="M393" s="10"/>
      <c r="N393" s="15" t="str">
        <f aca="true">IF(G393&lt;&gt;"",TODAY()-G393,"")</f>
        <v/>
      </c>
    </row>
    <row r="394" customFormat="false" ht="18" hidden="false" customHeight="true" outlineLevel="0" collapsed="false">
      <c r="A394" s="16" t="s">
        <v>200</v>
      </c>
      <c r="B394" s="17" t="s">
        <v>194</v>
      </c>
      <c r="C394" s="17" t="s">
        <v>327</v>
      </c>
      <c r="D394" s="16" t="s">
        <v>104</v>
      </c>
      <c r="E394" s="17" t="s">
        <v>328</v>
      </c>
      <c r="F394" s="17" t="s">
        <v>201</v>
      </c>
      <c r="G394" s="17"/>
      <c r="H394" s="18" t="s">
        <v>33</v>
      </c>
      <c r="I394" s="12" t="str">
        <f aca="false">IF(OR(H394="Passed",H394="Accepted Exception"),"GREEN",IF(OR(H394="Not Started",H394="Failed"),"RED","AMBER"))</f>
        <v>RED</v>
      </c>
      <c r="J394" s="19" t="s">
        <v>34</v>
      </c>
      <c r="K394" s="14" t="str">
        <f aca="false">IF(OR(J394="Réussi",J394="Exception acceptée"),"GREEN",IF(OR(J394="Non commencé",J394="Échec"),"RED","AMBER"))</f>
        <v>RED</v>
      </c>
      <c r="L394" s="17"/>
      <c r="M394" s="17"/>
      <c r="N394" s="15" t="str">
        <f aca="true">IF(G394&lt;&gt;"",TODAY()-G394,"")</f>
        <v/>
      </c>
    </row>
    <row r="395" customFormat="false" ht="18" hidden="false" customHeight="true" outlineLevel="0" collapsed="false">
      <c r="A395" s="9" t="s">
        <v>101</v>
      </c>
      <c r="B395" s="10" t="s">
        <v>102</v>
      </c>
      <c r="C395" s="10" t="s">
        <v>327</v>
      </c>
      <c r="D395" s="9" t="s">
        <v>104</v>
      </c>
      <c r="E395" s="10" t="s">
        <v>328</v>
      </c>
      <c r="F395" s="10" t="s">
        <v>101</v>
      </c>
      <c r="G395" s="10"/>
      <c r="H395" s="11" t="s">
        <v>33</v>
      </c>
      <c r="I395" s="12" t="str">
        <f aca="false">IF(OR(H395="Passed",H395="Accepted Exception"),"GREEN",IF(OR(H395="Not Started",H395="Failed"),"RED","AMBER"))</f>
        <v>RED</v>
      </c>
      <c r="J395" s="13" t="s">
        <v>34</v>
      </c>
      <c r="K395" s="14" t="str">
        <f aca="false">IF(OR(J395="Réussi",J395="Exception acceptée"),"GREEN",IF(OR(J395="Non commencé",J395="Échec"),"RED","AMBER"))</f>
        <v>RED</v>
      </c>
      <c r="L395" s="10"/>
      <c r="M395" s="10"/>
      <c r="N395" s="15" t="str">
        <f aca="true">IF(G395&lt;&gt;"",TODAY()-G395,"")</f>
        <v/>
      </c>
    </row>
    <row r="396" customFormat="false" ht="18" hidden="false" customHeight="true" outlineLevel="0" collapsed="false">
      <c r="A396" s="16" t="s">
        <v>106</v>
      </c>
      <c r="B396" s="17" t="s">
        <v>102</v>
      </c>
      <c r="C396" s="17" t="s">
        <v>327</v>
      </c>
      <c r="D396" s="16" t="s">
        <v>104</v>
      </c>
      <c r="E396" s="17" t="s">
        <v>328</v>
      </c>
      <c r="F396" s="17" t="s">
        <v>107</v>
      </c>
      <c r="G396" s="17"/>
      <c r="H396" s="18" t="s">
        <v>33</v>
      </c>
      <c r="I396" s="12" t="str">
        <f aca="false">IF(OR(H396="Passed",H396="Accepted Exception"),"GREEN",IF(OR(H396="Not Started",H396="Failed"),"RED","AMBER"))</f>
        <v>RED</v>
      </c>
      <c r="J396" s="19" t="s">
        <v>34</v>
      </c>
      <c r="K396" s="14" t="str">
        <f aca="false">IF(OR(J396="Réussi",J396="Exception acceptée"),"GREEN",IF(OR(J396="Non commencé",J396="Échec"),"RED","AMBER"))</f>
        <v>RED</v>
      </c>
      <c r="L396" s="17"/>
      <c r="M396" s="17"/>
      <c r="N396" s="15" t="str">
        <f aca="true">IF(G396&lt;&gt;"",TODAY()-G396,"")</f>
        <v/>
      </c>
    </row>
    <row r="397" customFormat="false" ht="18" hidden="false" customHeight="true" outlineLevel="0" collapsed="false">
      <c r="A397" s="9" t="s">
        <v>202</v>
      </c>
      <c r="B397" s="10" t="s">
        <v>102</v>
      </c>
      <c r="C397" s="10" t="s">
        <v>327</v>
      </c>
      <c r="D397" s="9" t="s">
        <v>104</v>
      </c>
      <c r="E397" s="10" t="s">
        <v>328</v>
      </c>
      <c r="F397" s="10" t="s">
        <v>203</v>
      </c>
      <c r="G397" s="10"/>
      <c r="H397" s="11" t="s">
        <v>33</v>
      </c>
      <c r="I397" s="12" t="str">
        <f aca="false">IF(OR(H397="Passed",H397="Accepted Exception"),"GREEN",IF(OR(H397="Not Started",H397="Failed"),"RED","AMBER"))</f>
        <v>RED</v>
      </c>
      <c r="J397" s="13" t="s">
        <v>34</v>
      </c>
      <c r="K397" s="14" t="str">
        <f aca="false">IF(OR(J397="Réussi",J397="Exception acceptée"),"GREEN",IF(OR(J397="Non commencé",J397="Échec"),"RED","AMBER"))</f>
        <v>RED</v>
      </c>
      <c r="L397" s="10"/>
      <c r="M397" s="10"/>
      <c r="N397" s="15" t="str">
        <f aca="true">IF(G397&lt;&gt;"",TODAY()-G397,"")</f>
        <v/>
      </c>
    </row>
    <row r="398" customFormat="false" ht="18" hidden="false" customHeight="true" outlineLevel="0" collapsed="false">
      <c r="A398" s="16" t="s">
        <v>288</v>
      </c>
      <c r="B398" s="17" t="s">
        <v>102</v>
      </c>
      <c r="C398" s="17" t="s">
        <v>327</v>
      </c>
      <c r="D398" s="16" t="s">
        <v>104</v>
      </c>
      <c r="E398" s="17" t="s">
        <v>328</v>
      </c>
      <c r="F398" s="17" t="s">
        <v>289</v>
      </c>
      <c r="G398" s="17"/>
      <c r="H398" s="18" t="s">
        <v>33</v>
      </c>
      <c r="I398" s="12" t="str">
        <f aca="false">IF(OR(H398="Passed",H398="Accepted Exception"),"GREEN",IF(OR(H398="Not Started",H398="Failed"),"RED","AMBER"))</f>
        <v>RED</v>
      </c>
      <c r="J398" s="19" t="s">
        <v>34</v>
      </c>
      <c r="K398" s="14" t="str">
        <f aca="false">IF(OR(J398="Réussi",J398="Exception acceptée"),"GREEN",IF(OR(J398="Non commencé",J398="Échec"),"RED","AMBER"))</f>
        <v>RED</v>
      </c>
      <c r="L398" s="17"/>
      <c r="M398" s="17"/>
      <c r="N398" s="15" t="str">
        <f aca="true">IF(G398&lt;&gt;"",TODAY()-G398,"")</f>
        <v/>
      </c>
    </row>
    <row r="399" customFormat="false" ht="18" hidden="false" customHeight="true" outlineLevel="0" collapsed="false">
      <c r="A399" s="9" t="s">
        <v>118</v>
      </c>
      <c r="B399" s="10" t="s">
        <v>119</v>
      </c>
      <c r="C399" s="10" t="s">
        <v>327</v>
      </c>
      <c r="D399" s="9" t="s">
        <v>104</v>
      </c>
      <c r="E399" s="10" t="s">
        <v>328</v>
      </c>
      <c r="F399" s="10" t="s">
        <v>120</v>
      </c>
      <c r="G399" s="10"/>
      <c r="H399" s="11" t="s">
        <v>33</v>
      </c>
      <c r="I399" s="12" t="str">
        <f aca="false">IF(OR(H399="Passed",H399="Accepted Exception"),"GREEN",IF(OR(H399="Not Started",H399="Failed"),"RED","AMBER"))</f>
        <v>RED</v>
      </c>
      <c r="J399" s="13" t="s">
        <v>34</v>
      </c>
      <c r="K399" s="14" t="str">
        <f aca="false">IF(OR(J399="Réussi",J399="Exception acceptée"),"GREEN",IF(OR(J399="Non commencé",J399="Échec"),"RED","AMBER"))</f>
        <v>RED</v>
      </c>
      <c r="L399" s="10"/>
      <c r="M399" s="10"/>
      <c r="N399" s="15" t="str">
        <f aca="true">IF(G399&lt;&gt;"",TODAY()-G399,"")</f>
        <v/>
      </c>
    </row>
    <row r="400" customFormat="false" ht="18" hidden="false" customHeight="true" outlineLevel="0" collapsed="false">
      <c r="A400" s="16" t="s">
        <v>121</v>
      </c>
      <c r="B400" s="17" t="s">
        <v>119</v>
      </c>
      <c r="C400" s="17" t="s">
        <v>327</v>
      </c>
      <c r="D400" s="16" t="s">
        <v>104</v>
      </c>
      <c r="E400" s="17" t="s">
        <v>328</v>
      </c>
      <c r="F400" s="17" t="s">
        <v>122</v>
      </c>
      <c r="G400" s="17"/>
      <c r="H400" s="18" t="s">
        <v>33</v>
      </c>
      <c r="I400" s="12" t="str">
        <f aca="false">IF(OR(H400="Passed",H400="Accepted Exception"),"GREEN",IF(OR(H400="Not Started",H400="Failed"),"RED","AMBER"))</f>
        <v>RED</v>
      </c>
      <c r="J400" s="19" t="s">
        <v>34</v>
      </c>
      <c r="K400" s="14" t="str">
        <f aca="false">IF(OR(J400="Réussi",J400="Exception acceptée"),"GREEN",IF(OR(J400="Non commencé",J400="Échec"),"RED","AMBER"))</f>
        <v>RED</v>
      </c>
      <c r="L400" s="17"/>
      <c r="M400" s="17"/>
      <c r="N400" s="15" t="str">
        <f aca="true">IF(G400&lt;&gt;"",TODAY()-G400,"")</f>
        <v/>
      </c>
    </row>
    <row r="401" customFormat="false" ht="18" hidden="false" customHeight="true" outlineLevel="0" collapsed="false">
      <c r="A401" s="9" t="s">
        <v>28</v>
      </c>
      <c r="B401" s="10" t="s">
        <v>29</v>
      </c>
      <c r="C401" s="10" t="s">
        <v>327</v>
      </c>
      <c r="D401" s="9" t="s">
        <v>31</v>
      </c>
      <c r="E401" s="10" t="s">
        <v>328</v>
      </c>
      <c r="F401" s="10" t="s">
        <v>28</v>
      </c>
      <c r="G401" s="10"/>
      <c r="H401" s="11" t="s">
        <v>33</v>
      </c>
      <c r="I401" s="12" t="str">
        <f aca="false">IF(OR(H401="Passed",H401="Accepted Exception"),"GREEN",IF(OR(H401="Not Started",H401="Failed"),"RED","AMBER"))</f>
        <v>RED</v>
      </c>
      <c r="J401" s="13" t="s">
        <v>34</v>
      </c>
      <c r="K401" s="14" t="str">
        <f aca="false">IF(OR(J401="Réussi",J401="Exception acceptée"),"GREEN",IF(OR(J401="Non commencé",J401="Échec"),"RED","AMBER"))</f>
        <v>RED</v>
      </c>
      <c r="L401" s="10"/>
      <c r="M401" s="10"/>
      <c r="N401" s="15" t="str">
        <f aca="true">IF(G401&lt;&gt;"",TODAY()-G401,"")</f>
        <v/>
      </c>
    </row>
    <row r="402" customFormat="false" ht="18" hidden="false" customHeight="true" outlineLevel="0" collapsed="false">
      <c r="A402" s="16" t="s">
        <v>35</v>
      </c>
      <c r="B402" s="17" t="s">
        <v>36</v>
      </c>
      <c r="C402" s="17" t="s">
        <v>327</v>
      </c>
      <c r="D402" s="16" t="s">
        <v>31</v>
      </c>
      <c r="E402" s="17" t="s">
        <v>328</v>
      </c>
      <c r="F402" s="17" t="s">
        <v>35</v>
      </c>
      <c r="G402" s="17"/>
      <c r="H402" s="18" t="s">
        <v>33</v>
      </c>
      <c r="I402" s="12" t="str">
        <f aca="false">IF(OR(H402="Passed",H402="Accepted Exception"),"GREEN",IF(OR(H402="Not Started",H402="Failed"),"RED","AMBER"))</f>
        <v>RED</v>
      </c>
      <c r="J402" s="19" t="s">
        <v>34</v>
      </c>
      <c r="K402" s="14" t="str">
        <f aca="false">IF(OR(J402="Réussi",J402="Exception acceptée"),"GREEN",IF(OR(J402="Non commencé",J402="Échec"),"RED","AMBER"))</f>
        <v>RED</v>
      </c>
      <c r="L402" s="17"/>
      <c r="M402" s="17"/>
      <c r="N402" s="15" t="str">
        <f aca="true">IF(G402&lt;&gt;"",TODAY()-G402,"")</f>
        <v/>
      </c>
    </row>
    <row r="403" customFormat="false" ht="18" hidden="false" customHeight="true" outlineLevel="0" collapsed="false">
      <c r="A403" s="9" t="s">
        <v>37</v>
      </c>
      <c r="B403" s="10" t="s">
        <v>36</v>
      </c>
      <c r="C403" s="10" t="s">
        <v>327</v>
      </c>
      <c r="D403" s="9" t="s">
        <v>31</v>
      </c>
      <c r="E403" s="10" t="s">
        <v>328</v>
      </c>
      <c r="F403" s="10" t="s">
        <v>38</v>
      </c>
      <c r="G403" s="10"/>
      <c r="H403" s="11" t="s">
        <v>33</v>
      </c>
      <c r="I403" s="12" t="str">
        <f aca="false">IF(OR(H403="Passed",H403="Accepted Exception"),"GREEN",IF(OR(H403="Not Started",H403="Failed"),"RED","AMBER"))</f>
        <v>RED</v>
      </c>
      <c r="J403" s="13" t="s">
        <v>34</v>
      </c>
      <c r="K403" s="14" t="str">
        <f aca="false">IF(OR(J403="Réussi",J403="Exception acceptée"),"GREEN",IF(OR(J403="Non commencé",J403="Échec"),"RED","AMBER"))</f>
        <v>RED</v>
      </c>
      <c r="L403" s="10"/>
      <c r="M403" s="10"/>
      <c r="N403" s="15" t="str">
        <f aca="true">IF(G403&lt;&gt;"",TODAY()-G403,"")</f>
        <v/>
      </c>
    </row>
    <row r="404" customFormat="false" ht="18" hidden="false" customHeight="true" outlineLevel="0" collapsed="false">
      <c r="A404" s="16" t="s">
        <v>72</v>
      </c>
      <c r="B404" s="17" t="s">
        <v>73</v>
      </c>
      <c r="C404" s="17" t="s">
        <v>327</v>
      </c>
      <c r="D404" s="16" t="s">
        <v>31</v>
      </c>
      <c r="E404" s="17" t="s">
        <v>328</v>
      </c>
      <c r="F404" s="17" t="s">
        <v>72</v>
      </c>
      <c r="G404" s="17"/>
      <c r="H404" s="18" t="s">
        <v>33</v>
      </c>
      <c r="I404" s="12" t="str">
        <f aca="false">IF(OR(H404="Passed",H404="Accepted Exception"),"GREEN",IF(OR(H404="Not Started",H404="Failed"),"RED","AMBER"))</f>
        <v>RED</v>
      </c>
      <c r="J404" s="19" t="s">
        <v>34</v>
      </c>
      <c r="K404" s="14" t="str">
        <f aca="false">IF(OR(J404="Réussi",J404="Exception acceptée"),"GREEN",IF(OR(J404="Non commencé",J404="Échec"),"RED","AMBER"))</f>
        <v>RED</v>
      </c>
      <c r="L404" s="17"/>
      <c r="M404" s="17"/>
      <c r="N404" s="15" t="str">
        <f aca="true">IF(G404&lt;&gt;"",TODAY()-G404,"")</f>
        <v/>
      </c>
    </row>
    <row r="405" customFormat="false" ht="18" hidden="false" customHeight="true" outlineLevel="0" collapsed="false">
      <c r="A405" s="9" t="s">
        <v>204</v>
      </c>
      <c r="B405" s="10" t="s">
        <v>205</v>
      </c>
      <c r="C405" s="10" t="s">
        <v>327</v>
      </c>
      <c r="D405" s="9" t="s">
        <v>31</v>
      </c>
      <c r="E405" s="10" t="s">
        <v>328</v>
      </c>
      <c r="F405" s="10" t="s">
        <v>206</v>
      </c>
      <c r="G405" s="10"/>
      <c r="H405" s="11" t="s">
        <v>33</v>
      </c>
      <c r="I405" s="12" t="str">
        <f aca="false">IF(OR(H405="Passed",H405="Accepted Exception"),"GREEN",IF(OR(H405="Not Started",H405="Failed"),"RED","AMBER"))</f>
        <v>RED</v>
      </c>
      <c r="J405" s="13" t="s">
        <v>34</v>
      </c>
      <c r="K405" s="14" t="str">
        <f aca="false">IF(OR(J405="Réussi",J405="Exception acceptée"),"GREEN",IF(OR(J405="Non commencé",J405="Échec"),"RED","AMBER"))</f>
        <v>RED</v>
      </c>
      <c r="L405" s="10"/>
      <c r="M405" s="10"/>
      <c r="N405" s="15" t="str">
        <f aca="true">IF(G405&lt;&gt;"",TODAY()-G405,"")</f>
        <v/>
      </c>
    </row>
    <row r="406" customFormat="false" ht="18" hidden="false" customHeight="true" outlineLevel="0" collapsed="false">
      <c r="A406" s="16" t="s">
        <v>207</v>
      </c>
      <c r="B406" s="17" t="s">
        <v>205</v>
      </c>
      <c r="C406" s="17" t="s">
        <v>327</v>
      </c>
      <c r="D406" s="16" t="s">
        <v>31</v>
      </c>
      <c r="E406" s="17" t="s">
        <v>328</v>
      </c>
      <c r="F406" s="17" t="s">
        <v>208</v>
      </c>
      <c r="G406" s="17"/>
      <c r="H406" s="18" t="s">
        <v>33</v>
      </c>
      <c r="I406" s="12" t="str">
        <f aca="false">IF(OR(H406="Passed",H406="Accepted Exception"),"GREEN",IF(OR(H406="Not Started",H406="Failed"),"RED","AMBER"))</f>
        <v>RED</v>
      </c>
      <c r="J406" s="19" t="s">
        <v>34</v>
      </c>
      <c r="K406" s="14" t="str">
        <f aca="false">IF(OR(J406="Réussi",J406="Exception acceptée"),"GREEN",IF(OR(J406="Non commencé",J406="Échec"),"RED","AMBER"))</f>
        <v>RED</v>
      </c>
      <c r="L406" s="17"/>
      <c r="M406" s="17"/>
      <c r="N406" s="15" t="str">
        <f aca="true">IF(G406&lt;&gt;"",TODAY()-G406,"")</f>
        <v/>
      </c>
    </row>
    <row r="407" customFormat="false" ht="18" hidden="false" customHeight="true" outlineLevel="0" collapsed="false">
      <c r="A407" s="9" t="s">
        <v>209</v>
      </c>
      <c r="B407" s="10" t="s">
        <v>210</v>
      </c>
      <c r="C407" s="10" t="s">
        <v>327</v>
      </c>
      <c r="D407" s="9" t="s">
        <v>31</v>
      </c>
      <c r="E407" s="10" t="s">
        <v>328</v>
      </c>
      <c r="F407" s="10" t="s">
        <v>209</v>
      </c>
      <c r="G407" s="10"/>
      <c r="H407" s="11" t="s">
        <v>33</v>
      </c>
      <c r="I407" s="12" t="str">
        <f aca="false">IF(OR(H407="Passed",H407="Accepted Exception"),"GREEN",IF(OR(H407="Not Started",H407="Failed"),"RED","AMBER"))</f>
        <v>RED</v>
      </c>
      <c r="J407" s="13" t="s">
        <v>34</v>
      </c>
      <c r="K407" s="14" t="str">
        <f aca="false">IF(OR(J407="Réussi",J407="Exception acceptée"),"GREEN",IF(OR(J407="Non commencé",J407="Échec"),"RED","AMBER"))</f>
        <v>RED</v>
      </c>
      <c r="L407" s="10"/>
      <c r="M407" s="10"/>
      <c r="N407" s="15" t="str">
        <f aca="true">IF(G407&lt;&gt;"",TODAY()-G407,"")</f>
        <v/>
      </c>
    </row>
    <row r="408" customFormat="false" ht="18" hidden="false" customHeight="true" outlineLevel="0" collapsed="false">
      <c r="A408" s="16" t="s">
        <v>211</v>
      </c>
      <c r="B408" s="17" t="s">
        <v>210</v>
      </c>
      <c r="C408" s="17" t="s">
        <v>327</v>
      </c>
      <c r="D408" s="16" t="s">
        <v>31</v>
      </c>
      <c r="E408" s="17" t="s">
        <v>328</v>
      </c>
      <c r="F408" s="17" t="s">
        <v>212</v>
      </c>
      <c r="G408" s="17"/>
      <c r="H408" s="18" t="s">
        <v>33</v>
      </c>
      <c r="I408" s="12" t="str">
        <f aca="false">IF(OR(H408="Passed",H408="Accepted Exception"),"GREEN",IF(OR(H408="Not Started",H408="Failed"),"RED","AMBER"))</f>
        <v>RED</v>
      </c>
      <c r="J408" s="19" t="s">
        <v>34</v>
      </c>
      <c r="K408" s="14" t="str">
        <f aca="false">IF(OR(J408="Réussi",J408="Exception acceptée"),"GREEN",IF(OR(J408="Non commencé",J408="Échec"),"RED","AMBER"))</f>
        <v>RED</v>
      </c>
      <c r="L408" s="17"/>
      <c r="M408" s="17"/>
      <c r="N408" s="15" t="str">
        <f aca="true">IF(G408&lt;&gt;"",TODAY()-G408,"")</f>
        <v/>
      </c>
    </row>
    <row r="409" customFormat="false" ht="18" hidden="false" customHeight="true" outlineLevel="0" collapsed="false">
      <c r="A409" s="9" t="s">
        <v>213</v>
      </c>
      <c r="B409" s="10" t="s">
        <v>214</v>
      </c>
      <c r="C409" s="10" t="s">
        <v>327</v>
      </c>
      <c r="D409" s="9" t="s">
        <v>31</v>
      </c>
      <c r="E409" s="10" t="s">
        <v>328</v>
      </c>
      <c r="F409" s="10" t="s">
        <v>213</v>
      </c>
      <c r="G409" s="10"/>
      <c r="H409" s="11" t="s">
        <v>33</v>
      </c>
      <c r="I409" s="12" t="str">
        <f aca="false">IF(OR(H409="Passed",H409="Accepted Exception"),"GREEN",IF(OR(H409="Not Started",H409="Failed"),"RED","AMBER"))</f>
        <v>RED</v>
      </c>
      <c r="J409" s="13" t="s">
        <v>34</v>
      </c>
      <c r="K409" s="14" t="str">
        <f aca="false">IF(OR(J409="Réussi",J409="Exception acceptée"),"GREEN",IF(OR(J409="Non commencé",J409="Échec"),"RED","AMBER"))</f>
        <v>RED</v>
      </c>
      <c r="L409" s="10"/>
      <c r="M409" s="10"/>
      <c r="N409" s="15" t="str">
        <f aca="true">IF(G409&lt;&gt;"",TODAY()-G409,"")</f>
        <v/>
      </c>
    </row>
    <row r="410" customFormat="false" ht="18" hidden="false" customHeight="true" outlineLevel="0" collapsed="false">
      <c r="A410" s="16" t="s">
        <v>215</v>
      </c>
      <c r="B410" s="17" t="s">
        <v>214</v>
      </c>
      <c r="C410" s="17" t="s">
        <v>327</v>
      </c>
      <c r="D410" s="16" t="s">
        <v>31</v>
      </c>
      <c r="E410" s="17" t="s">
        <v>328</v>
      </c>
      <c r="F410" s="17" t="s">
        <v>216</v>
      </c>
      <c r="G410" s="17"/>
      <c r="H410" s="18" t="s">
        <v>33</v>
      </c>
      <c r="I410" s="12" t="str">
        <f aca="false">IF(OR(H410="Passed",H410="Accepted Exception"),"GREEN",IF(OR(H410="Not Started",H410="Failed"),"RED","AMBER"))</f>
        <v>RED</v>
      </c>
      <c r="J410" s="19" t="s">
        <v>34</v>
      </c>
      <c r="K410" s="14" t="str">
        <f aca="false">IF(OR(J410="Réussi",J410="Exception acceptée"),"GREEN",IF(OR(J410="Non commencé",J410="Échec"),"RED","AMBER"))</f>
        <v>RED</v>
      </c>
      <c r="L410" s="17"/>
      <c r="M410" s="17"/>
      <c r="N410" s="15" t="str">
        <f aca="true">IF(G410&lt;&gt;"",TODAY()-G410,"")</f>
        <v/>
      </c>
    </row>
    <row r="411" customFormat="false" ht="18" hidden="false" customHeight="true" outlineLevel="0" collapsed="false">
      <c r="A411" s="9" t="s">
        <v>217</v>
      </c>
      <c r="B411" s="10" t="s">
        <v>40</v>
      </c>
      <c r="C411" s="10" t="s">
        <v>327</v>
      </c>
      <c r="D411" s="9" t="s">
        <v>31</v>
      </c>
      <c r="E411" s="10" t="s">
        <v>328</v>
      </c>
      <c r="F411" s="10" t="s">
        <v>217</v>
      </c>
      <c r="G411" s="10"/>
      <c r="H411" s="11" t="s">
        <v>33</v>
      </c>
      <c r="I411" s="12" t="str">
        <f aca="false">IF(OR(H411="Passed",H411="Accepted Exception"),"GREEN",IF(OR(H411="Not Started",H411="Failed"),"RED","AMBER"))</f>
        <v>RED</v>
      </c>
      <c r="J411" s="13" t="s">
        <v>34</v>
      </c>
      <c r="K411" s="14" t="str">
        <f aca="false">IF(OR(J411="Réussi",J411="Exception acceptée"),"GREEN",IF(OR(J411="Non commencé",J411="Échec"),"RED","AMBER"))</f>
        <v>RED</v>
      </c>
      <c r="L411" s="10"/>
      <c r="M411" s="10"/>
      <c r="N411" s="15" t="str">
        <f aca="true">IF(G411&lt;&gt;"",TODAY()-G411,"")</f>
        <v/>
      </c>
    </row>
    <row r="412" customFormat="false" ht="18" hidden="false" customHeight="true" outlineLevel="0" collapsed="false">
      <c r="A412" s="16" t="s">
        <v>39</v>
      </c>
      <c r="B412" s="17" t="s">
        <v>40</v>
      </c>
      <c r="C412" s="17" t="s">
        <v>327</v>
      </c>
      <c r="D412" s="16" t="s">
        <v>31</v>
      </c>
      <c r="E412" s="17" t="s">
        <v>328</v>
      </c>
      <c r="F412" s="17" t="s">
        <v>41</v>
      </c>
      <c r="G412" s="17"/>
      <c r="H412" s="18" t="s">
        <v>33</v>
      </c>
      <c r="I412" s="12" t="str">
        <f aca="false">IF(OR(H412="Passed",H412="Accepted Exception"),"GREEN",IF(OR(H412="Not Started",H412="Failed"),"RED","AMBER"))</f>
        <v>RED</v>
      </c>
      <c r="J412" s="19" t="s">
        <v>34</v>
      </c>
      <c r="K412" s="14" t="str">
        <f aca="false">IF(OR(J412="Réussi",J412="Exception acceptée"),"GREEN",IF(OR(J412="Non commencé",J412="Échec"),"RED","AMBER"))</f>
        <v>RED</v>
      </c>
      <c r="L412" s="17"/>
      <c r="M412" s="17"/>
      <c r="N412" s="15" t="str">
        <f aca="true">IF(G412&lt;&gt;"",TODAY()-G412,"")</f>
        <v/>
      </c>
    </row>
    <row r="413" customFormat="false" ht="18" hidden="false" customHeight="true" outlineLevel="0" collapsed="false">
      <c r="A413" s="9" t="s">
        <v>218</v>
      </c>
      <c r="B413" s="10" t="s">
        <v>40</v>
      </c>
      <c r="C413" s="10" t="s">
        <v>327</v>
      </c>
      <c r="D413" s="9" t="s">
        <v>31</v>
      </c>
      <c r="E413" s="10" t="s">
        <v>328</v>
      </c>
      <c r="F413" s="10" t="s">
        <v>219</v>
      </c>
      <c r="G413" s="10"/>
      <c r="H413" s="11" t="s">
        <v>33</v>
      </c>
      <c r="I413" s="12" t="str">
        <f aca="false">IF(OR(H413="Passed",H413="Accepted Exception"),"GREEN",IF(OR(H413="Not Started",H413="Failed"),"RED","AMBER"))</f>
        <v>RED</v>
      </c>
      <c r="J413" s="13" t="s">
        <v>34</v>
      </c>
      <c r="K413" s="14" t="str">
        <f aca="false">IF(OR(J413="Réussi",J413="Exception acceptée"),"GREEN",IF(OR(J413="Non commencé",J413="Échec"),"RED","AMBER"))</f>
        <v>RED</v>
      </c>
      <c r="L413" s="10"/>
      <c r="M413" s="10"/>
      <c r="N413" s="15" t="str">
        <f aca="true">IF(G413&lt;&gt;"",TODAY()-G413,"")</f>
        <v/>
      </c>
    </row>
    <row r="414" customFormat="false" ht="18" hidden="false" customHeight="true" outlineLevel="0" collapsed="false">
      <c r="A414" s="16" t="s">
        <v>220</v>
      </c>
      <c r="B414" s="17" t="s">
        <v>221</v>
      </c>
      <c r="C414" s="17" t="s">
        <v>327</v>
      </c>
      <c r="D414" s="16" t="s">
        <v>31</v>
      </c>
      <c r="E414" s="17" t="s">
        <v>328</v>
      </c>
      <c r="F414" s="17" t="s">
        <v>220</v>
      </c>
      <c r="G414" s="17"/>
      <c r="H414" s="18" t="s">
        <v>33</v>
      </c>
      <c r="I414" s="12" t="str">
        <f aca="false">IF(OR(H414="Passed",H414="Accepted Exception"),"GREEN",IF(OR(H414="Not Started",H414="Failed"),"RED","AMBER"))</f>
        <v>RED</v>
      </c>
      <c r="J414" s="19" t="s">
        <v>34</v>
      </c>
      <c r="K414" s="14" t="str">
        <f aca="false">IF(OR(J414="Réussi",J414="Exception acceptée"),"GREEN",IF(OR(J414="Non commencé",J414="Échec"),"RED","AMBER"))</f>
        <v>RED</v>
      </c>
      <c r="L414" s="17"/>
      <c r="M414" s="17"/>
      <c r="N414" s="15" t="str">
        <f aca="true">IF(G414&lt;&gt;"",TODAY()-G414,"")</f>
        <v/>
      </c>
    </row>
    <row r="415" customFormat="false" ht="18" hidden="false" customHeight="true" outlineLevel="0" collapsed="false">
      <c r="A415" s="9" t="s">
        <v>42</v>
      </c>
      <c r="B415" s="10" t="s">
        <v>43</v>
      </c>
      <c r="C415" s="10" t="s">
        <v>327</v>
      </c>
      <c r="D415" s="9" t="s">
        <v>31</v>
      </c>
      <c r="E415" s="10" t="s">
        <v>328</v>
      </c>
      <c r="F415" s="10" t="s">
        <v>42</v>
      </c>
      <c r="G415" s="10"/>
      <c r="H415" s="11" t="s">
        <v>33</v>
      </c>
      <c r="I415" s="12" t="str">
        <f aca="false">IF(OR(H415="Passed",H415="Accepted Exception"),"GREEN",IF(OR(H415="Not Started",H415="Failed"),"RED","AMBER"))</f>
        <v>RED</v>
      </c>
      <c r="J415" s="13" t="s">
        <v>34</v>
      </c>
      <c r="K415" s="14" t="str">
        <f aca="false">IF(OR(J415="Réussi",J415="Exception acceptée"),"GREEN",IF(OR(J415="Non commencé",J415="Échec"),"RED","AMBER"))</f>
        <v>RED</v>
      </c>
      <c r="L415" s="10"/>
      <c r="M415" s="10"/>
      <c r="N415" s="15" t="str">
        <f aca="true">IF(G415&lt;&gt;"",TODAY()-G415,"")</f>
        <v/>
      </c>
    </row>
    <row r="416" customFormat="false" ht="18" hidden="false" customHeight="true" outlineLevel="0" collapsed="false">
      <c r="A416" s="16" t="s">
        <v>129</v>
      </c>
      <c r="B416" s="17" t="s">
        <v>130</v>
      </c>
      <c r="C416" s="17" t="s">
        <v>327</v>
      </c>
      <c r="D416" s="16" t="s">
        <v>127</v>
      </c>
      <c r="E416" s="17" t="s">
        <v>328</v>
      </c>
      <c r="F416" s="17" t="s">
        <v>129</v>
      </c>
      <c r="G416" s="17"/>
      <c r="H416" s="18" t="s">
        <v>33</v>
      </c>
      <c r="I416" s="12" t="str">
        <f aca="false">IF(OR(H416="Passed",H416="Accepted Exception"),"GREEN",IF(OR(H416="Not Started",H416="Failed"),"RED","AMBER"))</f>
        <v>RED</v>
      </c>
      <c r="J416" s="19" t="s">
        <v>34</v>
      </c>
      <c r="K416" s="14" t="str">
        <f aca="false">IF(OR(J416="Réussi",J416="Exception acceptée"),"GREEN",IF(OR(J416="Non commencé",J416="Échec"),"RED","AMBER"))</f>
        <v>RED</v>
      </c>
      <c r="L416" s="17"/>
      <c r="M416" s="17"/>
      <c r="N416" s="15" t="str">
        <f aca="true">IF(G416&lt;&gt;"",TODAY()-G416,"")</f>
        <v/>
      </c>
    </row>
    <row r="417" customFormat="false" ht="18" hidden="false" customHeight="true" outlineLevel="0" collapsed="false">
      <c r="A417" s="9" t="s">
        <v>329</v>
      </c>
      <c r="B417" s="10" t="s">
        <v>75</v>
      </c>
      <c r="C417" s="10" t="s">
        <v>327</v>
      </c>
      <c r="D417" s="9" t="s">
        <v>46</v>
      </c>
      <c r="E417" s="10" t="s">
        <v>328</v>
      </c>
      <c r="F417" s="10" t="s">
        <v>330</v>
      </c>
      <c r="G417" s="10"/>
      <c r="H417" s="11" t="s">
        <v>33</v>
      </c>
      <c r="I417" s="12" t="str">
        <f aca="false">IF(OR(H417="Passed",H417="Accepted Exception"),"GREEN",IF(OR(H417="Not Started",H417="Failed"),"RED","AMBER"))</f>
        <v>RED</v>
      </c>
      <c r="J417" s="13" t="s">
        <v>34</v>
      </c>
      <c r="K417" s="14" t="str">
        <f aca="false">IF(OR(J417="Réussi",J417="Exception acceptée"),"GREEN",IF(OR(J417="Non commencé",J417="Échec"),"RED","AMBER"))</f>
        <v>RED</v>
      </c>
      <c r="L417" s="10"/>
      <c r="M417" s="10"/>
      <c r="N417" s="15" t="str">
        <f aca="true">IF(G417&lt;&gt;"",TODAY()-G417,"")</f>
        <v/>
      </c>
    </row>
    <row r="418" customFormat="false" ht="18" hidden="false" customHeight="true" outlineLevel="0" collapsed="false">
      <c r="A418" s="16" t="s">
        <v>74</v>
      </c>
      <c r="B418" s="17" t="s">
        <v>75</v>
      </c>
      <c r="C418" s="17" t="s">
        <v>327</v>
      </c>
      <c r="D418" s="16" t="s">
        <v>46</v>
      </c>
      <c r="E418" s="17" t="s">
        <v>328</v>
      </c>
      <c r="F418" s="17" t="s">
        <v>76</v>
      </c>
      <c r="G418" s="17"/>
      <c r="H418" s="18" t="s">
        <v>33</v>
      </c>
      <c r="I418" s="12" t="str">
        <f aca="false">IF(OR(H418="Passed",H418="Accepted Exception"),"GREEN",IF(OR(H418="Not Started",H418="Failed"),"RED","AMBER"))</f>
        <v>RED</v>
      </c>
      <c r="J418" s="19" t="s">
        <v>34</v>
      </c>
      <c r="K418" s="14" t="str">
        <f aca="false">IF(OR(J418="Réussi",J418="Exception acceptée"),"GREEN",IF(OR(J418="Non commencé",J418="Échec"),"RED","AMBER"))</f>
        <v>RED</v>
      </c>
      <c r="L418" s="17"/>
      <c r="M418" s="17"/>
      <c r="N418" s="15" t="str">
        <f aca="true">IF(G418&lt;&gt;"",TODAY()-G418,"")</f>
        <v/>
      </c>
    </row>
    <row r="419" customFormat="false" ht="18" hidden="false" customHeight="true" outlineLevel="0" collapsed="false">
      <c r="A419" s="9" t="s">
        <v>222</v>
      </c>
      <c r="B419" s="10" t="s">
        <v>223</v>
      </c>
      <c r="C419" s="10" t="s">
        <v>327</v>
      </c>
      <c r="D419" s="9" t="s">
        <v>46</v>
      </c>
      <c r="E419" s="10" t="s">
        <v>328</v>
      </c>
      <c r="F419" s="10" t="s">
        <v>222</v>
      </c>
      <c r="G419" s="10"/>
      <c r="H419" s="11" t="s">
        <v>33</v>
      </c>
      <c r="I419" s="12" t="str">
        <f aca="false">IF(OR(H419="Passed",H419="Accepted Exception"),"GREEN",IF(OR(H419="Not Started",H419="Failed"),"RED","AMBER"))</f>
        <v>RED</v>
      </c>
      <c r="J419" s="13" t="s">
        <v>34</v>
      </c>
      <c r="K419" s="14" t="str">
        <f aca="false">IF(OR(J419="Réussi",J419="Exception acceptée"),"GREEN",IF(OR(J419="Non commencé",J419="Échec"),"RED","AMBER"))</f>
        <v>RED</v>
      </c>
      <c r="L419" s="10"/>
      <c r="M419" s="10"/>
      <c r="N419" s="15" t="str">
        <f aca="true">IF(G419&lt;&gt;"",TODAY()-G419,"")</f>
        <v/>
      </c>
    </row>
    <row r="420" customFormat="false" ht="18" hidden="false" customHeight="true" outlineLevel="0" collapsed="false">
      <c r="A420" s="16" t="s">
        <v>331</v>
      </c>
      <c r="B420" s="17" t="s">
        <v>223</v>
      </c>
      <c r="C420" s="17" t="s">
        <v>327</v>
      </c>
      <c r="D420" s="16" t="s">
        <v>46</v>
      </c>
      <c r="E420" s="17" t="s">
        <v>328</v>
      </c>
      <c r="F420" s="17" t="s">
        <v>332</v>
      </c>
      <c r="G420" s="17"/>
      <c r="H420" s="18" t="s">
        <v>33</v>
      </c>
      <c r="I420" s="12" t="str">
        <f aca="false">IF(OR(H420="Passed",H420="Accepted Exception"),"GREEN",IF(OR(H420="Not Started",H420="Failed"),"RED","AMBER"))</f>
        <v>RED</v>
      </c>
      <c r="J420" s="19" t="s">
        <v>34</v>
      </c>
      <c r="K420" s="14" t="str">
        <f aca="false">IF(OR(J420="Réussi",J420="Exception acceptée"),"GREEN",IF(OR(J420="Non commencé",J420="Échec"),"RED","AMBER"))</f>
        <v>RED</v>
      </c>
      <c r="L420" s="17"/>
      <c r="M420" s="17"/>
      <c r="N420" s="15" t="str">
        <f aca="true">IF(G420&lt;&gt;"",TODAY()-G420,"")</f>
        <v/>
      </c>
    </row>
    <row r="421" customFormat="false" ht="18" hidden="false" customHeight="true" outlineLevel="0" collapsed="false">
      <c r="A421" s="9" t="s">
        <v>77</v>
      </c>
      <c r="B421" s="10" t="s">
        <v>78</v>
      </c>
      <c r="C421" s="10" t="s">
        <v>327</v>
      </c>
      <c r="D421" s="9" t="s">
        <v>46</v>
      </c>
      <c r="E421" s="10" t="s">
        <v>328</v>
      </c>
      <c r="F421" s="10" t="s">
        <v>79</v>
      </c>
      <c r="G421" s="10"/>
      <c r="H421" s="11" t="s">
        <v>33</v>
      </c>
      <c r="I421" s="12" t="str">
        <f aca="false">IF(OR(H421="Passed",H421="Accepted Exception"),"GREEN",IF(OR(H421="Not Started",H421="Failed"),"RED","AMBER"))</f>
        <v>RED</v>
      </c>
      <c r="J421" s="13" t="s">
        <v>34</v>
      </c>
      <c r="K421" s="14" t="str">
        <f aca="false">IF(OR(J421="Réussi",J421="Exception acceptée"),"GREEN",IF(OR(J421="Non commencé",J421="Échec"),"RED","AMBER"))</f>
        <v>RED</v>
      </c>
      <c r="L421" s="10"/>
      <c r="M421" s="10"/>
      <c r="N421" s="15" t="str">
        <f aca="true">IF(G421&lt;&gt;"",TODAY()-G421,"")</f>
        <v/>
      </c>
    </row>
    <row r="422" customFormat="false" ht="18" hidden="false" customHeight="true" outlineLevel="0" collapsed="false">
      <c r="A422" s="16" t="s">
        <v>44</v>
      </c>
      <c r="B422" s="17" t="s">
        <v>45</v>
      </c>
      <c r="C422" s="17" t="s">
        <v>327</v>
      </c>
      <c r="D422" s="16" t="s">
        <v>46</v>
      </c>
      <c r="E422" s="17" t="s">
        <v>328</v>
      </c>
      <c r="F422" s="17" t="s">
        <v>44</v>
      </c>
      <c r="G422" s="17"/>
      <c r="H422" s="18" t="s">
        <v>33</v>
      </c>
      <c r="I422" s="12" t="str">
        <f aca="false">IF(OR(H422="Passed",H422="Accepted Exception"),"GREEN",IF(OR(H422="Not Started",H422="Failed"),"RED","AMBER"))</f>
        <v>RED</v>
      </c>
      <c r="J422" s="19" t="s">
        <v>34</v>
      </c>
      <c r="K422" s="14" t="str">
        <f aca="false">IF(OR(J422="Réussi",J422="Exception acceptée"),"GREEN",IF(OR(J422="Non commencé",J422="Échec"),"RED","AMBER"))</f>
        <v>RED</v>
      </c>
      <c r="L422" s="17"/>
      <c r="M422" s="17"/>
      <c r="N422" s="15" t="str">
        <f aca="true">IF(G422&lt;&gt;"",TODAY()-G422,"")</f>
        <v/>
      </c>
    </row>
    <row r="423" customFormat="false" ht="18" hidden="false" customHeight="true" outlineLevel="0" collapsed="false">
      <c r="A423" s="9" t="s">
        <v>333</v>
      </c>
      <c r="B423" s="10" t="s">
        <v>45</v>
      </c>
      <c r="C423" s="10" t="s">
        <v>327</v>
      </c>
      <c r="D423" s="9" t="s">
        <v>46</v>
      </c>
      <c r="E423" s="10" t="s">
        <v>328</v>
      </c>
      <c r="F423" s="10" t="s">
        <v>334</v>
      </c>
      <c r="G423" s="10"/>
      <c r="H423" s="11" t="s">
        <v>33</v>
      </c>
      <c r="I423" s="12" t="str">
        <f aca="false">IF(OR(H423="Passed",H423="Accepted Exception"),"GREEN",IF(OR(H423="Not Started",H423="Failed"),"RED","AMBER"))</f>
        <v>RED</v>
      </c>
      <c r="J423" s="13" t="s">
        <v>34</v>
      </c>
      <c r="K423" s="14" t="str">
        <f aca="false">IF(OR(J423="Réussi",J423="Exception acceptée"),"GREEN",IF(OR(J423="Non commencé",J423="Échec"),"RED","AMBER"))</f>
        <v>RED</v>
      </c>
      <c r="L423" s="10"/>
      <c r="M423" s="10"/>
      <c r="N423" s="15" t="str">
        <f aca="true">IF(G423&lt;&gt;"",TODAY()-G423,"")</f>
        <v/>
      </c>
    </row>
    <row r="424" customFormat="false" ht="18" hidden="false" customHeight="true" outlineLevel="0" collapsed="false">
      <c r="A424" s="16" t="s">
        <v>47</v>
      </c>
      <c r="B424" s="17" t="s">
        <v>48</v>
      </c>
      <c r="C424" s="17" t="s">
        <v>327</v>
      </c>
      <c r="D424" s="16" t="s">
        <v>46</v>
      </c>
      <c r="E424" s="17" t="s">
        <v>328</v>
      </c>
      <c r="F424" s="17" t="s">
        <v>47</v>
      </c>
      <c r="G424" s="17"/>
      <c r="H424" s="18" t="s">
        <v>33</v>
      </c>
      <c r="I424" s="12" t="str">
        <f aca="false">IF(OR(H424="Passed",H424="Accepted Exception"),"GREEN",IF(OR(H424="Not Started",H424="Failed"),"RED","AMBER"))</f>
        <v>RED</v>
      </c>
      <c r="J424" s="19" t="s">
        <v>34</v>
      </c>
      <c r="K424" s="14" t="str">
        <f aca="false">IF(OR(J424="Réussi",J424="Exception acceptée"),"GREEN",IF(OR(J424="Non commencé",J424="Échec"),"RED","AMBER"))</f>
        <v>RED</v>
      </c>
      <c r="L424" s="17"/>
      <c r="M424" s="17"/>
      <c r="N424" s="15" t="str">
        <f aca="true">IF(G424&lt;&gt;"",TODAY()-G424,"")</f>
        <v/>
      </c>
    </row>
    <row r="425" customFormat="false" ht="18" hidden="false" customHeight="true" outlineLevel="0" collapsed="false">
      <c r="A425" s="9" t="s">
        <v>49</v>
      </c>
      <c r="B425" s="10" t="s">
        <v>48</v>
      </c>
      <c r="C425" s="10" t="s">
        <v>327</v>
      </c>
      <c r="D425" s="9" t="s">
        <v>46</v>
      </c>
      <c r="E425" s="10" t="s">
        <v>328</v>
      </c>
      <c r="F425" s="10" t="s">
        <v>50</v>
      </c>
      <c r="G425" s="10"/>
      <c r="H425" s="11" t="s">
        <v>33</v>
      </c>
      <c r="I425" s="12" t="str">
        <f aca="false">IF(OR(H425="Passed",H425="Accepted Exception"),"GREEN",IF(OR(H425="Not Started",H425="Failed"),"RED","AMBER"))</f>
        <v>RED</v>
      </c>
      <c r="J425" s="13" t="s">
        <v>34</v>
      </c>
      <c r="K425" s="14" t="str">
        <f aca="false">IF(OR(J425="Réussi",J425="Exception acceptée"),"GREEN",IF(OR(J425="Non commencé",J425="Échec"),"RED","AMBER"))</f>
        <v>RED</v>
      </c>
      <c r="L425" s="10"/>
      <c r="M425" s="10"/>
      <c r="N425" s="15" t="str">
        <f aca="true">IF(G425&lt;&gt;"",TODAY()-G425,"")</f>
        <v/>
      </c>
    </row>
    <row r="426" customFormat="false" ht="18" hidden="false" customHeight="true" outlineLevel="0" collapsed="false">
      <c r="A426" s="16" t="s">
        <v>335</v>
      </c>
      <c r="B426" s="17" t="s">
        <v>336</v>
      </c>
      <c r="C426" s="17" t="s">
        <v>327</v>
      </c>
      <c r="D426" s="16" t="s">
        <v>46</v>
      </c>
      <c r="E426" s="17" t="s">
        <v>328</v>
      </c>
      <c r="F426" s="17" t="s">
        <v>337</v>
      </c>
      <c r="G426" s="17"/>
      <c r="H426" s="18" t="s">
        <v>33</v>
      </c>
      <c r="I426" s="12" t="str">
        <f aca="false">IF(OR(H426="Passed",H426="Accepted Exception"),"GREEN",IF(OR(H426="Not Started",H426="Failed"),"RED","AMBER"))</f>
        <v>RED</v>
      </c>
      <c r="J426" s="19" t="s">
        <v>34</v>
      </c>
      <c r="K426" s="14" t="str">
        <f aca="false">IF(OR(J426="Réussi",J426="Exception acceptée"),"GREEN",IF(OR(J426="Non commencé",J426="Échec"),"RED","AMBER"))</f>
        <v>RED</v>
      </c>
      <c r="L426" s="17"/>
      <c r="M426" s="17"/>
      <c r="N426" s="15" t="str">
        <f aca="true">IF(G426&lt;&gt;"",TODAY()-G426,"")</f>
        <v/>
      </c>
    </row>
    <row r="427" customFormat="false" ht="18" hidden="false" customHeight="true" outlineLevel="0" collapsed="false">
      <c r="A427" s="9" t="s">
        <v>338</v>
      </c>
      <c r="B427" s="10" t="s">
        <v>336</v>
      </c>
      <c r="C427" s="10" t="s">
        <v>327</v>
      </c>
      <c r="D427" s="9" t="s">
        <v>46</v>
      </c>
      <c r="E427" s="10" t="s">
        <v>328</v>
      </c>
      <c r="F427" s="10" t="s">
        <v>339</v>
      </c>
      <c r="G427" s="10"/>
      <c r="H427" s="11" t="s">
        <v>33</v>
      </c>
      <c r="I427" s="12" t="str">
        <f aca="false">IF(OR(H427="Passed",H427="Accepted Exception"),"GREEN",IF(OR(H427="Not Started",H427="Failed"),"RED","AMBER"))</f>
        <v>RED</v>
      </c>
      <c r="J427" s="13" t="s">
        <v>34</v>
      </c>
      <c r="K427" s="14" t="str">
        <f aca="false">IF(OR(J427="Réussi",J427="Exception acceptée"),"GREEN",IF(OR(J427="Non commencé",J427="Échec"),"RED","AMBER"))</f>
        <v>RED</v>
      </c>
      <c r="L427" s="10"/>
      <c r="M427" s="10"/>
      <c r="N427" s="15" t="str">
        <f aca="true">IF(G427&lt;&gt;"",TODAY()-G427,"")</f>
        <v/>
      </c>
    </row>
    <row r="428" customFormat="false" ht="18" hidden="false" customHeight="true" outlineLevel="0" collapsed="false">
      <c r="A428" s="16" t="s">
        <v>80</v>
      </c>
      <c r="B428" s="17" t="s">
        <v>81</v>
      </c>
      <c r="C428" s="17" t="s">
        <v>327</v>
      </c>
      <c r="D428" s="16" t="s">
        <v>53</v>
      </c>
      <c r="E428" s="17" t="s">
        <v>328</v>
      </c>
      <c r="F428" s="17" t="s">
        <v>80</v>
      </c>
      <c r="G428" s="17"/>
      <c r="H428" s="18" t="s">
        <v>33</v>
      </c>
      <c r="I428" s="12" t="str">
        <f aca="false">IF(OR(H428="Passed",H428="Accepted Exception"),"GREEN",IF(OR(H428="Not Started",H428="Failed"),"RED","AMBER"))</f>
        <v>RED</v>
      </c>
      <c r="J428" s="19" t="s">
        <v>34</v>
      </c>
      <c r="K428" s="14" t="str">
        <f aca="false">IF(OR(J428="Réussi",J428="Exception acceptée"),"GREEN",IF(OR(J428="Non commencé",J428="Échec"),"RED","AMBER"))</f>
        <v>RED</v>
      </c>
      <c r="L428" s="17"/>
      <c r="M428" s="17"/>
      <c r="N428" s="15" t="str">
        <f aca="true">IF(G428&lt;&gt;"",TODAY()-G428,"")</f>
        <v/>
      </c>
    </row>
    <row r="429" customFormat="false" ht="18" hidden="false" customHeight="true" outlineLevel="0" collapsed="false">
      <c r="A429" s="9" t="s">
        <v>82</v>
      </c>
      <c r="B429" s="10" t="s">
        <v>81</v>
      </c>
      <c r="C429" s="10" t="s">
        <v>327</v>
      </c>
      <c r="D429" s="9" t="s">
        <v>53</v>
      </c>
      <c r="E429" s="10" t="s">
        <v>328</v>
      </c>
      <c r="F429" s="10" t="s">
        <v>83</v>
      </c>
      <c r="G429" s="10"/>
      <c r="H429" s="11" t="s">
        <v>33</v>
      </c>
      <c r="I429" s="12" t="str">
        <f aca="false">IF(OR(H429="Passed",H429="Accepted Exception"),"GREEN",IF(OR(H429="Not Started",H429="Failed"),"RED","AMBER"))</f>
        <v>RED</v>
      </c>
      <c r="J429" s="13" t="s">
        <v>34</v>
      </c>
      <c r="K429" s="14" t="str">
        <f aca="false">IF(OR(J429="Réussi",J429="Exception acceptée"),"GREEN",IF(OR(J429="Non commencé",J429="Échec"),"RED","AMBER"))</f>
        <v>RED</v>
      </c>
      <c r="L429" s="10"/>
      <c r="M429" s="10"/>
      <c r="N429" s="15" t="str">
        <f aca="true">IF(G429&lt;&gt;"",TODAY()-G429,"")</f>
        <v/>
      </c>
    </row>
    <row r="430" customFormat="false" ht="18" hidden="false" customHeight="true" outlineLevel="0" collapsed="false">
      <c r="A430" s="16" t="s">
        <v>51</v>
      </c>
      <c r="B430" s="17" t="s">
        <v>52</v>
      </c>
      <c r="C430" s="17" t="s">
        <v>327</v>
      </c>
      <c r="D430" s="16" t="s">
        <v>53</v>
      </c>
      <c r="E430" s="17" t="s">
        <v>328</v>
      </c>
      <c r="F430" s="17" t="s">
        <v>51</v>
      </c>
      <c r="G430" s="17"/>
      <c r="H430" s="18" t="s">
        <v>33</v>
      </c>
      <c r="I430" s="12" t="str">
        <f aca="false">IF(OR(H430="Passed",H430="Accepted Exception"),"GREEN",IF(OR(H430="Not Started",H430="Failed"),"RED","AMBER"))</f>
        <v>RED</v>
      </c>
      <c r="J430" s="19" t="s">
        <v>34</v>
      </c>
      <c r="K430" s="14" t="str">
        <f aca="false">IF(OR(J430="Réussi",J430="Exception acceptée"),"GREEN",IF(OR(J430="Non commencé",J430="Échec"),"RED","AMBER"))</f>
        <v>RED</v>
      </c>
      <c r="L430" s="17"/>
      <c r="M430" s="17"/>
      <c r="N430" s="15" t="str">
        <f aca="true">IF(G430&lt;&gt;"",TODAY()-G430,"")</f>
        <v/>
      </c>
    </row>
    <row r="431" customFormat="false" ht="18" hidden="false" customHeight="true" outlineLevel="0" collapsed="false">
      <c r="A431" s="9" t="s">
        <v>340</v>
      </c>
      <c r="B431" s="10" t="s">
        <v>52</v>
      </c>
      <c r="C431" s="10" t="s">
        <v>327</v>
      </c>
      <c r="D431" s="9" t="s">
        <v>53</v>
      </c>
      <c r="E431" s="10" t="s">
        <v>328</v>
      </c>
      <c r="F431" s="10" t="s">
        <v>341</v>
      </c>
      <c r="G431" s="10"/>
      <c r="H431" s="11" t="s">
        <v>33</v>
      </c>
      <c r="I431" s="12" t="str">
        <f aca="false">IF(OR(H431="Passed",H431="Accepted Exception"),"GREEN",IF(OR(H431="Not Started",H431="Failed"),"RED","AMBER"))</f>
        <v>RED</v>
      </c>
      <c r="J431" s="13" t="s">
        <v>34</v>
      </c>
      <c r="K431" s="14" t="str">
        <f aca="false">IF(OR(J431="Réussi",J431="Exception acceptée"),"GREEN",IF(OR(J431="Non commencé",J431="Échec"),"RED","AMBER"))</f>
        <v>RED</v>
      </c>
      <c r="L431" s="10"/>
      <c r="M431" s="10"/>
      <c r="N431" s="15" t="str">
        <f aca="true">IF(G431&lt;&gt;"",TODAY()-G431,"")</f>
        <v/>
      </c>
    </row>
    <row r="432" customFormat="false" ht="18" hidden="false" customHeight="true" outlineLevel="0" collapsed="false">
      <c r="A432" s="16" t="s">
        <v>54</v>
      </c>
      <c r="B432" s="17" t="s">
        <v>52</v>
      </c>
      <c r="C432" s="17" t="s">
        <v>327</v>
      </c>
      <c r="D432" s="16" t="s">
        <v>53</v>
      </c>
      <c r="E432" s="17" t="s">
        <v>328</v>
      </c>
      <c r="F432" s="17" t="s">
        <v>55</v>
      </c>
      <c r="G432" s="17"/>
      <c r="H432" s="18" t="s">
        <v>33</v>
      </c>
      <c r="I432" s="12" t="str">
        <f aca="false">IF(OR(H432="Passed",H432="Accepted Exception"),"GREEN",IF(OR(H432="Not Started",H432="Failed"),"RED","AMBER"))</f>
        <v>RED</v>
      </c>
      <c r="J432" s="19" t="s">
        <v>34</v>
      </c>
      <c r="K432" s="14" t="str">
        <f aca="false">IF(OR(J432="Réussi",J432="Exception acceptée"),"GREEN",IF(OR(J432="Non commencé",J432="Échec"),"RED","AMBER"))</f>
        <v>RED</v>
      </c>
      <c r="L432" s="17"/>
      <c r="M432" s="17"/>
      <c r="N432" s="15" t="str">
        <f aca="true">IF(G432&lt;&gt;"",TODAY()-G432,"")</f>
        <v/>
      </c>
    </row>
    <row r="433" customFormat="false" ht="18" hidden="false" customHeight="true" outlineLevel="0" collapsed="false">
      <c r="A433" s="9" t="s">
        <v>84</v>
      </c>
      <c r="B433" s="10" t="s">
        <v>85</v>
      </c>
      <c r="C433" s="10" t="s">
        <v>327</v>
      </c>
      <c r="D433" s="9" t="s">
        <v>53</v>
      </c>
      <c r="E433" s="10" t="s">
        <v>328</v>
      </c>
      <c r="F433" s="10" t="s">
        <v>84</v>
      </c>
      <c r="G433" s="10"/>
      <c r="H433" s="11" t="s">
        <v>33</v>
      </c>
      <c r="I433" s="12" t="str">
        <f aca="false">IF(OR(H433="Passed",H433="Accepted Exception"),"GREEN",IF(OR(H433="Not Started",H433="Failed"),"RED","AMBER"))</f>
        <v>RED</v>
      </c>
      <c r="J433" s="13" t="s">
        <v>34</v>
      </c>
      <c r="K433" s="14" t="str">
        <f aca="false">IF(OR(J433="Réussi",J433="Exception acceptée"),"GREEN",IF(OR(J433="Non commencé",J433="Échec"),"RED","AMBER"))</f>
        <v>RED</v>
      </c>
      <c r="L433" s="10"/>
      <c r="M433" s="10"/>
      <c r="N433" s="15" t="str">
        <f aca="true">IF(G433&lt;&gt;"",TODAY()-G433,"")</f>
        <v/>
      </c>
    </row>
    <row r="434" customFormat="false" ht="18" hidden="false" customHeight="true" outlineLevel="0" collapsed="false">
      <c r="A434" s="16" t="s">
        <v>86</v>
      </c>
      <c r="B434" s="17" t="s">
        <v>85</v>
      </c>
      <c r="C434" s="17" t="s">
        <v>327</v>
      </c>
      <c r="D434" s="16" t="s">
        <v>53</v>
      </c>
      <c r="E434" s="17" t="s">
        <v>328</v>
      </c>
      <c r="F434" s="17" t="s">
        <v>87</v>
      </c>
      <c r="G434" s="17"/>
      <c r="H434" s="18" t="s">
        <v>33</v>
      </c>
      <c r="I434" s="12" t="str">
        <f aca="false">IF(OR(H434="Passed",H434="Accepted Exception"),"GREEN",IF(OR(H434="Not Started",H434="Failed"),"RED","AMBER"))</f>
        <v>RED</v>
      </c>
      <c r="J434" s="19" t="s">
        <v>34</v>
      </c>
      <c r="K434" s="14" t="str">
        <f aca="false">IF(OR(J434="Réussi",J434="Exception acceptée"),"GREEN",IF(OR(J434="Non commencé",J434="Échec"),"RED","AMBER"))</f>
        <v>RED</v>
      </c>
      <c r="L434" s="17"/>
      <c r="M434" s="17"/>
      <c r="N434" s="15" t="str">
        <f aca="true">IF(G434&lt;&gt;"",TODAY()-G434,"")</f>
        <v/>
      </c>
    </row>
    <row r="435" customFormat="false" ht="18" hidden="false" customHeight="true" outlineLevel="0" collapsed="false">
      <c r="A435" s="9" t="s">
        <v>88</v>
      </c>
      <c r="B435" s="10" t="s">
        <v>85</v>
      </c>
      <c r="C435" s="10" t="s">
        <v>327</v>
      </c>
      <c r="D435" s="9" t="s">
        <v>53</v>
      </c>
      <c r="E435" s="10" t="s">
        <v>328</v>
      </c>
      <c r="F435" s="10" t="s">
        <v>89</v>
      </c>
      <c r="G435" s="10"/>
      <c r="H435" s="11" t="s">
        <v>33</v>
      </c>
      <c r="I435" s="12" t="str">
        <f aca="false">IF(OR(H435="Passed",H435="Accepted Exception"),"GREEN",IF(OR(H435="Not Started",H435="Failed"),"RED","AMBER"))</f>
        <v>RED</v>
      </c>
      <c r="J435" s="13" t="s">
        <v>34</v>
      </c>
      <c r="K435" s="14" t="str">
        <f aca="false">IF(OR(J435="Réussi",J435="Exception acceptée"),"GREEN",IF(OR(J435="Non commencé",J435="Échec"),"RED","AMBER"))</f>
        <v>RED</v>
      </c>
      <c r="L435" s="10"/>
      <c r="M435" s="10"/>
      <c r="N435" s="15" t="str">
        <f aca="true">IF(G435&lt;&gt;"",TODAY()-G435,"")</f>
        <v/>
      </c>
    </row>
    <row r="436" customFormat="false" ht="18" hidden="false" customHeight="true" outlineLevel="0" collapsed="false">
      <c r="A436" s="16" t="s">
        <v>342</v>
      </c>
      <c r="B436" s="17" t="s">
        <v>85</v>
      </c>
      <c r="C436" s="17" t="s">
        <v>327</v>
      </c>
      <c r="D436" s="16" t="s">
        <v>53</v>
      </c>
      <c r="E436" s="17" t="s">
        <v>328</v>
      </c>
      <c r="F436" s="17" t="s">
        <v>343</v>
      </c>
      <c r="G436" s="17"/>
      <c r="H436" s="18" t="s">
        <v>33</v>
      </c>
      <c r="I436" s="12" t="str">
        <f aca="false">IF(OR(H436="Passed",H436="Accepted Exception"),"GREEN",IF(OR(H436="Not Started",H436="Failed"),"RED","AMBER"))</f>
        <v>RED</v>
      </c>
      <c r="J436" s="19" t="s">
        <v>34</v>
      </c>
      <c r="K436" s="14" t="str">
        <f aca="false">IF(OR(J436="Réussi",J436="Exception acceptée"),"GREEN",IF(OR(J436="Non commencé",J436="Échec"),"RED","AMBER"))</f>
        <v>RED</v>
      </c>
      <c r="L436" s="17"/>
      <c r="M436" s="17"/>
      <c r="N436" s="15" t="str">
        <f aca="true">IF(G436&lt;&gt;"",TODAY()-G436,"")</f>
        <v/>
      </c>
    </row>
    <row r="437" customFormat="false" ht="18" hidden="false" customHeight="true" outlineLevel="0" collapsed="false">
      <c r="A437" s="9" t="s">
        <v>90</v>
      </c>
      <c r="B437" s="10" t="s">
        <v>85</v>
      </c>
      <c r="C437" s="10" t="s">
        <v>327</v>
      </c>
      <c r="D437" s="9" t="s">
        <v>53</v>
      </c>
      <c r="E437" s="10" t="s">
        <v>328</v>
      </c>
      <c r="F437" s="10" t="s">
        <v>91</v>
      </c>
      <c r="G437" s="10"/>
      <c r="H437" s="11" t="s">
        <v>33</v>
      </c>
      <c r="I437" s="12" t="str">
        <f aca="false">IF(OR(H437="Passed",H437="Accepted Exception"),"GREEN",IF(OR(H437="Not Started",H437="Failed"),"RED","AMBER"))</f>
        <v>RED</v>
      </c>
      <c r="J437" s="13" t="s">
        <v>34</v>
      </c>
      <c r="K437" s="14" t="str">
        <f aca="false">IF(OR(J437="Réussi",J437="Exception acceptée"),"GREEN",IF(OR(J437="Non commencé",J437="Échec"),"RED","AMBER"))</f>
        <v>RED</v>
      </c>
      <c r="L437" s="10"/>
      <c r="M437" s="10"/>
      <c r="N437" s="15" t="str">
        <f aca="true">IF(G437&lt;&gt;"",TODAY()-G437,"")</f>
        <v/>
      </c>
    </row>
    <row r="438" customFormat="false" ht="18" hidden="false" customHeight="true" outlineLevel="0" collapsed="false">
      <c r="A438" s="16" t="s">
        <v>56</v>
      </c>
      <c r="B438" s="17" t="s">
        <v>57</v>
      </c>
      <c r="C438" s="17" t="s">
        <v>327</v>
      </c>
      <c r="D438" s="16" t="s">
        <v>53</v>
      </c>
      <c r="E438" s="17" t="s">
        <v>328</v>
      </c>
      <c r="F438" s="17" t="s">
        <v>56</v>
      </c>
      <c r="G438" s="17"/>
      <c r="H438" s="18" t="s">
        <v>33</v>
      </c>
      <c r="I438" s="12" t="str">
        <f aca="false">IF(OR(H438="Passed",H438="Accepted Exception"),"GREEN",IF(OR(H438="Not Started",H438="Failed"),"RED","AMBER"))</f>
        <v>RED</v>
      </c>
      <c r="J438" s="19" t="s">
        <v>34</v>
      </c>
      <c r="K438" s="14" t="str">
        <f aca="false">IF(OR(J438="Réussi",J438="Exception acceptée"),"GREEN",IF(OR(J438="Non commencé",J438="Échec"),"RED","AMBER"))</f>
        <v>RED</v>
      </c>
      <c r="L438" s="17"/>
      <c r="M438" s="17"/>
      <c r="N438" s="15" t="str">
        <f aca="true">IF(G438&lt;&gt;"",TODAY()-G438,"")</f>
        <v/>
      </c>
    </row>
    <row r="439" customFormat="false" ht="18" hidden="false" customHeight="true" outlineLevel="0" collapsed="false">
      <c r="A439" s="9" t="s">
        <v>58</v>
      </c>
      <c r="B439" s="10" t="s">
        <v>57</v>
      </c>
      <c r="C439" s="10" t="s">
        <v>327</v>
      </c>
      <c r="D439" s="9" t="s">
        <v>53</v>
      </c>
      <c r="E439" s="10" t="s">
        <v>328</v>
      </c>
      <c r="F439" s="10" t="s">
        <v>59</v>
      </c>
      <c r="G439" s="10"/>
      <c r="H439" s="11" t="s">
        <v>33</v>
      </c>
      <c r="I439" s="12" t="str">
        <f aca="false">IF(OR(H439="Passed",H439="Accepted Exception"),"GREEN",IF(OR(H439="Not Started",H439="Failed"),"RED","AMBER"))</f>
        <v>RED</v>
      </c>
      <c r="J439" s="13" t="s">
        <v>34</v>
      </c>
      <c r="K439" s="14" t="str">
        <f aca="false">IF(OR(J439="Réussi",J439="Exception acceptée"),"GREEN",IF(OR(J439="Non commencé",J439="Échec"),"RED","AMBER"))</f>
        <v>RED</v>
      </c>
      <c r="L439" s="10"/>
      <c r="M439" s="10"/>
      <c r="N439" s="15" t="str">
        <f aca="true">IF(G439&lt;&gt;"",TODAY()-G439,"")</f>
        <v/>
      </c>
    </row>
    <row r="440" customFormat="false" ht="18" hidden="false" customHeight="true" outlineLevel="0" collapsed="false">
      <c r="A440" s="16" t="s">
        <v>139</v>
      </c>
      <c r="B440" s="17" t="s">
        <v>136</v>
      </c>
      <c r="C440" s="17" t="s">
        <v>327</v>
      </c>
      <c r="D440" s="16" t="s">
        <v>137</v>
      </c>
      <c r="E440" s="17" t="s">
        <v>328</v>
      </c>
      <c r="F440" s="17" t="s">
        <v>140</v>
      </c>
      <c r="G440" s="17"/>
      <c r="H440" s="18" t="s">
        <v>33</v>
      </c>
      <c r="I440" s="12" t="str">
        <f aca="false">IF(OR(H440="Passed",H440="Accepted Exception"),"GREEN",IF(OR(H440="Not Started",H440="Failed"),"RED","AMBER"))</f>
        <v>RED</v>
      </c>
      <c r="J440" s="19" t="s">
        <v>34</v>
      </c>
      <c r="K440" s="14" t="str">
        <f aca="false">IF(OR(J440="Réussi",J440="Exception acceptée"),"GREEN",IF(OR(J440="Non commencé",J440="Échec"),"RED","AMBER"))</f>
        <v>RED</v>
      </c>
      <c r="L440" s="17"/>
      <c r="M440" s="17"/>
      <c r="N440" s="15" t="str">
        <f aca="true">IF(G440&lt;&gt;"",TODAY()-G440,"")</f>
        <v/>
      </c>
    </row>
    <row r="441" customFormat="false" ht="18" hidden="false" customHeight="true" outlineLevel="0" collapsed="false">
      <c r="A441" s="9" t="s">
        <v>224</v>
      </c>
      <c r="B441" s="10" t="s">
        <v>225</v>
      </c>
      <c r="C441" s="10" t="s">
        <v>327</v>
      </c>
      <c r="D441" s="9" t="s">
        <v>226</v>
      </c>
      <c r="E441" s="10" t="s">
        <v>328</v>
      </c>
      <c r="F441" s="10" t="s">
        <v>224</v>
      </c>
      <c r="G441" s="10"/>
      <c r="H441" s="11" t="s">
        <v>33</v>
      </c>
      <c r="I441" s="12" t="str">
        <f aca="false">IF(OR(H441="Passed",H441="Accepted Exception"),"GREEN",IF(OR(H441="Not Started",H441="Failed"),"RED","AMBER"))</f>
        <v>RED</v>
      </c>
      <c r="J441" s="13" t="s">
        <v>34</v>
      </c>
      <c r="K441" s="14" t="str">
        <f aca="false">IF(OR(J441="Réussi",J441="Exception acceptée"),"GREEN",IF(OR(J441="Non commencé",J441="Échec"),"RED","AMBER"))</f>
        <v>RED</v>
      </c>
      <c r="L441" s="10"/>
      <c r="M441" s="10"/>
      <c r="N441" s="15" t="str">
        <f aca="true">IF(G441&lt;&gt;"",TODAY()-G441,"")</f>
        <v/>
      </c>
    </row>
    <row r="442" customFormat="false" ht="18" hidden="false" customHeight="true" outlineLevel="0" collapsed="false">
      <c r="A442" s="16" t="s">
        <v>227</v>
      </c>
      <c r="B442" s="17" t="s">
        <v>225</v>
      </c>
      <c r="C442" s="17" t="s">
        <v>327</v>
      </c>
      <c r="D442" s="16" t="s">
        <v>226</v>
      </c>
      <c r="E442" s="17" t="s">
        <v>328</v>
      </c>
      <c r="F442" s="17" t="s">
        <v>228</v>
      </c>
      <c r="G442" s="17"/>
      <c r="H442" s="18" t="s">
        <v>33</v>
      </c>
      <c r="I442" s="12" t="str">
        <f aca="false">IF(OR(H442="Passed",H442="Accepted Exception"),"GREEN",IF(OR(H442="Not Started",H442="Failed"),"RED","AMBER"))</f>
        <v>RED</v>
      </c>
      <c r="J442" s="19" t="s">
        <v>34</v>
      </c>
      <c r="K442" s="14" t="str">
        <f aca="false">IF(OR(J442="Réussi",J442="Exception acceptée"),"GREEN",IF(OR(J442="Non commencé",J442="Échec"),"RED","AMBER"))</f>
        <v>RED</v>
      </c>
      <c r="L442" s="17"/>
      <c r="M442" s="17"/>
      <c r="N442" s="15" t="str">
        <f aca="true">IF(G442&lt;&gt;"",TODAY()-G442,"")</f>
        <v/>
      </c>
    </row>
    <row r="443" customFormat="false" ht="18" hidden="false" customHeight="true" outlineLevel="0" collapsed="false">
      <c r="A443" s="9" t="s">
        <v>248</v>
      </c>
      <c r="B443" s="10" t="s">
        <v>249</v>
      </c>
      <c r="C443" s="10" t="s">
        <v>327</v>
      </c>
      <c r="D443" s="9" t="s">
        <v>250</v>
      </c>
      <c r="E443" s="10" t="s">
        <v>328</v>
      </c>
      <c r="F443" s="10" t="s">
        <v>248</v>
      </c>
      <c r="G443" s="10"/>
      <c r="H443" s="11" t="s">
        <v>33</v>
      </c>
      <c r="I443" s="12" t="str">
        <f aca="false">IF(OR(H443="Passed",H443="Accepted Exception"),"GREEN",IF(OR(H443="Not Started",H443="Failed"),"RED","AMBER"))</f>
        <v>RED</v>
      </c>
      <c r="J443" s="13" t="s">
        <v>34</v>
      </c>
      <c r="K443" s="14" t="str">
        <f aca="false">IF(OR(J443="Réussi",J443="Exception acceptée"),"GREEN",IF(OR(J443="Non commencé",J443="Échec"),"RED","AMBER"))</f>
        <v>RED</v>
      </c>
      <c r="L443" s="10"/>
      <c r="M443" s="10"/>
      <c r="N443" s="15" t="str">
        <f aca="true">IF(G443&lt;&gt;"",TODAY()-G443,"")</f>
        <v/>
      </c>
    </row>
    <row r="444" customFormat="false" ht="18" hidden="false" customHeight="true" outlineLevel="0" collapsed="false">
      <c r="A444" s="16" t="s">
        <v>261</v>
      </c>
      <c r="B444" s="17" t="s">
        <v>249</v>
      </c>
      <c r="C444" s="17" t="s">
        <v>327</v>
      </c>
      <c r="D444" s="16" t="s">
        <v>250</v>
      </c>
      <c r="E444" s="17" t="s">
        <v>328</v>
      </c>
      <c r="F444" s="17" t="s">
        <v>262</v>
      </c>
      <c r="G444" s="17"/>
      <c r="H444" s="18" t="s">
        <v>33</v>
      </c>
      <c r="I444" s="12" t="str">
        <f aca="false">IF(OR(H444="Passed",H444="Accepted Exception"),"GREEN",IF(OR(H444="Not Started",H444="Failed"),"RED","AMBER"))</f>
        <v>RED</v>
      </c>
      <c r="J444" s="19" t="s">
        <v>34</v>
      </c>
      <c r="K444" s="14" t="str">
        <f aca="false">IF(OR(J444="Réussi",J444="Exception acceptée"),"GREEN",IF(OR(J444="Non commencé",J444="Échec"),"RED","AMBER"))</f>
        <v>RED</v>
      </c>
      <c r="L444" s="17"/>
      <c r="M444" s="17"/>
      <c r="N444" s="15" t="str">
        <f aca="true">IF(G444&lt;&gt;"",TODAY()-G444,"")</f>
        <v/>
      </c>
    </row>
    <row r="445" customFormat="false" ht="18" hidden="false" customHeight="true" outlineLevel="0" collapsed="false">
      <c r="A445" s="9" t="s">
        <v>60</v>
      </c>
      <c r="B445" s="10" t="s">
        <v>61</v>
      </c>
      <c r="C445" s="10" t="s">
        <v>327</v>
      </c>
      <c r="D445" s="9" t="s">
        <v>62</v>
      </c>
      <c r="E445" s="10" t="s">
        <v>328</v>
      </c>
      <c r="F445" s="10" t="s">
        <v>63</v>
      </c>
      <c r="G445" s="10"/>
      <c r="H445" s="11" t="s">
        <v>33</v>
      </c>
      <c r="I445" s="12" t="str">
        <f aca="false">IF(OR(H445="Passed",H445="Accepted Exception"),"GREEN",IF(OR(H445="Not Started",H445="Failed"),"RED","AMBER"))</f>
        <v>RED</v>
      </c>
      <c r="J445" s="13" t="s">
        <v>34</v>
      </c>
      <c r="K445" s="14" t="str">
        <f aca="false">IF(OR(J445="Réussi",J445="Exception acceptée"),"GREEN",IF(OR(J445="Non commencé",J445="Échec"),"RED","AMBER"))</f>
        <v>RED</v>
      </c>
      <c r="L445" s="10"/>
      <c r="M445" s="10"/>
      <c r="N445" s="15" t="str">
        <f aca="true">IF(G445&lt;&gt;"",TODAY()-G445,"")</f>
        <v/>
      </c>
    </row>
    <row r="446" customFormat="false" ht="18" hidden="false" customHeight="true" outlineLevel="0" collapsed="false">
      <c r="A446" s="16" t="s">
        <v>234</v>
      </c>
      <c r="B446" s="17" t="s">
        <v>149</v>
      </c>
      <c r="C446" s="17" t="s">
        <v>327</v>
      </c>
      <c r="D446" s="16" t="s">
        <v>94</v>
      </c>
      <c r="E446" s="17" t="s">
        <v>328</v>
      </c>
      <c r="F446" s="17" t="s">
        <v>234</v>
      </c>
      <c r="G446" s="17"/>
      <c r="H446" s="18" t="s">
        <v>33</v>
      </c>
      <c r="I446" s="12" t="str">
        <f aca="false">IF(OR(H446="Passed",H446="Accepted Exception"),"GREEN",IF(OR(H446="Not Started",H446="Failed"),"RED","AMBER"))</f>
        <v>RED</v>
      </c>
      <c r="J446" s="19" t="s">
        <v>34</v>
      </c>
      <c r="K446" s="14" t="str">
        <f aca="false">IF(OR(J446="Réussi",J446="Exception acceptée"),"GREEN",IF(OR(J446="Non commencé",J446="Échec"),"RED","AMBER"))</f>
        <v>RED</v>
      </c>
      <c r="L446" s="17"/>
      <c r="M446" s="17"/>
      <c r="N446" s="15" t="str">
        <f aca="true">IF(G446&lt;&gt;"",TODAY()-G446,"")</f>
        <v/>
      </c>
    </row>
    <row r="447" customFormat="false" ht="18" hidden="false" customHeight="true" outlineLevel="0" collapsed="false">
      <c r="A447" s="9" t="s">
        <v>95</v>
      </c>
      <c r="B447" s="10" t="s">
        <v>96</v>
      </c>
      <c r="C447" s="10" t="s">
        <v>327</v>
      </c>
      <c r="D447" s="9" t="s">
        <v>94</v>
      </c>
      <c r="E447" s="10" t="s">
        <v>328</v>
      </c>
      <c r="F447" s="10" t="s">
        <v>95</v>
      </c>
      <c r="G447" s="10"/>
      <c r="H447" s="11" t="s">
        <v>33</v>
      </c>
      <c r="I447" s="12" t="str">
        <f aca="false">IF(OR(H447="Passed",H447="Accepted Exception"),"GREEN",IF(OR(H447="Not Started",H447="Failed"),"RED","AMBER"))</f>
        <v>RED</v>
      </c>
      <c r="J447" s="13" t="s">
        <v>34</v>
      </c>
      <c r="K447" s="14" t="str">
        <f aca="false">IF(OR(J447="Réussi",J447="Exception acceptée"),"GREEN",IF(OR(J447="Non commencé",J447="Échec"),"RED","AMBER"))</f>
        <v>RED</v>
      </c>
      <c r="L447" s="10"/>
      <c r="M447" s="10"/>
      <c r="N447" s="15" t="str">
        <f aca="true">IF(G447&lt;&gt;"",TODAY()-G447,"")</f>
        <v/>
      </c>
    </row>
    <row r="448" customFormat="false" ht="18" hidden="false" customHeight="true" outlineLevel="0" collapsed="false">
      <c r="A448" s="16" t="s">
        <v>159</v>
      </c>
      <c r="B448" s="17" t="s">
        <v>160</v>
      </c>
      <c r="C448" s="17" t="s">
        <v>327</v>
      </c>
      <c r="D448" s="16" t="s">
        <v>94</v>
      </c>
      <c r="E448" s="17" t="s">
        <v>328</v>
      </c>
      <c r="F448" s="17" t="s">
        <v>159</v>
      </c>
      <c r="G448" s="17"/>
      <c r="H448" s="18" t="s">
        <v>33</v>
      </c>
      <c r="I448" s="12" t="str">
        <f aca="false">IF(OR(H448="Passed",H448="Accepted Exception"),"GREEN",IF(OR(H448="Not Started",H448="Failed"),"RED","AMBER"))</f>
        <v>RED</v>
      </c>
      <c r="J448" s="19" t="s">
        <v>34</v>
      </c>
      <c r="K448" s="14" t="str">
        <f aca="false">IF(OR(J448="Réussi",J448="Exception acceptée"),"GREEN",IF(OR(J448="Non commencé",J448="Échec"),"RED","AMBER"))</f>
        <v>RED</v>
      </c>
      <c r="L448" s="17"/>
      <c r="M448" s="17"/>
      <c r="N448" s="15" t="str">
        <f aca="true">IF(G448&lt;&gt;"",TODAY()-G448,"")</f>
        <v/>
      </c>
    </row>
    <row r="449" customFormat="false" ht="18" hidden="false" customHeight="true" outlineLevel="0" collapsed="false">
      <c r="A449" s="9" t="s">
        <v>97</v>
      </c>
      <c r="B449" s="10" t="s">
        <v>98</v>
      </c>
      <c r="C449" s="10" t="s">
        <v>327</v>
      </c>
      <c r="D449" s="9" t="s">
        <v>94</v>
      </c>
      <c r="E449" s="10" t="s">
        <v>328</v>
      </c>
      <c r="F449" s="10" t="s">
        <v>97</v>
      </c>
      <c r="G449" s="10"/>
      <c r="H449" s="11" t="s">
        <v>33</v>
      </c>
      <c r="I449" s="12" t="str">
        <f aca="false">IF(OR(H449="Passed",H449="Accepted Exception"),"GREEN",IF(OR(H449="Not Started",H449="Failed"),"RED","AMBER"))</f>
        <v>RED</v>
      </c>
      <c r="J449" s="13" t="s">
        <v>34</v>
      </c>
      <c r="K449" s="14" t="str">
        <f aca="false">IF(OR(J449="Réussi",J449="Exception acceptée"),"GREEN",IF(OR(J449="Non commencé",J449="Échec"),"RED","AMBER"))</f>
        <v>RED</v>
      </c>
      <c r="L449" s="10"/>
      <c r="M449" s="10"/>
      <c r="N449" s="15" t="str">
        <f aca="true">IF(G449&lt;&gt;"",TODAY()-G449,"")</f>
        <v/>
      </c>
    </row>
    <row r="450" customFormat="false" ht="18" hidden="false" customHeight="true" outlineLevel="0" collapsed="false">
      <c r="A450" s="16" t="s">
        <v>99</v>
      </c>
      <c r="B450" s="17" t="s">
        <v>98</v>
      </c>
      <c r="C450" s="17" t="s">
        <v>327</v>
      </c>
      <c r="D450" s="16" t="s">
        <v>94</v>
      </c>
      <c r="E450" s="17" t="s">
        <v>328</v>
      </c>
      <c r="F450" s="17" t="s">
        <v>100</v>
      </c>
      <c r="G450" s="17"/>
      <c r="H450" s="18" t="s">
        <v>33</v>
      </c>
      <c r="I450" s="12" t="str">
        <f aca="false">IF(OR(H450="Passed",H450="Accepted Exception"),"GREEN",IF(OR(H450="Not Started",H450="Failed"),"RED","AMBER"))</f>
        <v>RED</v>
      </c>
      <c r="J450" s="19" t="s">
        <v>34</v>
      </c>
      <c r="K450" s="14" t="str">
        <f aca="false">IF(OR(J450="Réussi",J450="Exception acceptée"),"GREEN",IF(OR(J450="Non commencé",J450="Échec"),"RED","AMBER"))</f>
        <v>RED</v>
      </c>
      <c r="L450" s="17"/>
      <c r="M450" s="17"/>
      <c r="N450" s="15" t="str">
        <f aca="true">IF(G450&lt;&gt;"",TODAY()-G450,"")</f>
        <v/>
      </c>
    </row>
    <row r="451" customFormat="false" ht="18" hidden="false" customHeight="true" outlineLevel="0" collapsed="false">
      <c r="A451" s="9" t="s">
        <v>267</v>
      </c>
      <c r="B451" s="10" t="s">
        <v>266</v>
      </c>
      <c r="C451" s="10" t="s">
        <v>327</v>
      </c>
      <c r="D451" s="9" t="s">
        <v>66</v>
      </c>
      <c r="E451" s="10" t="s">
        <v>328</v>
      </c>
      <c r="F451" s="10" t="s">
        <v>268</v>
      </c>
      <c r="G451" s="10"/>
      <c r="H451" s="11" t="s">
        <v>33</v>
      </c>
      <c r="I451" s="12" t="str">
        <f aca="false">IF(OR(H451="Passed",H451="Accepted Exception"),"GREEN",IF(OR(H451="Not Started",H451="Failed"),"RED","AMBER"))</f>
        <v>RED</v>
      </c>
      <c r="J451" s="13" t="s">
        <v>34</v>
      </c>
      <c r="K451" s="14" t="str">
        <f aca="false">IF(OR(J451="Réussi",J451="Exception acceptée"),"GREEN",IF(OR(J451="Non commencé",J451="Échec"),"RED","AMBER"))</f>
        <v>RED</v>
      </c>
      <c r="L451" s="10"/>
      <c r="M451" s="10"/>
      <c r="N451" s="15" t="str">
        <f aca="true">IF(G451&lt;&gt;"",TODAY()-G451,"")</f>
        <v/>
      </c>
    </row>
    <row r="452" customFormat="false" ht="18" hidden="false" customHeight="true" outlineLevel="0" collapsed="false">
      <c r="A452" s="16" t="s">
        <v>271</v>
      </c>
      <c r="B452" s="17" t="s">
        <v>270</v>
      </c>
      <c r="C452" s="17" t="s">
        <v>327</v>
      </c>
      <c r="D452" s="16" t="s">
        <v>66</v>
      </c>
      <c r="E452" s="17" t="s">
        <v>328</v>
      </c>
      <c r="F452" s="17" t="s">
        <v>272</v>
      </c>
      <c r="G452" s="17"/>
      <c r="H452" s="18" t="s">
        <v>33</v>
      </c>
      <c r="I452" s="12" t="str">
        <f aca="false">IF(OR(H452="Passed",H452="Accepted Exception"),"GREEN",IF(OR(H452="Not Started",H452="Failed"),"RED","AMBER"))</f>
        <v>RED</v>
      </c>
      <c r="J452" s="19" t="s">
        <v>34</v>
      </c>
      <c r="K452" s="14" t="str">
        <f aca="false">IF(OR(J452="Réussi",J452="Exception acceptée"),"GREEN",IF(OR(J452="Non commencé",J452="Échec"),"RED","AMBER"))</f>
        <v>RED</v>
      </c>
      <c r="L452" s="17"/>
      <c r="M452" s="17"/>
      <c r="N452" s="15" t="str">
        <f aca="true">IF(G452&lt;&gt;"",TODAY()-G452,"")</f>
        <v/>
      </c>
    </row>
    <row r="453" customFormat="false" ht="18" hidden="false" customHeight="true" outlineLevel="0" collapsed="false">
      <c r="A453" s="9" t="s">
        <v>273</v>
      </c>
      <c r="B453" s="10" t="s">
        <v>270</v>
      </c>
      <c r="C453" s="10" t="s">
        <v>327</v>
      </c>
      <c r="D453" s="9" t="s">
        <v>66</v>
      </c>
      <c r="E453" s="10" t="s">
        <v>328</v>
      </c>
      <c r="F453" s="10" t="s">
        <v>274</v>
      </c>
      <c r="G453" s="10"/>
      <c r="H453" s="11" t="s">
        <v>33</v>
      </c>
      <c r="I453" s="12" t="str">
        <f aca="false">IF(OR(H453="Passed",H453="Accepted Exception"),"GREEN",IF(OR(H453="Not Started",H453="Failed"),"RED","AMBER"))</f>
        <v>RED</v>
      </c>
      <c r="J453" s="13" t="s">
        <v>34</v>
      </c>
      <c r="K453" s="14" t="str">
        <f aca="false">IF(OR(J453="Réussi",J453="Exception acceptée"),"GREEN",IF(OR(J453="Non commencé",J453="Échec"),"RED","AMBER"))</f>
        <v>RED</v>
      </c>
      <c r="L453" s="10"/>
      <c r="M453" s="10"/>
      <c r="N453" s="15" t="str">
        <f aca="true">IF(G453&lt;&gt;"",TODAY()-G453,"")</f>
        <v/>
      </c>
    </row>
    <row r="454" customFormat="false" ht="18" hidden="false" customHeight="true" outlineLevel="0" collapsed="false">
      <c r="A454" s="16" t="s">
        <v>235</v>
      </c>
      <c r="B454" s="17" t="s">
        <v>65</v>
      </c>
      <c r="C454" s="17" t="s">
        <v>327</v>
      </c>
      <c r="D454" s="16" t="s">
        <v>66</v>
      </c>
      <c r="E454" s="17" t="s">
        <v>328</v>
      </c>
      <c r="F454" s="17" t="s">
        <v>235</v>
      </c>
      <c r="G454" s="17"/>
      <c r="H454" s="18" t="s">
        <v>33</v>
      </c>
      <c r="I454" s="12" t="str">
        <f aca="false">IF(OR(H454="Passed",H454="Accepted Exception"),"GREEN",IF(OR(H454="Not Started",H454="Failed"),"RED","AMBER"))</f>
        <v>RED</v>
      </c>
      <c r="J454" s="19" t="s">
        <v>34</v>
      </c>
      <c r="K454" s="14" t="str">
        <f aca="false">IF(OR(J454="Réussi",J454="Exception acceptée"),"GREEN",IF(OR(J454="Non commencé",J454="Échec"),"RED","AMBER"))</f>
        <v>RED</v>
      </c>
      <c r="L454" s="17"/>
      <c r="M454" s="17"/>
      <c r="N454" s="15" t="str">
        <f aca="true">IF(G454&lt;&gt;"",TODAY()-G454,"")</f>
        <v/>
      </c>
    </row>
    <row r="455" customFormat="false" ht="18" hidden="false" customHeight="true" outlineLevel="0" collapsed="false">
      <c r="A455" s="9" t="s">
        <v>236</v>
      </c>
      <c r="B455" s="10" t="s">
        <v>65</v>
      </c>
      <c r="C455" s="10" t="s">
        <v>327</v>
      </c>
      <c r="D455" s="9" t="s">
        <v>66</v>
      </c>
      <c r="E455" s="10" t="s">
        <v>328</v>
      </c>
      <c r="F455" s="10" t="s">
        <v>237</v>
      </c>
      <c r="G455" s="10"/>
      <c r="H455" s="11" t="s">
        <v>33</v>
      </c>
      <c r="I455" s="12" t="str">
        <f aca="false">IF(OR(H455="Passed",H455="Accepted Exception"),"GREEN",IF(OR(H455="Not Started",H455="Failed"),"RED","AMBER"))</f>
        <v>RED</v>
      </c>
      <c r="J455" s="13" t="s">
        <v>34</v>
      </c>
      <c r="K455" s="14" t="str">
        <f aca="false">IF(OR(J455="Réussi",J455="Exception acceptée"),"GREEN",IF(OR(J455="Non commencé",J455="Échec"),"RED","AMBER"))</f>
        <v>RED</v>
      </c>
      <c r="L455" s="10"/>
      <c r="M455" s="10"/>
      <c r="N455" s="15" t="str">
        <f aca="true">IF(G455&lt;&gt;"",TODAY()-G455,"")</f>
        <v/>
      </c>
    </row>
    <row r="456" customFormat="false" ht="18" hidden="false" customHeight="true" outlineLevel="0" collapsed="false">
      <c r="A456" s="16" t="s">
        <v>64</v>
      </c>
      <c r="B456" s="17" t="s">
        <v>65</v>
      </c>
      <c r="C456" s="17" t="s">
        <v>327</v>
      </c>
      <c r="D456" s="16" t="s">
        <v>66</v>
      </c>
      <c r="E456" s="17" t="s">
        <v>328</v>
      </c>
      <c r="F456" s="17" t="s">
        <v>67</v>
      </c>
      <c r="G456" s="17"/>
      <c r="H456" s="18" t="s">
        <v>33</v>
      </c>
      <c r="I456" s="12" t="str">
        <f aca="false">IF(OR(H456="Passed",H456="Accepted Exception"),"GREEN",IF(OR(H456="Not Started",H456="Failed"),"RED","AMBER"))</f>
        <v>RED</v>
      </c>
      <c r="J456" s="19" t="s">
        <v>34</v>
      </c>
      <c r="K456" s="14" t="str">
        <f aca="false">IF(OR(J456="Réussi",J456="Exception acceptée"),"GREEN",IF(OR(J456="Non commencé",J456="Échec"),"RED","AMBER"))</f>
        <v>RED</v>
      </c>
      <c r="L456" s="17"/>
      <c r="M456" s="17"/>
      <c r="N456" s="15" t="str">
        <f aca="true">IF(G456&lt;&gt;"",TODAY()-G456,"")</f>
        <v/>
      </c>
    </row>
    <row r="457" customFormat="false" ht="18" hidden="false" customHeight="true" outlineLevel="0" collapsed="false">
      <c r="A457" s="9" t="s">
        <v>171</v>
      </c>
      <c r="B457" s="10" t="s">
        <v>65</v>
      </c>
      <c r="C457" s="10" t="s">
        <v>327</v>
      </c>
      <c r="D457" s="9" t="s">
        <v>66</v>
      </c>
      <c r="E457" s="10" t="s">
        <v>328</v>
      </c>
      <c r="F457" s="10" t="s">
        <v>172</v>
      </c>
      <c r="G457" s="10"/>
      <c r="H457" s="11" t="s">
        <v>33</v>
      </c>
      <c r="I457" s="12" t="str">
        <f aca="false">IF(OR(H457="Passed",H457="Accepted Exception"),"GREEN",IF(OR(H457="Not Started",H457="Failed"),"RED","AMBER"))</f>
        <v>RED</v>
      </c>
      <c r="J457" s="13" t="s">
        <v>34</v>
      </c>
      <c r="K457" s="14" t="str">
        <f aca="false">IF(OR(J457="Réussi",J457="Exception acceptée"),"GREEN",IF(OR(J457="Non commencé",J457="Échec"),"RED","AMBER"))</f>
        <v>RED</v>
      </c>
      <c r="L457" s="10"/>
      <c r="M457" s="10"/>
      <c r="N457" s="15" t="str">
        <f aca="true">IF(G457&lt;&gt;"",TODAY()-G457,"")</f>
        <v/>
      </c>
    </row>
    <row r="458" customFormat="false" ht="18" hidden="false" customHeight="true" outlineLevel="0" collapsed="false">
      <c r="A458" s="16" t="s">
        <v>238</v>
      </c>
      <c r="B458" s="17" t="s">
        <v>65</v>
      </c>
      <c r="C458" s="17" t="s">
        <v>327</v>
      </c>
      <c r="D458" s="16" t="s">
        <v>66</v>
      </c>
      <c r="E458" s="17" t="s">
        <v>328</v>
      </c>
      <c r="F458" s="17" t="s">
        <v>239</v>
      </c>
      <c r="G458" s="17"/>
      <c r="H458" s="18" t="s">
        <v>33</v>
      </c>
      <c r="I458" s="12" t="str">
        <f aca="false">IF(OR(H458="Passed",H458="Accepted Exception"),"GREEN",IF(OR(H458="Not Started",H458="Failed"),"RED","AMBER"))</f>
        <v>RED</v>
      </c>
      <c r="J458" s="19" t="s">
        <v>34</v>
      </c>
      <c r="K458" s="14" t="str">
        <f aca="false">IF(OR(J458="Réussi",J458="Exception acceptée"),"GREEN",IF(OR(J458="Non commencé",J458="Échec"),"RED","AMBER"))</f>
        <v>RED</v>
      </c>
      <c r="L458" s="17"/>
      <c r="M458" s="17"/>
      <c r="N458" s="15" t="str">
        <f aca="true">IF(G458&lt;&gt;"",TODAY()-G458,"")</f>
        <v/>
      </c>
    </row>
    <row r="459" customFormat="false" ht="18" hidden="false" customHeight="true" outlineLevel="0" collapsed="false">
      <c r="A459" s="9" t="s">
        <v>240</v>
      </c>
      <c r="B459" s="10" t="s">
        <v>65</v>
      </c>
      <c r="C459" s="10" t="s">
        <v>327</v>
      </c>
      <c r="D459" s="9" t="s">
        <v>66</v>
      </c>
      <c r="E459" s="10" t="s">
        <v>328</v>
      </c>
      <c r="F459" s="10" t="s">
        <v>241</v>
      </c>
      <c r="G459" s="10"/>
      <c r="H459" s="11" t="s">
        <v>33</v>
      </c>
      <c r="I459" s="12" t="str">
        <f aca="false">IF(OR(H459="Passed",H459="Accepted Exception"),"GREEN",IF(OR(H459="Not Started",H459="Failed"),"RED","AMBER"))</f>
        <v>RED</v>
      </c>
      <c r="J459" s="13" t="s">
        <v>34</v>
      </c>
      <c r="K459" s="14" t="str">
        <f aca="false">IF(OR(J459="Réussi",J459="Exception acceptée"),"GREEN",IF(OR(J459="Non commencé",J459="Échec"),"RED","AMBER"))</f>
        <v>RED</v>
      </c>
      <c r="L459" s="10"/>
      <c r="M459" s="10"/>
      <c r="N459" s="15" t="str">
        <f aca="true">IF(G459&lt;&gt;"",TODAY()-G459,"")</f>
        <v/>
      </c>
    </row>
    <row r="460" customFormat="false" ht="18" hidden="false" customHeight="true" outlineLevel="0" collapsed="false">
      <c r="A460" s="16" t="s">
        <v>68</v>
      </c>
      <c r="B460" s="17" t="s">
        <v>69</v>
      </c>
      <c r="C460" s="17" t="s">
        <v>327</v>
      </c>
      <c r="D460" s="16" t="s">
        <v>66</v>
      </c>
      <c r="E460" s="17" t="s">
        <v>328</v>
      </c>
      <c r="F460" s="17" t="s">
        <v>68</v>
      </c>
      <c r="G460" s="17"/>
      <c r="H460" s="18" t="s">
        <v>33</v>
      </c>
      <c r="I460" s="12" t="str">
        <f aca="false">IF(OR(H460="Passed",H460="Accepted Exception"),"GREEN",IF(OR(H460="Not Started",H460="Failed"),"RED","AMBER"))</f>
        <v>RED</v>
      </c>
      <c r="J460" s="19" t="s">
        <v>34</v>
      </c>
      <c r="K460" s="14" t="str">
        <f aca="false">IF(OR(J460="Réussi",J460="Exception acceptée"),"GREEN",IF(OR(J460="Non commencé",J460="Échec"),"RED","AMBER"))</f>
        <v>RED</v>
      </c>
      <c r="L460" s="17"/>
      <c r="M460" s="17"/>
      <c r="N460" s="15" t="str">
        <f aca="true">IF(G460&lt;&gt;"",TODAY()-G460,"")</f>
        <v/>
      </c>
    </row>
    <row r="461" customFormat="false" ht="18" hidden="false" customHeight="true" outlineLevel="0" collapsed="false">
      <c r="A461" s="9" t="s">
        <v>242</v>
      </c>
      <c r="B461" s="10" t="s">
        <v>176</v>
      </c>
      <c r="C461" s="10" t="s">
        <v>327</v>
      </c>
      <c r="D461" s="9" t="s">
        <v>66</v>
      </c>
      <c r="E461" s="10" t="s">
        <v>328</v>
      </c>
      <c r="F461" s="10" t="s">
        <v>243</v>
      </c>
      <c r="G461" s="10"/>
      <c r="H461" s="11" t="s">
        <v>33</v>
      </c>
      <c r="I461" s="12" t="str">
        <f aca="false">IF(OR(H461="Passed",H461="Accepted Exception"),"GREEN",IF(OR(H461="Not Started",H461="Failed"),"RED","AMBER"))</f>
        <v>RED</v>
      </c>
      <c r="J461" s="13" t="s">
        <v>34</v>
      </c>
      <c r="K461" s="14" t="str">
        <f aca="false">IF(OR(J461="Réussi",J461="Exception acceptée"),"GREEN",IF(OR(J461="Non commencé",J461="Échec"),"RED","AMBER"))</f>
        <v>RED</v>
      </c>
      <c r="L461" s="10"/>
      <c r="M461" s="10"/>
      <c r="N461" s="15" t="str">
        <f aca="true">IF(G461&lt;&gt;"",TODAY()-G461,"")</f>
        <v/>
      </c>
    </row>
    <row r="462" customFormat="false" ht="18" hidden="false" customHeight="true" outlineLevel="0" collapsed="false">
      <c r="A462" s="16" t="s">
        <v>179</v>
      </c>
      <c r="B462" s="17" t="s">
        <v>180</v>
      </c>
      <c r="C462" s="17" t="s">
        <v>327</v>
      </c>
      <c r="D462" s="16" t="s">
        <v>66</v>
      </c>
      <c r="E462" s="17" t="s">
        <v>328</v>
      </c>
      <c r="F462" s="17" t="s">
        <v>179</v>
      </c>
      <c r="G462" s="17"/>
      <c r="H462" s="18" t="s">
        <v>33</v>
      </c>
      <c r="I462" s="12" t="str">
        <f aca="false">IF(OR(H462="Passed",H462="Accepted Exception"),"GREEN",IF(OR(H462="Not Started",H462="Failed"),"RED","AMBER"))</f>
        <v>RED</v>
      </c>
      <c r="J462" s="19" t="s">
        <v>34</v>
      </c>
      <c r="K462" s="14" t="str">
        <f aca="false">IF(OR(J462="Réussi",J462="Exception acceptée"),"GREEN",IF(OR(J462="Non commencé",J462="Échec"),"RED","AMBER"))</f>
        <v>RED</v>
      </c>
      <c r="L462" s="17"/>
      <c r="M462" s="17"/>
      <c r="N462" s="15" t="str">
        <f aca="true">IF(G462&lt;&gt;"",TODAY()-G462,"")</f>
        <v/>
      </c>
    </row>
    <row r="463" customFormat="false" ht="18" hidden="false" customHeight="true" outlineLevel="0" collapsed="false">
      <c r="A463" s="9" t="s">
        <v>28</v>
      </c>
      <c r="B463" s="10" t="s">
        <v>29</v>
      </c>
      <c r="C463" s="10" t="s">
        <v>344</v>
      </c>
      <c r="D463" s="9" t="s">
        <v>31</v>
      </c>
      <c r="E463" s="10" t="s">
        <v>345</v>
      </c>
      <c r="F463" s="10" t="s">
        <v>28</v>
      </c>
      <c r="G463" s="10"/>
      <c r="H463" s="11" t="s">
        <v>33</v>
      </c>
      <c r="I463" s="12" t="str">
        <f aca="false">IF(OR(H463="Passed",H463="Accepted Exception"),"GREEN",IF(OR(H463="Not Started",H463="Failed"),"RED","AMBER"))</f>
        <v>RED</v>
      </c>
      <c r="J463" s="13" t="s">
        <v>34</v>
      </c>
      <c r="K463" s="14" t="str">
        <f aca="false">IF(OR(J463="Réussi",J463="Exception acceptée"),"GREEN",IF(OR(J463="Non commencé",J463="Échec"),"RED","AMBER"))</f>
        <v>RED</v>
      </c>
      <c r="L463" s="10"/>
      <c r="M463" s="10"/>
      <c r="N463" s="15" t="str">
        <f aca="true">IF(G463&lt;&gt;"",TODAY()-G463,"")</f>
        <v/>
      </c>
    </row>
    <row r="464" customFormat="false" ht="18" hidden="false" customHeight="true" outlineLevel="0" collapsed="false">
      <c r="A464" s="16" t="s">
        <v>35</v>
      </c>
      <c r="B464" s="17" t="s">
        <v>36</v>
      </c>
      <c r="C464" s="17" t="s">
        <v>344</v>
      </c>
      <c r="D464" s="16" t="s">
        <v>31</v>
      </c>
      <c r="E464" s="17" t="s">
        <v>345</v>
      </c>
      <c r="F464" s="17" t="s">
        <v>35</v>
      </c>
      <c r="G464" s="17"/>
      <c r="H464" s="18" t="s">
        <v>33</v>
      </c>
      <c r="I464" s="12" t="str">
        <f aca="false">IF(OR(H464="Passed",H464="Accepted Exception"),"GREEN",IF(OR(H464="Not Started",H464="Failed"),"RED","AMBER"))</f>
        <v>RED</v>
      </c>
      <c r="J464" s="19" t="s">
        <v>34</v>
      </c>
      <c r="K464" s="14" t="str">
        <f aca="false">IF(OR(J464="Réussi",J464="Exception acceptée"),"GREEN",IF(OR(J464="Non commencé",J464="Échec"),"RED","AMBER"))</f>
        <v>RED</v>
      </c>
      <c r="L464" s="17"/>
      <c r="M464" s="17"/>
      <c r="N464" s="15" t="str">
        <f aca="true">IF(G464&lt;&gt;"",TODAY()-G464,"")</f>
        <v/>
      </c>
    </row>
    <row r="465" customFormat="false" ht="18" hidden="false" customHeight="true" outlineLevel="0" collapsed="false">
      <c r="A465" s="9" t="s">
        <v>37</v>
      </c>
      <c r="B465" s="10" t="s">
        <v>36</v>
      </c>
      <c r="C465" s="10" t="s">
        <v>344</v>
      </c>
      <c r="D465" s="9" t="s">
        <v>31</v>
      </c>
      <c r="E465" s="10" t="s">
        <v>345</v>
      </c>
      <c r="F465" s="10" t="s">
        <v>38</v>
      </c>
      <c r="G465" s="10"/>
      <c r="H465" s="11" t="s">
        <v>33</v>
      </c>
      <c r="I465" s="12" t="str">
        <f aca="false">IF(OR(H465="Passed",H465="Accepted Exception"),"GREEN",IF(OR(H465="Not Started",H465="Failed"),"RED","AMBER"))</f>
        <v>RED</v>
      </c>
      <c r="J465" s="13" t="s">
        <v>34</v>
      </c>
      <c r="K465" s="14" t="str">
        <f aca="false">IF(OR(J465="Réussi",J465="Exception acceptée"),"GREEN",IF(OR(J465="Non commencé",J465="Échec"),"RED","AMBER"))</f>
        <v>RED</v>
      </c>
      <c r="L465" s="10"/>
      <c r="M465" s="10"/>
      <c r="N465" s="15" t="str">
        <f aca="true">IF(G465&lt;&gt;"",TODAY()-G465,"")</f>
        <v/>
      </c>
    </row>
    <row r="466" customFormat="false" ht="18" hidden="false" customHeight="true" outlineLevel="0" collapsed="false">
      <c r="A466" s="16" t="s">
        <v>39</v>
      </c>
      <c r="B466" s="17" t="s">
        <v>40</v>
      </c>
      <c r="C466" s="17" t="s">
        <v>344</v>
      </c>
      <c r="D466" s="16" t="s">
        <v>31</v>
      </c>
      <c r="E466" s="17" t="s">
        <v>345</v>
      </c>
      <c r="F466" s="17" t="s">
        <v>41</v>
      </c>
      <c r="G466" s="17"/>
      <c r="H466" s="18" t="s">
        <v>33</v>
      </c>
      <c r="I466" s="12" t="str">
        <f aca="false">IF(OR(H466="Passed",H466="Accepted Exception"),"GREEN",IF(OR(H466="Not Started",H466="Failed"),"RED","AMBER"))</f>
        <v>RED</v>
      </c>
      <c r="J466" s="19" t="s">
        <v>34</v>
      </c>
      <c r="K466" s="14" t="str">
        <f aca="false">IF(OR(J466="Réussi",J466="Exception acceptée"),"GREEN",IF(OR(J466="Non commencé",J466="Échec"),"RED","AMBER"))</f>
        <v>RED</v>
      </c>
      <c r="L466" s="17"/>
      <c r="M466" s="17"/>
      <c r="N466" s="15" t="str">
        <f aca="true">IF(G466&lt;&gt;"",TODAY()-G466,"")</f>
        <v/>
      </c>
    </row>
    <row r="467" customFormat="false" ht="18" hidden="false" customHeight="true" outlineLevel="0" collapsed="false">
      <c r="A467" s="9" t="s">
        <v>42</v>
      </c>
      <c r="B467" s="10" t="s">
        <v>43</v>
      </c>
      <c r="C467" s="10" t="s">
        <v>344</v>
      </c>
      <c r="D467" s="9" t="s">
        <v>31</v>
      </c>
      <c r="E467" s="10" t="s">
        <v>345</v>
      </c>
      <c r="F467" s="10" t="s">
        <v>42</v>
      </c>
      <c r="G467" s="10"/>
      <c r="H467" s="11" t="s">
        <v>33</v>
      </c>
      <c r="I467" s="12" t="str">
        <f aca="false">IF(OR(H467="Passed",H467="Accepted Exception"),"GREEN",IF(OR(H467="Not Started",H467="Failed"),"RED","AMBER"))</f>
        <v>RED</v>
      </c>
      <c r="J467" s="13" t="s">
        <v>34</v>
      </c>
      <c r="K467" s="14" t="str">
        <f aca="false">IF(OR(J467="Réussi",J467="Exception acceptée"),"GREEN",IF(OR(J467="Non commencé",J467="Échec"),"RED","AMBER"))</f>
        <v>RED</v>
      </c>
      <c r="L467" s="10"/>
      <c r="M467" s="10"/>
      <c r="N467" s="15" t="str">
        <f aca="true">IF(G467&lt;&gt;"",TODAY()-G467,"")</f>
        <v/>
      </c>
    </row>
    <row r="468" customFormat="false" ht="18" hidden="false" customHeight="true" outlineLevel="0" collapsed="false">
      <c r="A468" s="16" t="s">
        <v>125</v>
      </c>
      <c r="B468" s="17" t="s">
        <v>126</v>
      </c>
      <c r="C468" s="17" t="s">
        <v>344</v>
      </c>
      <c r="D468" s="16" t="s">
        <v>127</v>
      </c>
      <c r="E468" s="17" t="s">
        <v>345</v>
      </c>
      <c r="F468" s="17" t="s">
        <v>128</v>
      </c>
      <c r="G468" s="17"/>
      <c r="H468" s="18" t="s">
        <v>33</v>
      </c>
      <c r="I468" s="12" t="str">
        <f aca="false">IF(OR(H468="Passed",H468="Accepted Exception"),"GREEN",IF(OR(H468="Not Started",H468="Failed"),"RED","AMBER"))</f>
        <v>RED</v>
      </c>
      <c r="J468" s="19" t="s">
        <v>34</v>
      </c>
      <c r="K468" s="14" t="str">
        <f aca="false">IF(OR(J468="Réussi",J468="Exception acceptée"),"GREEN",IF(OR(J468="Non commencé",J468="Échec"),"RED","AMBER"))</f>
        <v>RED</v>
      </c>
      <c r="L468" s="17"/>
      <c r="M468" s="17"/>
      <c r="N468" s="15" t="str">
        <f aca="true">IF(G468&lt;&gt;"",TODAY()-G468,"")</f>
        <v/>
      </c>
    </row>
    <row r="469" customFormat="false" ht="18" hidden="false" customHeight="true" outlineLevel="0" collapsed="false">
      <c r="A469" s="9" t="s">
        <v>129</v>
      </c>
      <c r="B469" s="10" t="s">
        <v>130</v>
      </c>
      <c r="C469" s="10" t="s">
        <v>344</v>
      </c>
      <c r="D469" s="9" t="s">
        <v>127</v>
      </c>
      <c r="E469" s="10" t="s">
        <v>345</v>
      </c>
      <c r="F469" s="10" t="s">
        <v>129</v>
      </c>
      <c r="G469" s="10"/>
      <c r="H469" s="11" t="s">
        <v>33</v>
      </c>
      <c r="I469" s="12" t="str">
        <f aca="false">IF(OR(H469="Passed",H469="Accepted Exception"),"GREEN",IF(OR(H469="Not Started",H469="Failed"),"RED","AMBER"))</f>
        <v>RED</v>
      </c>
      <c r="J469" s="13" t="s">
        <v>34</v>
      </c>
      <c r="K469" s="14" t="str">
        <f aca="false">IF(OR(J469="Réussi",J469="Exception acceptée"),"GREEN",IF(OR(J469="Non commencé",J469="Échec"),"RED","AMBER"))</f>
        <v>RED</v>
      </c>
      <c r="L469" s="10"/>
      <c r="M469" s="10"/>
      <c r="N469" s="15" t="str">
        <f aca="true">IF(G469&lt;&gt;"",TODAY()-G469,"")</f>
        <v/>
      </c>
    </row>
    <row r="470" customFormat="false" ht="18" hidden="false" customHeight="true" outlineLevel="0" collapsed="false">
      <c r="A470" s="16" t="s">
        <v>44</v>
      </c>
      <c r="B470" s="17" t="s">
        <v>45</v>
      </c>
      <c r="C470" s="17" t="s">
        <v>344</v>
      </c>
      <c r="D470" s="16" t="s">
        <v>46</v>
      </c>
      <c r="E470" s="17" t="s">
        <v>345</v>
      </c>
      <c r="F470" s="17" t="s">
        <v>44</v>
      </c>
      <c r="G470" s="17"/>
      <c r="H470" s="18" t="s">
        <v>33</v>
      </c>
      <c r="I470" s="12" t="str">
        <f aca="false">IF(OR(H470="Passed",H470="Accepted Exception"),"GREEN",IF(OR(H470="Not Started",H470="Failed"),"RED","AMBER"))</f>
        <v>RED</v>
      </c>
      <c r="J470" s="19" t="s">
        <v>34</v>
      </c>
      <c r="K470" s="14" t="str">
        <f aca="false">IF(OR(J470="Réussi",J470="Exception acceptée"),"GREEN",IF(OR(J470="Non commencé",J470="Échec"),"RED","AMBER"))</f>
        <v>RED</v>
      </c>
      <c r="L470" s="17"/>
      <c r="M470" s="17"/>
      <c r="N470" s="15" t="str">
        <f aca="true">IF(G470&lt;&gt;"",TODAY()-G470,"")</f>
        <v/>
      </c>
    </row>
    <row r="471" customFormat="false" ht="18" hidden="false" customHeight="true" outlineLevel="0" collapsed="false">
      <c r="A471" s="9" t="s">
        <v>47</v>
      </c>
      <c r="B471" s="10" t="s">
        <v>48</v>
      </c>
      <c r="C471" s="10" t="s">
        <v>344</v>
      </c>
      <c r="D471" s="9" t="s">
        <v>46</v>
      </c>
      <c r="E471" s="10" t="s">
        <v>345</v>
      </c>
      <c r="F471" s="10" t="s">
        <v>47</v>
      </c>
      <c r="G471" s="10"/>
      <c r="H471" s="11" t="s">
        <v>33</v>
      </c>
      <c r="I471" s="12" t="str">
        <f aca="false">IF(OR(H471="Passed",H471="Accepted Exception"),"GREEN",IF(OR(H471="Not Started",H471="Failed"),"RED","AMBER"))</f>
        <v>RED</v>
      </c>
      <c r="J471" s="13" t="s">
        <v>34</v>
      </c>
      <c r="K471" s="14" t="str">
        <f aca="false">IF(OR(J471="Réussi",J471="Exception acceptée"),"GREEN",IF(OR(J471="Non commencé",J471="Échec"),"RED","AMBER"))</f>
        <v>RED</v>
      </c>
      <c r="L471" s="10"/>
      <c r="M471" s="10"/>
      <c r="N471" s="15" t="str">
        <f aca="true">IF(G471&lt;&gt;"",TODAY()-G471,"")</f>
        <v/>
      </c>
    </row>
    <row r="472" customFormat="false" ht="18" hidden="false" customHeight="true" outlineLevel="0" collapsed="false">
      <c r="A472" s="16" t="s">
        <v>49</v>
      </c>
      <c r="B472" s="17" t="s">
        <v>48</v>
      </c>
      <c r="C472" s="17" t="s">
        <v>344</v>
      </c>
      <c r="D472" s="16" t="s">
        <v>46</v>
      </c>
      <c r="E472" s="17" t="s">
        <v>345</v>
      </c>
      <c r="F472" s="17" t="s">
        <v>50</v>
      </c>
      <c r="G472" s="17"/>
      <c r="H472" s="18" t="s">
        <v>33</v>
      </c>
      <c r="I472" s="12" t="str">
        <f aca="false">IF(OR(H472="Passed",H472="Accepted Exception"),"GREEN",IF(OR(H472="Not Started",H472="Failed"),"RED","AMBER"))</f>
        <v>RED</v>
      </c>
      <c r="J472" s="19" t="s">
        <v>34</v>
      </c>
      <c r="K472" s="14" t="str">
        <f aca="false">IF(OR(J472="Réussi",J472="Exception acceptée"),"GREEN",IF(OR(J472="Non commencé",J472="Échec"),"RED","AMBER"))</f>
        <v>RED</v>
      </c>
      <c r="L472" s="17"/>
      <c r="M472" s="17"/>
      <c r="N472" s="15" t="str">
        <f aca="true">IF(G472&lt;&gt;"",TODAY()-G472,"")</f>
        <v/>
      </c>
    </row>
    <row r="473" customFormat="false" ht="18" hidden="false" customHeight="true" outlineLevel="0" collapsed="false">
      <c r="A473" s="9" t="s">
        <v>51</v>
      </c>
      <c r="B473" s="10" t="s">
        <v>52</v>
      </c>
      <c r="C473" s="10" t="s">
        <v>344</v>
      </c>
      <c r="D473" s="9" t="s">
        <v>53</v>
      </c>
      <c r="E473" s="10" t="s">
        <v>345</v>
      </c>
      <c r="F473" s="10" t="s">
        <v>51</v>
      </c>
      <c r="G473" s="10"/>
      <c r="H473" s="11" t="s">
        <v>33</v>
      </c>
      <c r="I473" s="12" t="str">
        <f aca="false">IF(OR(H473="Passed",H473="Accepted Exception"),"GREEN",IF(OR(H473="Not Started",H473="Failed"),"RED","AMBER"))</f>
        <v>RED</v>
      </c>
      <c r="J473" s="13" t="s">
        <v>34</v>
      </c>
      <c r="K473" s="14" t="str">
        <f aca="false">IF(OR(J473="Réussi",J473="Exception acceptée"),"GREEN",IF(OR(J473="Non commencé",J473="Échec"),"RED","AMBER"))</f>
        <v>RED</v>
      </c>
      <c r="L473" s="10"/>
      <c r="M473" s="10"/>
      <c r="N473" s="15" t="str">
        <f aca="true">IF(G473&lt;&gt;"",TODAY()-G473,"")</f>
        <v/>
      </c>
    </row>
    <row r="474" customFormat="false" ht="18" hidden="false" customHeight="true" outlineLevel="0" collapsed="false">
      <c r="A474" s="16" t="s">
        <v>54</v>
      </c>
      <c r="B474" s="17" t="s">
        <v>52</v>
      </c>
      <c r="C474" s="17" t="s">
        <v>344</v>
      </c>
      <c r="D474" s="16" t="s">
        <v>53</v>
      </c>
      <c r="E474" s="17" t="s">
        <v>345</v>
      </c>
      <c r="F474" s="17" t="s">
        <v>55</v>
      </c>
      <c r="G474" s="17"/>
      <c r="H474" s="18" t="s">
        <v>33</v>
      </c>
      <c r="I474" s="12" t="str">
        <f aca="false">IF(OR(H474="Passed",H474="Accepted Exception"),"GREEN",IF(OR(H474="Not Started",H474="Failed"),"RED","AMBER"))</f>
        <v>RED</v>
      </c>
      <c r="J474" s="19" t="s">
        <v>34</v>
      </c>
      <c r="K474" s="14" t="str">
        <f aca="false">IF(OR(J474="Réussi",J474="Exception acceptée"),"GREEN",IF(OR(J474="Non commencé",J474="Échec"),"RED","AMBER"))</f>
        <v>RED</v>
      </c>
      <c r="L474" s="17"/>
      <c r="M474" s="17"/>
      <c r="N474" s="15" t="str">
        <f aca="true">IF(G474&lt;&gt;"",TODAY()-G474,"")</f>
        <v/>
      </c>
    </row>
    <row r="475" customFormat="false" ht="18" hidden="false" customHeight="true" outlineLevel="0" collapsed="false">
      <c r="A475" s="9" t="s">
        <v>56</v>
      </c>
      <c r="B475" s="10" t="s">
        <v>57</v>
      </c>
      <c r="C475" s="10" t="s">
        <v>344</v>
      </c>
      <c r="D475" s="9" t="s">
        <v>53</v>
      </c>
      <c r="E475" s="10" t="s">
        <v>345</v>
      </c>
      <c r="F475" s="10" t="s">
        <v>56</v>
      </c>
      <c r="G475" s="10"/>
      <c r="H475" s="11" t="s">
        <v>33</v>
      </c>
      <c r="I475" s="12" t="str">
        <f aca="false">IF(OR(H475="Passed",H475="Accepted Exception"),"GREEN",IF(OR(H475="Not Started",H475="Failed"),"RED","AMBER"))</f>
        <v>RED</v>
      </c>
      <c r="J475" s="13" t="s">
        <v>34</v>
      </c>
      <c r="K475" s="14" t="str">
        <f aca="false">IF(OR(J475="Réussi",J475="Exception acceptée"),"GREEN",IF(OR(J475="Non commencé",J475="Échec"),"RED","AMBER"))</f>
        <v>RED</v>
      </c>
      <c r="L475" s="10"/>
      <c r="M475" s="10"/>
      <c r="N475" s="15" t="str">
        <f aca="true">IF(G475&lt;&gt;"",TODAY()-G475,"")</f>
        <v/>
      </c>
    </row>
    <row r="476" customFormat="false" ht="18" hidden="false" customHeight="true" outlineLevel="0" collapsed="false">
      <c r="A476" s="16" t="s">
        <v>58</v>
      </c>
      <c r="B476" s="17" t="s">
        <v>57</v>
      </c>
      <c r="C476" s="17" t="s">
        <v>344</v>
      </c>
      <c r="D476" s="16" t="s">
        <v>53</v>
      </c>
      <c r="E476" s="17" t="s">
        <v>345</v>
      </c>
      <c r="F476" s="17" t="s">
        <v>59</v>
      </c>
      <c r="G476" s="17"/>
      <c r="H476" s="18" t="s">
        <v>33</v>
      </c>
      <c r="I476" s="12" t="str">
        <f aca="false">IF(OR(H476="Passed",H476="Accepted Exception"),"GREEN",IF(OR(H476="Not Started",H476="Failed"),"RED","AMBER"))</f>
        <v>RED</v>
      </c>
      <c r="J476" s="19" t="s">
        <v>34</v>
      </c>
      <c r="K476" s="14" t="str">
        <f aca="false">IF(OR(J476="Réussi",J476="Exception acceptée"),"GREEN",IF(OR(J476="Non commencé",J476="Échec"),"RED","AMBER"))</f>
        <v>RED</v>
      </c>
      <c r="L476" s="17"/>
      <c r="M476" s="17"/>
      <c r="N476" s="15" t="str">
        <f aca="true">IF(G476&lt;&gt;"",TODAY()-G476,"")</f>
        <v/>
      </c>
    </row>
    <row r="477" customFormat="false" ht="18" hidden="false" customHeight="true" outlineLevel="0" collapsed="false">
      <c r="A477" s="9" t="s">
        <v>139</v>
      </c>
      <c r="B477" s="10" t="s">
        <v>136</v>
      </c>
      <c r="C477" s="10" t="s">
        <v>344</v>
      </c>
      <c r="D477" s="9" t="s">
        <v>137</v>
      </c>
      <c r="E477" s="10" t="s">
        <v>345</v>
      </c>
      <c r="F477" s="10" t="s">
        <v>140</v>
      </c>
      <c r="G477" s="10"/>
      <c r="H477" s="11" t="s">
        <v>33</v>
      </c>
      <c r="I477" s="12" t="str">
        <f aca="false">IF(OR(H477="Passed",H477="Accepted Exception"),"GREEN",IF(OR(H477="Not Started",H477="Failed"),"RED","AMBER"))</f>
        <v>RED</v>
      </c>
      <c r="J477" s="13" t="s">
        <v>34</v>
      </c>
      <c r="K477" s="14" t="str">
        <f aca="false">IF(OR(J477="Réussi",J477="Exception acceptée"),"GREEN",IF(OR(J477="Non commencé",J477="Échec"),"RED","AMBER"))</f>
        <v>RED</v>
      </c>
      <c r="L477" s="10"/>
      <c r="M477" s="10"/>
      <c r="N477" s="15" t="str">
        <f aca="true">IF(G477&lt;&gt;"",TODAY()-G477,"")</f>
        <v/>
      </c>
    </row>
    <row r="478" customFormat="false" ht="18" hidden="false" customHeight="true" outlineLevel="0" collapsed="false">
      <c r="A478" s="16" t="s">
        <v>60</v>
      </c>
      <c r="B478" s="17" t="s">
        <v>61</v>
      </c>
      <c r="C478" s="17" t="s">
        <v>344</v>
      </c>
      <c r="D478" s="16" t="s">
        <v>62</v>
      </c>
      <c r="E478" s="17" t="s">
        <v>345</v>
      </c>
      <c r="F478" s="17" t="s">
        <v>63</v>
      </c>
      <c r="G478" s="17"/>
      <c r="H478" s="18" t="s">
        <v>33</v>
      </c>
      <c r="I478" s="12" t="str">
        <f aca="false">IF(OR(H478="Passed",H478="Accepted Exception"),"GREEN",IF(OR(H478="Not Started",H478="Failed"),"RED","AMBER"))</f>
        <v>RED</v>
      </c>
      <c r="J478" s="19" t="s">
        <v>34</v>
      </c>
      <c r="K478" s="14" t="str">
        <f aca="false">IF(OR(J478="Réussi",J478="Exception acceptée"),"GREEN",IF(OR(J478="Non commencé",J478="Échec"),"RED","AMBER"))</f>
        <v>RED</v>
      </c>
      <c r="L478" s="17"/>
      <c r="M478" s="17"/>
      <c r="N478" s="15" t="str">
        <f aca="true">IF(G478&lt;&gt;"",TODAY()-G478,"")</f>
        <v/>
      </c>
    </row>
    <row r="479" customFormat="false" ht="18" hidden="false" customHeight="true" outlineLevel="0" collapsed="false">
      <c r="A479" s="9" t="s">
        <v>153</v>
      </c>
      <c r="B479" s="10" t="s">
        <v>154</v>
      </c>
      <c r="C479" s="10" t="s">
        <v>344</v>
      </c>
      <c r="D479" s="9" t="s">
        <v>94</v>
      </c>
      <c r="E479" s="10" t="s">
        <v>345</v>
      </c>
      <c r="F479" s="10" t="s">
        <v>153</v>
      </c>
      <c r="G479" s="10"/>
      <c r="H479" s="11" t="s">
        <v>33</v>
      </c>
      <c r="I479" s="12" t="str">
        <f aca="false">IF(OR(H479="Passed",H479="Accepted Exception"),"GREEN",IF(OR(H479="Not Started",H479="Failed"),"RED","AMBER"))</f>
        <v>RED</v>
      </c>
      <c r="J479" s="13" t="s">
        <v>34</v>
      </c>
      <c r="K479" s="14" t="str">
        <f aca="false">IF(OR(J479="Réussi",J479="Exception acceptée"),"GREEN",IF(OR(J479="Non commencé",J479="Échec"),"RED","AMBER"))</f>
        <v>RED</v>
      </c>
      <c r="L479" s="10"/>
      <c r="M479" s="10"/>
      <c r="N479" s="15" t="str">
        <f aca="true">IF(G479&lt;&gt;"",TODAY()-G479,"")</f>
        <v/>
      </c>
    </row>
    <row r="480" customFormat="false" ht="18" hidden="false" customHeight="true" outlineLevel="0" collapsed="false">
      <c r="A480" s="16" t="s">
        <v>155</v>
      </c>
      <c r="B480" s="17" t="s">
        <v>154</v>
      </c>
      <c r="C480" s="17" t="s">
        <v>344</v>
      </c>
      <c r="D480" s="16" t="s">
        <v>94</v>
      </c>
      <c r="E480" s="17" t="s">
        <v>345</v>
      </c>
      <c r="F480" s="17" t="s">
        <v>156</v>
      </c>
      <c r="G480" s="17"/>
      <c r="H480" s="18" t="s">
        <v>33</v>
      </c>
      <c r="I480" s="12" t="str">
        <f aca="false">IF(OR(H480="Passed",H480="Accepted Exception"),"GREEN",IF(OR(H480="Not Started",H480="Failed"),"RED","AMBER"))</f>
        <v>RED</v>
      </c>
      <c r="J480" s="19" t="s">
        <v>34</v>
      </c>
      <c r="K480" s="14" t="str">
        <f aca="false">IF(OR(J480="Réussi",J480="Exception acceptée"),"GREEN",IF(OR(J480="Non commencé",J480="Échec"),"RED","AMBER"))</f>
        <v>RED</v>
      </c>
      <c r="L480" s="17"/>
      <c r="M480" s="17"/>
      <c r="N480" s="15" t="str">
        <f aca="true">IF(G480&lt;&gt;"",TODAY()-G480,"")</f>
        <v/>
      </c>
    </row>
    <row r="481" customFormat="false" ht="18" hidden="false" customHeight="true" outlineLevel="0" collapsed="false">
      <c r="A481" s="9" t="s">
        <v>157</v>
      </c>
      <c r="B481" s="10" t="s">
        <v>158</v>
      </c>
      <c r="C481" s="10" t="s">
        <v>344</v>
      </c>
      <c r="D481" s="9" t="s">
        <v>94</v>
      </c>
      <c r="E481" s="10" t="s">
        <v>345</v>
      </c>
      <c r="F481" s="10" t="s">
        <v>157</v>
      </c>
      <c r="G481" s="10"/>
      <c r="H481" s="11" t="s">
        <v>33</v>
      </c>
      <c r="I481" s="12" t="str">
        <f aca="false">IF(OR(H481="Passed",H481="Accepted Exception"),"GREEN",IF(OR(H481="Not Started",H481="Failed"),"RED","AMBER"))</f>
        <v>RED</v>
      </c>
      <c r="J481" s="13" t="s">
        <v>34</v>
      </c>
      <c r="K481" s="14" t="str">
        <f aca="false">IF(OR(J481="Réussi",J481="Exception acceptée"),"GREEN",IF(OR(J481="Non commencé",J481="Échec"),"RED","AMBER"))</f>
        <v>RED</v>
      </c>
      <c r="L481" s="10"/>
      <c r="M481" s="10"/>
      <c r="N481" s="15" t="str">
        <f aca="true">IF(G481&lt;&gt;"",TODAY()-G481,"")</f>
        <v/>
      </c>
    </row>
    <row r="482" customFormat="false" ht="18" hidden="false" customHeight="true" outlineLevel="0" collapsed="false">
      <c r="A482" s="16" t="s">
        <v>95</v>
      </c>
      <c r="B482" s="17" t="s">
        <v>96</v>
      </c>
      <c r="C482" s="17" t="s">
        <v>344</v>
      </c>
      <c r="D482" s="16" t="s">
        <v>94</v>
      </c>
      <c r="E482" s="17" t="s">
        <v>345</v>
      </c>
      <c r="F482" s="17" t="s">
        <v>95</v>
      </c>
      <c r="G482" s="17"/>
      <c r="H482" s="18" t="s">
        <v>33</v>
      </c>
      <c r="I482" s="12" t="str">
        <f aca="false">IF(OR(H482="Passed",H482="Accepted Exception"),"GREEN",IF(OR(H482="Not Started",H482="Failed"),"RED","AMBER"))</f>
        <v>RED</v>
      </c>
      <c r="J482" s="19" t="s">
        <v>34</v>
      </c>
      <c r="K482" s="14" t="str">
        <f aca="false">IF(OR(J482="Réussi",J482="Exception acceptée"),"GREEN",IF(OR(J482="Non commencé",J482="Échec"),"RED","AMBER"))</f>
        <v>RED</v>
      </c>
      <c r="L482" s="17"/>
      <c r="M482" s="17"/>
      <c r="N482" s="15" t="str">
        <f aca="true">IF(G482&lt;&gt;"",TODAY()-G482,"")</f>
        <v/>
      </c>
    </row>
    <row r="483" customFormat="false" ht="18" hidden="false" customHeight="true" outlineLevel="0" collapsed="false">
      <c r="A483" s="9" t="s">
        <v>159</v>
      </c>
      <c r="B483" s="10" t="s">
        <v>160</v>
      </c>
      <c r="C483" s="10" t="s">
        <v>344</v>
      </c>
      <c r="D483" s="9" t="s">
        <v>94</v>
      </c>
      <c r="E483" s="10" t="s">
        <v>345</v>
      </c>
      <c r="F483" s="10" t="s">
        <v>159</v>
      </c>
      <c r="G483" s="10"/>
      <c r="H483" s="11" t="s">
        <v>33</v>
      </c>
      <c r="I483" s="12" t="str">
        <f aca="false">IF(OR(H483="Passed",H483="Accepted Exception"),"GREEN",IF(OR(H483="Not Started",H483="Failed"),"RED","AMBER"))</f>
        <v>RED</v>
      </c>
      <c r="J483" s="13" t="s">
        <v>34</v>
      </c>
      <c r="K483" s="14" t="str">
        <f aca="false">IF(OR(J483="Réussi",J483="Exception acceptée"),"GREEN",IF(OR(J483="Non commencé",J483="Échec"),"RED","AMBER"))</f>
        <v>RED</v>
      </c>
      <c r="L483" s="10"/>
      <c r="M483" s="10"/>
      <c r="N483" s="15" t="str">
        <f aca="true">IF(G483&lt;&gt;"",TODAY()-G483,"")</f>
        <v/>
      </c>
    </row>
    <row r="484" customFormat="false" ht="18" hidden="false" customHeight="true" outlineLevel="0" collapsed="false">
      <c r="A484" s="16" t="s">
        <v>165</v>
      </c>
      <c r="B484" s="17" t="s">
        <v>166</v>
      </c>
      <c r="C484" s="17" t="s">
        <v>344</v>
      </c>
      <c r="D484" s="16" t="s">
        <v>94</v>
      </c>
      <c r="E484" s="17" t="s">
        <v>345</v>
      </c>
      <c r="F484" s="17" t="s">
        <v>165</v>
      </c>
      <c r="G484" s="17"/>
      <c r="H484" s="18" t="s">
        <v>33</v>
      </c>
      <c r="I484" s="12" t="str">
        <f aca="false">IF(OR(H484="Passed",H484="Accepted Exception"),"GREEN",IF(OR(H484="Not Started",H484="Failed"),"RED","AMBER"))</f>
        <v>RED</v>
      </c>
      <c r="J484" s="19" t="s">
        <v>34</v>
      </c>
      <c r="K484" s="14" t="str">
        <f aca="false">IF(OR(J484="Réussi",J484="Exception acceptée"),"GREEN",IF(OR(J484="Non commencé",J484="Échec"),"RED","AMBER"))</f>
        <v>RED</v>
      </c>
      <c r="L484" s="17"/>
      <c r="M484" s="17"/>
      <c r="N484" s="15" t="str">
        <f aca="true">IF(G484&lt;&gt;"",TODAY()-G484,"")</f>
        <v/>
      </c>
    </row>
    <row r="485" customFormat="false" ht="18" hidden="false" customHeight="true" outlineLevel="0" collapsed="false">
      <c r="A485" s="9" t="s">
        <v>167</v>
      </c>
      <c r="B485" s="10" t="s">
        <v>166</v>
      </c>
      <c r="C485" s="10" t="s">
        <v>344</v>
      </c>
      <c r="D485" s="9" t="s">
        <v>94</v>
      </c>
      <c r="E485" s="10" t="s">
        <v>345</v>
      </c>
      <c r="F485" s="10" t="s">
        <v>168</v>
      </c>
      <c r="G485" s="10"/>
      <c r="H485" s="11" t="s">
        <v>33</v>
      </c>
      <c r="I485" s="12" t="str">
        <f aca="false">IF(OR(H485="Passed",H485="Accepted Exception"),"GREEN",IF(OR(H485="Not Started",H485="Failed"),"RED","AMBER"))</f>
        <v>RED</v>
      </c>
      <c r="J485" s="13" t="s">
        <v>34</v>
      </c>
      <c r="K485" s="14" t="str">
        <f aca="false">IF(OR(J485="Réussi",J485="Exception acceptée"),"GREEN",IF(OR(J485="Non commencé",J485="Échec"),"RED","AMBER"))</f>
        <v>RED</v>
      </c>
      <c r="L485" s="10"/>
      <c r="M485" s="10"/>
      <c r="N485" s="15" t="str">
        <f aca="true">IF(G485&lt;&gt;"",TODAY()-G485,"")</f>
        <v/>
      </c>
    </row>
    <row r="486" customFormat="false" ht="18" hidden="false" customHeight="true" outlineLevel="0" collapsed="false">
      <c r="A486" s="16" t="s">
        <v>64</v>
      </c>
      <c r="B486" s="17" t="s">
        <v>65</v>
      </c>
      <c r="C486" s="17" t="s">
        <v>344</v>
      </c>
      <c r="D486" s="16" t="s">
        <v>66</v>
      </c>
      <c r="E486" s="17" t="s">
        <v>345</v>
      </c>
      <c r="F486" s="17" t="s">
        <v>67</v>
      </c>
      <c r="G486" s="17"/>
      <c r="H486" s="18" t="s">
        <v>33</v>
      </c>
      <c r="I486" s="12" t="str">
        <f aca="false">IF(OR(H486="Passed",H486="Accepted Exception"),"GREEN",IF(OR(H486="Not Started",H486="Failed"),"RED","AMBER"))</f>
        <v>RED</v>
      </c>
      <c r="J486" s="19" t="s">
        <v>34</v>
      </c>
      <c r="K486" s="14" t="str">
        <f aca="false">IF(OR(J486="Réussi",J486="Exception acceptée"),"GREEN",IF(OR(J486="Non commencé",J486="Échec"),"RED","AMBER"))</f>
        <v>RED</v>
      </c>
      <c r="L486" s="17"/>
      <c r="M486" s="17"/>
      <c r="N486" s="15" t="str">
        <f aca="true">IF(G486&lt;&gt;"",TODAY()-G486,"")</f>
        <v/>
      </c>
    </row>
    <row r="487" customFormat="false" ht="18" hidden="false" customHeight="true" outlineLevel="0" collapsed="false">
      <c r="A487" s="9" t="s">
        <v>68</v>
      </c>
      <c r="B487" s="10" t="s">
        <v>69</v>
      </c>
      <c r="C487" s="10" t="s">
        <v>344</v>
      </c>
      <c r="D487" s="9" t="s">
        <v>66</v>
      </c>
      <c r="E487" s="10" t="s">
        <v>345</v>
      </c>
      <c r="F487" s="10" t="s">
        <v>68</v>
      </c>
      <c r="G487" s="10"/>
      <c r="H487" s="11" t="s">
        <v>33</v>
      </c>
      <c r="I487" s="12" t="str">
        <f aca="false">IF(OR(H487="Passed",H487="Accepted Exception"),"GREEN",IF(OR(H487="Not Started",H487="Failed"),"RED","AMBER"))</f>
        <v>RED</v>
      </c>
      <c r="J487" s="13" t="s">
        <v>34</v>
      </c>
      <c r="K487" s="14" t="str">
        <f aca="false">IF(OR(J487="Réussi",J487="Exception acceptée"),"GREEN",IF(OR(J487="Non commencé",J487="Échec"),"RED","AMBER"))</f>
        <v>RED</v>
      </c>
      <c r="L487" s="10"/>
      <c r="M487" s="10"/>
      <c r="N487" s="15" t="str">
        <f aca="true">IF(G487&lt;&gt;"",TODAY()-G487,"")</f>
        <v/>
      </c>
    </row>
    <row r="488" customFormat="false" ht="18" hidden="false" customHeight="true" outlineLevel="0" collapsed="false">
      <c r="A488" s="16" t="s">
        <v>346</v>
      </c>
      <c r="B488" s="17" t="s">
        <v>347</v>
      </c>
      <c r="C488" s="17" t="s">
        <v>348</v>
      </c>
      <c r="D488" s="16" t="s">
        <v>104</v>
      </c>
      <c r="E488" s="17" t="s">
        <v>349</v>
      </c>
      <c r="F488" s="17" t="s">
        <v>346</v>
      </c>
      <c r="G488" s="17"/>
      <c r="H488" s="18" t="s">
        <v>33</v>
      </c>
      <c r="I488" s="12" t="str">
        <f aca="false">IF(OR(H488="Passed",H488="Accepted Exception"),"GREEN",IF(OR(H488="Not Started",H488="Failed"),"RED","AMBER"))</f>
        <v>RED</v>
      </c>
      <c r="J488" s="19" t="s">
        <v>34</v>
      </c>
      <c r="K488" s="14" t="str">
        <f aca="false">IF(OR(J488="Réussi",J488="Exception acceptée"),"GREEN",IF(OR(J488="Non commencé",J488="Échec"),"RED","AMBER"))</f>
        <v>RED</v>
      </c>
      <c r="L488" s="17"/>
      <c r="M488" s="17"/>
      <c r="N488" s="15" t="str">
        <f aca="true">IF(G488&lt;&gt;"",TODAY()-G488,"")</f>
        <v/>
      </c>
    </row>
    <row r="489" customFormat="false" ht="18" hidden="false" customHeight="true" outlineLevel="0" collapsed="false">
      <c r="A489" s="9" t="s">
        <v>350</v>
      </c>
      <c r="B489" s="10" t="s">
        <v>347</v>
      </c>
      <c r="C489" s="10" t="s">
        <v>348</v>
      </c>
      <c r="D489" s="9" t="s">
        <v>104</v>
      </c>
      <c r="E489" s="10" t="s">
        <v>349</v>
      </c>
      <c r="F489" s="10" t="s">
        <v>351</v>
      </c>
      <c r="G489" s="10"/>
      <c r="H489" s="11" t="s">
        <v>33</v>
      </c>
      <c r="I489" s="12" t="str">
        <f aca="false">IF(OR(H489="Passed",H489="Accepted Exception"),"GREEN",IF(OR(H489="Not Started",H489="Failed"),"RED","AMBER"))</f>
        <v>RED</v>
      </c>
      <c r="J489" s="13" t="s">
        <v>34</v>
      </c>
      <c r="K489" s="14" t="str">
        <f aca="false">IF(OR(J489="Réussi",J489="Exception acceptée"),"GREEN",IF(OR(J489="Non commencé",J489="Échec"),"RED","AMBER"))</f>
        <v>RED</v>
      </c>
      <c r="L489" s="10"/>
      <c r="M489" s="10"/>
      <c r="N489" s="15" t="str">
        <f aca="true">IF(G489&lt;&gt;"",TODAY()-G489,"")</f>
        <v/>
      </c>
    </row>
    <row r="490" customFormat="false" ht="18" hidden="false" customHeight="true" outlineLevel="0" collapsed="false">
      <c r="A490" s="16" t="s">
        <v>118</v>
      </c>
      <c r="B490" s="17" t="s">
        <v>119</v>
      </c>
      <c r="C490" s="17" t="s">
        <v>348</v>
      </c>
      <c r="D490" s="16" t="s">
        <v>104</v>
      </c>
      <c r="E490" s="17" t="s">
        <v>349</v>
      </c>
      <c r="F490" s="17" t="s">
        <v>120</v>
      </c>
      <c r="G490" s="17"/>
      <c r="H490" s="18" t="s">
        <v>33</v>
      </c>
      <c r="I490" s="12" t="str">
        <f aca="false">IF(OR(H490="Passed",H490="Accepted Exception"),"GREEN",IF(OR(H490="Not Started",H490="Failed"),"RED","AMBER"))</f>
        <v>RED</v>
      </c>
      <c r="J490" s="19" t="s">
        <v>34</v>
      </c>
      <c r="K490" s="14" t="str">
        <f aca="false">IF(OR(J490="Réussi",J490="Exception acceptée"),"GREEN",IF(OR(J490="Non commencé",J490="Échec"),"RED","AMBER"))</f>
        <v>RED</v>
      </c>
      <c r="L490" s="17"/>
      <c r="M490" s="17"/>
      <c r="N490" s="15" t="str">
        <f aca="true">IF(G490&lt;&gt;"",TODAY()-G490,"")</f>
        <v/>
      </c>
    </row>
    <row r="491" customFormat="false" ht="18" hidden="false" customHeight="true" outlineLevel="0" collapsed="false">
      <c r="A491" s="9" t="s">
        <v>121</v>
      </c>
      <c r="B491" s="10" t="s">
        <v>119</v>
      </c>
      <c r="C491" s="10" t="s">
        <v>348</v>
      </c>
      <c r="D491" s="9" t="s">
        <v>104</v>
      </c>
      <c r="E491" s="10" t="s">
        <v>349</v>
      </c>
      <c r="F491" s="10" t="s">
        <v>122</v>
      </c>
      <c r="G491" s="10"/>
      <c r="H491" s="11" t="s">
        <v>33</v>
      </c>
      <c r="I491" s="12" t="str">
        <f aca="false">IF(OR(H491="Passed",H491="Accepted Exception"),"GREEN",IF(OR(H491="Not Started",H491="Failed"),"RED","AMBER"))</f>
        <v>RED</v>
      </c>
      <c r="J491" s="13" t="s">
        <v>34</v>
      </c>
      <c r="K491" s="14" t="str">
        <f aca="false">IF(OR(J491="Réussi",J491="Exception acceptée"),"GREEN",IF(OR(J491="Non commencé",J491="Échec"),"RED","AMBER"))</f>
        <v>RED</v>
      </c>
      <c r="L491" s="10"/>
      <c r="M491" s="10"/>
      <c r="N491" s="15" t="str">
        <f aca="true">IF(G491&lt;&gt;"",TODAY()-G491,"")</f>
        <v/>
      </c>
    </row>
    <row r="492" customFormat="false" ht="18" hidden="false" customHeight="true" outlineLevel="0" collapsed="false">
      <c r="A492" s="16" t="s">
        <v>185</v>
      </c>
      <c r="B492" s="17" t="s">
        <v>119</v>
      </c>
      <c r="C492" s="17" t="s">
        <v>348</v>
      </c>
      <c r="D492" s="16" t="s">
        <v>104</v>
      </c>
      <c r="E492" s="17" t="s">
        <v>349</v>
      </c>
      <c r="F492" s="17" t="s">
        <v>186</v>
      </c>
      <c r="G492" s="17"/>
      <c r="H492" s="18" t="s">
        <v>33</v>
      </c>
      <c r="I492" s="12" t="str">
        <f aca="false">IF(OR(H492="Passed",H492="Accepted Exception"),"GREEN",IF(OR(H492="Not Started",H492="Failed"),"RED","AMBER"))</f>
        <v>RED</v>
      </c>
      <c r="J492" s="19" t="s">
        <v>34</v>
      </c>
      <c r="K492" s="14" t="str">
        <f aca="false">IF(OR(J492="Réussi",J492="Exception acceptée"),"GREEN",IF(OR(J492="Non commencé",J492="Échec"),"RED","AMBER"))</f>
        <v>RED</v>
      </c>
      <c r="L492" s="17"/>
      <c r="M492" s="17"/>
      <c r="N492" s="15" t="str">
        <f aca="true">IF(G492&lt;&gt;"",TODAY()-G492,"")</f>
        <v/>
      </c>
    </row>
    <row r="493" customFormat="false" ht="18" hidden="false" customHeight="true" outlineLevel="0" collapsed="false">
      <c r="A493" s="9" t="s">
        <v>292</v>
      </c>
      <c r="B493" s="10" t="s">
        <v>119</v>
      </c>
      <c r="C493" s="10" t="s">
        <v>348</v>
      </c>
      <c r="D493" s="9" t="s">
        <v>104</v>
      </c>
      <c r="E493" s="10" t="s">
        <v>349</v>
      </c>
      <c r="F493" s="10" t="s">
        <v>293</v>
      </c>
      <c r="G493" s="10"/>
      <c r="H493" s="11" t="s">
        <v>33</v>
      </c>
      <c r="I493" s="12" t="str">
        <f aca="false">IF(OR(H493="Passed",H493="Accepted Exception"),"GREEN",IF(OR(H493="Not Started",H493="Failed"),"RED","AMBER"))</f>
        <v>RED</v>
      </c>
      <c r="J493" s="13" t="s">
        <v>34</v>
      </c>
      <c r="K493" s="14" t="str">
        <f aca="false">IF(OR(J493="Réussi",J493="Exception acceptée"),"GREEN",IF(OR(J493="Non commencé",J493="Échec"),"RED","AMBER"))</f>
        <v>RED</v>
      </c>
      <c r="L493" s="10"/>
      <c r="M493" s="10"/>
      <c r="N493" s="15" t="str">
        <f aca="true">IF(G493&lt;&gt;"",TODAY()-G493,"")</f>
        <v/>
      </c>
    </row>
    <row r="494" customFormat="false" ht="18" hidden="false" customHeight="true" outlineLevel="0" collapsed="false">
      <c r="A494" s="16" t="s">
        <v>123</v>
      </c>
      <c r="B494" s="17" t="s">
        <v>119</v>
      </c>
      <c r="C494" s="17" t="s">
        <v>348</v>
      </c>
      <c r="D494" s="16" t="s">
        <v>104</v>
      </c>
      <c r="E494" s="17" t="s">
        <v>349</v>
      </c>
      <c r="F494" s="17" t="s">
        <v>124</v>
      </c>
      <c r="G494" s="17"/>
      <c r="H494" s="18" t="s">
        <v>33</v>
      </c>
      <c r="I494" s="12" t="str">
        <f aca="false">IF(OR(H494="Passed",H494="Accepted Exception"),"GREEN",IF(OR(H494="Not Started",H494="Failed"),"RED","AMBER"))</f>
        <v>RED</v>
      </c>
      <c r="J494" s="19" t="s">
        <v>34</v>
      </c>
      <c r="K494" s="14" t="str">
        <f aca="false">IF(OR(J494="Réussi",J494="Exception acceptée"),"GREEN",IF(OR(J494="Non commencé",J494="Échec"),"RED","AMBER"))</f>
        <v>RED</v>
      </c>
      <c r="L494" s="17"/>
      <c r="M494" s="17"/>
      <c r="N494" s="15" t="str">
        <f aca="true">IF(G494&lt;&gt;"",TODAY()-G494,"")</f>
        <v/>
      </c>
    </row>
    <row r="495" customFormat="false" ht="18" hidden="false" customHeight="true" outlineLevel="0" collapsed="false">
      <c r="A495" s="9" t="s">
        <v>28</v>
      </c>
      <c r="B495" s="10" t="s">
        <v>29</v>
      </c>
      <c r="C495" s="10" t="s">
        <v>348</v>
      </c>
      <c r="D495" s="9" t="s">
        <v>31</v>
      </c>
      <c r="E495" s="10" t="s">
        <v>349</v>
      </c>
      <c r="F495" s="10" t="s">
        <v>28</v>
      </c>
      <c r="G495" s="10"/>
      <c r="H495" s="11" t="s">
        <v>33</v>
      </c>
      <c r="I495" s="12" t="str">
        <f aca="false">IF(OR(H495="Passed",H495="Accepted Exception"),"GREEN",IF(OR(H495="Not Started",H495="Failed"),"RED","AMBER"))</f>
        <v>RED</v>
      </c>
      <c r="J495" s="13" t="s">
        <v>34</v>
      </c>
      <c r="K495" s="14" t="str">
        <f aca="false">IF(OR(J495="Réussi",J495="Exception acceptée"),"GREEN",IF(OR(J495="Non commencé",J495="Échec"),"RED","AMBER"))</f>
        <v>RED</v>
      </c>
      <c r="L495" s="10"/>
      <c r="M495" s="10"/>
      <c r="N495" s="15" t="str">
        <f aca="true">IF(G495&lt;&gt;"",TODAY()-G495,"")</f>
        <v/>
      </c>
    </row>
    <row r="496" customFormat="false" ht="18" hidden="false" customHeight="true" outlineLevel="0" collapsed="false">
      <c r="A496" s="16" t="s">
        <v>35</v>
      </c>
      <c r="B496" s="17" t="s">
        <v>36</v>
      </c>
      <c r="C496" s="17" t="s">
        <v>348</v>
      </c>
      <c r="D496" s="16" t="s">
        <v>31</v>
      </c>
      <c r="E496" s="17" t="s">
        <v>349</v>
      </c>
      <c r="F496" s="17" t="s">
        <v>35</v>
      </c>
      <c r="G496" s="17"/>
      <c r="H496" s="18" t="s">
        <v>33</v>
      </c>
      <c r="I496" s="12" t="str">
        <f aca="false">IF(OR(H496="Passed",H496="Accepted Exception"),"GREEN",IF(OR(H496="Not Started",H496="Failed"),"RED","AMBER"))</f>
        <v>RED</v>
      </c>
      <c r="J496" s="19" t="s">
        <v>34</v>
      </c>
      <c r="K496" s="14" t="str">
        <f aca="false">IF(OR(J496="Réussi",J496="Exception acceptée"),"GREEN",IF(OR(J496="Non commencé",J496="Échec"),"RED","AMBER"))</f>
        <v>RED</v>
      </c>
      <c r="L496" s="17"/>
      <c r="M496" s="17"/>
      <c r="N496" s="15" t="str">
        <f aca="true">IF(G496&lt;&gt;"",TODAY()-G496,"")</f>
        <v/>
      </c>
    </row>
    <row r="497" customFormat="false" ht="18" hidden="false" customHeight="true" outlineLevel="0" collapsed="false">
      <c r="A497" s="9" t="s">
        <v>37</v>
      </c>
      <c r="B497" s="10" t="s">
        <v>36</v>
      </c>
      <c r="C497" s="10" t="s">
        <v>348</v>
      </c>
      <c r="D497" s="9" t="s">
        <v>31</v>
      </c>
      <c r="E497" s="10" t="s">
        <v>349</v>
      </c>
      <c r="F497" s="10" t="s">
        <v>38</v>
      </c>
      <c r="G497" s="10"/>
      <c r="H497" s="11" t="s">
        <v>33</v>
      </c>
      <c r="I497" s="12" t="str">
        <f aca="false">IF(OR(H497="Passed",H497="Accepted Exception"),"GREEN",IF(OR(H497="Not Started",H497="Failed"),"RED","AMBER"))</f>
        <v>RED</v>
      </c>
      <c r="J497" s="13" t="s">
        <v>34</v>
      </c>
      <c r="K497" s="14" t="str">
        <f aca="false">IF(OR(J497="Réussi",J497="Exception acceptée"),"GREEN",IF(OR(J497="Non commencé",J497="Échec"),"RED","AMBER"))</f>
        <v>RED</v>
      </c>
      <c r="L497" s="10"/>
      <c r="M497" s="10"/>
      <c r="N497" s="15" t="str">
        <f aca="true">IF(G497&lt;&gt;"",TODAY()-G497,"")</f>
        <v/>
      </c>
    </row>
    <row r="498" customFormat="false" ht="18" hidden="false" customHeight="true" outlineLevel="0" collapsed="false">
      <c r="A498" s="16" t="s">
        <v>39</v>
      </c>
      <c r="B498" s="17" t="s">
        <v>40</v>
      </c>
      <c r="C498" s="17" t="s">
        <v>348</v>
      </c>
      <c r="D498" s="16" t="s">
        <v>31</v>
      </c>
      <c r="E498" s="17" t="s">
        <v>349</v>
      </c>
      <c r="F498" s="17" t="s">
        <v>41</v>
      </c>
      <c r="G498" s="17"/>
      <c r="H498" s="18" t="s">
        <v>33</v>
      </c>
      <c r="I498" s="12" t="str">
        <f aca="false">IF(OR(H498="Passed",H498="Accepted Exception"),"GREEN",IF(OR(H498="Not Started",H498="Failed"),"RED","AMBER"))</f>
        <v>RED</v>
      </c>
      <c r="J498" s="19" t="s">
        <v>34</v>
      </c>
      <c r="K498" s="14" t="str">
        <f aca="false">IF(OR(J498="Réussi",J498="Exception acceptée"),"GREEN",IF(OR(J498="Non commencé",J498="Échec"),"RED","AMBER"))</f>
        <v>RED</v>
      </c>
      <c r="L498" s="17"/>
      <c r="M498" s="17"/>
      <c r="N498" s="15" t="str">
        <f aca="true">IF(G498&lt;&gt;"",TODAY()-G498,"")</f>
        <v/>
      </c>
    </row>
    <row r="499" customFormat="false" ht="18" hidden="false" customHeight="true" outlineLevel="0" collapsed="false">
      <c r="A499" s="9" t="s">
        <v>42</v>
      </c>
      <c r="B499" s="10" t="s">
        <v>43</v>
      </c>
      <c r="C499" s="10" t="s">
        <v>348</v>
      </c>
      <c r="D499" s="9" t="s">
        <v>31</v>
      </c>
      <c r="E499" s="10" t="s">
        <v>349</v>
      </c>
      <c r="F499" s="10" t="s">
        <v>42</v>
      </c>
      <c r="G499" s="10"/>
      <c r="H499" s="11" t="s">
        <v>33</v>
      </c>
      <c r="I499" s="12" t="str">
        <f aca="false">IF(OR(H499="Passed",H499="Accepted Exception"),"GREEN",IF(OR(H499="Not Started",H499="Failed"),"RED","AMBER"))</f>
        <v>RED</v>
      </c>
      <c r="J499" s="13" t="s">
        <v>34</v>
      </c>
      <c r="K499" s="14" t="str">
        <f aca="false">IF(OR(J499="Réussi",J499="Exception acceptée"),"GREEN",IF(OR(J499="Non commencé",J499="Échec"),"RED","AMBER"))</f>
        <v>RED</v>
      </c>
      <c r="L499" s="10"/>
      <c r="M499" s="10"/>
      <c r="N499" s="15" t="str">
        <f aca="true">IF(G499&lt;&gt;"",TODAY()-G499,"")</f>
        <v/>
      </c>
    </row>
    <row r="500" customFormat="false" ht="18" hidden="false" customHeight="true" outlineLevel="0" collapsed="false">
      <c r="A500" s="16" t="s">
        <v>125</v>
      </c>
      <c r="B500" s="17" t="s">
        <v>126</v>
      </c>
      <c r="C500" s="17" t="s">
        <v>348</v>
      </c>
      <c r="D500" s="16" t="s">
        <v>127</v>
      </c>
      <c r="E500" s="17" t="s">
        <v>349</v>
      </c>
      <c r="F500" s="17" t="s">
        <v>128</v>
      </c>
      <c r="G500" s="17"/>
      <c r="H500" s="18" t="s">
        <v>33</v>
      </c>
      <c r="I500" s="12" t="str">
        <f aca="false">IF(OR(H500="Passed",H500="Accepted Exception"),"GREEN",IF(OR(H500="Not Started",H500="Failed"),"RED","AMBER"))</f>
        <v>RED</v>
      </c>
      <c r="J500" s="19" t="s">
        <v>34</v>
      </c>
      <c r="K500" s="14" t="str">
        <f aca="false">IF(OR(J500="Réussi",J500="Exception acceptée"),"GREEN",IF(OR(J500="Non commencé",J500="Échec"),"RED","AMBER"))</f>
        <v>RED</v>
      </c>
      <c r="L500" s="17"/>
      <c r="M500" s="17"/>
      <c r="N500" s="15" t="str">
        <f aca="true">IF(G500&lt;&gt;"",TODAY()-G500,"")</f>
        <v/>
      </c>
    </row>
    <row r="501" customFormat="false" ht="18" hidden="false" customHeight="true" outlineLevel="0" collapsed="false">
      <c r="A501" s="9" t="s">
        <v>129</v>
      </c>
      <c r="B501" s="10" t="s">
        <v>130</v>
      </c>
      <c r="C501" s="10" t="s">
        <v>348</v>
      </c>
      <c r="D501" s="9" t="s">
        <v>127</v>
      </c>
      <c r="E501" s="10" t="s">
        <v>349</v>
      </c>
      <c r="F501" s="10" t="s">
        <v>129</v>
      </c>
      <c r="G501" s="10"/>
      <c r="H501" s="11" t="s">
        <v>33</v>
      </c>
      <c r="I501" s="12" t="str">
        <f aca="false">IF(OR(H501="Passed",H501="Accepted Exception"),"GREEN",IF(OR(H501="Not Started",H501="Failed"),"RED","AMBER"))</f>
        <v>RED</v>
      </c>
      <c r="J501" s="13" t="s">
        <v>34</v>
      </c>
      <c r="K501" s="14" t="str">
        <f aca="false">IF(OR(J501="Réussi",J501="Exception acceptée"),"GREEN",IF(OR(J501="Non commencé",J501="Échec"),"RED","AMBER"))</f>
        <v>RED</v>
      </c>
      <c r="L501" s="10"/>
      <c r="M501" s="10"/>
      <c r="N501" s="15" t="str">
        <f aca="true">IF(G501&lt;&gt;"",TODAY()-G501,"")</f>
        <v/>
      </c>
    </row>
    <row r="502" customFormat="false" ht="18" hidden="false" customHeight="true" outlineLevel="0" collapsed="false">
      <c r="A502" s="16" t="s">
        <v>44</v>
      </c>
      <c r="B502" s="17" t="s">
        <v>45</v>
      </c>
      <c r="C502" s="17" t="s">
        <v>348</v>
      </c>
      <c r="D502" s="16" t="s">
        <v>46</v>
      </c>
      <c r="E502" s="17" t="s">
        <v>349</v>
      </c>
      <c r="F502" s="17" t="s">
        <v>44</v>
      </c>
      <c r="G502" s="17"/>
      <c r="H502" s="18" t="s">
        <v>33</v>
      </c>
      <c r="I502" s="12" t="str">
        <f aca="false">IF(OR(H502="Passed",H502="Accepted Exception"),"GREEN",IF(OR(H502="Not Started",H502="Failed"),"RED","AMBER"))</f>
        <v>RED</v>
      </c>
      <c r="J502" s="19" t="s">
        <v>34</v>
      </c>
      <c r="K502" s="14" t="str">
        <f aca="false">IF(OR(J502="Réussi",J502="Exception acceptée"),"GREEN",IF(OR(J502="Non commencé",J502="Échec"),"RED","AMBER"))</f>
        <v>RED</v>
      </c>
      <c r="L502" s="17"/>
      <c r="M502" s="17"/>
      <c r="N502" s="15" t="str">
        <f aca="true">IF(G502&lt;&gt;"",TODAY()-G502,"")</f>
        <v/>
      </c>
    </row>
    <row r="503" customFormat="false" ht="18" hidden="false" customHeight="true" outlineLevel="0" collapsed="false">
      <c r="A503" s="9" t="s">
        <v>47</v>
      </c>
      <c r="B503" s="10" t="s">
        <v>48</v>
      </c>
      <c r="C503" s="10" t="s">
        <v>348</v>
      </c>
      <c r="D503" s="9" t="s">
        <v>46</v>
      </c>
      <c r="E503" s="10" t="s">
        <v>349</v>
      </c>
      <c r="F503" s="10" t="s">
        <v>47</v>
      </c>
      <c r="G503" s="10"/>
      <c r="H503" s="11" t="s">
        <v>33</v>
      </c>
      <c r="I503" s="12" t="str">
        <f aca="false">IF(OR(H503="Passed",H503="Accepted Exception"),"GREEN",IF(OR(H503="Not Started",H503="Failed"),"RED","AMBER"))</f>
        <v>RED</v>
      </c>
      <c r="J503" s="13" t="s">
        <v>34</v>
      </c>
      <c r="K503" s="14" t="str">
        <f aca="false">IF(OR(J503="Réussi",J503="Exception acceptée"),"GREEN",IF(OR(J503="Non commencé",J503="Échec"),"RED","AMBER"))</f>
        <v>RED</v>
      </c>
      <c r="L503" s="10"/>
      <c r="M503" s="10"/>
      <c r="N503" s="15" t="str">
        <f aca="true">IF(G503&lt;&gt;"",TODAY()-G503,"")</f>
        <v/>
      </c>
    </row>
    <row r="504" customFormat="false" ht="18" hidden="false" customHeight="true" outlineLevel="0" collapsed="false">
      <c r="A504" s="16" t="s">
        <v>49</v>
      </c>
      <c r="B504" s="17" t="s">
        <v>48</v>
      </c>
      <c r="C504" s="17" t="s">
        <v>348</v>
      </c>
      <c r="D504" s="16" t="s">
        <v>46</v>
      </c>
      <c r="E504" s="17" t="s">
        <v>349</v>
      </c>
      <c r="F504" s="17" t="s">
        <v>50</v>
      </c>
      <c r="G504" s="17"/>
      <c r="H504" s="18" t="s">
        <v>33</v>
      </c>
      <c r="I504" s="12" t="str">
        <f aca="false">IF(OR(H504="Passed",H504="Accepted Exception"),"GREEN",IF(OR(H504="Not Started",H504="Failed"),"RED","AMBER"))</f>
        <v>RED</v>
      </c>
      <c r="J504" s="19" t="s">
        <v>34</v>
      </c>
      <c r="K504" s="14" t="str">
        <f aca="false">IF(OR(J504="Réussi",J504="Exception acceptée"),"GREEN",IF(OR(J504="Non commencé",J504="Échec"),"RED","AMBER"))</f>
        <v>RED</v>
      </c>
      <c r="L504" s="17"/>
      <c r="M504" s="17"/>
      <c r="N504" s="15" t="str">
        <f aca="true">IF(G504&lt;&gt;"",TODAY()-G504,"")</f>
        <v/>
      </c>
    </row>
    <row r="505" customFormat="false" ht="18" hidden="false" customHeight="true" outlineLevel="0" collapsed="false">
      <c r="A505" s="9" t="s">
        <v>352</v>
      </c>
      <c r="B505" s="10" t="s">
        <v>353</v>
      </c>
      <c r="C505" s="10" t="s">
        <v>348</v>
      </c>
      <c r="D505" s="9" t="s">
        <v>46</v>
      </c>
      <c r="E505" s="10" t="s">
        <v>349</v>
      </c>
      <c r="F505" s="10" t="s">
        <v>352</v>
      </c>
      <c r="G505" s="10"/>
      <c r="H505" s="11" t="s">
        <v>33</v>
      </c>
      <c r="I505" s="12" t="str">
        <f aca="false">IF(OR(H505="Passed",H505="Accepted Exception"),"GREEN",IF(OR(H505="Not Started",H505="Failed"),"RED","AMBER"))</f>
        <v>RED</v>
      </c>
      <c r="J505" s="13" t="s">
        <v>34</v>
      </c>
      <c r="K505" s="14" t="str">
        <f aca="false">IF(OR(J505="Réussi",J505="Exception acceptée"),"GREEN",IF(OR(J505="Non commencé",J505="Échec"),"RED","AMBER"))</f>
        <v>RED</v>
      </c>
      <c r="L505" s="10"/>
      <c r="M505" s="10"/>
      <c r="N505" s="15" t="str">
        <f aca="true">IF(G505&lt;&gt;"",TODAY()-G505,"")</f>
        <v/>
      </c>
    </row>
    <row r="506" customFormat="false" ht="18" hidden="false" customHeight="true" outlineLevel="0" collapsed="false">
      <c r="A506" s="16" t="s">
        <v>51</v>
      </c>
      <c r="B506" s="17" t="s">
        <v>52</v>
      </c>
      <c r="C506" s="17" t="s">
        <v>348</v>
      </c>
      <c r="D506" s="16" t="s">
        <v>53</v>
      </c>
      <c r="E506" s="17" t="s">
        <v>349</v>
      </c>
      <c r="F506" s="17" t="s">
        <v>51</v>
      </c>
      <c r="G506" s="17"/>
      <c r="H506" s="18" t="s">
        <v>33</v>
      </c>
      <c r="I506" s="12" t="str">
        <f aca="false">IF(OR(H506="Passed",H506="Accepted Exception"),"GREEN",IF(OR(H506="Not Started",H506="Failed"),"RED","AMBER"))</f>
        <v>RED</v>
      </c>
      <c r="J506" s="19" t="s">
        <v>34</v>
      </c>
      <c r="K506" s="14" t="str">
        <f aca="false">IF(OR(J506="Réussi",J506="Exception acceptée"),"GREEN",IF(OR(J506="Non commencé",J506="Échec"),"RED","AMBER"))</f>
        <v>RED</v>
      </c>
      <c r="L506" s="17"/>
      <c r="M506" s="17"/>
      <c r="N506" s="15" t="str">
        <f aca="true">IF(G506&lt;&gt;"",TODAY()-G506,"")</f>
        <v/>
      </c>
    </row>
    <row r="507" customFormat="false" ht="18" hidden="false" customHeight="true" outlineLevel="0" collapsed="false">
      <c r="A507" s="9" t="s">
        <v>54</v>
      </c>
      <c r="B507" s="10" t="s">
        <v>52</v>
      </c>
      <c r="C507" s="10" t="s">
        <v>348</v>
      </c>
      <c r="D507" s="9" t="s">
        <v>53</v>
      </c>
      <c r="E507" s="10" t="s">
        <v>349</v>
      </c>
      <c r="F507" s="10" t="s">
        <v>55</v>
      </c>
      <c r="G507" s="10"/>
      <c r="H507" s="11" t="s">
        <v>33</v>
      </c>
      <c r="I507" s="12" t="str">
        <f aca="false">IF(OR(H507="Passed",H507="Accepted Exception"),"GREEN",IF(OR(H507="Not Started",H507="Failed"),"RED","AMBER"))</f>
        <v>RED</v>
      </c>
      <c r="J507" s="13" t="s">
        <v>34</v>
      </c>
      <c r="K507" s="14" t="str">
        <f aca="false">IF(OR(J507="Réussi",J507="Exception acceptée"),"GREEN",IF(OR(J507="Non commencé",J507="Échec"),"RED","AMBER"))</f>
        <v>RED</v>
      </c>
      <c r="L507" s="10"/>
      <c r="M507" s="10"/>
      <c r="N507" s="15" t="str">
        <f aca="true">IF(G507&lt;&gt;"",TODAY()-G507,"")</f>
        <v/>
      </c>
    </row>
    <row r="508" customFormat="false" ht="18" hidden="false" customHeight="true" outlineLevel="0" collapsed="false">
      <c r="A508" s="16" t="s">
        <v>56</v>
      </c>
      <c r="B508" s="17" t="s">
        <v>57</v>
      </c>
      <c r="C508" s="17" t="s">
        <v>348</v>
      </c>
      <c r="D508" s="16" t="s">
        <v>53</v>
      </c>
      <c r="E508" s="17" t="s">
        <v>349</v>
      </c>
      <c r="F508" s="17" t="s">
        <v>56</v>
      </c>
      <c r="G508" s="17"/>
      <c r="H508" s="18" t="s">
        <v>33</v>
      </c>
      <c r="I508" s="12" t="str">
        <f aca="false">IF(OR(H508="Passed",H508="Accepted Exception"),"GREEN",IF(OR(H508="Not Started",H508="Failed"),"RED","AMBER"))</f>
        <v>RED</v>
      </c>
      <c r="J508" s="19" t="s">
        <v>34</v>
      </c>
      <c r="K508" s="14" t="str">
        <f aca="false">IF(OR(J508="Réussi",J508="Exception acceptée"),"GREEN",IF(OR(J508="Non commencé",J508="Échec"),"RED","AMBER"))</f>
        <v>RED</v>
      </c>
      <c r="L508" s="17"/>
      <c r="M508" s="17"/>
      <c r="N508" s="15" t="str">
        <f aca="true">IF(G508&lt;&gt;"",TODAY()-G508,"")</f>
        <v/>
      </c>
    </row>
    <row r="509" customFormat="false" ht="18" hidden="false" customHeight="true" outlineLevel="0" collapsed="false">
      <c r="A509" s="9" t="s">
        <v>58</v>
      </c>
      <c r="B509" s="10" t="s">
        <v>57</v>
      </c>
      <c r="C509" s="10" t="s">
        <v>348</v>
      </c>
      <c r="D509" s="9" t="s">
        <v>53</v>
      </c>
      <c r="E509" s="10" t="s">
        <v>349</v>
      </c>
      <c r="F509" s="10" t="s">
        <v>59</v>
      </c>
      <c r="G509" s="10"/>
      <c r="H509" s="11" t="s">
        <v>33</v>
      </c>
      <c r="I509" s="12" t="str">
        <f aca="false">IF(OR(H509="Passed",H509="Accepted Exception"),"GREEN",IF(OR(H509="Not Started",H509="Failed"),"RED","AMBER"))</f>
        <v>RED</v>
      </c>
      <c r="J509" s="13" t="s">
        <v>34</v>
      </c>
      <c r="K509" s="14" t="str">
        <f aca="false">IF(OR(J509="Réussi",J509="Exception acceptée"),"GREEN",IF(OR(J509="Non commencé",J509="Échec"),"RED","AMBER"))</f>
        <v>RED</v>
      </c>
      <c r="L509" s="10"/>
      <c r="M509" s="10"/>
      <c r="N509" s="15" t="str">
        <f aca="true">IF(G509&lt;&gt;"",TODAY()-G509,"")</f>
        <v/>
      </c>
    </row>
    <row r="510" customFormat="false" ht="18" hidden="false" customHeight="true" outlineLevel="0" collapsed="false">
      <c r="A510" s="16" t="s">
        <v>354</v>
      </c>
      <c r="B510" s="17" t="s">
        <v>355</v>
      </c>
      <c r="C510" s="17" t="s">
        <v>348</v>
      </c>
      <c r="D510" s="16" t="s">
        <v>137</v>
      </c>
      <c r="E510" s="17" t="s">
        <v>349</v>
      </c>
      <c r="F510" s="17" t="s">
        <v>354</v>
      </c>
      <c r="G510" s="17"/>
      <c r="H510" s="18" t="s">
        <v>33</v>
      </c>
      <c r="I510" s="12" t="str">
        <f aca="false">IF(OR(H510="Passed",H510="Accepted Exception"),"GREEN",IF(OR(H510="Not Started",H510="Failed"),"RED","AMBER"))</f>
        <v>RED</v>
      </c>
      <c r="J510" s="19" t="s">
        <v>34</v>
      </c>
      <c r="K510" s="14" t="str">
        <f aca="false">IF(OR(J510="Réussi",J510="Exception acceptée"),"GREEN",IF(OR(J510="Non commencé",J510="Échec"),"RED","AMBER"))</f>
        <v>RED</v>
      </c>
      <c r="L510" s="17"/>
      <c r="M510" s="17"/>
      <c r="N510" s="15" t="str">
        <f aca="true">IF(G510&lt;&gt;"",TODAY()-G510,"")</f>
        <v/>
      </c>
    </row>
    <row r="511" customFormat="false" ht="18" hidden="false" customHeight="true" outlineLevel="0" collapsed="false">
      <c r="A511" s="9" t="s">
        <v>356</v>
      </c>
      <c r="B511" s="10" t="s">
        <v>225</v>
      </c>
      <c r="C511" s="10" t="s">
        <v>348</v>
      </c>
      <c r="D511" s="9" t="s">
        <v>226</v>
      </c>
      <c r="E511" s="10" t="s">
        <v>349</v>
      </c>
      <c r="F511" s="10" t="s">
        <v>357</v>
      </c>
      <c r="G511" s="10"/>
      <c r="H511" s="11" t="s">
        <v>33</v>
      </c>
      <c r="I511" s="12" t="str">
        <f aca="false">IF(OR(H511="Passed",H511="Accepted Exception"),"GREEN",IF(OR(H511="Not Started",H511="Failed"),"RED","AMBER"))</f>
        <v>RED</v>
      </c>
      <c r="J511" s="13" t="s">
        <v>34</v>
      </c>
      <c r="K511" s="14" t="str">
        <f aca="false">IF(OR(J511="Réussi",J511="Exception acceptée"),"GREEN",IF(OR(J511="Non commencé",J511="Échec"),"RED","AMBER"))</f>
        <v>RED</v>
      </c>
      <c r="L511" s="10"/>
      <c r="M511" s="10"/>
      <c r="N511" s="15" t="str">
        <f aca="true">IF(G511&lt;&gt;"",TODAY()-G511,"")</f>
        <v/>
      </c>
    </row>
    <row r="512" customFormat="false" ht="18" hidden="false" customHeight="true" outlineLevel="0" collapsed="false">
      <c r="A512" s="16" t="s">
        <v>60</v>
      </c>
      <c r="B512" s="17" t="s">
        <v>61</v>
      </c>
      <c r="C512" s="17" t="s">
        <v>348</v>
      </c>
      <c r="D512" s="16" t="s">
        <v>62</v>
      </c>
      <c r="E512" s="17" t="s">
        <v>349</v>
      </c>
      <c r="F512" s="17" t="s">
        <v>63</v>
      </c>
      <c r="G512" s="17"/>
      <c r="H512" s="18" t="s">
        <v>33</v>
      </c>
      <c r="I512" s="12" t="str">
        <f aca="false">IF(OR(H512="Passed",H512="Accepted Exception"),"GREEN",IF(OR(H512="Not Started",H512="Failed"),"RED","AMBER"))</f>
        <v>RED</v>
      </c>
      <c r="J512" s="19" t="s">
        <v>34</v>
      </c>
      <c r="K512" s="14" t="str">
        <f aca="false">IF(OR(J512="Réussi",J512="Exception acceptée"),"GREEN",IF(OR(J512="Non commencé",J512="Échec"),"RED","AMBER"))</f>
        <v>RED</v>
      </c>
      <c r="L512" s="17"/>
      <c r="M512" s="17"/>
      <c r="N512" s="15" t="str">
        <f aca="true">IF(G512&lt;&gt;"",TODAY()-G512,"")</f>
        <v/>
      </c>
    </row>
    <row r="513" customFormat="false" ht="18" hidden="false" customHeight="true" outlineLevel="0" collapsed="false">
      <c r="A513" s="9" t="s">
        <v>144</v>
      </c>
      <c r="B513" s="10" t="s">
        <v>145</v>
      </c>
      <c r="C513" s="10" t="s">
        <v>348</v>
      </c>
      <c r="D513" s="9" t="s">
        <v>94</v>
      </c>
      <c r="E513" s="10" t="s">
        <v>349</v>
      </c>
      <c r="F513" s="10" t="s">
        <v>144</v>
      </c>
      <c r="G513" s="10"/>
      <c r="H513" s="11" t="s">
        <v>33</v>
      </c>
      <c r="I513" s="12" t="str">
        <f aca="false">IF(OR(H513="Passed",H513="Accepted Exception"),"GREEN",IF(OR(H513="Not Started",H513="Failed"),"RED","AMBER"))</f>
        <v>RED</v>
      </c>
      <c r="J513" s="13" t="s">
        <v>34</v>
      </c>
      <c r="K513" s="14" t="str">
        <f aca="false">IF(OR(J513="Réussi",J513="Exception acceptée"),"GREEN",IF(OR(J513="Non commencé",J513="Échec"),"RED","AMBER"))</f>
        <v>RED</v>
      </c>
      <c r="L513" s="10"/>
      <c r="M513" s="10"/>
      <c r="N513" s="15" t="str">
        <f aca="true">IF(G513&lt;&gt;"",TODAY()-G513,"")</f>
        <v/>
      </c>
    </row>
    <row r="514" customFormat="false" ht="18" hidden="false" customHeight="true" outlineLevel="0" collapsed="false">
      <c r="A514" s="16" t="s">
        <v>92</v>
      </c>
      <c r="B514" s="17" t="s">
        <v>93</v>
      </c>
      <c r="C514" s="17" t="s">
        <v>348</v>
      </c>
      <c r="D514" s="16" t="s">
        <v>94</v>
      </c>
      <c r="E514" s="17" t="s">
        <v>349</v>
      </c>
      <c r="F514" s="17" t="s">
        <v>92</v>
      </c>
      <c r="G514" s="17"/>
      <c r="H514" s="18" t="s">
        <v>33</v>
      </c>
      <c r="I514" s="12" t="str">
        <f aca="false">IF(OR(H514="Passed",H514="Accepted Exception"),"GREEN",IF(OR(H514="Not Started",H514="Failed"),"RED","AMBER"))</f>
        <v>RED</v>
      </c>
      <c r="J514" s="19" t="s">
        <v>34</v>
      </c>
      <c r="K514" s="14" t="str">
        <f aca="false">IF(OR(J514="Réussi",J514="Exception acceptée"),"GREEN",IF(OR(J514="Non commencé",J514="Échec"),"RED","AMBER"))</f>
        <v>RED</v>
      </c>
      <c r="L514" s="17"/>
      <c r="M514" s="17"/>
      <c r="N514" s="15" t="str">
        <f aca="true">IF(G514&lt;&gt;"",TODAY()-G514,"")</f>
        <v/>
      </c>
    </row>
    <row r="515" customFormat="false" ht="18" hidden="false" customHeight="true" outlineLevel="0" collapsed="false">
      <c r="A515" s="9" t="s">
        <v>263</v>
      </c>
      <c r="B515" s="10" t="s">
        <v>264</v>
      </c>
      <c r="C515" s="10" t="s">
        <v>348</v>
      </c>
      <c r="D515" s="9" t="s">
        <v>94</v>
      </c>
      <c r="E515" s="10" t="s">
        <v>349</v>
      </c>
      <c r="F515" s="10" t="s">
        <v>263</v>
      </c>
      <c r="G515" s="10"/>
      <c r="H515" s="11" t="s">
        <v>33</v>
      </c>
      <c r="I515" s="12" t="str">
        <f aca="false">IF(OR(H515="Passed",H515="Accepted Exception"),"GREEN",IF(OR(H515="Not Started",H515="Failed"),"RED","AMBER"))</f>
        <v>RED</v>
      </c>
      <c r="J515" s="13" t="s">
        <v>34</v>
      </c>
      <c r="K515" s="14" t="str">
        <f aca="false">IF(OR(J515="Réussi",J515="Exception acceptée"),"GREEN",IF(OR(J515="Non commencé",J515="Échec"),"RED","AMBER"))</f>
        <v>RED</v>
      </c>
      <c r="L515" s="10"/>
      <c r="M515" s="10"/>
      <c r="N515" s="15" t="str">
        <f aca="true">IF(G515&lt;&gt;"",TODAY()-G515,"")</f>
        <v/>
      </c>
    </row>
    <row r="516" customFormat="false" ht="18" hidden="false" customHeight="true" outlineLevel="0" collapsed="false">
      <c r="A516" s="16" t="s">
        <v>234</v>
      </c>
      <c r="B516" s="17" t="s">
        <v>149</v>
      </c>
      <c r="C516" s="17" t="s">
        <v>348</v>
      </c>
      <c r="D516" s="16" t="s">
        <v>94</v>
      </c>
      <c r="E516" s="17" t="s">
        <v>349</v>
      </c>
      <c r="F516" s="17" t="s">
        <v>234</v>
      </c>
      <c r="G516" s="17"/>
      <c r="H516" s="18" t="s">
        <v>33</v>
      </c>
      <c r="I516" s="12" t="str">
        <f aca="false">IF(OR(H516="Passed",H516="Accepted Exception"),"GREEN",IF(OR(H516="Not Started",H516="Failed"),"RED","AMBER"))</f>
        <v>RED</v>
      </c>
      <c r="J516" s="19" t="s">
        <v>34</v>
      </c>
      <c r="K516" s="14" t="str">
        <f aca="false">IF(OR(J516="Réussi",J516="Exception acceptée"),"GREEN",IF(OR(J516="Non commencé",J516="Échec"),"RED","AMBER"))</f>
        <v>RED</v>
      </c>
      <c r="L516" s="17"/>
      <c r="M516" s="17"/>
      <c r="N516" s="15" t="str">
        <f aca="true">IF(G516&lt;&gt;"",TODAY()-G516,"")</f>
        <v/>
      </c>
    </row>
    <row r="517" customFormat="false" ht="18" hidden="false" customHeight="true" outlineLevel="0" collapsed="false">
      <c r="A517" s="9" t="s">
        <v>358</v>
      </c>
      <c r="B517" s="10" t="s">
        <v>149</v>
      </c>
      <c r="C517" s="10" t="s">
        <v>348</v>
      </c>
      <c r="D517" s="9" t="s">
        <v>94</v>
      </c>
      <c r="E517" s="10" t="s">
        <v>349</v>
      </c>
      <c r="F517" s="10" t="s">
        <v>359</v>
      </c>
      <c r="G517" s="10"/>
      <c r="H517" s="11" t="s">
        <v>33</v>
      </c>
      <c r="I517" s="12" t="str">
        <f aca="false">IF(OR(H517="Passed",H517="Accepted Exception"),"GREEN",IF(OR(H517="Not Started",H517="Failed"),"RED","AMBER"))</f>
        <v>RED</v>
      </c>
      <c r="J517" s="13" t="s">
        <v>34</v>
      </c>
      <c r="K517" s="14" t="str">
        <f aca="false">IF(OR(J517="Réussi",J517="Exception acceptée"),"GREEN",IF(OR(J517="Non commencé",J517="Échec"),"RED","AMBER"))</f>
        <v>RED</v>
      </c>
      <c r="L517" s="10"/>
      <c r="M517" s="10"/>
      <c r="N517" s="15" t="str">
        <f aca="true">IF(G517&lt;&gt;"",TODAY()-G517,"")</f>
        <v/>
      </c>
    </row>
    <row r="518" customFormat="false" ht="18" hidden="false" customHeight="true" outlineLevel="0" collapsed="false">
      <c r="A518" s="16" t="s">
        <v>360</v>
      </c>
      <c r="B518" s="17" t="s">
        <v>149</v>
      </c>
      <c r="C518" s="17" t="s">
        <v>348</v>
      </c>
      <c r="D518" s="16" t="s">
        <v>94</v>
      </c>
      <c r="E518" s="17" t="s">
        <v>349</v>
      </c>
      <c r="F518" s="17" t="s">
        <v>361</v>
      </c>
      <c r="G518" s="17"/>
      <c r="H518" s="18" t="s">
        <v>33</v>
      </c>
      <c r="I518" s="12" t="str">
        <f aca="false">IF(OR(H518="Passed",H518="Accepted Exception"),"GREEN",IF(OR(H518="Not Started",H518="Failed"),"RED","AMBER"))</f>
        <v>RED</v>
      </c>
      <c r="J518" s="19" t="s">
        <v>34</v>
      </c>
      <c r="K518" s="14" t="str">
        <f aca="false">IF(OR(J518="Réussi",J518="Exception acceptée"),"GREEN",IF(OR(J518="Non commencé",J518="Échec"),"RED","AMBER"))</f>
        <v>RED</v>
      </c>
      <c r="L518" s="17"/>
      <c r="M518" s="17"/>
      <c r="N518" s="15" t="str">
        <f aca="true">IF(G518&lt;&gt;"",TODAY()-G518,"")</f>
        <v/>
      </c>
    </row>
    <row r="519" customFormat="false" ht="18" hidden="false" customHeight="true" outlineLevel="0" collapsed="false">
      <c r="A519" s="9" t="s">
        <v>362</v>
      </c>
      <c r="B519" s="10" t="s">
        <v>149</v>
      </c>
      <c r="C519" s="10" t="s">
        <v>348</v>
      </c>
      <c r="D519" s="9" t="s">
        <v>94</v>
      </c>
      <c r="E519" s="10" t="s">
        <v>349</v>
      </c>
      <c r="F519" s="10" t="s">
        <v>363</v>
      </c>
      <c r="G519" s="10"/>
      <c r="H519" s="11" t="s">
        <v>33</v>
      </c>
      <c r="I519" s="12" t="str">
        <f aca="false">IF(OR(H519="Passed",H519="Accepted Exception"),"GREEN",IF(OR(H519="Not Started",H519="Failed"),"RED","AMBER"))</f>
        <v>RED</v>
      </c>
      <c r="J519" s="13" t="s">
        <v>34</v>
      </c>
      <c r="K519" s="14" t="str">
        <f aca="false">IF(OR(J519="Réussi",J519="Exception acceptée"),"GREEN",IF(OR(J519="Non commencé",J519="Échec"),"RED","AMBER"))</f>
        <v>RED</v>
      </c>
      <c r="L519" s="10"/>
      <c r="M519" s="10"/>
      <c r="N519" s="15" t="str">
        <f aca="true">IF(G519&lt;&gt;"",TODAY()-G519,"")</f>
        <v/>
      </c>
    </row>
    <row r="520" customFormat="false" ht="18" hidden="false" customHeight="true" outlineLevel="0" collapsed="false">
      <c r="A520" s="16" t="s">
        <v>364</v>
      </c>
      <c r="B520" s="17" t="s">
        <v>149</v>
      </c>
      <c r="C520" s="17" t="s">
        <v>348</v>
      </c>
      <c r="D520" s="16" t="s">
        <v>94</v>
      </c>
      <c r="E520" s="17" t="s">
        <v>349</v>
      </c>
      <c r="F520" s="17" t="s">
        <v>365</v>
      </c>
      <c r="G520" s="17"/>
      <c r="H520" s="18" t="s">
        <v>33</v>
      </c>
      <c r="I520" s="12" t="str">
        <f aca="false">IF(OR(H520="Passed",H520="Accepted Exception"),"GREEN",IF(OR(H520="Not Started",H520="Failed"),"RED","AMBER"))</f>
        <v>RED</v>
      </c>
      <c r="J520" s="19" t="s">
        <v>34</v>
      </c>
      <c r="K520" s="14" t="str">
        <f aca="false">IF(OR(J520="Réussi",J520="Exception acceptée"),"GREEN",IF(OR(J520="Non commencé",J520="Échec"),"RED","AMBER"))</f>
        <v>RED</v>
      </c>
      <c r="L520" s="17"/>
      <c r="M520" s="17"/>
      <c r="N520" s="15" t="str">
        <f aca="true">IF(G520&lt;&gt;"",TODAY()-G520,"")</f>
        <v/>
      </c>
    </row>
    <row r="521" customFormat="false" ht="18" hidden="false" customHeight="true" outlineLevel="0" collapsed="false">
      <c r="A521" s="9" t="s">
        <v>366</v>
      </c>
      <c r="B521" s="10" t="s">
        <v>149</v>
      </c>
      <c r="C521" s="10" t="s">
        <v>348</v>
      </c>
      <c r="D521" s="9" t="s">
        <v>94</v>
      </c>
      <c r="E521" s="10" t="s">
        <v>349</v>
      </c>
      <c r="F521" s="10" t="s">
        <v>367</v>
      </c>
      <c r="G521" s="10"/>
      <c r="H521" s="11" t="s">
        <v>33</v>
      </c>
      <c r="I521" s="12" t="str">
        <f aca="false">IF(OR(H521="Passed",H521="Accepted Exception"),"GREEN",IF(OR(H521="Not Started",H521="Failed"),"RED","AMBER"))</f>
        <v>RED</v>
      </c>
      <c r="J521" s="13" t="s">
        <v>34</v>
      </c>
      <c r="K521" s="14" t="str">
        <f aca="false">IF(OR(J521="Réussi",J521="Exception acceptée"),"GREEN",IF(OR(J521="Non commencé",J521="Échec"),"RED","AMBER"))</f>
        <v>RED</v>
      </c>
      <c r="L521" s="10"/>
      <c r="M521" s="10"/>
      <c r="N521" s="15" t="str">
        <f aca="true">IF(G521&lt;&gt;"",TODAY()-G521,"")</f>
        <v/>
      </c>
    </row>
    <row r="522" customFormat="false" ht="18" hidden="false" customHeight="true" outlineLevel="0" collapsed="false">
      <c r="A522" s="16" t="s">
        <v>368</v>
      </c>
      <c r="B522" s="17" t="s">
        <v>149</v>
      </c>
      <c r="C522" s="17" t="s">
        <v>348</v>
      </c>
      <c r="D522" s="16" t="s">
        <v>94</v>
      </c>
      <c r="E522" s="17" t="s">
        <v>349</v>
      </c>
      <c r="F522" s="17" t="s">
        <v>369</v>
      </c>
      <c r="G522" s="17"/>
      <c r="H522" s="18" t="s">
        <v>33</v>
      </c>
      <c r="I522" s="12" t="str">
        <f aca="false">IF(OR(H522="Passed",H522="Accepted Exception"),"GREEN",IF(OR(H522="Not Started",H522="Failed"),"RED","AMBER"))</f>
        <v>RED</v>
      </c>
      <c r="J522" s="19" t="s">
        <v>34</v>
      </c>
      <c r="K522" s="14" t="str">
        <f aca="false">IF(OR(J522="Réussi",J522="Exception acceptée"),"GREEN",IF(OR(J522="Non commencé",J522="Échec"),"RED","AMBER"))</f>
        <v>RED</v>
      </c>
      <c r="L522" s="17"/>
      <c r="M522" s="17"/>
      <c r="N522" s="15" t="str">
        <f aca="true">IF(G522&lt;&gt;"",TODAY()-G522,"")</f>
        <v/>
      </c>
    </row>
    <row r="523" customFormat="false" ht="18" hidden="false" customHeight="true" outlineLevel="0" collapsed="false">
      <c r="A523" s="9" t="s">
        <v>153</v>
      </c>
      <c r="B523" s="10" t="s">
        <v>154</v>
      </c>
      <c r="C523" s="10" t="s">
        <v>348</v>
      </c>
      <c r="D523" s="9" t="s">
        <v>94</v>
      </c>
      <c r="E523" s="10" t="s">
        <v>349</v>
      </c>
      <c r="F523" s="10" t="s">
        <v>153</v>
      </c>
      <c r="G523" s="10"/>
      <c r="H523" s="11" t="s">
        <v>33</v>
      </c>
      <c r="I523" s="12" t="str">
        <f aca="false">IF(OR(H523="Passed",H523="Accepted Exception"),"GREEN",IF(OR(H523="Not Started",H523="Failed"),"RED","AMBER"))</f>
        <v>RED</v>
      </c>
      <c r="J523" s="13" t="s">
        <v>34</v>
      </c>
      <c r="K523" s="14" t="str">
        <f aca="false">IF(OR(J523="Réussi",J523="Exception acceptée"),"GREEN",IF(OR(J523="Non commencé",J523="Échec"),"RED","AMBER"))</f>
        <v>RED</v>
      </c>
      <c r="L523" s="10"/>
      <c r="M523" s="10"/>
      <c r="N523" s="15" t="str">
        <f aca="true">IF(G523&lt;&gt;"",TODAY()-G523,"")</f>
        <v/>
      </c>
    </row>
    <row r="524" customFormat="false" ht="18" hidden="false" customHeight="true" outlineLevel="0" collapsed="false">
      <c r="A524" s="16" t="s">
        <v>155</v>
      </c>
      <c r="B524" s="17" t="s">
        <v>154</v>
      </c>
      <c r="C524" s="17" t="s">
        <v>348</v>
      </c>
      <c r="D524" s="16" t="s">
        <v>94</v>
      </c>
      <c r="E524" s="17" t="s">
        <v>349</v>
      </c>
      <c r="F524" s="17" t="s">
        <v>156</v>
      </c>
      <c r="G524" s="17"/>
      <c r="H524" s="18" t="s">
        <v>33</v>
      </c>
      <c r="I524" s="12" t="str">
        <f aca="false">IF(OR(H524="Passed",H524="Accepted Exception"),"GREEN",IF(OR(H524="Not Started",H524="Failed"),"RED","AMBER"))</f>
        <v>RED</v>
      </c>
      <c r="J524" s="19" t="s">
        <v>34</v>
      </c>
      <c r="K524" s="14" t="str">
        <f aca="false">IF(OR(J524="Réussi",J524="Exception acceptée"),"GREEN",IF(OR(J524="Non commencé",J524="Échec"),"RED","AMBER"))</f>
        <v>RED</v>
      </c>
      <c r="L524" s="17"/>
      <c r="M524" s="17"/>
      <c r="N524" s="15" t="str">
        <f aca="true">IF(G524&lt;&gt;"",TODAY()-G524,"")</f>
        <v/>
      </c>
    </row>
    <row r="525" customFormat="false" ht="18" hidden="false" customHeight="true" outlineLevel="0" collapsed="false">
      <c r="A525" s="9" t="s">
        <v>157</v>
      </c>
      <c r="B525" s="10" t="s">
        <v>158</v>
      </c>
      <c r="C525" s="10" t="s">
        <v>348</v>
      </c>
      <c r="D525" s="9" t="s">
        <v>94</v>
      </c>
      <c r="E525" s="10" t="s">
        <v>349</v>
      </c>
      <c r="F525" s="10" t="s">
        <v>157</v>
      </c>
      <c r="G525" s="10"/>
      <c r="H525" s="11" t="s">
        <v>33</v>
      </c>
      <c r="I525" s="12" t="str">
        <f aca="false">IF(OR(H525="Passed",H525="Accepted Exception"),"GREEN",IF(OR(H525="Not Started",H525="Failed"),"RED","AMBER"))</f>
        <v>RED</v>
      </c>
      <c r="J525" s="13" t="s">
        <v>34</v>
      </c>
      <c r="K525" s="14" t="str">
        <f aca="false">IF(OR(J525="Réussi",J525="Exception acceptée"),"GREEN",IF(OR(J525="Non commencé",J525="Échec"),"RED","AMBER"))</f>
        <v>RED</v>
      </c>
      <c r="L525" s="10"/>
      <c r="M525" s="10"/>
      <c r="N525" s="15" t="str">
        <f aca="true">IF(G525&lt;&gt;"",TODAY()-G525,"")</f>
        <v/>
      </c>
    </row>
    <row r="526" customFormat="false" ht="18" hidden="false" customHeight="true" outlineLevel="0" collapsed="false">
      <c r="A526" s="16" t="s">
        <v>370</v>
      </c>
      <c r="B526" s="17" t="s">
        <v>371</v>
      </c>
      <c r="C526" s="17" t="s">
        <v>348</v>
      </c>
      <c r="D526" s="16" t="s">
        <v>94</v>
      </c>
      <c r="E526" s="17" t="s">
        <v>349</v>
      </c>
      <c r="F526" s="17" t="s">
        <v>372</v>
      </c>
      <c r="G526" s="17"/>
      <c r="H526" s="18" t="s">
        <v>33</v>
      </c>
      <c r="I526" s="12" t="str">
        <f aca="false">IF(OR(H526="Passed",H526="Accepted Exception"),"GREEN",IF(OR(H526="Not Started",H526="Failed"),"RED","AMBER"))</f>
        <v>RED</v>
      </c>
      <c r="J526" s="19" t="s">
        <v>34</v>
      </c>
      <c r="K526" s="14" t="str">
        <f aca="false">IF(OR(J526="Réussi",J526="Exception acceptée"),"GREEN",IF(OR(J526="Non commencé",J526="Échec"),"RED","AMBER"))</f>
        <v>RED</v>
      </c>
      <c r="L526" s="17"/>
      <c r="M526" s="17"/>
      <c r="N526" s="15" t="str">
        <f aca="true">IF(G526&lt;&gt;"",TODAY()-G526,"")</f>
        <v/>
      </c>
    </row>
    <row r="527" customFormat="false" ht="18" hidden="false" customHeight="true" outlineLevel="0" collapsed="false">
      <c r="A527" s="9" t="s">
        <v>95</v>
      </c>
      <c r="B527" s="10" t="s">
        <v>96</v>
      </c>
      <c r="C527" s="10" t="s">
        <v>348</v>
      </c>
      <c r="D527" s="9" t="s">
        <v>94</v>
      </c>
      <c r="E527" s="10" t="s">
        <v>349</v>
      </c>
      <c r="F527" s="10" t="s">
        <v>95</v>
      </c>
      <c r="G527" s="10"/>
      <c r="H527" s="11" t="s">
        <v>33</v>
      </c>
      <c r="I527" s="12" t="str">
        <f aca="false">IF(OR(H527="Passed",H527="Accepted Exception"),"GREEN",IF(OR(H527="Not Started",H527="Failed"),"RED","AMBER"))</f>
        <v>RED</v>
      </c>
      <c r="J527" s="13" t="s">
        <v>34</v>
      </c>
      <c r="K527" s="14" t="str">
        <f aca="false">IF(OR(J527="Réussi",J527="Exception acceptée"),"GREEN",IF(OR(J527="Non commencé",J527="Échec"),"RED","AMBER"))</f>
        <v>RED</v>
      </c>
      <c r="L527" s="10"/>
      <c r="M527" s="10"/>
      <c r="N527" s="15" t="str">
        <f aca="true">IF(G527&lt;&gt;"",TODAY()-G527,"")</f>
        <v/>
      </c>
    </row>
    <row r="528" customFormat="false" ht="18" hidden="false" customHeight="true" outlineLevel="0" collapsed="false">
      <c r="A528" s="16" t="s">
        <v>159</v>
      </c>
      <c r="B528" s="17" t="s">
        <v>160</v>
      </c>
      <c r="C528" s="17" t="s">
        <v>348</v>
      </c>
      <c r="D528" s="16" t="s">
        <v>94</v>
      </c>
      <c r="E528" s="17" t="s">
        <v>349</v>
      </c>
      <c r="F528" s="17" t="s">
        <v>159</v>
      </c>
      <c r="G528" s="17"/>
      <c r="H528" s="18" t="s">
        <v>33</v>
      </c>
      <c r="I528" s="12" t="str">
        <f aca="false">IF(OR(H528="Passed",H528="Accepted Exception"),"GREEN",IF(OR(H528="Not Started",H528="Failed"),"RED","AMBER"))</f>
        <v>RED</v>
      </c>
      <c r="J528" s="19" t="s">
        <v>34</v>
      </c>
      <c r="K528" s="14" t="str">
        <f aca="false">IF(OR(J528="Réussi",J528="Exception acceptée"),"GREEN",IF(OR(J528="Non commencé",J528="Échec"),"RED","AMBER"))</f>
        <v>RED</v>
      </c>
      <c r="L528" s="17"/>
      <c r="M528" s="17"/>
      <c r="N528" s="15" t="str">
        <f aca="true">IF(G528&lt;&gt;"",TODAY()-G528,"")</f>
        <v/>
      </c>
    </row>
    <row r="529" customFormat="false" ht="18" hidden="false" customHeight="true" outlineLevel="0" collapsed="false">
      <c r="A529" s="9" t="s">
        <v>373</v>
      </c>
      <c r="B529" s="10" t="s">
        <v>374</v>
      </c>
      <c r="C529" s="10" t="s">
        <v>348</v>
      </c>
      <c r="D529" s="9" t="s">
        <v>94</v>
      </c>
      <c r="E529" s="10" t="s">
        <v>349</v>
      </c>
      <c r="F529" s="10" t="s">
        <v>373</v>
      </c>
      <c r="G529" s="10"/>
      <c r="H529" s="11" t="s">
        <v>33</v>
      </c>
      <c r="I529" s="12" t="str">
        <f aca="false">IF(OR(H529="Passed",H529="Accepted Exception"),"GREEN",IF(OR(H529="Not Started",H529="Failed"),"RED","AMBER"))</f>
        <v>RED</v>
      </c>
      <c r="J529" s="13" t="s">
        <v>34</v>
      </c>
      <c r="K529" s="14" t="str">
        <f aca="false">IF(OR(J529="Réussi",J529="Exception acceptée"),"GREEN",IF(OR(J529="Non commencé",J529="Échec"),"RED","AMBER"))</f>
        <v>RED</v>
      </c>
      <c r="L529" s="10"/>
      <c r="M529" s="10"/>
      <c r="N529" s="15" t="str">
        <f aca="true">IF(G529&lt;&gt;"",TODAY()-G529,"")</f>
        <v/>
      </c>
    </row>
    <row r="530" customFormat="false" ht="18" hidden="false" customHeight="true" outlineLevel="0" collapsed="false">
      <c r="A530" s="16" t="s">
        <v>375</v>
      </c>
      <c r="B530" s="17" t="s">
        <v>376</v>
      </c>
      <c r="C530" s="17" t="s">
        <v>348</v>
      </c>
      <c r="D530" s="16" t="s">
        <v>94</v>
      </c>
      <c r="E530" s="17" t="s">
        <v>349</v>
      </c>
      <c r="F530" s="17" t="s">
        <v>375</v>
      </c>
      <c r="G530" s="17"/>
      <c r="H530" s="18" t="s">
        <v>33</v>
      </c>
      <c r="I530" s="12" t="str">
        <f aca="false">IF(OR(H530="Passed",H530="Accepted Exception"),"GREEN",IF(OR(H530="Not Started",H530="Failed"),"RED","AMBER"))</f>
        <v>RED</v>
      </c>
      <c r="J530" s="19" t="s">
        <v>34</v>
      </c>
      <c r="K530" s="14" t="str">
        <f aca="false">IF(OR(J530="Réussi",J530="Exception acceptée"),"GREEN",IF(OR(J530="Non commencé",J530="Échec"),"RED","AMBER"))</f>
        <v>RED</v>
      </c>
      <c r="L530" s="17"/>
      <c r="M530" s="17"/>
      <c r="N530" s="15" t="str">
        <f aca="true">IF(G530&lt;&gt;"",TODAY()-G530,"")</f>
        <v/>
      </c>
    </row>
    <row r="531" customFormat="false" ht="18" hidden="false" customHeight="true" outlineLevel="0" collapsed="false">
      <c r="A531" s="9" t="s">
        <v>377</v>
      </c>
      <c r="B531" s="10" t="s">
        <v>378</v>
      </c>
      <c r="C531" s="10" t="s">
        <v>348</v>
      </c>
      <c r="D531" s="9" t="s">
        <v>94</v>
      </c>
      <c r="E531" s="10" t="s">
        <v>349</v>
      </c>
      <c r="F531" s="10" t="s">
        <v>377</v>
      </c>
      <c r="G531" s="10"/>
      <c r="H531" s="11" t="s">
        <v>33</v>
      </c>
      <c r="I531" s="12" t="str">
        <f aca="false">IF(OR(H531="Passed",H531="Accepted Exception"),"GREEN",IF(OR(H531="Not Started",H531="Failed"),"RED","AMBER"))</f>
        <v>RED</v>
      </c>
      <c r="J531" s="13" t="s">
        <v>34</v>
      </c>
      <c r="K531" s="14" t="str">
        <f aca="false">IF(OR(J531="Réussi",J531="Exception acceptée"),"GREEN",IF(OR(J531="Non commencé",J531="Échec"),"RED","AMBER"))</f>
        <v>RED</v>
      </c>
      <c r="L531" s="10"/>
      <c r="M531" s="10"/>
      <c r="N531" s="15" t="str">
        <f aca="true">IF(G531&lt;&gt;"",TODAY()-G531,"")</f>
        <v/>
      </c>
    </row>
    <row r="532" customFormat="false" ht="18" hidden="false" customHeight="true" outlineLevel="0" collapsed="false">
      <c r="A532" s="16" t="s">
        <v>165</v>
      </c>
      <c r="B532" s="17" t="s">
        <v>166</v>
      </c>
      <c r="C532" s="17" t="s">
        <v>348</v>
      </c>
      <c r="D532" s="16" t="s">
        <v>94</v>
      </c>
      <c r="E532" s="17" t="s">
        <v>349</v>
      </c>
      <c r="F532" s="17" t="s">
        <v>165</v>
      </c>
      <c r="G532" s="17"/>
      <c r="H532" s="18" t="s">
        <v>33</v>
      </c>
      <c r="I532" s="12" t="str">
        <f aca="false">IF(OR(H532="Passed",H532="Accepted Exception"),"GREEN",IF(OR(H532="Not Started",H532="Failed"),"RED","AMBER"))</f>
        <v>RED</v>
      </c>
      <c r="J532" s="19" t="s">
        <v>34</v>
      </c>
      <c r="K532" s="14" t="str">
        <f aca="false">IF(OR(J532="Réussi",J532="Exception acceptée"),"GREEN",IF(OR(J532="Non commencé",J532="Échec"),"RED","AMBER"))</f>
        <v>RED</v>
      </c>
      <c r="L532" s="17"/>
      <c r="M532" s="17"/>
      <c r="N532" s="15" t="str">
        <f aca="true">IF(G532&lt;&gt;"",TODAY()-G532,"")</f>
        <v/>
      </c>
    </row>
    <row r="533" customFormat="false" ht="18" hidden="false" customHeight="true" outlineLevel="0" collapsed="false">
      <c r="A533" s="9" t="s">
        <v>167</v>
      </c>
      <c r="B533" s="10" t="s">
        <v>166</v>
      </c>
      <c r="C533" s="10" t="s">
        <v>348</v>
      </c>
      <c r="D533" s="9" t="s">
        <v>94</v>
      </c>
      <c r="E533" s="10" t="s">
        <v>349</v>
      </c>
      <c r="F533" s="10" t="s">
        <v>168</v>
      </c>
      <c r="G533" s="10"/>
      <c r="H533" s="11" t="s">
        <v>33</v>
      </c>
      <c r="I533" s="12" t="str">
        <f aca="false">IF(OR(H533="Passed",H533="Accepted Exception"),"GREEN",IF(OR(H533="Not Started",H533="Failed"),"RED","AMBER"))</f>
        <v>RED</v>
      </c>
      <c r="J533" s="13" t="s">
        <v>34</v>
      </c>
      <c r="K533" s="14" t="str">
        <f aca="false">IF(OR(J533="Réussi",J533="Exception acceptée"),"GREEN",IF(OR(J533="Non commencé",J533="Échec"),"RED","AMBER"))</f>
        <v>RED</v>
      </c>
      <c r="L533" s="10"/>
      <c r="M533" s="10"/>
      <c r="N533" s="15" t="str">
        <f aca="true">IF(G533&lt;&gt;"",TODAY()-G533,"")</f>
        <v/>
      </c>
    </row>
    <row r="534" customFormat="false" ht="18" hidden="false" customHeight="true" outlineLevel="0" collapsed="false">
      <c r="A534" s="16" t="s">
        <v>97</v>
      </c>
      <c r="B534" s="17" t="s">
        <v>98</v>
      </c>
      <c r="C534" s="17" t="s">
        <v>348</v>
      </c>
      <c r="D534" s="16" t="s">
        <v>94</v>
      </c>
      <c r="E534" s="17" t="s">
        <v>349</v>
      </c>
      <c r="F534" s="17" t="s">
        <v>97</v>
      </c>
      <c r="G534" s="17"/>
      <c r="H534" s="18" t="s">
        <v>33</v>
      </c>
      <c r="I534" s="12" t="str">
        <f aca="false">IF(OR(H534="Passed",H534="Accepted Exception"),"GREEN",IF(OR(H534="Not Started",H534="Failed"),"RED","AMBER"))</f>
        <v>RED</v>
      </c>
      <c r="J534" s="19" t="s">
        <v>34</v>
      </c>
      <c r="K534" s="14" t="str">
        <f aca="false">IF(OR(J534="Réussi",J534="Exception acceptée"),"GREEN",IF(OR(J534="Non commencé",J534="Échec"),"RED","AMBER"))</f>
        <v>RED</v>
      </c>
      <c r="L534" s="17"/>
      <c r="M534" s="17"/>
      <c r="N534" s="15" t="str">
        <f aca="true">IF(G534&lt;&gt;"",TODAY()-G534,"")</f>
        <v/>
      </c>
    </row>
    <row r="535" customFormat="false" ht="18" hidden="false" customHeight="true" outlineLevel="0" collapsed="false">
      <c r="A535" s="9" t="s">
        <v>269</v>
      </c>
      <c r="B535" s="10" t="s">
        <v>270</v>
      </c>
      <c r="C535" s="10" t="s">
        <v>348</v>
      </c>
      <c r="D535" s="9" t="s">
        <v>66</v>
      </c>
      <c r="E535" s="10" t="s">
        <v>349</v>
      </c>
      <c r="F535" s="10" t="s">
        <v>269</v>
      </c>
      <c r="G535" s="10"/>
      <c r="H535" s="11" t="s">
        <v>33</v>
      </c>
      <c r="I535" s="12" t="str">
        <f aca="false">IF(OR(H535="Passed",H535="Accepted Exception"),"GREEN",IF(OR(H535="Not Started",H535="Failed"),"RED","AMBER"))</f>
        <v>RED</v>
      </c>
      <c r="J535" s="13" t="s">
        <v>34</v>
      </c>
      <c r="K535" s="14" t="str">
        <f aca="false">IF(OR(J535="Réussi",J535="Exception acceptée"),"GREEN",IF(OR(J535="Non commencé",J535="Échec"),"RED","AMBER"))</f>
        <v>RED</v>
      </c>
      <c r="L535" s="10"/>
      <c r="M535" s="10"/>
      <c r="N535" s="15" t="str">
        <f aca="true">IF(G535&lt;&gt;"",TODAY()-G535,"")</f>
        <v/>
      </c>
    </row>
    <row r="536" customFormat="false" ht="18" hidden="false" customHeight="true" outlineLevel="0" collapsed="false">
      <c r="A536" s="16" t="s">
        <v>235</v>
      </c>
      <c r="B536" s="17" t="s">
        <v>65</v>
      </c>
      <c r="C536" s="17" t="s">
        <v>348</v>
      </c>
      <c r="D536" s="16" t="s">
        <v>66</v>
      </c>
      <c r="E536" s="17" t="s">
        <v>349</v>
      </c>
      <c r="F536" s="17" t="s">
        <v>235</v>
      </c>
      <c r="G536" s="17"/>
      <c r="H536" s="18" t="s">
        <v>33</v>
      </c>
      <c r="I536" s="12" t="str">
        <f aca="false">IF(OR(H536="Passed",H536="Accepted Exception"),"GREEN",IF(OR(H536="Not Started",H536="Failed"),"RED","AMBER"))</f>
        <v>RED</v>
      </c>
      <c r="J536" s="19" t="s">
        <v>34</v>
      </c>
      <c r="K536" s="14" t="str">
        <f aca="false">IF(OR(J536="Réussi",J536="Exception acceptée"),"GREEN",IF(OR(J536="Non commencé",J536="Échec"),"RED","AMBER"))</f>
        <v>RED</v>
      </c>
      <c r="L536" s="17"/>
      <c r="M536" s="17"/>
      <c r="N536" s="15" t="str">
        <f aca="true">IF(G536&lt;&gt;"",TODAY()-G536,"")</f>
        <v/>
      </c>
    </row>
    <row r="537" customFormat="false" ht="18" hidden="false" customHeight="true" outlineLevel="0" collapsed="false">
      <c r="A537" s="9" t="s">
        <v>236</v>
      </c>
      <c r="B537" s="10" t="s">
        <v>65</v>
      </c>
      <c r="C537" s="10" t="s">
        <v>348</v>
      </c>
      <c r="D537" s="9" t="s">
        <v>66</v>
      </c>
      <c r="E537" s="10" t="s">
        <v>349</v>
      </c>
      <c r="F537" s="10" t="s">
        <v>237</v>
      </c>
      <c r="G537" s="10"/>
      <c r="H537" s="11" t="s">
        <v>33</v>
      </c>
      <c r="I537" s="12" t="str">
        <f aca="false">IF(OR(H537="Passed",H537="Accepted Exception"),"GREEN",IF(OR(H537="Not Started",H537="Failed"),"RED","AMBER"))</f>
        <v>RED</v>
      </c>
      <c r="J537" s="13" t="s">
        <v>34</v>
      </c>
      <c r="K537" s="14" t="str">
        <f aca="false">IF(OR(J537="Réussi",J537="Exception acceptée"),"GREEN",IF(OR(J537="Non commencé",J537="Échec"),"RED","AMBER"))</f>
        <v>RED</v>
      </c>
      <c r="L537" s="10"/>
      <c r="M537" s="10"/>
      <c r="N537" s="15" t="str">
        <f aca="true">IF(G537&lt;&gt;"",TODAY()-G537,"")</f>
        <v/>
      </c>
    </row>
    <row r="538" customFormat="false" ht="18" hidden="false" customHeight="true" outlineLevel="0" collapsed="false">
      <c r="A538" s="16" t="s">
        <v>64</v>
      </c>
      <c r="B538" s="17" t="s">
        <v>65</v>
      </c>
      <c r="C538" s="17" t="s">
        <v>348</v>
      </c>
      <c r="D538" s="16" t="s">
        <v>66</v>
      </c>
      <c r="E538" s="17" t="s">
        <v>349</v>
      </c>
      <c r="F538" s="17" t="s">
        <v>67</v>
      </c>
      <c r="G538" s="17"/>
      <c r="H538" s="18" t="s">
        <v>33</v>
      </c>
      <c r="I538" s="12" t="str">
        <f aca="false">IF(OR(H538="Passed",H538="Accepted Exception"),"GREEN",IF(OR(H538="Not Started",H538="Failed"),"RED","AMBER"))</f>
        <v>RED</v>
      </c>
      <c r="J538" s="19" t="s">
        <v>34</v>
      </c>
      <c r="K538" s="14" t="str">
        <f aca="false">IF(OR(J538="Réussi",J538="Exception acceptée"),"GREEN",IF(OR(J538="Non commencé",J538="Échec"),"RED","AMBER"))</f>
        <v>RED</v>
      </c>
      <c r="L538" s="17"/>
      <c r="M538" s="17"/>
      <c r="N538" s="15" t="str">
        <f aca="true">IF(G538&lt;&gt;"",TODAY()-G538,"")</f>
        <v/>
      </c>
    </row>
    <row r="539" customFormat="false" ht="18" hidden="false" customHeight="true" outlineLevel="0" collapsed="false">
      <c r="A539" s="9" t="s">
        <v>171</v>
      </c>
      <c r="B539" s="10" t="s">
        <v>65</v>
      </c>
      <c r="C539" s="10" t="s">
        <v>348</v>
      </c>
      <c r="D539" s="9" t="s">
        <v>66</v>
      </c>
      <c r="E539" s="10" t="s">
        <v>349</v>
      </c>
      <c r="F539" s="10" t="s">
        <v>172</v>
      </c>
      <c r="G539" s="10"/>
      <c r="H539" s="11" t="s">
        <v>33</v>
      </c>
      <c r="I539" s="12" t="str">
        <f aca="false">IF(OR(H539="Passed",H539="Accepted Exception"),"GREEN",IF(OR(H539="Not Started",H539="Failed"),"RED","AMBER"))</f>
        <v>RED</v>
      </c>
      <c r="J539" s="13" t="s">
        <v>34</v>
      </c>
      <c r="K539" s="14" t="str">
        <f aca="false">IF(OR(J539="Réussi",J539="Exception acceptée"),"GREEN",IF(OR(J539="Non commencé",J539="Échec"),"RED","AMBER"))</f>
        <v>RED</v>
      </c>
      <c r="L539" s="10"/>
      <c r="M539" s="10"/>
      <c r="N539" s="15" t="str">
        <f aca="true">IF(G539&lt;&gt;"",TODAY()-G539,"")</f>
        <v/>
      </c>
    </row>
    <row r="540" customFormat="false" ht="18" hidden="false" customHeight="true" outlineLevel="0" collapsed="false">
      <c r="A540" s="16" t="s">
        <v>238</v>
      </c>
      <c r="B540" s="17" t="s">
        <v>65</v>
      </c>
      <c r="C540" s="17" t="s">
        <v>348</v>
      </c>
      <c r="D540" s="16" t="s">
        <v>66</v>
      </c>
      <c r="E540" s="17" t="s">
        <v>349</v>
      </c>
      <c r="F540" s="17" t="s">
        <v>239</v>
      </c>
      <c r="G540" s="17"/>
      <c r="H540" s="18" t="s">
        <v>33</v>
      </c>
      <c r="I540" s="12" t="str">
        <f aca="false">IF(OR(H540="Passed",H540="Accepted Exception"),"GREEN",IF(OR(H540="Not Started",H540="Failed"),"RED","AMBER"))</f>
        <v>RED</v>
      </c>
      <c r="J540" s="19" t="s">
        <v>34</v>
      </c>
      <c r="K540" s="14" t="str">
        <f aca="false">IF(OR(J540="Réussi",J540="Exception acceptée"),"GREEN",IF(OR(J540="Non commencé",J540="Échec"),"RED","AMBER"))</f>
        <v>RED</v>
      </c>
      <c r="L540" s="17"/>
      <c r="M540" s="17"/>
      <c r="N540" s="15" t="str">
        <f aca="true">IF(G540&lt;&gt;"",TODAY()-G540,"")</f>
        <v/>
      </c>
    </row>
    <row r="541" customFormat="false" ht="18" hidden="false" customHeight="true" outlineLevel="0" collapsed="false">
      <c r="A541" s="9" t="s">
        <v>240</v>
      </c>
      <c r="B541" s="10" t="s">
        <v>65</v>
      </c>
      <c r="C541" s="10" t="s">
        <v>348</v>
      </c>
      <c r="D541" s="9" t="s">
        <v>66</v>
      </c>
      <c r="E541" s="10" t="s">
        <v>349</v>
      </c>
      <c r="F541" s="10" t="s">
        <v>241</v>
      </c>
      <c r="G541" s="10"/>
      <c r="H541" s="11" t="s">
        <v>33</v>
      </c>
      <c r="I541" s="12" t="str">
        <f aca="false">IF(OR(H541="Passed",H541="Accepted Exception"),"GREEN",IF(OR(H541="Not Started",H541="Failed"),"RED","AMBER"))</f>
        <v>RED</v>
      </c>
      <c r="J541" s="13" t="s">
        <v>34</v>
      </c>
      <c r="K541" s="14" t="str">
        <f aca="false">IF(OR(J541="Réussi",J541="Exception acceptée"),"GREEN",IF(OR(J541="Non commencé",J541="Échec"),"RED","AMBER"))</f>
        <v>RED</v>
      </c>
      <c r="L541" s="10"/>
      <c r="M541" s="10"/>
      <c r="N541" s="15" t="str">
        <f aca="true">IF(G541&lt;&gt;"",TODAY()-G541,"")</f>
        <v/>
      </c>
    </row>
    <row r="542" customFormat="false" ht="18" hidden="false" customHeight="true" outlineLevel="0" collapsed="false">
      <c r="A542" s="16" t="s">
        <v>68</v>
      </c>
      <c r="B542" s="17" t="s">
        <v>69</v>
      </c>
      <c r="C542" s="17" t="s">
        <v>348</v>
      </c>
      <c r="D542" s="16" t="s">
        <v>66</v>
      </c>
      <c r="E542" s="17" t="s">
        <v>349</v>
      </c>
      <c r="F542" s="17" t="s">
        <v>68</v>
      </c>
      <c r="G542" s="17"/>
      <c r="H542" s="18" t="s">
        <v>33</v>
      </c>
      <c r="I542" s="12" t="str">
        <f aca="false">IF(OR(H542="Passed",H542="Accepted Exception"),"GREEN",IF(OR(H542="Not Started",H542="Failed"),"RED","AMBER"))</f>
        <v>RED</v>
      </c>
      <c r="J542" s="19" t="s">
        <v>34</v>
      </c>
      <c r="K542" s="14" t="str">
        <f aca="false">IF(OR(J542="Réussi",J542="Exception acceptée"),"GREEN",IF(OR(J542="Non commencé",J542="Échec"),"RED","AMBER"))</f>
        <v>RED</v>
      </c>
      <c r="L542" s="17"/>
      <c r="M542" s="17"/>
      <c r="N542" s="15" t="str">
        <f aca="true">IF(G542&lt;&gt;"",TODAY()-G542,"")</f>
        <v/>
      </c>
    </row>
    <row r="543" customFormat="false" ht="18" hidden="false" customHeight="true" outlineLevel="0" collapsed="false">
      <c r="A543" s="9" t="s">
        <v>379</v>
      </c>
      <c r="B543" s="10" t="s">
        <v>380</v>
      </c>
      <c r="C543" s="10" t="s">
        <v>348</v>
      </c>
      <c r="D543" s="9" t="s">
        <v>66</v>
      </c>
      <c r="E543" s="10" t="s">
        <v>349</v>
      </c>
      <c r="F543" s="10" t="s">
        <v>379</v>
      </c>
      <c r="G543" s="10"/>
      <c r="H543" s="11" t="s">
        <v>33</v>
      </c>
      <c r="I543" s="12" t="str">
        <f aca="false">IF(OR(H543="Passed",H543="Accepted Exception"),"GREEN",IF(OR(H543="Not Started",H543="Failed"),"RED","AMBER"))</f>
        <v>RED</v>
      </c>
      <c r="J543" s="13" t="s">
        <v>34</v>
      </c>
      <c r="K543" s="14" t="str">
        <f aca="false">IF(OR(J543="Réussi",J543="Exception acceptée"),"GREEN",IF(OR(J543="Non commencé",J543="Échec"),"RED","AMBER"))</f>
        <v>RED</v>
      </c>
      <c r="L543" s="10"/>
      <c r="M543" s="10"/>
      <c r="N543" s="15" t="str">
        <f aca="true">IF(G543&lt;&gt;"",TODAY()-G543,"")</f>
        <v/>
      </c>
    </row>
    <row r="544" customFormat="false" ht="18" hidden="false" customHeight="true" outlineLevel="0" collapsed="false">
      <c r="A544" s="16" t="s">
        <v>381</v>
      </c>
      <c r="B544" s="17" t="s">
        <v>380</v>
      </c>
      <c r="C544" s="17" t="s">
        <v>348</v>
      </c>
      <c r="D544" s="16" t="s">
        <v>66</v>
      </c>
      <c r="E544" s="17" t="s">
        <v>349</v>
      </c>
      <c r="F544" s="17" t="s">
        <v>382</v>
      </c>
      <c r="G544" s="17"/>
      <c r="H544" s="18" t="s">
        <v>33</v>
      </c>
      <c r="I544" s="12" t="str">
        <f aca="false">IF(OR(H544="Passed",H544="Accepted Exception"),"GREEN",IF(OR(H544="Not Started",H544="Failed"),"RED","AMBER"))</f>
        <v>RED</v>
      </c>
      <c r="J544" s="19" t="s">
        <v>34</v>
      </c>
      <c r="K544" s="14" t="str">
        <f aca="false">IF(OR(J544="Réussi",J544="Exception acceptée"),"GREEN",IF(OR(J544="Non commencé",J544="Échec"),"RED","AMBER"))</f>
        <v>RED</v>
      </c>
      <c r="L544" s="17"/>
      <c r="M544" s="17"/>
      <c r="N544" s="15" t="str">
        <f aca="true">IF(G544&lt;&gt;"",TODAY()-G544,"")</f>
        <v/>
      </c>
    </row>
    <row r="545" customFormat="false" ht="18" hidden="false" customHeight="true" outlineLevel="0" collapsed="false">
      <c r="A545" s="9" t="s">
        <v>383</v>
      </c>
      <c r="B545" s="10" t="s">
        <v>380</v>
      </c>
      <c r="C545" s="10" t="s">
        <v>348</v>
      </c>
      <c r="D545" s="9" t="s">
        <v>66</v>
      </c>
      <c r="E545" s="10" t="s">
        <v>349</v>
      </c>
      <c r="F545" s="10" t="s">
        <v>384</v>
      </c>
      <c r="G545" s="10"/>
      <c r="H545" s="11" t="s">
        <v>33</v>
      </c>
      <c r="I545" s="12" t="str">
        <f aca="false">IF(OR(H545="Passed",H545="Accepted Exception"),"GREEN",IF(OR(H545="Not Started",H545="Failed"),"RED","AMBER"))</f>
        <v>RED</v>
      </c>
      <c r="J545" s="13" t="s">
        <v>34</v>
      </c>
      <c r="K545" s="14" t="str">
        <f aca="false">IF(OR(J545="Réussi",J545="Exception acceptée"),"GREEN",IF(OR(J545="Non commencé",J545="Échec"),"RED","AMBER"))</f>
        <v>RED</v>
      </c>
      <c r="L545" s="10"/>
      <c r="M545" s="10"/>
      <c r="N545" s="15" t="str">
        <f aca="true">IF(G545&lt;&gt;"",TODAY()-G545,"")</f>
        <v/>
      </c>
    </row>
    <row r="546" customFormat="false" ht="18" hidden="false" customHeight="true" outlineLevel="0" collapsed="false">
      <c r="A546" s="16" t="s">
        <v>179</v>
      </c>
      <c r="B546" s="17" t="s">
        <v>180</v>
      </c>
      <c r="C546" s="17" t="s">
        <v>348</v>
      </c>
      <c r="D546" s="16" t="s">
        <v>66</v>
      </c>
      <c r="E546" s="17" t="s">
        <v>349</v>
      </c>
      <c r="F546" s="17" t="s">
        <v>179</v>
      </c>
      <c r="G546" s="17"/>
      <c r="H546" s="18" t="s">
        <v>33</v>
      </c>
      <c r="I546" s="12" t="str">
        <f aca="false">IF(OR(H546="Passed",H546="Accepted Exception"),"GREEN",IF(OR(H546="Not Started",H546="Failed"),"RED","AMBER"))</f>
        <v>RED</v>
      </c>
      <c r="J546" s="19" t="s">
        <v>34</v>
      </c>
      <c r="K546" s="14" t="str">
        <f aca="false">IF(OR(J546="Réussi",J546="Exception acceptée"),"GREEN",IF(OR(J546="Non commencé",J546="Échec"),"RED","AMBER"))</f>
        <v>RED</v>
      </c>
      <c r="L546" s="17"/>
      <c r="M546" s="17"/>
      <c r="N546" s="15" t="str">
        <f aca="true">IF(G546&lt;&gt;"",TODAY()-G546,"")</f>
        <v/>
      </c>
    </row>
    <row r="547" customFormat="false" ht="18" hidden="false" customHeight="true" outlineLevel="0" collapsed="false">
      <c r="A547" s="9" t="s">
        <v>193</v>
      </c>
      <c r="B547" s="10" t="s">
        <v>194</v>
      </c>
      <c r="C547" s="10" t="s">
        <v>385</v>
      </c>
      <c r="D547" s="9" t="s">
        <v>104</v>
      </c>
      <c r="E547" s="10" t="s">
        <v>386</v>
      </c>
      <c r="F547" s="10" t="s">
        <v>197</v>
      </c>
      <c r="G547" s="10"/>
      <c r="H547" s="11" t="s">
        <v>33</v>
      </c>
      <c r="I547" s="12" t="str">
        <f aca="false">IF(OR(H547="Passed",H547="Accepted Exception"),"GREEN",IF(OR(H547="Not Started",H547="Failed"),"RED","AMBER"))</f>
        <v>RED</v>
      </c>
      <c r="J547" s="13" t="s">
        <v>34</v>
      </c>
      <c r="K547" s="14" t="str">
        <f aca="false">IF(OR(J547="Réussi",J547="Exception acceptée"),"GREEN",IF(OR(J547="Non commencé",J547="Échec"),"RED","AMBER"))</f>
        <v>RED</v>
      </c>
      <c r="L547" s="10"/>
      <c r="M547" s="10"/>
      <c r="N547" s="15" t="str">
        <f aca="true">IF(G547&lt;&gt;"",TODAY()-G547,"")</f>
        <v/>
      </c>
    </row>
    <row r="548" customFormat="false" ht="18" hidden="false" customHeight="true" outlineLevel="0" collapsed="false">
      <c r="A548" s="16" t="s">
        <v>198</v>
      </c>
      <c r="B548" s="17" t="s">
        <v>194</v>
      </c>
      <c r="C548" s="17" t="s">
        <v>385</v>
      </c>
      <c r="D548" s="16" t="s">
        <v>104</v>
      </c>
      <c r="E548" s="17" t="s">
        <v>386</v>
      </c>
      <c r="F548" s="17" t="s">
        <v>199</v>
      </c>
      <c r="G548" s="17"/>
      <c r="H548" s="18" t="s">
        <v>33</v>
      </c>
      <c r="I548" s="12" t="str">
        <f aca="false">IF(OR(H548="Passed",H548="Accepted Exception"),"GREEN",IF(OR(H548="Not Started",H548="Failed"),"RED","AMBER"))</f>
        <v>RED</v>
      </c>
      <c r="J548" s="19" t="s">
        <v>34</v>
      </c>
      <c r="K548" s="14" t="str">
        <f aca="false">IF(OR(J548="Réussi",J548="Exception acceptée"),"GREEN",IF(OR(J548="Non commencé",J548="Échec"),"RED","AMBER"))</f>
        <v>RED</v>
      </c>
      <c r="L548" s="17"/>
      <c r="M548" s="17"/>
      <c r="N548" s="15" t="str">
        <f aca="true">IF(G548&lt;&gt;"",TODAY()-G548,"")</f>
        <v/>
      </c>
    </row>
    <row r="549" customFormat="false" ht="18" hidden="false" customHeight="true" outlineLevel="0" collapsed="false">
      <c r="A549" s="9" t="s">
        <v>200</v>
      </c>
      <c r="B549" s="10" t="s">
        <v>194</v>
      </c>
      <c r="C549" s="10" t="s">
        <v>385</v>
      </c>
      <c r="D549" s="9" t="s">
        <v>104</v>
      </c>
      <c r="E549" s="10" t="s">
        <v>386</v>
      </c>
      <c r="F549" s="10" t="s">
        <v>201</v>
      </c>
      <c r="G549" s="10"/>
      <c r="H549" s="11" t="s">
        <v>33</v>
      </c>
      <c r="I549" s="12" t="str">
        <f aca="false">IF(OR(H549="Passed",H549="Accepted Exception"),"GREEN",IF(OR(H549="Not Started",H549="Failed"),"RED","AMBER"))</f>
        <v>RED</v>
      </c>
      <c r="J549" s="13" t="s">
        <v>34</v>
      </c>
      <c r="K549" s="14" t="str">
        <f aca="false">IF(OR(J549="Réussi",J549="Exception acceptée"),"GREEN",IF(OR(J549="Non commencé",J549="Échec"),"RED","AMBER"))</f>
        <v>RED</v>
      </c>
      <c r="L549" s="10"/>
      <c r="M549" s="10"/>
      <c r="N549" s="15" t="str">
        <f aca="true">IF(G549&lt;&gt;"",TODAY()-G549,"")</f>
        <v/>
      </c>
    </row>
    <row r="550" customFormat="false" ht="18" hidden="false" customHeight="true" outlineLevel="0" collapsed="false">
      <c r="A550" s="16" t="s">
        <v>346</v>
      </c>
      <c r="B550" s="17" t="s">
        <v>347</v>
      </c>
      <c r="C550" s="17" t="s">
        <v>385</v>
      </c>
      <c r="D550" s="16" t="s">
        <v>104</v>
      </c>
      <c r="E550" s="17" t="s">
        <v>386</v>
      </c>
      <c r="F550" s="17" t="s">
        <v>346</v>
      </c>
      <c r="G550" s="17"/>
      <c r="H550" s="18" t="s">
        <v>33</v>
      </c>
      <c r="I550" s="12" t="str">
        <f aca="false">IF(OR(H550="Passed",H550="Accepted Exception"),"GREEN",IF(OR(H550="Not Started",H550="Failed"),"RED","AMBER"))</f>
        <v>RED</v>
      </c>
      <c r="J550" s="19" t="s">
        <v>34</v>
      </c>
      <c r="K550" s="14" t="str">
        <f aca="false">IF(OR(J550="Réussi",J550="Exception acceptée"),"GREEN",IF(OR(J550="Non commencé",J550="Échec"),"RED","AMBER"))</f>
        <v>RED</v>
      </c>
      <c r="L550" s="17"/>
      <c r="M550" s="17"/>
      <c r="N550" s="15" t="str">
        <f aca="true">IF(G550&lt;&gt;"",TODAY()-G550,"")</f>
        <v/>
      </c>
    </row>
    <row r="551" customFormat="false" ht="18" hidden="false" customHeight="true" outlineLevel="0" collapsed="false">
      <c r="A551" s="9" t="s">
        <v>350</v>
      </c>
      <c r="B551" s="10" t="s">
        <v>347</v>
      </c>
      <c r="C551" s="10" t="s">
        <v>385</v>
      </c>
      <c r="D551" s="9" t="s">
        <v>104</v>
      </c>
      <c r="E551" s="10" t="s">
        <v>386</v>
      </c>
      <c r="F551" s="10" t="s">
        <v>351</v>
      </c>
      <c r="G551" s="10"/>
      <c r="H551" s="11" t="s">
        <v>33</v>
      </c>
      <c r="I551" s="12" t="str">
        <f aca="false">IF(OR(H551="Passed",H551="Accepted Exception"),"GREEN",IF(OR(H551="Not Started",H551="Failed"),"RED","AMBER"))</f>
        <v>RED</v>
      </c>
      <c r="J551" s="13" t="s">
        <v>34</v>
      </c>
      <c r="K551" s="14" t="str">
        <f aca="false">IF(OR(J551="Réussi",J551="Exception acceptée"),"GREEN",IF(OR(J551="Non commencé",J551="Échec"),"RED","AMBER"))</f>
        <v>RED</v>
      </c>
      <c r="L551" s="10"/>
      <c r="M551" s="10"/>
      <c r="N551" s="15" t="str">
        <f aca="true">IF(G551&lt;&gt;"",TODAY()-G551,"")</f>
        <v/>
      </c>
    </row>
    <row r="552" customFormat="false" ht="18" hidden="false" customHeight="true" outlineLevel="0" collapsed="false">
      <c r="A552" s="16" t="s">
        <v>202</v>
      </c>
      <c r="B552" s="17" t="s">
        <v>102</v>
      </c>
      <c r="C552" s="17" t="s">
        <v>385</v>
      </c>
      <c r="D552" s="16" t="s">
        <v>104</v>
      </c>
      <c r="E552" s="17" t="s">
        <v>386</v>
      </c>
      <c r="F552" s="17" t="s">
        <v>203</v>
      </c>
      <c r="G552" s="17"/>
      <c r="H552" s="18" t="s">
        <v>33</v>
      </c>
      <c r="I552" s="12" t="str">
        <f aca="false">IF(OR(H552="Passed",H552="Accepted Exception"),"GREEN",IF(OR(H552="Not Started",H552="Failed"),"RED","AMBER"))</f>
        <v>RED</v>
      </c>
      <c r="J552" s="19" t="s">
        <v>34</v>
      </c>
      <c r="K552" s="14" t="str">
        <f aca="false">IF(OR(J552="Réussi",J552="Exception acceptée"),"GREEN",IF(OR(J552="Non commencé",J552="Échec"),"RED","AMBER"))</f>
        <v>RED</v>
      </c>
      <c r="L552" s="17"/>
      <c r="M552" s="17"/>
      <c r="N552" s="15" t="str">
        <f aca="true">IF(G552&lt;&gt;"",TODAY()-G552,"")</f>
        <v/>
      </c>
    </row>
    <row r="553" customFormat="false" ht="18" hidden="false" customHeight="true" outlineLevel="0" collapsed="false">
      <c r="A553" s="9" t="s">
        <v>288</v>
      </c>
      <c r="B553" s="10" t="s">
        <v>102</v>
      </c>
      <c r="C553" s="10" t="s">
        <v>385</v>
      </c>
      <c r="D553" s="9" t="s">
        <v>104</v>
      </c>
      <c r="E553" s="10" t="s">
        <v>386</v>
      </c>
      <c r="F553" s="10" t="s">
        <v>289</v>
      </c>
      <c r="G553" s="10"/>
      <c r="H553" s="11" t="s">
        <v>33</v>
      </c>
      <c r="I553" s="12" t="str">
        <f aca="false">IF(OR(H553="Passed",H553="Accepted Exception"),"GREEN",IF(OR(H553="Not Started",H553="Failed"),"RED","AMBER"))</f>
        <v>RED</v>
      </c>
      <c r="J553" s="13" t="s">
        <v>34</v>
      </c>
      <c r="K553" s="14" t="str">
        <f aca="false">IF(OR(J553="Réussi",J553="Exception acceptée"),"GREEN",IF(OR(J553="Non commencé",J553="Échec"),"RED","AMBER"))</f>
        <v>RED</v>
      </c>
      <c r="L553" s="10"/>
      <c r="M553" s="10"/>
      <c r="N553" s="15" t="str">
        <f aca="true">IF(G553&lt;&gt;"",TODAY()-G553,"")</f>
        <v/>
      </c>
    </row>
    <row r="554" customFormat="false" ht="18" hidden="false" customHeight="true" outlineLevel="0" collapsed="false">
      <c r="A554" s="16" t="s">
        <v>118</v>
      </c>
      <c r="B554" s="17" t="s">
        <v>119</v>
      </c>
      <c r="C554" s="17" t="s">
        <v>385</v>
      </c>
      <c r="D554" s="16" t="s">
        <v>104</v>
      </c>
      <c r="E554" s="17" t="s">
        <v>386</v>
      </c>
      <c r="F554" s="17" t="s">
        <v>120</v>
      </c>
      <c r="G554" s="17"/>
      <c r="H554" s="18" t="s">
        <v>33</v>
      </c>
      <c r="I554" s="12" t="str">
        <f aca="false">IF(OR(H554="Passed",H554="Accepted Exception"),"GREEN",IF(OR(H554="Not Started",H554="Failed"),"RED","AMBER"))</f>
        <v>RED</v>
      </c>
      <c r="J554" s="19" t="s">
        <v>34</v>
      </c>
      <c r="K554" s="14" t="str">
        <f aca="false">IF(OR(J554="Réussi",J554="Exception acceptée"),"GREEN",IF(OR(J554="Non commencé",J554="Échec"),"RED","AMBER"))</f>
        <v>RED</v>
      </c>
      <c r="L554" s="17"/>
      <c r="M554" s="17"/>
      <c r="N554" s="15" t="str">
        <f aca="true">IF(G554&lt;&gt;"",TODAY()-G554,"")</f>
        <v/>
      </c>
    </row>
    <row r="555" customFormat="false" ht="18" hidden="false" customHeight="true" outlineLevel="0" collapsed="false">
      <c r="A555" s="9" t="s">
        <v>121</v>
      </c>
      <c r="B555" s="10" t="s">
        <v>119</v>
      </c>
      <c r="C555" s="10" t="s">
        <v>385</v>
      </c>
      <c r="D555" s="9" t="s">
        <v>104</v>
      </c>
      <c r="E555" s="10" t="s">
        <v>386</v>
      </c>
      <c r="F555" s="10" t="s">
        <v>122</v>
      </c>
      <c r="G555" s="10"/>
      <c r="H555" s="11" t="s">
        <v>33</v>
      </c>
      <c r="I555" s="12" t="str">
        <f aca="false">IF(OR(H555="Passed",H555="Accepted Exception"),"GREEN",IF(OR(H555="Not Started",H555="Failed"),"RED","AMBER"))</f>
        <v>RED</v>
      </c>
      <c r="J555" s="13" t="s">
        <v>34</v>
      </c>
      <c r="K555" s="14" t="str">
        <f aca="false">IF(OR(J555="Réussi",J555="Exception acceptée"),"GREEN",IF(OR(J555="Non commencé",J555="Échec"),"RED","AMBER"))</f>
        <v>RED</v>
      </c>
      <c r="L555" s="10"/>
      <c r="M555" s="10"/>
      <c r="N555" s="15" t="str">
        <f aca="true">IF(G555&lt;&gt;"",TODAY()-G555,"")</f>
        <v/>
      </c>
    </row>
    <row r="556" customFormat="false" ht="18" hidden="false" customHeight="true" outlineLevel="0" collapsed="false">
      <c r="A556" s="16" t="s">
        <v>185</v>
      </c>
      <c r="B556" s="17" t="s">
        <v>119</v>
      </c>
      <c r="C556" s="17" t="s">
        <v>385</v>
      </c>
      <c r="D556" s="16" t="s">
        <v>104</v>
      </c>
      <c r="E556" s="17" t="s">
        <v>386</v>
      </c>
      <c r="F556" s="17" t="s">
        <v>186</v>
      </c>
      <c r="G556" s="17"/>
      <c r="H556" s="18" t="s">
        <v>33</v>
      </c>
      <c r="I556" s="12" t="str">
        <f aca="false">IF(OR(H556="Passed",H556="Accepted Exception"),"GREEN",IF(OR(H556="Not Started",H556="Failed"),"RED","AMBER"))</f>
        <v>RED</v>
      </c>
      <c r="J556" s="19" t="s">
        <v>34</v>
      </c>
      <c r="K556" s="14" t="str">
        <f aca="false">IF(OR(J556="Réussi",J556="Exception acceptée"),"GREEN",IF(OR(J556="Non commencé",J556="Échec"),"RED","AMBER"))</f>
        <v>RED</v>
      </c>
      <c r="L556" s="17"/>
      <c r="M556" s="17"/>
      <c r="N556" s="15" t="str">
        <f aca="true">IF(G556&lt;&gt;"",TODAY()-G556,"")</f>
        <v/>
      </c>
    </row>
    <row r="557" customFormat="false" ht="18" hidden="false" customHeight="true" outlineLevel="0" collapsed="false">
      <c r="A557" s="9" t="s">
        <v>292</v>
      </c>
      <c r="B557" s="10" t="s">
        <v>119</v>
      </c>
      <c r="C557" s="10" t="s">
        <v>385</v>
      </c>
      <c r="D557" s="9" t="s">
        <v>104</v>
      </c>
      <c r="E557" s="10" t="s">
        <v>386</v>
      </c>
      <c r="F557" s="10" t="s">
        <v>293</v>
      </c>
      <c r="G557" s="10"/>
      <c r="H557" s="11" t="s">
        <v>33</v>
      </c>
      <c r="I557" s="12" t="str">
        <f aca="false">IF(OR(H557="Passed",H557="Accepted Exception"),"GREEN",IF(OR(H557="Not Started",H557="Failed"),"RED","AMBER"))</f>
        <v>RED</v>
      </c>
      <c r="J557" s="13" t="s">
        <v>34</v>
      </c>
      <c r="K557" s="14" t="str">
        <f aca="false">IF(OR(J557="Réussi",J557="Exception acceptée"),"GREEN",IF(OR(J557="Non commencé",J557="Échec"),"RED","AMBER"))</f>
        <v>RED</v>
      </c>
      <c r="L557" s="10"/>
      <c r="M557" s="10"/>
      <c r="N557" s="15" t="str">
        <f aca="true">IF(G557&lt;&gt;"",TODAY()-G557,"")</f>
        <v/>
      </c>
    </row>
    <row r="558" customFormat="false" ht="18" hidden="false" customHeight="true" outlineLevel="0" collapsed="false">
      <c r="A558" s="16" t="s">
        <v>28</v>
      </c>
      <c r="B558" s="17" t="s">
        <v>29</v>
      </c>
      <c r="C558" s="17" t="s">
        <v>385</v>
      </c>
      <c r="D558" s="16" t="s">
        <v>31</v>
      </c>
      <c r="E558" s="17" t="s">
        <v>386</v>
      </c>
      <c r="F558" s="17" t="s">
        <v>28</v>
      </c>
      <c r="G558" s="17"/>
      <c r="H558" s="18" t="s">
        <v>33</v>
      </c>
      <c r="I558" s="12" t="str">
        <f aca="false">IF(OR(H558="Passed",H558="Accepted Exception"),"GREEN",IF(OR(H558="Not Started",H558="Failed"),"RED","AMBER"))</f>
        <v>RED</v>
      </c>
      <c r="J558" s="19" t="s">
        <v>34</v>
      </c>
      <c r="K558" s="14" t="str">
        <f aca="false">IF(OR(J558="Réussi",J558="Exception acceptée"),"GREEN",IF(OR(J558="Non commencé",J558="Échec"),"RED","AMBER"))</f>
        <v>RED</v>
      </c>
      <c r="L558" s="17"/>
      <c r="M558" s="17"/>
      <c r="N558" s="15" t="str">
        <f aca="true">IF(G558&lt;&gt;"",TODAY()-G558,"")</f>
        <v/>
      </c>
    </row>
    <row r="559" customFormat="false" ht="18" hidden="false" customHeight="true" outlineLevel="0" collapsed="false">
      <c r="A559" s="9" t="s">
        <v>35</v>
      </c>
      <c r="B559" s="10" t="s">
        <v>36</v>
      </c>
      <c r="C559" s="10" t="s">
        <v>385</v>
      </c>
      <c r="D559" s="9" t="s">
        <v>31</v>
      </c>
      <c r="E559" s="10" t="s">
        <v>386</v>
      </c>
      <c r="F559" s="10" t="s">
        <v>35</v>
      </c>
      <c r="G559" s="10"/>
      <c r="H559" s="11" t="s">
        <v>33</v>
      </c>
      <c r="I559" s="12" t="str">
        <f aca="false">IF(OR(H559="Passed",H559="Accepted Exception"),"GREEN",IF(OR(H559="Not Started",H559="Failed"),"RED","AMBER"))</f>
        <v>RED</v>
      </c>
      <c r="J559" s="13" t="s">
        <v>34</v>
      </c>
      <c r="K559" s="14" t="str">
        <f aca="false">IF(OR(J559="Réussi",J559="Exception acceptée"),"GREEN",IF(OR(J559="Non commencé",J559="Échec"),"RED","AMBER"))</f>
        <v>RED</v>
      </c>
      <c r="L559" s="10"/>
      <c r="M559" s="10"/>
      <c r="N559" s="15" t="str">
        <f aca="true">IF(G559&lt;&gt;"",TODAY()-G559,"")</f>
        <v/>
      </c>
    </row>
    <row r="560" customFormat="false" ht="18" hidden="false" customHeight="true" outlineLevel="0" collapsed="false">
      <c r="A560" s="16" t="s">
        <v>37</v>
      </c>
      <c r="B560" s="17" t="s">
        <v>36</v>
      </c>
      <c r="C560" s="17" t="s">
        <v>385</v>
      </c>
      <c r="D560" s="16" t="s">
        <v>31</v>
      </c>
      <c r="E560" s="17" t="s">
        <v>386</v>
      </c>
      <c r="F560" s="17" t="s">
        <v>38</v>
      </c>
      <c r="G560" s="17"/>
      <c r="H560" s="18" t="s">
        <v>33</v>
      </c>
      <c r="I560" s="12" t="str">
        <f aca="false">IF(OR(H560="Passed",H560="Accepted Exception"),"GREEN",IF(OR(H560="Not Started",H560="Failed"),"RED","AMBER"))</f>
        <v>RED</v>
      </c>
      <c r="J560" s="19" t="s">
        <v>34</v>
      </c>
      <c r="K560" s="14" t="str">
        <f aca="false">IF(OR(J560="Réussi",J560="Exception acceptée"),"GREEN",IF(OR(J560="Non commencé",J560="Échec"),"RED","AMBER"))</f>
        <v>RED</v>
      </c>
      <c r="L560" s="17"/>
      <c r="M560" s="17"/>
      <c r="N560" s="15" t="str">
        <f aca="true">IF(G560&lt;&gt;"",TODAY()-G560,"")</f>
        <v/>
      </c>
    </row>
    <row r="561" customFormat="false" ht="18" hidden="false" customHeight="true" outlineLevel="0" collapsed="false">
      <c r="A561" s="9" t="s">
        <v>72</v>
      </c>
      <c r="B561" s="10" t="s">
        <v>73</v>
      </c>
      <c r="C561" s="10" t="s">
        <v>385</v>
      </c>
      <c r="D561" s="9" t="s">
        <v>31</v>
      </c>
      <c r="E561" s="10" t="s">
        <v>386</v>
      </c>
      <c r="F561" s="10" t="s">
        <v>72</v>
      </c>
      <c r="G561" s="10"/>
      <c r="H561" s="11" t="s">
        <v>33</v>
      </c>
      <c r="I561" s="12" t="str">
        <f aca="false">IF(OR(H561="Passed",H561="Accepted Exception"),"GREEN",IF(OR(H561="Not Started",H561="Failed"),"RED","AMBER"))</f>
        <v>RED</v>
      </c>
      <c r="J561" s="13" t="s">
        <v>34</v>
      </c>
      <c r="K561" s="14" t="str">
        <f aca="false">IF(OR(J561="Réussi",J561="Exception acceptée"),"GREEN",IF(OR(J561="Non commencé",J561="Échec"),"RED","AMBER"))</f>
        <v>RED</v>
      </c>
      <c r="L561" s="10"/>
      <c r="M561" s="10"/>
      <c r="N561" s="15" t="str">
        <f aca="true">IF(G561&lt;&gt;"",TODAY()-G561,"")</f>
        <v/>
      </c>
    </row>
    <row r="562" customFormat="false" ht="18" hidden="false" customHeight="true" outlineLevel="0" collapsed="false">
      <c r="A562" s="16" t="s">
        <v>204</v>
      </c>
      <c r="B562" s="17" t="s">
        <v>205</v>
      </c>
      <c r="C562" s="17" t="s">
        <v>385</v>
      </c>
      <c r="D562" s="16" t="s">
        <v>31</v>
      </c>
      <c r="E562" s="17" t="s">
        <v>386</v>
      </c>
      <c r="F562" s="17" t="s">
        <v>206</v>
      </c>
      <c r="G562" s="17"/>
      <c r="H562" s="18" t="s">
        <v>33</v>
      </c>
      <c r="I562" s="12" t="str">
        <f aca="false">IF(OR(H562="Passed",H562="Accepted Exception"),"GREEN",IF(OR(H562="Not Started",H562="Failed"),"RED","AMBER"))</f>
        <v>RED</v>
      </c>
      <c r="J562" s="19" t="s">
        <v>34</v>
      </c>
      <c r="K562" s="14" t="str">
        <f aca="false">IF(OR(J562="Réussi",J562="Exception acceptée"),"GREEN",IF(OR(J562="Non commencé",J562="Échec"),"RED","AMBER"))</f>
        <v>RED</v>
      </c>
      <c r="L562" s="17"/>
      <c r="M562" s="17"/>
      <c r="N562" s="15" t="str">
        <f aca="true">IF(G562&lt;&gt;"",TODAY()-G562,"")</f>
        <v/>
      </c>
    </row>
    <row r="563" customFormat="false" ht="18" hidden="false" customHeight="true" outlineLevel="0" collapsed="false">
      <c r="A563" s="9" t="s">
        <v>207</v>
      </c>
      <c r="B563" s="10" t="s">
        <v>205</v>
      </c>
      <c r="C563" s="10" t="s">
        <v>385</v>
      </c>
      <c r="D563" s="9" t="s">
        <v>31</v>
      </c>
      <c r="E563" s="10" t="s">
        <v>386</v>
      </c>
      <c r="F563" s="10" t="s">
        <v>208</v>
      </c>
      <c r="G563" s="10"/>
      <c r="H563" s="11" t="s">
        <v>33</v>
      </c>
      <c r="I563" s="12" t="str">
        <f aca="false">IF(OR(H563="Passed",H563="Accepted Exception"),"GREEN",IF(OR(H563="Not Started",H563="Failed"),"RED","AMBER"))</f>
        <v>RED</v>
      </c>
      <c r="J563" s="13" t="s">
        <v>34</v>
      </c>
      <c r="K563" s="14" t="str">
        <f aca="false">IF(OR(J563="Réussi",J563="Exception acceptée"),"GREEN",IF(OR(J563="Non commencé",J563="Échec"),"RED","AMBER"))</f>
        <v>RED</v>
      </c>
      <c r="L563" s="10"/>
      <c r="M563" s="10"/>
      <c r="N563" s="15" t="str">
        <f aca="true">IF(G563&lt;&gt;"",TODAY()-G563,"")</f>
        <v/>
      </c>
    </row>
    <row r="564" customFormat="false" ht="18" hidden="false" customHeight="true" outlineLevel="0" collapsed="false">
      <c r="A564" s="16" t="s">
        <v>209</v>
      </c>
      <c r="B564" s="17" t="s">
        <v>210</v>
      </c>
      <c r="C564" s="17" t="s">
        <v>385</v>
      </c>
      <c r="D564" s="16" t="s">
        <v>31</v>
      </c>
      <c r="E564" s="17" t="s">
        <v>386</v>
      </c>
      <c r="F564" s="17" t="s">
        <v>209</v>
      </c>
      <c r="G564" s="17"/>
      <c r="H564" s="18" t="s">
        <v>33</v>
      </c>
      <c r="I564" s="12" t="str">
        <f aca="false">IF(OR(H564="Passed",H564="Accepted Exception"),"GREEN",IF(OR(H564="Not Started",H564="Failed"),"RED","AMBER"))</f>
        <v>RED</v>
      </c>
      <c r="J564" s="19" t="s">
        <v>34</v>
      </c>
      <c r="K564" s="14" t="str">
        <f aca="false">IF(OR(J564="Réussi",J564="Exception acceptée"),"GREEN",IF(OR(J564="Non commencé",J564="Échec"),"RED","AMBER"))</f>
        <v>RED</v>
      </c>
      <c r="L564" s="17"/>
      <c r="M564" s="17"/>
      <c r="N564" s="15" t="str">
        <f aca="true">IF(G564&lt;&gt;"",TODAY()-G564,"")</f>
        <v/>
      </c>
    </row>
    <row r="565" customFormat="false" ht="18" hidden="false" customHeight="true" outlineLevel="0" collapsed="false">
      <c r="A565" s="9" t="s">
        <v>211</v>
      </c>
      <c r="B565" s="10" t="s">
        <v>210</v>
      </c>
      <c r="C565" s="10" t="s">
        <v>385</v>
      </c>
      <c r="D565" s="9" t="s">
        <v>31</v>
      </c>
      <c r="E565" s="10" t="s">
        <v>386</v>
      </c>
      <c r="F565" s="10" t="s">
        <v>212</v>
      </c>
      <c r="G565" s="10"/>
      <c r="H565" s="11" t="s">
        <v>33</v>
      </c>
      <c r="I565" s="12" t="str">
        <f aca="false">IF(OR(H565="Passed",H565="Accepted Exception"),"GREEN",IF(OR(H565="Not Started",H565="Failed"),"RED","AMBER"))</f>
        <v>RED</v>
      </c>
      <c r="J565" s="13" t="s">
        <v>34</v>
      </c>
      <c r="K565" s="14" t="str">
        <f aca="false">IF(OR(J565="Réussi",J565="Exception acceptée"),"GREEN",IF(OR(J565="Non commencé",J565="Échec"),"RED","AMBER"))</f>
        <v>RED</v>
      </c>
      <c r="L565" s="10"/>
      <c r="M565" s="10"/>
      <c r="N565" s="15" t="str">
        <f aca="true">IF(G565&lt;&gt;"",TODAY()-G565,"")</f>
        <v/>
      </c>
    </row>
    <row r="566" customFormat="false" ht="18" hidden="false" customHeight="true" outlineLevel="0" collapsed="false">
      <c r="A566" s="16" t="s">
        <v>213</v>
      </c>
      <c r="B566" s="17" t="s">
        <v>214</v>
      </c>
      <c r="C566" s="17" t="s">
        <v>385</v>
      </c>
      <c r="D566" s="16" t="s">
        <v>31</v>
      </c>
      <c r="E566" s="17" t="s">
        <v>386</v>
      </c>
      <c r="F566" s="17" t="s">
        <v>213</v>
      </c>
      <c r="G566" s="17"/>
      <c r="H566" s="18" t="s">
        <v>33</v>
      </c>
      <c r="I566" s="12" t="str">
        <f aca="false">IF(OR(H566="Passed",H566="Accepted Exception"),"GREEN",IF(OR(H566="Not Started",H566="Failed"),"RED","AMBER"))</f>
        <v>RED</v>
      </c>
      <c r="J566" s="19" t="s">
        <v>34</v>
      </c>
      <c r="K566" s="14" t="str">
        <f aca="false">IF(OR(J566="Réussi",J566="Exception acceptée"),"GREEN",IF(OR(J566="Non commencé",J566="Échec"),"RED","AMBER"))</f>
        <v>RED</v>
      </c>
      <c r="L566" s="17"/>
      <c r="M566" s="17"/>
      <c r="N566" s="15" t="str">
        <f aca="true">IF(G566&lt;&gt;"",TODAY()-G566,"")</f>
        <v/>
      </c>
    </row>
    <row r="567" customFormat="false" ht="18" hidden="false" customHeight="true" outlineLevel="0" collapsed="false">
      <c r="A567" s="9" t="s">
        <v>215</v>
      </c>
      <c r="B567" s="10" t="s">
        <v>214</v>
      </c>
      <c r="C567" s="10" t="s">
        <v>385</v>
      </c>
      <c r="D567" s="9" t="s">
        <v>31</v>
      </c>
      <c r="E567" s="10" t="s">
        <v>386</v>
      </c>
      <c r="F567" s="10" t="s">
        <v>216</v>
      </c>
      <c r="G567" s="10"/>
      <c r="H567" s="11" t="s">
        <v>33</v>
      </c>
      <c r="I567" s="12" t="str">
        <f aca="false">IF(OR(H567="Passed",H567="Accepted Exception"),"GREEN",IF(OR(H567="Not Started",H567="Failed"),"RED","AMBER"))</f>
        <v>RED</v>
      </c>
      <c r="J567" s="13" t="s">
        <v>34</v>
      </c>
      <c r="K567" s="14" t="str">
        <f aca="false">IF(OR(J567="Réussi",J567="Exception acceptée"),"GREEN",IF(OR(J567="Non commencé",J567="Échec"),"RED","AMBER"))</f>
        <v>RED</v>
      </c>
      <c r="L567" s="10"/>
      <c r="M567" s="10"/>
      <c r="N567" s="15" t="str">
        <f aca="true">IF(G567&lt;&gt;"",TODAY()-G567,"")</f>
        <v/>
      </c>
    </row>
    <row r="568" customFormat="false" ht="18" hidden="false" customHeight="true" outlineLevel="0" collapsed="false">
      <c r="A568" s="16" t="s">
        <v>217</v>
      </c>
      <c r="B568" s="17" t="s">
        <v>40</v>
      </c>
      <c r="C568" s="17" t="s">
        <v>385</v>
      </c>
      <c r="D568" s="16" t="s">
        <v>31</v>
      </c>
      <c r="E568" s="17" t="s">
        <v>386</v>
      </c>
      <c r="F568" s="17" t="s">
        <v>217</v>
      </c>
      <c r="G568" s="17"/>
      <c r="H568" s="18" t="s">
        <v>33</v>
      </c>
      <c r="I568" s="12" t="str">
        <f aca="false">IF(OR(H568="Passed",H568="Accepted Exception"),"GREEN",IF(OR(H568="Not Started",H568="Failed"),"RED","AMBER"))</f>
        <v>RED</v>
      </c>
      <c r="J568" s="19" t="s">
        <v>34</v>
      </c>
      <c r="K568" s="14" t="str">
        <f aca="false">IF(OR(J568="Réussi",J568="Exception acceptée"),"GREEN",IF(OR(J568="Non commencé",J568="Échec"),"RED","AMBER"))</f>
        <v>RED</v>
      </c>
      <c r="L568" s="17"/>
      <c r="M568" s="17"/>
      <c r="N568" s="15" t="str">
        <f aca="true">IF(G568&lt;&gt;"",TODAY()-G568,"")</f>
        <v/>
      </c>
    </row>
    <row r="569" customFormat="false" ht="18" hidden="false" customHeight="true" outlineLevel="0" collapsed="false">
      <c r="A569" s="9" t="s">
        <v>39</v>
      </c>
      <c r="B569" s="10" t="s">
        <v>40</v>
      </c>
      <c r="C569" s="10" t="s">
        <v>385</v>
      </c>
      <c r="D569" s="9" t="s">
        <v>31</v>
      </c>
      <c r="E569" s="10" t="s">
        <v>386</v>
      </c>
      <c r="F569" s="10" t="s">
        <v>41</v>
      </c>
      <c r="G569" s="10"/>
      <c r="H569" s="11" t="s">
        <v>33</v>
      </c>
      <c r="I569" s="12" t="str">
        <f aca="false">IF(OR(H569="Passed",H569="Accepted Exception"),"GREEN",IF(OR(H569="Not Started",H569="Failed"),"RED","AMBER"))</f>
        <v>RED</v>
      </c>
      <c r="J569" s="13" t="s">
        <v>34</v>
      </c>
      <c r="K569" s="14" t="str">
        <f aca="false">IF(OR(J569="Réussi",J569="Exception acceptée"),"GREEN",IF(OR(J569="Non commencé",J569="Échec"),"RED","AMBER"))</f>
        <v>RED</v>
      </c>
      <c r="L569" s="10"/>
      <c r="M569" s="10"/>
      <c r="N569" s="15" t="str">
        <f aca="true">IF(G569&lt;&gt;"",TODAY()-G569,"")</f>
        <v/>
      </c>
    </row>
    <row r="570" customFormat="false" ht="18" hidden="false" customHeight="true" outlineLevel="0" collapsed="false">
      <c r="A570" s="16" t="s">
        <v>218</v>
      </c>
      <c r="B570" s="17" t="s">
        <v>40</v>
      </c>
      <c r="C570" s="17" t="s">
        <v>385</v>
      </c>
      <c r="D570" s="16" t="s">
        <v>31</v>
      </c>
      <c r="E570" s="17" t="s">
        <v>386</v>
      </c>
      <c r="F570" s="17" t="s">
        <v>219</v>
      </c>
      <c r="G570" s="17"/>
      <c r="H570" s="18" t="s">
        <v>33</v>
      </c>
      <c r="I570" s="12" t="str">
        <f aca="false">IF(OR(H570="Passed",H570="Accepted Exception"),"GREEN",IF(OR(H570="Not Started",H570="Failed"),"RED","AMBER"))</f>
        <v>RED</v>
      </c>
      <c r="J570" s="19" t="s">
        <v>34</v>
      </c>
      <c r="K570" s="14" t="str">
        <f aca="false">IF(OR(J570="Réussi",J570="Exception acceptée"),"GREEN",IF(OR(J570="Non commencé",J570="Échec"),"RED","AMBER"))</f>
        <v>RED</v>
      </c>
      <c r="L570" s="17"/>
      <c r="M570" s="17"/>
      <c r="N570" s="15" t="str">
        <f aca="true">IF(G570&lt;&gt;"",TODAY()-G570,"")</f>
        <v/>
      </c>
    </row>
    <row r="571" customFormat="false" ht="18" hidden="false" customHeight="true" outlineLevel="0" collapsed="false">
      <c r="A571" s="9" t="s">
        <v>220</v>
      </c>
      <c r="B571" s="10" t="s">
        <v>221</v>
      </c>
      <c r="C571" s="10" t="s">
        <v>385</v>
      </c>
      <c r="D571" s="9" t="s">
        <v>31</v>
      </c>
      <c r="E571" s="10" t="s">
        <v>386</v>
      </c>
      <c r="F571" s="10" t="s">
        <v>220</v>
      </c>
      <c r="G571" s="10"/>
      <c r="H571" s="11" t="s">
        <v>33</v>
      </c>
      <c r="I571" s="12" t="str">
        <f aca="false">IF(OR(H571="Passed",H571="Accepted Exception"),"GREEN",IF(OR(H571="Not Started",H571="Failed"),"RED","AMBER"))</f>
        <v>RED</v>
      </c>
      <c r="J571" s="13" t="s">
        <v>34</v>
      </c>
      <c r="K571" s="14" t="str">
        <f aca="false">IF(OR(J571="Réussi",J571="Exception acceptée"),"GREEN",IF(OR(J571="Non commencé",J571="Échec"),"RED","AMBER"))</f>
        <v>RED</v>
      </c>
      <c r="L571" s="10"/>
      <c r="M571" s="10"/>
      <c r="N571" s="15" t="str">
        <f aca="true">IF(G571&lt;&gt;"",TODAY()-G571,"")</f>
        <v/>
      </c>
    </row>
    <row r="572" customFormat="false" ht="18" hidden="false" customHeight="true" outlineLevel="0" collapsed="false">
      <c r="A572" s="16" t="s">
        <v>42</v>
      </c>
      <c r="B572" s="17" t="s">
        <v>43</v>
      </c>
      <c r="C572" s="17" t="s">
        <v>385</v>
      </c>
      <c r="D572" s="16" t="s">
        <v>31</v>
      </c>
      <c r="E572" s="17" t="s">
        <v>386</v>
      </c>
      <c r="F572" s="17" t="s">
        <v>42</v>
      </c>
      <c r="G572" s="17"/>
      <c r="H572" s="18" t="s">
        <v>33</v>
      </c>
      <c r="I572" s="12" t="str">
        <f aca="false">IF(OR(H572="Passed",H572="Accepted Exception"),"GREEN",IF(OR(H572="Not Started",H572="Failed"),"RED","AMBER"))</f>
        <v>RED</v>
      </c>
      <c r="J572" s="19" t="s">
        <v>34</v>
      </c>
      <c r="K572" s="14" t="str">
        <f aca="false">IF(OR(J572="Réussi",J572="Exception acceptée"),"GREEN",IF(OR(J572="Non commencé",J572="Échec"),"RED","AMBER"))</f>
        <v>RED</v>
      </c>
      <c r="L572" s="17"/>
      <c r="M572" s="17"/>
      <c r="N572" s="15" t="str">
        <f aca="true">IF(G572&lt;&gt;"",TODAY()-G572,"")</f>
        <v/>
      </c>
    </row>
    <row r="573" customFormat="false" ht="18" hidden="false" customHeight="true" outlineLevel="0" collapsed="false">
      <c r="A573" s="9" t="s">
        <v>125</v>
      </c>
      <c r="B573" s="10" t="s">
        <v>126</v>
      </c>
      <c r="C573" s="10" t="s">
        <v>385</v>
      </c>
      <c r="D573" s="9" t="s">
        <v>127</v>
      </c>
      <c r="E573" s="10" t="s">
        <v>386</v>
      </c>
      <c r="F573" s="10" t="s">
        <v>128</v>
      </c>
      <c r="G573" s="10"/>
      <c r="H573" s="11" t="s">
        <v>33</v>
      </c>
      <c r="I573" s="12" t="str">
        <f aca="false">IF(OR(H573="Passed",H573="Accepted Exception"),"GREEN",IF(OR(H573="Not Started",H573="Failed"),"RED","AMBER"))</f>
        <v>RED</v>
      </c>
      <c r="J573" s="13" t="s">
        <v>34</v>
      </c>
      <c r="K573" s="14" t="str">
        <f aca="false">IF(OR(J573="Réussi",J573="Exception acceptée"),"GREEN",IF(OR(J573="Non commencé",J573="Échec"),"RED","AMBER"))</f>
        <v>RED</v>
      </c>
      <c r="L573" s="10"/>
      <c r="M573" s="10"/>
      <c r="N573" s="15" t="str">
        <f aca="true">IF(G573&lt;&gt;"",TODAY()-G573,"")</f>
        <v/>
      </c>
    </row>
    <row r="574" customFormat="false" ht="18" hidden="false" customHeight="true" outlineLevel="0" collapsed="false">
      <c r="A574" s="16" t="s">
        <v>129</v>
      </c>
      <c r="B574" s="17" t="s">
        <v>130</v>
      </c>
      <c r="C574" s="17" t="s">
        <v>385</v>
      </c>
      <c r="D574" s="16" t="s">
        <v>127</v>
      </c>
      <c r="E574" s="17" t="s">
        <v>386</v>
      </c>
      <c r="F574" s="17" t="s">
        <v>129</v>
      </c>
      <c r="G574" s="17"/>
      <c r="H574" s="18" t="s">
        <v>33</v>
      </c>
      <c r="I574" s="12" t="str">
        <f aca="false">IF(OR(H574="Passed",H574="Accepted Exception"),"GREEN",IF(OR(H574="Not Started",H574="Failed"),"RED","AMBER"))</f>
        <v>RED</v>
      </c>
      <c r="J574" s="19" t="s">
        <v>34</v>
      </c>
      <c r="K574" s="14" t="str">
        <f aca="false">IF(OR(J574="Réussi",J574="Exception acceptée"),"GREEN",IF(OR(J574="Non commencé",J574="Échec"),"RED","AMBER"))</f>
        <v>RED</v>
      </c>
      <c r="L574" s="17"/>
      <c r="M574" s="17"/>
      <c r="N574" s="15" t="str">
        <f aca="true">IF(G574&lt;&gt;"",TODAY()-G574,"")</f>
        <v/>
      </c>
    </row>
    <row r="575" customFormat="false" ht="18" hidden="false" customHeight="true" outlineLevel="0" collapsed="false">
      <c r="A575" s="9" t="s">
        <v>77</v>
      </c>
      <c r="B575" s="10" t="s">
        <v>78</v>
      </c>
      <c r="C575" s="10" t="s">
        <v>385</v>
      </c>
      <c r="D575" s="9" t="s">
        <v>46</v>
      </c>
      <c r="E575" s="10" t="s">
        <v>386</v>
      </c>
      <c r="F575" s="10" t="s">
        <v>79</v>
      </c>
      <c r="G575" s="10"/>
      <c r="H575" s="11" t="s">
        <v>33</v>
      </c>
      <c r="I575" s="12" t="str">
        <f aca="false">IF(OR(H575="Passed",H575="Accepted Exception"),"GREEN",IF(OR(H575="Not Started",H575="Failed"),"RED","AMBER"))</f>
        <v>RED</v>
      </c>
      <c r="J575" s="13" t="s">
        <v>34</v>
      </c>
      <c r="K575" s="14" t="str">
        <f aca="false">IF(OR(J575="Réussi",J575="Exception acceptée"),"GREEN",IF(OR(J575="Non commencé",J575="Échec"),"RED","AMBER"))</f>
        <v>RED</v>
      </c>
      <c r="L575" s="10"/>
      <c r="M575" s="10"/>
      <c r="N575" s="15" t="str">
        <f aca="true">IF(G575&lt;&gt;"",TODAY()-G575,"")</f>
        <v/>
      </c>
    </row>
    <row r="576" customFormat="false" ht="18" hidden="false" customHeight="true" outlineLevel="0" collapsed="false">
      <c r="A576" s="16" t="s">
        <v>44</v>
      </c>
      <c r="B576" s="17" t="s">
        <v>45</v>
      </c>
      <c r="C576" s="17" t="s">
        <v>385</v>
      </c>
      <c r="D576" s="16" t="s">
        <v>46</v>
      </c>
      <c r="E576" s="17" t="s">
        <v>386</v>
      </c>
      <c r="F576" s="17" t="s">
        <v>44</v>
      </c>
      <c r="G576" s="17"/>
      <c r="H576" s="18" t="s">
        <v>33</v>
      </c>
      <c r="I576" s="12" t="str">
        <f aca="false">IF(OR(H576="Passed",H576="Accepted Exception"),"GREEN",IF(OR(H576="Not Started",H576="Failed"),"RED","AMBER"))</f>
        <v>RED</v>
      </c>
      <c r="J576" s="19" t="s">
        <v>34</v>
      </c>
      <c r="K576" s="14" t="str">
        <f aca="false">IF(OR(J576="Réussi",J576="Exception acceptée"),"GREEN",IF(OR(J576="Non commencé",J576="Échec"),"RED","AMBER"))</f>
        <v>RED</v>
      </c>
      <c r="L576" s="17"/>
      <c r="M576" s="17"/>
      <c r="N576" s="15" t="str">
        <f aca="true">IF(G576&lt;&gt;"",TODAY()-G576,"")</f>
        <v/>
      </c>
    </row>
    <row r="577" customFormat="false" ht="18" hidden="false" customHeight="true" outlineLevel="0" collapsed="false">
      <c r="A577" s="9" t="s">
        <v>47</v>
      </c>
      <c r="B577" s="10" t="s">
        <v>48</v>
      </c>
      <c r="C577" s="10" t="s">
        <v>385</v>
      </c>
      <c r="D577" s="9" t="s">
        <v>46</v>
      </c>
      <c r="E577" s="10" t="s">
        <v>386</v>
      </c>
      <c r="F577" s="10" t="s">
        <v>47</v>
      </c>
      <c r="G577" s="10"/>
      <c r="H577" s="11" t="s">
        <v>33</v>
      </c>
      <c r="I577" s="12" t="str">
        <f aca="false">IF(OR(H577="Passed",H577="Accepted Exception"),"GREEN",IF(OR(H577="Not Started",H577="Failed"),"RED","AMBER"))</f>
        <v>RED</v>
      </c>
      <c r="J577" s="13" t="s">
        <v>34</v>
      </c>
      <c r="K577" s="14" t="str">
        <f aca="false">IF(OR(J577="Réussi",J577="Exception acceptée"),"GREEN",IF(OR(J577="Non commencé",J577="Échec"),"RED","AMBER"))</f>
        <v>RED</v>
      </c>
      <c r="L577" s="10"/>
      <c r="M577" s="10"/>
      <c r="N577" s="15" t="str">
        <f aca="true">IF(G577&lt;&gt;"",TODAY()-G577,"")</f>
        <v/>
      </c>
    </row>
    <row r="578" customFormat="false" ht="18" hidden="false" customHeight="true" outlineLevel="0" collapsed="false">
      <c r="A578" s="16" t="s">
        <v>49</v>
      </c>
      <c r="B578" s="17" t="s">
        <v>48</v>
      </c>
      <c r="C578" s="17" t="s">
        <v>385</v>
      </c>
      <c r="D578" s="16" t="s">
        <v>46</v>
      </c>
      <c r="E578" s="17" t="s">
        <v>386</v>
      </c>
      <c r="F578" s="17" t="s">
        <v>50</v>
      </c>
      <c r="G578" s="17"/>
      <c r="H578" s="18" t="s">
        <v>33</v>
      </c>
      <c r="I578" s="12" t="str">
        <f aca="false">IF(OR(H578="Passed",H578="Accepted Exception"),"GREEN",IF(OR(H578="Not Started",H578="Failed"),"RED","AMBER"))</f>
        <v>RED</v>
      </c>
      <c r="J578" s="19" t="s">
        <v>34</v>
      </c>
      <c r="K578" s="14" t="str">
        <f aca="false">IF(OR(J578="Réussi",J578="Exception acceptée"),"GREEN",IF(OR(J578="Non commencé",J578="Échec"),"RED","AMBER"))</f>
        <v>RED</v>
      </c>
      <c r="L578" s="17"/>
      <c r="M578" s="17"/>
      <c r="N578" s="15" t="str">
        <f aca="true">IF(G578&lt;&gt;"",TODAY()-G578,"")</f>
        <v/>
      </c>
    </row>
    <row r="579" customFormat="false" ht="18" hidden="false" customHeight="true" outlineLevel="0" collapsed="false">
      <c r="A579" s="9" t="s">
        <v>352</v>
      </c>
      <c r="B579" s="10" t="s">
        <v>353</v>
      </c>
      <c r="C579" s="10" t="s">
        <v>385</v>
      </c>
      <c r="D579" s="9" t="s">
        <v>46</v>
      </c>
      <c r="E579" s="10" t="s">
        <v>386</v>
      </c>
      <c r="F579" s="10" t="s">
        <v>352</v>
      </c>
      <c r="G579" s="10"/>
      <c r="H579" s="11" t="s">
        <v>33</v>
      </c>
      <c r="I579" s="12" t="str">
        <f aca="false">IF(OR(H579="Passed",H579="Accepted Exception"),"GREEN",IF(OR(H579="Not Started",H579="Failed"),"RED","AMBER"))</f>
        <v>RED</v>
      </c>
      <c r="J579" s="13" t="s">
        <v>34</v>
      </c>
      <c r="K579" s="14" t="str">
        <f aca="false">IF(OR(J579="Réussi",J579="Exception acceptée"),"GREEN",IF(OR(J579="Non commencé",J579="Échec"),"RED","AMBER"))</f>
        <v>RED</v>
      </c>
      <c r="L579" s="10"/>
      <c r="M579" s="10"/>
      <c r="N579" s="15" t="str">
        <f aca="true">IF(G579&lt;&gt;"",TODAY()-G579,"")</f>
        <v/>
      </c>
    </row>
    <row r="580" customFormat="false" ht="18" hidden="false" customHeight="true" outlineLevel="0" collapsed="false">
      <c r="A580" s="16" t="s">
        <v>80</v>
      </c>
      <c r="B580" s="17" t="s">
        <v>81</v>
      </c>
      <c r="C580" s="17" t="s">
        <v>385</v>
      </c>
      <c r="D580" s="16" t="s">
        <v>53</v>
      </c>
      <c r="E580" s="17" t="s">
        <v>386</v>
      </c>
      <c r="F580" s="17" t="s">
        <v>80</v>
      </c>
      <c r="G580" s="17"/>
      <c r="H580" s="18" t="s">
        <v>33</v>
      </c>
      <c r="I580" s="12" t="str">
        <f aca="false">IF(OR(H580="Passed",H580="Accepted Exception"),"GREEN",IF(OR(H580="Not Started",H580="Failed"),"RED","AMBER"))</f>
        <v>RED</v>
      </c>
      <c r="J580" s="19" t="s">
        <v>34</v>
      </c>
      <c r="K580" s="14" t="str">
        <f aca="false">IF(OR(J580="Réussi",J580="Exception acceptée"),"GREEN",IF(OR(J580="Non commencé",J580="Échec"),"RED","AMBER"))</f>
        <v>RED</v>
      </c>
      <c r="L580" s="17"/>
      <c r="M580" s="17"/>
      <c r="N580" s="15" t="str">
        <f aca="true">IF(G580&lt;&gt;"",TODAY()-G580,"")</f>
        <v/>
      </c>
    </row>
    <row r="581" customFormat="false" ht="18" hidden="false" customHeight="true" outlineLevel="0" collapsed="false">
      <c r="A581" s="9" t="s">
        <v>82</v>
      </c>
      <c r="B581" s="10" t="s">
        <v>81</v>
      </c>
      <c r="C581" s="10" t="s">
        <v>385</v>
      </c>
      <c r="D581" s="9" t="s">
        <v>53</v>
      </c>
      <c r="E581" s="10" t="s">
        <v>386</v>
      </c>
      <c r="F581" s="10" t="s">
        <v>83</v>
      </c>
      <c r="G581" s="10"/>
      <c r="H581" s="11" t="s">
        <v>33</v>
      </c>
      <c r="I581" s="12" t="str">
        <f aca="false">IF(OR(H581="Passed",H581="Accepted Exception"),"GREEN",IF(OR(H581="Not Started",H581="Failed"),"RED","AMBER"))</f>
        <v>RED</v>
      </c>
      <c r="J581" s="13" t="s">
        <v>34</v>
      </c>
      <c r="K581" s="14" t="str">
        <f aca="false">IF(OR(J581="Réussi",J581="Exception acceptée"),"GREEN",IF(OR(J581="Non commencé",J581="Échec"),"RED","AMBER"))</f>
        <v>RED</v>
      </c>
      <c r="L581" s="10"/>
      <c r="M581" s="10"/>
      <c r="N581" s="15" t="str">
        <f aca="true">IF(G581&lt;&gt;"",TODAY()-G581,"")</f>
        <v/>
      </c>
    </row>
    <row r="582" customFormat="false" ht="18" hidden="false" customHeight="true" outlineLevel="0" collapsed="false">
      <c r="A582" s="16" t="s">
        <v>51</v>
      </c>
      <c r="B582" s="17" t="s">
        <v>52</v>
      </c>
      <c r="C582" s="17" t="s">
        <v>385</v>
      </c>
      <c r="D582" s="16" t="s">
        <v>53</v>
      </c>
      <c r="E582" s="17" t="s">
        <v>386</v>
      </c>
      <c r="F582" s="17" t="s">
        <v>51</v>
      </c>
      <c r="G582" s="17"/>
      <c r="H582" s="18" t="s">
        <v>33</v>
      </c>
      <c r="I582" s="12" t="str">
        <f aca="false">IF(OR(H582="Passed",H582="Accepted Exception"),"GREEN",IF(OR(H582="Not Started",H582="Failed"),"RED","AMBER"))</f>
        <v>RED</v>
      </c>
      <c r="J582" s="19" t="s">
        <v>34</v>
      </c>
      <c r="K582" s="14" t="str">
        <f aca="false">IF(OR(J582="Réussi",J582="Exception acceptée"),"GREEN",IF(OR(J582="Non commencé",J582="Échec"),"RED","AMBER"))</f>
        <v>RED</v>
      </c>
      <c r="L582" s="17"/>
      <c r="M582" s="17"/>
      <c r="N582" s="15" t="str">
        <f aca="true">IF(G582&lt;&gt;"",TODAY()-G582,"")</f>
        <v/>
      </c>
    </row>
    <row r="583" customFormat="false" ht="18" hidden="false" customHeight="true" outlineLevel="0" collapsed="false">
      <c r="A583" s="9" t="s">
        <v>54</v>
      </c>
      <c r="B583" s="10" t="s">
        <v>52</v>
      </c>
      <c r="C583" s="10" t="s">
        <v>385</v>
      </c>
      <c r="D583" s="9" t="s">
        <v>53</v>
      </c>
      <c r="E583" s="10" t="s">
        <v>386</v>
      </c>
      <c r="F583" s="10" t="s">
        <v>55</v>
      </c>
      <c r="G583" s="10"/>
      <c r="H583" s="11" t="s">
        <v>33</v>
      </c>
      <c r="I583" s="12" t="str">
        <f aca="false">IF(OR(H583="Passed",H583="Accepted Exception"),"GREEN",IF(OR(H583="Not Started",H583="Failed"),"RED","AMBER"))</f>
        <v>RED</v>
      </c>
      <c r="J583" s="13" t="s">
        <v>34</v>
      </c>
      <c r="K583" s="14" t="str">
        <f aca="false">IF(OR(J583="Réussi",J583="Exception acceptée"),"GREEN",IF(OR(J583="Non commencé",J583="Échec"),"RED","AMBER"))</f>
        <v>RED</v>
      </c>
      <c r="L583" s="10"/>
      <c r="M583" s="10"/>
      <c r="N583" s="15" t="str">
        <f aca="true">IF(G583&lt;&gt;"",TODAY()-G583,"")</f>
        <v/>
      </c>
    </row>
    <row r="584" customFormat="false" ht="18" hidden="false" customHeight="true" outlineLevel="0" collapsed="false">
      <c r="A584" s="16" t="s">
        <v>56</v>
      </c>
      <c r="B584" s="17" t="s">
        <v>57</v>
      </c>
      <c r="C584" s="17" t="s">
        <v>385</v>
      </c>
      <c r="D584" s="16" t="s">
        <v>53</v>
      </c>
      <c r="E584" s="17" t="s">
        <v>386</v>
      </c>
      <c r="F584" s="17" t="s">
        <v>56</v>
      </c>
      <c r="G584" s="17"/>
      <c r="H584" s="18" t="s">
        <v>33</v>
      </c>
      <c r="I584" s="12" t="str">
        <f aca="false">IF(OR(H584="Passed",H584="Accepted Exception"),"GREEN",IF(OR(H584="Not Started",H584="Failed"),"RED","AMBER"))</f>
        <v>RED</v>
      </c>
      <c r="J584" s="19" t="s">
        <v>34</v>
      </c>
      <c r="K584" s="14" t="str">
        <f aca="false">IF(OR(J584="Réussi",J584="Exception acceptée"),"GREEN",IF(OR(J584="Non commencé",J584="Échec"),"RED","AMBER"))</f>
        <v>RED</v>
      </c>
      <c r="L584" s="17"/>
      <c r="M584" s="17"/>
      <c r="N584" s="15" t="str">
        <f aca="true">IF(G584&lt;&gt;"",TODAY()-G584,"")</f>
        <v/>
      </c>
    </row>
    <row r="585" customFormat="false" ht="18" hidden="false" customHeight="true" outlineLevel="0" collapsed="false">
      <c r="A585" s="9" t="s">
        <v>58</v>
      </c>
      <c r="B585" s="10" t="s">
        <v>57</v>
      </c>
      <c r="C585" s="10" t="s">
        <v>385</v>
      </c>
      <c r="D585" s="9" t="s">
        <v>53</v>
      </c>
      <c r="E585" s="10" t="s">
        <v>386</v>
      </c>
      <c r="F585" s="10" t="s">
        <v>59</v>
      </c>
      <c r="G585" s="10"/>
      <c r="H585" s="11" t="s">
        <v>33</v>
      </c>
      <c r="I585" s="12" t="str">
        <f aca="false">IF(OR(H585="Passed",H585="Accepted Exception"),"GREEN",IF(OR(H585="Not Started",H585="Failed"),"RED","AMBER"))</f>
        <v>RED</v>
      </c>
      <c r="J585" s="13" t="s">
        <v>34</v>
      </c>
      <c r="K585" s="14" t="str">
        <f aca="false">IF(OR(J585="Réussi",J585="Exception acceptée"),"GREEN",IF(OR(J585="Non commencé",J585="Échec"),"RED","AMBER"))</f>
        <v>RED</v>
      </c>
      <c r="L585" s="10"/>
      <c r="M585" s="10"/>
      <c r="N585" s="15" t="str">
        <f aca="true">IF(G585&lt;&gt;"",TODAY()-G585,"")</f>
        <v/>
      </c>
    </row>
    <row r="586" customFormat="false" ht="18" hidden="false" customHeight="true" outlineLevel="0" collapsed="false">
      <c r="A586" s="16" t="s">
        <v>354</v>
      </c>
      <c r="B586" s="17" t="s">
        <v>355</v>
      </c>
      <c r="C586" s="17" t="s">
        <v>385</v>
      </c>
      <c r="D586" s="16" t="s">
        <v>137</v>
      </c>
      <c r="E586" s="17" t="s">
        <v>386</v>
      </c>
      <c r="F586" s="17" t="s">
        <v>354</v>
      </c>
      <c r="G586" s="17"/>
      <c r="H586" s="18" t="s">
        <v>33</v>
      </c>
      <c r="I586" s="12" t="str">
        <f aca="false">IF(OR(H586="Passed",H586="Accepted Exception"),"GREEN",IF(OR(H586="Not Started",H586="Failed"),"RED","AMBER"))</f>
        <v>RED</v>
      </c>
      <c r="J586" s="19" t="s">
        <v>34</v>
      </c>
      <c r="K586" s="14" t="str">
        <f aca="false">IF(OR(J586="Réussi",J586="Exception acceptée"),"GREEN",IF(OR(J586="Non commencé",J586="Échec"),"RED","AMBER"))</f>
        <v>RED</v>
      </c>
      <c r="L586" s="17"/>
      <c r="M586" s="17"/>
      <c r="N586" s="15" t="str">
        <f aca="true">IF(G586&lt;&gt;"",TODAY()-G586,"")</f>
        <v/>
      </c>
    </row>
    <row r="587" customFormat="false" ht="18" hidden="false" customHeight="true" outlineLevel="0" collapsed="false">
      <c r="A587" s="9" t="s">
        <v>317</v>
      </c>
      <c r="B587" s="10" t="s">
        <v>136</v>
      </c>
      <c r="C587" s="10" t="s">
        <v>385</v>
      </c>
      <c r="D587" s="9" t="s">
        <v>137</v>
      </c>
      <c r="E587" s="10" t="s">
        <v>386</v>
      </c>
      <c r="F587" s="10" t="s">
        <v>318</v>
      </c>
      <c r="G587" s="10"/>
      <c r="H587" s="11" t="s">
        <v>33</v>
      </c>
      <c r="I587" s="12" t="str">
        <f aca="false">IF(OR(H587="Passed",H587="Accepted Exception"),"GREEN",IF(OR(H587="Not Started",H587="Failed"),"RED","AMBER"))</f>
        <v>RED</v>
      </c>
      <c r="J587" s="13" t="s">
        <v>34</v>
      </c>
      <c r="K587" s="14" t="str">
        <f aca="false">IF(OR(J587="Réussi",J587="Exception acceptée"),"GREEN",IF(OR(J587="Non commencé",J587="Échec"),"RED","AMBER"))</f>
        <v>RED</v>
      </c>
      <c r="L587" s="10"/>
      <c r="M587" s="10"/>
      <c r="N587" s="15" t="str">
        <f aca="true">IF(G587&lt;&gt;"",TODAY()-G587,"")</f>
        <v/>
      </c>
    </row>
    <row r="588" customFormat="false" ht="18" hidden="false" customHeight="true" outlineLevel="0" collapsed="false">
      <c r="A588" s="16" t="s">
        <v>135</v>
      </c>
      <c r="B588" s="17" t="s">
        <v>136</v>
      </c>
      <c r="C588" s="17" t="s">
        <v>385</v>
      </c>
      <c r="D588" s="16" t="s">
        <v>137</v>
      </c>
      <c r="E588" s="17" t="s">
        <v>386</v>
      </c>
      <c r="F588" s="17" t="s">
        <v>138</v>
      </c>
      <c r="G588" s="17"/>
      <c r="H588" s="18" t="s">
        <v>33</v>
      </c>
      <c r="I588" s="12" t="str">
        <f aca="false">IF(OR(H588="Passed",H588="Accepted Exception"),"GREEN",IF(OR(H588="Not Started",H588="Failed"),"RED","AMBER"))</f>
        <v>RED</v>
      </c>
      <c r="J588" s="19" t="s">
        <v>34</v>
      </c>
      <c r="K588" s="14" t="str">
        <f aca="false">IF(OR(J588="Réussi",J588="Exception acceptée"),"GREEN",IF(OR(J588="Non commencé",J588="Échec"),"RED","AMBER"))</f>
        <v>RED</v>
      </c>
      <c r="L588" s="17"/>
      <c r="M588" s="17"/>
      <c r="N588" s="15" t="str">
        <f aca="true">IF(G588&lt;&gt;"",TODAY()-G588,"")</f>
        <v/>
      </c>
    </row>
    <row r="589" customFormat="false" ht="18" hidden="false" customHeight="true" outlineLevel="0" collapsed="false">
      <c r="A589" s="9" t="s">
        <v>356</v>
      </c>
      <c r="B589" s="10" t="s">
        <v>225</v>
      </c>
      <c r="C589" s="10" t="s">
        <v>385</v>
      </c>
      <c r="D589" s="9" t="s">
        <v>226</v>
      </c>
      <c r="E589" s="10" t="s">
        <v>386</v>
      </c>
      <c r="F589" s="10" t="s">
        <v>357</v>
      </c>
      <c r="G589" s="10"/>
      <c r="H589" s="11" t="s">
        <v>33</v>
      </c>
      <c r="I589" s="12" t="str">
        <f aca="false">IF(OR(H589="Passed",H589="Accepted Exception"),"GREEN",IF(OR(H589="Not Started",H589="Failed"),"RED","AMBER"))</f>
        <v>RED</v>
      </c>
      <c r="J589" s="13" t="s">
        <v>34</v>
      </c>
      <c r="K589" s="14" t="str">
        <f aca="false">IF(OR(J589="Réussi",J589="Exception acceptée"),"GREEN",IF(OR(J589="Non commencé",J589="Échec"),"RED","AMBER"))</f>
        <v>RED</v>
      </c>
      <c r="L589" s="10"/>
      <c r="M589" s="10"/>
      <c r="N589" s="15" t="str">
        <f aca="true">IF(G589&lt;&gt;"",TODAY()-G589,"")</f>
        <v/>
      </c>
    </row>
    <row r="590" customFormat="false" ht="18" hidden="false" customHeight="true" outlineLevel="0" collapsed="false">
      <c r="A590" s="16" t="s">
        <v>248</v>
      </c>
      <c r="B590" s="17" t="s">
        <v>249</v>
      </c>
      <c r="C590" s="17" t="s">
        <v>385</v>
      </c>
      <c r="D590" s="16" t="s">
        <v>250</v>
      </c>
      <c r="E590" s="17" t="s">
        <v>386</v>
      </c>
      <c r="F590" s="17" t="s">
        <v>248</v>
      </c>
      <c r="G590" s="17"/>
      <c r="H590" s="18" t="s">
        <v>33</v>
      </c>
      <c r="I590" s="12" t="str">
        <f aca="false">IF(OR(H590="Passed",H590="Accepted Exception"),"GREEN",IF(OR(H590="Not Started",H590="Failed"),"RED","AMBER"))</f>
        <v>RED</v>
      </c>
      <c r="J590" s="19" t="s">
        <v>34</v>
      </c>
      <c r="K590" s="14" t="str">
        <f aca="false">IF(OR(J590="Réussi",J590="Exception acceptée"),"GREEN",IF(OR(J590="Non commencé",J590="Échec"),"RED","AMBER"))</f>
        <v>RED</v>
      </c>
      <c r="L590" s="17"/>
      <c r="M590" s="17"/>
      <c r="N590" s="15" t="str">
        <f aca="true">IF(G590&lt;&gt;"",TODAY()-G590,"")</f>
        <v/>
      </c>
    </row>
    <row r="591" customFormat="false" ht="18" hidden="false" customHeight="true" outlineLevel="0" collapsed="false">
      <c r="A591" s="9" t="s">
        <v>251</v>
      </c>
      <c r="B591" s="10" t="s">
        <v>249</v>
      </c>
      <c r="C591" s="10" t="s">
        <v>385</v>
      </c>
      <c r="D591" s="9" t="s">
        <v>250</v>
      </c>
      <c r="E591" s="10" t="s">
        <v>386</v>
      </c>
      <c r="F591" s="10" t="s">
        <v>252</v>
      </c>
      <c r="G591" s="10"/>
      <c r="H591" s="11" t="s">
        <v>33</v>
      </c>
      <c r="I591" s="12" t="str">
        <f aca="false">IF(OR(H591="Passed",H591="Accepted Exception"),"GREEN",IF(OR(H591="Not Started",H591="Failed"),"RED","AMBER"))</f>
        <v>RED</v>
      </c>
      <c r="J591" s="13" t="s">
        <v>34</v>
      </c>
      <c r="K591" s="14" t="str">
        <f aca="false">IF(OR(J591="Réussi",J591="Exception acceptée"),"GREEN",IF(OR(J591="Non commencé",J591="Échec"),"RED","AMBER"))</f>
        <v>RED</v>
      </c>
      <c r="L591" s="10"/>
      <c r="M591" s="10"/>
      <c r="N591" s="15" t="str">
        <f aca="true">IF(G591&lt;&gt;"",TODAY()-G591,"")</f>
        <v/>
      </c>
    </row>
    <row r="592" customFormat="false" ht="18" hidden="false" customHeight="true" outlineLevel="0" collapsed="false">
      <c r="A592" s="16" t="s">
        <v>253</v>
      </c>
      <c r="B592" s="17" t="s">
        <v>249</v>
      </c>
      <c r="C592" s="17" t="s">
        <v>385</v>
      </c>
      <c r="D592" s="16" t="s">
        <v>250</v>
      </c>
      <c r="E592" s="17" t="s">
        <v>386</v>
      </c>
      <c r="F592" s="17" t="s">
        <v>254</v>
      </c>
      <c r="G592" s="17"/>
      <c r="H592" s="18" t="s">
        <v>33</v>
      </c>
      <c r="I592" s="12" t="str">
        <f aca="false">IF(OR(H592="Passed",H592="Accepted Exception"),"GREEN",IF(OR(H592="Not Started",H592="Failed"),"RED","AMBER"))</f>
        <v>RED</v>
      </c>
      <c r="J592" s="19" t="s">
        <v>34</v>
      </c>
      <c r="K592" s="14" t="str">
        <f aca="false">IF(OR(J592="Réussi",J592="Exception acceptée"),"GREEN",IF(OR(J592="Non commencé",J592="Échec"),"RED","AMBER"))</f>
        <v>RED</v>
      </c>
      <c r="L592" s="17"/>
      <c r="M592" s="17"/>
      <c r="N592" s="15" t="str">
        <f aca="true">IF(G592&lt;&gt;"",TODAY()-G592,"")</f>
        <v/>
      </c>
    </row>
    <row r="593" customFormat="false" ht="18" hidden="false" customHeight="true" outlineLevel="0" collapsed="false">
      <c r="A593" s="9" t="s">
        <v>255</v>
      </c>
      <c r="B593" s="10" t="s">
        <v>249</v>
      </c>
      <c r="C593" s="10" t="s">
        <v>385</v>
      </c>
      <c r="D593" s="9" t="s">
        <v>250</v>
      </c>
      <c r="E593" s="10" t="s">
        <v>386</v>
      </c>
      <c r="F593" s="10" t="s">
        <v>256</v>
      </c>
      <c r="G593" s="10"/>
      <c r="H593" s="11" t="s">
        <v>33</v>
      </c>
      <c r="I593" s="12" t="str">
        <f aca="false">IF(OR(H593="Passed",H593="Accepted Exception"),"GREEN",IF(OR(H593="Not Started",H593="Failed"),"RED","AMBER"))</f>
        <v>RED</v>
      </c>
      <c r="J593" s="13" t="s">
        <v>34</v>
      </c>
      <c r="K593" s="14" t="str">
        <f aca="false">IF(OR(J593="Réussi",J593="Exception acceptée"),"GREEN",IF(OR(J593="Non commencé",J593="Échec"),"RED","AMBER"))</f>
        <v>RED</v>
      </c>
      <c r="L593" s="10"/>
      <c r="M593" s="10"/>
      <c r="N593" s="15" t="str">
        <f aca="true">IF(G593&lt;&gt;"",TODAY()-G593,"")</f>
        <v/>
      </c>
    </row>
    <row r="594" customFormat="false" ht="18" hidden="false" customHeight="true" outlineLevel="0" collapsed="false">
      <c r="A594" s="16" t="s">
        <v>257</v>
      </c>
      <c r="B594" s="17" t="s">
        <v>249</v>
      </c>
      <c r="C594" s="17" t="s">
        <v>385</v>
      </c>
      <c r="D594" s="16" t="s">
        <v>250</v>
      </c>
      <c r="E594" s="17" t="s">
        <v>386</v>
      </c>
      <c r="F594" s="17" t="s">
        <v>258</v>
      </c>
      <c r="G594" s="17"/>
      <c r="H594" s="18" t="s">
        <v>33</v>
      </c>
      <c r="I594" s="12" t="str">
        <f aca="false">IF(OR(H594="Passed",H594="Accepted Exception"),"GREEN",IF(OR(H594="Not Started",H594="Failed"),"RED","AMBER"))</f>
        <v>RED</v>
      </c>
      <c r="J594" s="19" t="s">
        <v>34</v>
      </c>
      <c r="K594" s="14" t="str">
        <f aca="false">IF(OR(J594="Réussi",J594="Exception acceptée"),"GREEN",IF(OR(J594="Non commencé",J594="Échec"),"RED","AMBER"))</f>
        <v>RED</v>
      </c>
      <c r="L594" s="17"/>
      <c r="M594" s="17"/>
      <c r="N594" s="15" t="str">
        <f aca="true">IF(G594&lt;&gt;"",TODAY()-G594,"")</f>
        <v/>
      </c>
    </row>
    <row r="595" customFormat="false" ht="18" hidden="false" customHeight="true" outlineLevel="0" collapsed="false">
      <c r="A595" s="9" t="s">
        <v>259</v>
      </c>
      <c r="B595" s="10" t="s">
        <v>249</v>
      </c>
      <c r="C595" s="10" t="s">
        <v>385</v>
      </c>
      <c r="D595" s="9" t="s">
        <v>250</v>
      </c>
      <c r="E595" s="10" t="s">
        <v>386</v>
      </c>
      <c r="F595" s="10" t="s">
        <v>260</v>
      </c>
      <c r="G595" s="10"/>
      <c r="H595" s="11" t="s">
        <v>33</v>
      </c>
      <c r="I595" s="12" t="str">
        <f aca="false">IF(OR(H595="Passed",H595="Accepted Exception"),"GREEN",IF(OR(H595="Not Started",H595="Failed"),"RED","AMBER"))</f>
        <v>RED</v>
      </c>
      <c r="J595" s="13" t="s">
        <v>34</v>
      </c>
      <c r="K595" s="14" t="str">
        <f aca="false">IF(OR(J595="Réussi",J595="Exception acceptée"),"GREEN",IF(OR(J595="Non commencé",J595="Échec"),"RED","AMBER"))</f>
        <v>RED</v>
      </c>
      <c r="L595" s="10"/>
      <c r="M595" s="10"/>
      <c r="N595" s="15" t="str">
        <f aca="true">IF(G595&lt;&gt;"",TODAY()-G595,"")</f>
        <v/>
      </c>
    </row>
    <row r="596" customFormat="false" ht="18" hidden="false" customHeight="true" outlineLevel="0" collapsed="false">
      <c r="A596" s="16" t="s">
        <v>261</v>
      </c>
      <c r="B596" s="17" t="s">
        <v>249</v>
      </c>
      <c r="C596" s="17" t="s">
        <v>385</v>
      </c>
      <c r="D596" s="16" t="s">
        <v>250</v>
      </c>
      <c r="E596" s="17" t="s">
        <v>386</v>
      </c>
      <c r="F596" s="17" t="s">
        <v>262</v>
      </c>
      <c r="G596" s="17"/>
      <c r="H596" s="18" t="s">
        <v>33</v>
      </c>
      <c r="I596" s="12" t="str">
        <f aca="false">IF(OR(H596="Passed",H596="Accepted Exception"),"GREEN",IF(OR(H596="Not Started",H596="Failed"),"RED","AMBER"))</f>
        <v>RED</v>
      </c>
      <c r="J596" s="19" t="s">
        <v>34</v>
      </c>
      <c r="K596" s="14" t="str">
        <f aca="false">IF(OR(J596="Réussi",J596="Exception acceptée"),"GREEN",IF(OR(J596="Non commencé",J596="Échec"),"RED","AMBER"))</f>
        <v>RED</v>
      </c>
      <c r="L596" s="17"/>
      <c r="M596" s="17"/>
      <c r="N596" s="15" t="str">
        <f aca="true">IF(G596&lt;&gt;"",TODAY()-G596,"")</f>
        <v/>
      </c>
    </row>
    <row r="597" customFormat="false" ht="18" hidden="false" customHeight="true" outlineLevel="0" collapsed="false">
      <c r="A597" s="9" t="s">
        <v>60</v>
      </c>
      <c r="B597" s="10" t="s">
        <v>61</v>
      </c>
      <c r="C597" s="10" t="s">
        <v>385</v>
      </c>
      <c r="D597" s="9" t="s">
        <v>62</v>
      </c>
      <c r="E597" s="10" t="s">
        <v>386</v>
      </c>
      <c r="F597" s="10" t="s">
        <v>63</v>
      </c>
      <c r="G597" s="10"/>
      <c r="H597" s="11" t="s">
        <v>33</v>
      </c>
      <c r="I597" s="12" t="str">
        <f aca="false">IF(OR(H597="Passed",H597="Accepted Exception"),"GREEN",IF(OR(H597="Not Started",H597="Failed"),"RED","AMBER"))</f>
        <v>RED</v>
      </c>
      <c r="J597" s="13" t="s">
        <v>34</v>
      </c>
      <c r="K597" s="14" t="str">
        <f aca="false">IF(OR(J597="Réussi",J597="Exception acceptée"),"GREEN",IF(OR(J597="Non commencé",J597="Échec"),"RED","AMBER"))</f>
        <v>RED</v>
      </c>
      <c r="L597" s="10"/>
      <c r="M597" s="10"/>
      <c r="N597" s="15" t="str">
        <f aca="true">IF(G597&lt;&gt;"",TODAY()-G597,"")</f>
        <v/>
      </c>
    </row>
    <row r="598" customFormat="false" ht="18" hidden="false" customHeight="true" outlineLevel="0" collapsed="false">
      <c r="A598" s="16" t="s">
        <v>144</v>
      </c>
      <c r="B598" s="17" t="s">
        <v>145</v>
      </c>
      <c r="C598" s="17" t="s">
        <v>385</v>
      </c>
      <c r="D598" s="16" t="s">
        <v>94</v>
      </c>
      <c r="E598" s="17" t="s">
        <v>386</v>
      </c>
      <c r="F598" s="17" t="s">
        <v>144</v>
      </c>
      <c r="G598" s="17"/>
      <c r="H598" s="18" t="s">
        <v>33</v>
      </c>
      <c r="I598" s="12" t="str">
        <f aca="false">IF(OR(H598="Passed",H598="Accepted Exception"),"GREEN",IF(OR(H598="Not Started",H598="Failed"),"RED","AMBER"))</f>
        <v>RED</v>
      </c>
      <c r="J598" s="19" t="s">
        <v>34</v>
      </c>
      <c r="K598" s="14" t="str">
        <f aca="false">IF(OR(J598="Réussi",J598="Exception acceptée"),"GREEN",IF(OR(J598="Non commencé",J598="Échec"),"RED","AMBER"))</f>
        <v>RED</v>
      </c>
      <c r="L598" s="17"/>
      <c r="M598" s="17"/>
      <c r="N598" s="15" t="str">
        <f aca="true">IF(G598&lt;&gt;"",TODAY()-G598,"")</f>
        <v/>
      </c>
    </row>
    <row r="599" customFormat="false" ht="18" hidden="false" customHeight="true" outlineLevel="0" collapsed="false">
      <c r="A599" s="9" t="s">
        <v>92</v>
      </c>
      <c r="B599" s="10" t="s">
        <v>93</v>
      </c>
      <c r="C599" s="10" t="s">
        <v>385</v>
      </c>
      <c r="D599" s="9" t="s">
        <v>94</v>
      </c>
      <c r="E599" s="10" t="s">
        <v>386</v>
      </c>
      <c r="F599" s="10" t="s">
        <v>92</v>
      </c>
      <c r="G599" s="10"/>
      <c r="H599" s="11" t="s">
        <v>33</v>
      </c>
      <c r="I599" s="12" t="str">
        <f aca="false">IF(OR(H599="Passed",H599="Accepted Exception"),"GREEN",IF(OR(H599="Not Started",H599="Failed"),"RED","AMBER"))</f>
        <v>RED</v>
      </c>
      <c r="J599" s="13" t="s">
        <v>34</v>
      </c>
      <c r="K599" s="14" t="str">
        <f aca="false">IF(OR(J599="Réussi",J599="Exception acceptée"),"GREEN",IF(OR(J599="Non commencé",J599="Échec"),"RED","AMBER"))</f>
        <v>RED</v>
      </c>
      <c r="L599" s="10"/>
      <c r="M599" s="10"/>
      <c r="N599" s="15" t="str">
        <f aca="true">IF(G599&lt;&gt;"",TODAY()-G599,"")</f>
        <v/>
      </c>
    </row>
    <row r="600" customFormat="false" ht="18" hidden="false" customHeight="true" outlineLevel="0" collapsed="false">
      <c r="A600" s="16" t="s">
        <v>263</v>
      </c>
      <c r="B600" s="17" t="s">
        <v>264</v>
      </c>
      <c r="C600" s="17" t="s">
        <v>385</v>
      </c>
      <c r="D600" s="16" t="s">
        <v>94</v>
      </c>
      <c r="E600" s="17" t="s">
        <v>386</v>
      </c>
      <c r="F600" s="17" t="s">
        <v>263</v>
      </c>
      <c r="G600" s="17"/>
      <c r="H600" s="18" t="s">
        <v>33</v>
      </c>
      <c r="I600" s="12" t="str">
        <f aca="false">IF(OR(H600="Passed",H600="Accepted Exception"),"GREEN",IF(OR(H600="Not Started",H600="Failed"),"RED","AMBER"))</f>
        <v>RED</v>
      </c>
      <c r="J600" s="19" t="s">
        <v>34</v>
      </c>
      <c r="K600" s="14" t="str">
        <f aca="false">IF(OR(J600="Réussi",J600="Exception acceptée"),"GREEN",IF(OR(J600="Non commencé",J600="Échec"),"RED","AMBER"))</f>
        <v>RED</v>
      </c>
      <c r="L600" s="17"/>
      <c r="M600" s="17"/>
      <c r="N600" s="15" t="str">
        <f aca="true">IF(G600&lt;&gt;"",TODAY()-G600,"")</f>
        <v/>
      </c>
    </row>
    <row r="601" customFormat="false" ht="18" hidden="false" customHeight="true" outlineLevel="0" collapsed="false">
      <c r="A601" s="9" t="s">
        <v>234</v>
      </c>
      <c r="B601" s="10" t="s">
        <v>149</v>
      </c>
      <c r="C601" s="10" t="s">
        <v>385</v>
      </c>
      <c r="D601" s="9" t="s">
        <v>94</v>
      </c>
      <c r="E601" s="10" t="s">
        <v>386</v>
      </c>
      <c r="F601" s="10" t="s">
        <v>234</v>
      </c>
      <c r="G601" s="10"/>
      <c r="H601" s="11" t="s">
        <v>33</v>
      </c>
      <c r="I601" s="12" t="str">
        <f aca="false">IF(OR(H601="Passed",H601="Accepted Exception"),"GREEN",IF(OR(H601="Not Started",H601="Failed"),"RED","AMBER"))</f>
        <v>RED</v>
      </c>
      <c r="J601" s="13" t="s">
        <v>34</v>
      </c>
      <c r="K601" s="14" t="str">
        <f aca="false">IF(OR(J601="Réussi",J601="Exception acceptée"),"GREEN",IF(OR(J601="Non commencé",J601="Échec"),"RED","AMBER"))</f>
        <v>RED</v>
      </c>
      <c r="L601" s="10"/>
      <c r="M601" s="10"/>
      <c r="N601" s="15" t="str">
        <f aca="true">IF(G601&lt;&gt;"",TODAY()-G601,"")</f>
        <v/>
      </c>
    </row>
    <row r="602" customFormat="false" ht="18" hidden="false" customHeight="true" outlineLevel="0" collapsed="false">
      <c r="A602" s="16" t="s">
        <v>358</v>
      </c>
      <c r="B602" s="17" t="s">
        <v>149</v>
      </c>
      <c r="C602" s="17" t="s">
        <v>385</v>
      </c>
      <c r="D602" s="16" t="s">
        <v>94</v>
      </c>
      <c r="E602" s="17" t="s">
        <v>386</v>
      </c>
      <c r="F602" s="17" t="s">
        <v>359</v>
      </c>
      <c r="G602" s="17"/>
      <c r="H602" s="18" t="s">
        <v>33</v>
      </c>
      <c r="I602" s="12" t="str">
        <f aca="false">IF(OR(H602="Passed",H602="Accepted Exception"),"GREEN",IF(OR(H602="Not Started",H602="Failed"),"RED","AMBER"))</f>
        <v>RED</v>
      </c>
      <c r="J602" s="19" t="s">
        <v>34</v>
      </c>
      <c r="K602" s="14" t="str">
        <f aca="false">IF(OR(J602="Réussi",J602="Exception acceptée"),"GREEN",IF(OR(J602="Non commencé",J602="Échec"),"RED","AMBER"))</f>
        <v>RED</v>
      </c>
      <c r="L602" s="17"/>
      <c r="M602" s="17"/>
      <c r="N602" s="15" t="str">
        <f aca="true">IF(G602&lt;&gt;"",TODAY()-G602,"")</f>
        <v/>
      </c>
    </row>
    <row r="603" customFormat="false" ht="18" hidden="false" customHeight="true" outlineLevel="0" collapsed="false">
      <c r="A603" s="9" t="s">
        <v>360</v>
      </c>
      <c r="B603" s="10" t="s">
        <v>149</v>
      </c>
      <c r="C603" s="10" t="s">
        <v>385</v>
      </c>
      <c r="D603" s="9" t="s">
        <v>94</v>
      </c>
      <c r="E603" s="10" t="s">
        <v>386</v>
      </c>
      <c r="F603" s="10" t="s">
        <v>361</v>
      </c>
      <c r="G603" s="10"/>
      <c r="H603" s="11" t="s">
        <v>33</v>
      </c>
      <c r="I603" s="12" t="str">
        <f aca="false">IF(OR(H603="Passed",H603="Accepted Exception"),"GREEN",IF(OR(H603="Not Started",H603="Failed"),"RED","AMBER"))</f>
        <v>RED</v>
      </c>
      <c r="J603" s="13" t="s">
        <v>34</v>
      </c>
      <c r="K603" s="14" t="str">
        <f aca="false">IF(OR(J603="Réussi",J603="Exception acceptée"),"GREEN",IF(OR(J603="Non commencé",J603="Échec"),"RED","AMBER"))</f>
        <v>RED</v>
      </c>
      <c r="L603" s="10"/>
      <c r="M603" s="10"/>
      <c r="N603" s="15" t="str">
        <f aca="true">IF(G603&lt;&gt;"",TODAY()-G603,"")</f>
        <v/>
      </c>
    </row>
    <row r="604" customFormat="false" ht="18" hidden="false" customHeight="true" outlineLevel="0" collapsed="false">
      <c r="A604" s="16" t="s">
        <v>362</v>
      </c>
      <c r="B604" s="17" t="s">
        <v>149</v>
      </c>
      <c r="C604" s="17" t="s">
        <v>385</v>
      </c>
      <c r="D604" s="16" t="s">
        <v>94</v>
      </c>
      <c r="E604" s="17" t="s">
        <v>386</v>
      </c>
      <c r="F604" s="17" t="s">
        <v>363</v>
      </c>
      <c r="G604" s="17"/>
      <c r="H604" s="18" t="s">
        <v>33</v>
      </c>
      <c r="I604" s="12" t="str">
        <f aca="false">IF(OR(H604="Passed",H604="Accepted Exception"),"GREEN",IF(OR(H604="Not Started",H604="Failed"),"RED","AMBER"))</f>
        <v>RED</v>
      </c>
      <c r="J604" s="19" t="s">
        <v>34</v>
      </c>
      <c r="K604" s="14" t="str">
        <f aca="false">IF(OR(J604="Réussi",J604="Exception acceptée"),"GREEN",IF(OR(J604="Non commencé",J604="Échec"),"RED","AMBER"))</f>
        <v>RED</v>
      </c>
      <c r="L604" s="17"/>
      <c r="M604" s="17"/>
      <c r="N604" s="15" t="str">
        <f aca="true">IF(G604&lt;&gt;"",TODAY()-G604,"")</f>
        <v/>
      </c>
    </row>
    <row r="605" customFormat="false" ht="18" hidden="false" customHeight="true" outlineLevel="0" collapsed="false">
      <c r="A605" s="9" t="s">
        <v>364</v>
      </c>
      <c r="B605" s="10" t="s">
        <v>149</v>
      </c>
      <c r="C605" s="10" t="s">
        <v>385</v>
      </c>
      <c r="D605" s="9" t="s">
        <v>94</v>
      </c>
      <c r="E605" s="10" t="s">
        <v>386</v>
      </c>
      <c r="F605" s="10" t="s">
        <v>365</v>
      </c>
      <c r="G605" s="10"/>
      <c r="H605" s="11" t="s">
        <v>33</v>
      </c>
      <c r="I605" s="12" t="str">
        <f aca="false">IF(OR(H605="Passed",H605="Accepted Exception"),"GREEN",IF(OR(H605="Not Started",H605="Failed"),"RED","AMBER"))</f>
        <v>RED</v>
      </c>
      <c r="J605" s="13" t="s">
        <v>34</v>
      </c>
      <c r="K605" s="14" t="str">
        <f aca="false">IF(OR(J605="Réussi",J605="Exception acceptée"),"GREEN",IF(OR(J605="Non commencé",J605="Échec"),"RED","AMBER"))</f>
        <v>RED</v>
      </c>
      <c r="L605" s="10"/>
      <c r="M605" s="10"/>
      <c r="N605" s="15" t="str">
        <f aca="true">IF(G605&lt;&gt;"",TODAY()-G605,"")</f>
        <v/>
      </c>
    </row>
    <row r="606" customFormat="false" ht="18" hidden="false" customHeight="true" outlineLevel="0" collapsed="false">
      <c r="A606" s="16" t="s">
        <v>368</v>
      </c>
      <c r="B606" s="17" t="s">
        <v>149</v>
      </c>
      <c r="C606" s="17" t="s">
        <v>385</v>
      </c>
      <c r="D606" s="16" t="s">
        <v>94</v>
      </c>
      <c r="E606" s="17" t="s">
        <v>386</v>
      </c>
      <c r="F606" s="17" t="s">
        <v>369</v>
      </c>
      <c r="G606" s="17"/>
      <c r="H606" s="18" t="s">
        <v>33</v>
      </c>
      <c r="I606" s="12" t="str">
        <f aca="false">IF(OR(H606="Passed",H606="Accepted Exception"),"GREEN",IF(OR(H606="Not Started",H606="Failed"),"RED","AMBER"))</f>
        <v>RED</v>
      </c>
      <c r="J606" s="19" t="s">
        <v>34</v>
      </c>
      <c r="K606" s="14" t="str">
        <f aca="false">IF(OR(J606="Réussi",J606="Exception acceptée"),"GREEN",IF(OR(J606="Non commencé",J606="Échec"),"RED","AMBER"))</f>
        <v>RED</v>
      </c>
      <c r="L606" s="17"/>
      <c r="M606" s="17"/>
      <c r="N606" s="15" t="str">
        <f aca="true">IF(G606&lt;&gt;"",TODAY()-G606,"")</f>
        <v/>
      </c>
    </row>
    <row r="607" customFormat="false" ht="18" hidden="false" customHeight="true" outlineLevel="0" collapsed="false">
      <c r="A607" s="9" t="s">
        <v>153</v>
      </c>
      <c r="B607" s="10" t="s">
        <v>154</v>
      </c>
      <c r="C607" s="10" t="s">
        <v>385</v>
      </c>
      <c r="D607" s="9" t="s">
        <v>94</v>
      </c>
      <c r="E607" s="10" t="s">
        <v>386</v>
      </c>
      <c r="F607" s="10" t="s">
        <v>153</v>
      </c>
      <c r="G607" s="10"/>
      <c r="H607" s="11" t="s">
        <v>33</v>
      </c>
      <c r="I607" s="12" t="str">
        <f aca="false">IF(OR(H607="Passed",H607="Accepted Exception"),"GREEN",IF(OR(H607="Not Started",H607="Failed"),"RED","AMBER"))</f>
        <v>RED</v>
      </c>
      <c r="J607" s="13" t="s">
        <v>34</v>
      </c>
      <c r="K607" s="14" t="str">
        <f aca="false">IF(OR(J607="Réussi",J607="Exception acceptée"),"GREEN",IF(OR(J607="Non commencé",J607="Échec"),"RED","AMBER"))</f>
        <v>RED</v>
      </c>
      <c r="L607" s="10"/>
      <c r="M607" s="10"/>
      <c r="N607" s="15" t="str">
        <f aca="true">IF(G607&lt;&gt;"",TODAY()-G607,"")</f>
        <v/>
      </c>
    </row>
    <row r="608" customFormat="false" ht="18" hidden="false" customHeight="true" outlineLevel="0" collapsed="false">
      <c r="A608" s="16" t="s">
        <v>155</v>
      </c>
      <c r="B608" s="17" t="s">
        <v>154</v>
      </c>
      <c r="C608" s="17" t="s">
        <v>385</v>
      </c>
      <c r="D608" s="16" t="s">
        <v>94</v>
      </c>
      <c r="E608" s="17" t="s">
        <v>386</v>
      </c>
      <c r="F608" s="17" t="s">
        <v>156</v>
      </c>
      <c r="G608" s="17"/>
      <c r="H608" s="18" t="s">
        <v>33</v>
      </c>
      <c r="I608" s="12" t="str">
        <f aca="false">IF(OR(H608="Passed",H608="Accepted Exception"),"GREEN",IF(OR(H608="Not Started",H608="Failed"),"RED","AMBER"))</f>
        <v>RED</v>
      </c>
      <c r="J608" s="19" t="s">
        <v>34</v>
      </c>
      <c r="K608" s="14" t="str">
        <f aca="false">IF(OR(J608="Réussi",J608="Exception acceptée"),"GREEN",IF(OR(J608="Non commencé",J608="Échec"),"RED","AMBER"))</f>
        <v>RED</v>
      </c>
      <c r="L608" s="17"/>
      <c r="M608" s="17"/>
      <c r="N608" s="15" t="str">
        <f aca="true">IF(G608&lt;&gt;"",TODAY()-G608,"")</f>
        <v/>
      </c>
    </row>
    <row r="609" customFormat="false" ht="18" hidden="false" customHeight="true" outlineLevel="0" collapsed="false">
      <c r="A609" s="9" t="s">
        <v>157</v>
      </c>
      <c r="B609" s="10" t="s">
        <v>158</v>
      </c>
      <c r="C609" s="10" t="s">
        <v>385</v>
      </c>
      <c r="D609" s="9" t="s">
        <v>94</v>
      </c>
      <c r="E609" s="10" t="s">
        <v>386</v>
      </c>
      <c r="F609" s="10" t="s">
        <v>157</v>
      </c>
      <c r="G609" s="10"/>
      <c r="H609" s="11" t="s">
        <v>33</v>
      </c>
      <c r="I609" s="12" t="str">
        <f aca="false">IF(OR(H609="Passed",H609="Accepted Exception"),"GREEN",IF(OR(H609="Not Started",H609="Failed"),"RED","AMBER"))</f>
        <v>RED</v>
      </c>
      <c r="J609" s="13" t="s">
        <v>34</v>
      </c>
      <c r="K609" s="14" t="str">
        <f aca="false">IF(OR(J609="Réussi",J609="Exception acceptée"),"GREEN",IF(OR(J609="Non commencé",J609="Échec"),"RED","AMBER"))</f>
        <v>RED</v>
      </c>
      <c r="L609" s="10"/>
      <c r="M609" s="10"/>
      <c r="N609" s="15" t="str">
        <f aca="true">IF(G609&lt;&gt;"",TODAY()-G609,"")</f>
        <v/>
      </c>
    </row>
    <row r="610" customFormat="false" ht="18" hidden="false" customHeight="true" outlineLevel="0" collapsed="false">
      <c r="A610" s="16" t="s">
        <v>387</v>
      </c>
      <c r="B610" s="17" t="s">
        <v>371</v>
      </c>
      <c r="C610" s="17" t="s">
        <v>385</v>
      </c>
      <c r="D610" s="16" t="s">
        <v>94</v>
      </c>
      <c r="E610" s="17" t="s">
        <v>386</v>
      </c>
      <c r="F610" s="17" t="s">
        <v>387</v>
      </c>
      <c r="G610" s="17"/>
      <c r="H610" s="18" t="s">
        <v>33</v>
      </c>
      <c r="I610" s="12" t="str">
        <f aca="false">IF(OR(H610="Passed",H610="Accepted Exception"),"GREEN",IF(OR(H610="Not Started",H610="Failed"),"RED","AMBER"))</f>
        <v>RED</v>
      </c>
      <c r="J610" s="19" t="s">
        <v>34</v>
      </c>
      <c r="K610" s="14" t="str">
        <f aca="false">IF(OR(J610="Réussi",J610="Exception acceptée"),"GREEN",IF(OR(J610="Non commencé",J610="Échec"),"RED","AMBER"))</f>
        <v>RED</v>
      </c>
      <c r="L610" s="17"/>
      <c r="M610" s="17"/>
      <c r="N610" s="15" t="str">
        <f aca="true">IF(G610&lt;&gt;"",TODAY()-G610,"")</f>
        <v/>
      </c>
    </row>
    <row r="611" customFormat="false" ht="18" hidden="false" customHeight="true" outlineLevel="0" collapsed="false">
      <c r="A611" s="9" t="s">
        <v>388</v>
      </c>
      <c r="B611" s="10" t="s">
        <v>371</v>
      </c>
      <c r="C611" s="10" t="s">
        <v>385</v>
      </c>
      <c r="D611" s="9" t="s">
        <v>94</v>
      </c>
      <c r="E611" s="10" t="s">
        <v>386</v>
      </c>
      <c r="F611" s="10" t="s">
        <v>389</v>
      </c>
      <c r="G611" s="10"/>
      <c r="H611" s="11" t="s">
        <v>33</v>
      </c>
      <c r="I611" s="12" t="str">
        <f aca="false">IF(OR(H611="Passed",H611="Accepted Exception"),"GREEN",IF(OR(H611="Not Started",H611="Failed"),"RED","AMBER"))</f>
        <v>RED</v>
      </c>
      <c r="J611" s="13" t="s">
        <v>34</v>
      </c>
      <c r="K611" s="14" t="str">
        <f aca="false">IF(OR(J611="Réussi",J611="Exception acceptée"),"GREEN",IF(OR(J611="Non commencé",J611="Échec"),"RED","AMBER"))</f>
        <v>RED</v>
      </c>
      <c r="L611" s="10"/>
      <c r="M611" s="10"/>
      <c r="N611" s="15" t="str">
        <f aca="true">IF(G611&lt;&gt;"",TODAY()-G611,"")</f>
        <v/>
      </c>
    </row>
    <row r="612" customFormat="false" ht="18" hidden="false" customHeight="true" outlineLevel="0" collapsed="false">
      <c r="A612" s="16" t="s">
        <v>390</v>
      </c>
      <c r="B612" s="17" t="s">
        <v>371</v>
      </c>
      <c r="C612" s="17" t="s">
        <v>385</v>
      </c>
      <c r="D612" s="16" t="s">
        <v>94</v>
      </c>
      <c r="E612" s="17" t="s">
        <v>386</v>
      </c>
      <c r="F612" s="17" t="s">
        <v>391</v>
      </c>
      <c r="G612" s="17"/>
      <c r="H612" s="18" t="s">
        <v>33</v>
      </c>
      <c r="I612" s="12" t="str">
        <f aca="false">IF(OR(H612="Passed",H612="Accepted Exception"),"GREEN",IF(OR(H612="Not Started",H612="Failed"),"RED","AMBER"))</f>
        <v>RED</v>
      </c>
      <c r="J612" s="19" t="s">
        <v>34</v>
      </c>
      <c r="K612" s="14" t="str">
        <f aca="false">IF(OR(J612="Réussi",J612="Exception acceptée"),"GREEN",IF(OR(J612="Non commencé",J612="Échec"),"RED","AMBER"))</f>
        <v>RED</v>
      </c>
      <c r="L612" s="17"/>
      <c r="M612" s="17"/>
      <c r="N612" s="15" t="str">
        <f aca="true">IF(G612&lt;&gt;"",TODAY()-G612,"")</f>
        <v/>
      </c>
    </row>
    <row r="613" customFormat="false" ht="18" hidden="false" customHeight="true" outlineLevel="0" collapsed="false">
      <c r="A613" s="9" t="s">
        <v>370</v>
      </c>
      <c r="B613" s="10" t="s">
        <v>371</v>
      </c>
      <c r="C613" s="10" t="s">
        <v>385</v>
      </c>
      <c r="D613" s="9" t="s">
        <v>94</v>
      </c>
      <c r="E613" s="10" t="s">
        <v>386</v>
      </c>
      <c r="F613" s="10" t="s">
        <v>372</v>
      </c>
      <c r="G613" s="10"/>
      <c r="H613" s="11" t="s">
        <v>33</v>
      </c>
      <c r="I613" s="12" t="str">
        <f aca="false">IF(OR(H613="Passed",H613="Accepted Exception"),"GREEN",IF(OR(H613="Not Started",H613="Failed"),"RED","AMBER"))</f>
        <v>RED</v>
      </c>
      <c r="J613" s="13" t="s">
        <v>34</v>
      </c>
      <c r="K613" s="14" t="str">
        <f aca="false">IF(OR(J613="Réussi",J613="Exception acceptée"),"GREEN",IF(OR(J613="Non commencé",J613="Échec"),"RED","AMBER"))</f>
        <v>RED</v>
      </c>
      <c r="L613" s="10"/>
      <c r="M613" s="10"/>
      <c r="N613" s="15" t="str">
        <f aca="true">IF(G613&lt;&gt;"",TODAY()-G613,"")</f>
        <v/>
      </c>
    </row>
    <row r="614" customFormat="false" ht="18" hidden="false" customHeight="true" outlineLevel="0" collapsed="false">
      <c r="A614" s="16" t="s">
        <v>95</v>
      </c>
      <c r="B614" s="17" t="s">
        <v>96</v>
      </c>
      <c r="C614" s="17" t="s">
        <v>385</v>
      </c>
      <c r="D614" s="16" t="s">
        <v>94</v>
      </c>
      <c r="E614" s="17" t="s">
        <v>386</v>
      </c>
      <c r="F614" s="17" t="s">
        <v>95</v>
      </c>
      <c r="G614" s="17"/>
      <c r="H614" s="18" t="s">
        <v>33</v>
      </c>
      <c r="I614" s="12" t="str">
        <f aca="false">IF(OR(H614="Passed",H614="Accepted Exception"),"GREEN",IF(OR(H614="Not Started",H614="Failed"),"RED","AMBER"))</f>
        <v>RED</v>
      </c>
      <c r="J614" s="19" t="s">
        <v>34</v>
      </c>
      <c r="K614" s="14" t="str">
        <f aca="false">IF(OR(J614="Réussi",J614="Exception acceptée"),"GREEN",IF(OR(J614="Non commencé",J614="Échec"),"RED","AMBER"))</f>
        <v>RED</v>
      </c>
      <c r="L614" s="17"/>
      <c r="M614" s="17"/>
      <c r="N614" s="15" t="str">
        <f aca="true">IF(G614&lt;&gt;"",TODAY()-G614,"")</f>
        <v/>
      </c>
    </row>
    <row r="615" customFormat="false" ht="18" hidden="false" customHeight="true" outlineLevel="0" collapsed="false">
      <c r="A615" s="9" t="s">
        <v>392</v>
      </c>
      <c r="B615" s="10" t="s">
        <v>393</v>
      </c>
      <c r="C615" s="10" t="s">
        <v>385</v>
      </c>
      <c r="D615" s="9" t="s">
        <v>94</v>
      </c>
      <c r="E615" s="10" t="s">
        <v>386</v>
      </c>
      <c r="F615" s="10" t="s">
        <v>392</v>
      </c>
      <c r="G615" s="10"/>
      <c r="H615" s="11" t="s">
        <v>33</v>
      </c>
      <c r="I615" s="12" t="str">
        <f aca="false">IF(OR(H615="Passed",H615="Accepted Exception"),"GREEN",IF(OR(H615="Not Started",H615="Failed"),"RED","AMBER"))</f>
        <v>RED</v>
      </c>
      <c r="J615" s="13" t="s">
        <v>34</v>
      </c>
      <c r="K615" s="14" t="str">
        <f aca="false">IF(OR(J615="Réussi",J615="Exception acceptée"),"GREEN",IF(OR(J615="Non commencé",J615="Échec"),"RED","AMBER"))</f>
        <v>RED</v>
      </c>
      <c r="L615" s="10"/>
      <c r="M615" s="10"/>
      <c r="N615" s="15" t="str">
        <f aca="true">IF(G615&lt;&gt;"",TODAY()-G615,"")</f>
        <v/>
      </c>
    </row>
    <row r="616" customFormat="false" ht="18" hidden="false" customHeight="true" outlineLevel="0" collapsed="false">
      <c r="A616" s="16" t="s">
        <v>159</v>
      </c>
      <c r="B616" s="17" t="s">
        <v>160</v>
      </c>
      <c r="C616" s="17" t="s">
        <v>385</v>
      </c>
      <c r="D616" s="16" t="s">
        <v>94</v>
      </c>
      <c r="E616" s="17" t="s">
        <v>386</v>
      </c>
      <c r="F616" s="17" t="s">
        <v>159</v>
      </c>
      <c r="G616" s="17"/>
      <c r="H616" s="18" t="s">
        <v>33</v>
      </c>
      <c r="I616" s="12" t="str">
        <f aca="false">IF(OR(H616="Passed",H616="Accepted Exception"),"GREEN",IF(OR(H616="Not Started",H616="Failed"),"RED","AMBER"))</f>
        <v>RED</v>
      </c>
      <c r="J616" s="19" t="s">
        <v>34</v>
      </c>
      <c r="K616" s="14" t="str">
        <f aca="false">IF(OR(J616="Réussi",J616="Exception acceptée"),"GREEN",IF(OR(J616="Non commencé",J616="Échec"),"RED","AMBER"))</f>
        <v>RED</v>
      </c>
      <c r="L616" s="17"/>
      <c r="M616" s="17"/>
      <c r="N616" s="15" t="str">
        <f aca="true">IF(G616&lt;&gt;"",TODAY()-G616,"")</f>
        <v/>
      </c>
    </row>
    <row r="617" customFormat="false" ht="18" hidden="false" customHeight="true" outlineLevel="0" collapsed="false">
      <c r="A617" s="9" t="s">
        <v>165</v>
      </c>
      <c r="B617" s="10" t="s">
        <v>166</v>
      </c>
      <c r="C617" s="10" t="s">
        <v>385</v>
      </c>
      <c r="D617" s="9" t="s">
        <v>94</v>
      </c>
      <c r="E617" s="10" t="s">
        <v>386</v>
      </c>
      <c r="F617" s="10" t="s">
        <v>165</v>
      </c>
      <c r="G617" s="10"/>
      <c r="H617" s="11" t="s">
        <v>33</v>
      </c>
      <c r="I617" s="12" t="str">
        <f aca="false">IF(OR(H617="Passed",H617="Accepted Exception"),"GREEN",IF(OR(H617="Not Started",H617="Failed"),"RED","AMBER"))</f>
        <v>RED</v>
      </c>
      <c r="J617" s="13" t="s">
        <v>34</v>
      </c>
      <c r="K617" s="14" t="str">
        <f aca="false">IF(OR(J617="Réussi",J617="Exception acceptée"),"GREEN",IF(OR(J617="Non commencé",J617="Échec"),"RED","AMBER"))</f>
        <v>RED</v>
      </c>
      <c r="L617" s="10"/>
      <c r="M617" s="10"/>
      <c r="N617" s="15" t="str">
        <f aca="true">IF(G617&lt;&gt;"",TODAY()-G617,"")</f>
        <v/>
      </c>
    </row>
    <row r="618" customFormat="false" ht="18" hidden="false" customHeight="true" outlineLevel="0" collapsed="false">
      <c r="A618" s="16" t="s">
        <v>167</v>
      </c>
      <c r="B618" s="17" t="s">
        <v>166</v>
      </c>
      <c r="C618" s="17" t="s">
        <v>385</v>
      </c>
      <c r="D618" s="16" t="s">
        <v>94</v>
      </c>
      <c r="E618" s="17" t="s">
        <v>386</v>
      </c>
      <c r="F618" s="17" t="s">
        <v>168</v>
      </c>
      <c r="G618" s="17"/>
      <c r="H618" s="18" t="s">
        <v>33</v>
      </c>
      <c r="I618" s="12" t="str">
        <f aca="false">IF(OR(H618="Passed",H618="Accepted Exception"),"GREEN",IF(OR(H618="Not Started",H618="Failed"),"RED","AMBER"))</f>
        <v>RED</v>
      </c>
      <c r="J618" s="19" t="s">
        <v>34</v>
      </c>
      <c r="K618" s="14" t="str">
        <f aca="false">IF(OR(J618="Réussi",J618="Exception acceptée"),"GREEN",IF(OR(J618="Non commencé",J618="Échec"),"RED","AMBER"))</f>
        <v>RED</v>
      </c>
      <c r="L618" s="17"/>
      <c r="M618" s="17"/>
      <c r="N618" s="15" t="str">
        <f aca="true">IF(G618&lt;&gt;"",TODAY()-G618,"")</f>
        <v/>
      </c>
    </row>
    <row r="619" customFormat="false" ht="18" hidden="false" customHeight="true" outlineLevel="0" collapsed="false">
      <c r="A619" s="9" t="s">
        <v>97</v>
      </c>
      <c r="B619" s="10" t="s">
        <v>98</v>
      </c>
      <c r="C619" s="10" t="s">
        <v>385</v>
      </c>
      <c r="D619" s="9" t="s">
        <v>94</v>
      </c>
      <c r="E619" s="10" t="s">
        <v>386</v>
      </c>
      <c r="F619" s="10" t="s">
        <v>97</v>
      </c>
      <c r="G619" s="10"/>
      <c r="H619" s="11" t="s">
        <v>33</v>
      </c>
      <c r="I619" s="12" t="str">
        <f aca="false">IF(OR(H619="Passed",H619="Accepted Exception"),"GREEN",IF(OR(H619="Not Started",H619="Failed"),"RED","AMBER"))</f>
        <v>RED</v>
      </c>
      <c r="J619" s="13" t="s">
        <v>34</v>
      </c>
      <c r="K619" s="14" t="str">
        <f aca="false">IF(OR(J619="Réussi",J619="Exception acceptée"),"GREEN",IF(OR(J619="Non commencé",J619="Échec"),"RED","AMBER"))</f>
        <v>RED</v>
      </c>
      <c r="L619" s="10"/>
      <c r="M619" s="10"/>
      <c r="N619" s="15" t="str">
        <f aca="true">IF(G619&lt;&gt;"",TODAY()-G619,"")</f>
        <v/>
      </c>
    </row>
    <row r="620" customFormat="false" ht="18" hidden="false" customHeight="true" outlineLevel="0" collapsed="false">
      <c r="A620" s="16" t="s">
        <v>99</v>
      </c>
      <c r="B620" s="17" t="s">
        <v>98</v>
      </c>
      <c r="C620" s="17" t="s">
        <v>385</v>
      </c>
      <c r="D620" s="16" t="s">
        <v>94</v>
      </c>
      <c r="E620" s="17" t="s">
        <v>386</v>
      </c>
      <c r="F620" s="17" t="s">
        <v>100</v>
      </c>
      <c r="G620" s="17"/>
      <c r="H620" s="18" t="s">
        <v>33</v>
      </c>
      <c r="I620" s="12" t="str">
        <f aca="false">IF(OR(H620="Passed",H620="Accepted Exception"),"GREEN",IF(OR(H620="Not Started",H620="Failed"),"RED","AMBER"))</f>
        <v>RED</v>
      </c>
      <c r="J620" s="19" t="s">
        <v>34</v>
      </c>
      <c r="K620" s="14" t="str">
        <f aca="false">IF(OR(J620="Réussi",J620="Exception acceptée"),"GREEN",IF(OR(J620="Non commencé",J620="Échec"),"RED","AMBER"))</f>
        <v>RED</v>
      </c>
      <c r="L620" s="17"/>
      <c r="M620" s="17"/>
      <c r="N620" s="15" t="str">
        <f aca="true">IF(G620&lt;&gt;"",TODAY()-G620,"")</f>
        <v/>
      </c>
    </row>
    <row r="621" customFormat="false" ht="18" hidden="false" customHeight="true" outlineLevel="0" collapsed="false">
      <c r="A621" s="9" t="s">
        <v>265</v>
      </c>
      <c r="B621" s="10" t="s">
        <v>266</v>
      </c>
      <c r="C621" s="10" t="s">
        <v>385</v>
      </c>
      <c r="D621" s="9" t="s">
        <v>66</v>
      </c>
      <c r="E621" s="10" t="s">
        <v>386</v>
      </c>
      <c r="F621" s="10" t="s">
        <v>265</v>
      </c>
      <c r="G621" s="10"/>
      <c r="H621" s="11" t="s">
        <v>33</v>
      </c>
      <c r="I621" s="12" t="str">
        <f aca="false">IF(OR(H621="Passed",H621="Accepted Exception"),"GREEN",IF(OR(H621="Not Started",H621="Failed"),"RED","AMBER"))</f>
        <v>RED</v>
      </c>
      <c r="J621" s="13" t="s">
        <v>34</v>
      </c>
      <c r="K621" s="14" t="str">
        <f aca="false">IF(OR(J621="Réussi",J621="Exception acceptée"),"GREEN",IF(OR(J621="Non commencé",J621="Échec"),"RED","AMBER"))</f>
        <v>RED</v>
      </c>
      <c r="L621" s="10"/>
      <c r="M621" s="10"/>
      <c r="N621" s="15" t="str">
        <f aca="true">IF(G621&lt;&gt;"",TODAY()-G621,"")</f>
        <v/>
      </c>
    </row>
    <row r="622" customFormat="false" ht="18" hidden="false" customHeight="true" outlineLevel="0" collapsed="false">
      <c r="A622" s="16" t="s">
        <v>267</v>
      </c>
      <c r="B622" s="17" t="s">
        <v>266</v>
      </c>
      <c r="C622" s="17" t="s">
        <v>385</v>
      </c>
      <c r="D622" s="16" t="s">
        <v>66</v>
      </c>
      <c r="E622" s="17" t="s">
        <v>386</v>
      </c>
      <c r="F622" s="17" t="s">
        <v>268</v>
      </c>
      <c r="G622" s="17"/>
      <c r="H622" s="18" t="s">
        <v>33</v>
      </c>
      <c r="I622" s="12" t="str">
        <f aca="false">IF(OR(H622="Passed",H622="Accepted Exception"),"GREEN",IF(OR(H622="Not Started",H622="Failed"),"RED","AMBER"))</f>
        <v>RED</v>
      </c>
      <c r="J622" s="19" t="s">
        <v>34</v>
      </c>
      <c r="K622" s="14" t="str">
        <f aca="false">IF(OR(J622="Réussi",J622="Exception acceptée"),"GREEN",IF(OR(J622="Non commencé",J622="Échec"),"RED","AMBER"))</f>
        <v>RED</v>
      </c>
      <c r="L622" s="17"/>
      <c r="M622" s="17"/>
      <c r="N622" s="15" t="str">
        <f aca="true">IF(G622&lt;&gt;"",TODAY()-G622,"")</f>
        <v/>
      </c>
    </row>
    <row r="623" customFormat="false" ht="18" hidden="false" customHeight="true" outlineLevel="0" collapsed="false">
      <c r="A623" s="9" t="s">
        <v>269</v>
      </c>
      <c r="B623" s="10" t="s">
        <v>270</v>
      </c>
      <c r="C623" s="10" t="s">
        <v>385</v>
      </c>
      <c r="D623" s="9" t="s">
        <v>66</v>
      </c>
      <c r="E623" s="10" t="s">
        <v>386</v>
      </c>
      <c r="F623" s="10" t="s">
        <v>269</v>
      </c>
      <c r="G623" s="10"/>
      <c r="H623" s="11" t="s">
        <v>33</v>
      </c>
      <c r="I623" s="12" t="str">
        <f aca="false">IF(OR(H623="Passed",H623="Accepted Exception"),"GREEN",IF(OR(H623="Not Started",H623="Failed"),"RED","AMBER"))</f>
        <v>RED</v>
      </c>
      <c r="J623" s="13" t="s">
        <v>34</v>
      </c>
      <c r="K623" s="14" t="str">
        <f aca="false">IF(OR(J623="Réussi",J623="Exception acceptée"),"GREEN",IF(OR(J623="Non commencé",J623="Échec"),"RED","AMBER"))</f>
        <v>RED</v>
      </c>
      <c r="L623" s="10"/>
      <c r="M623" s="10"/>
      <c r="N623" s="15" t="str">
        <f aca="true">IF(G623&lt;&gt;"",TODAY()-G623,"")</f>
        <v/>
      </c>
    </row>
    <row r="624" customFormat="false" ht="18" hidden="false" customHeight="true" outlineLevel="0" collapsed="false">
      <c r="A624" s="16" t="s">
        <v>271</v>
      </c>
      <c r="B624" s="17" t="s">
        <v>270</v>
      </c>
      <c r="C624" s="17" t="s">
        <v>385</v>
      </c>
      <c r="D624" s="16" t="s">
        <v>66</v>
      </c>
      <c r="E624" s="17" t="s">
        <v>386</v>
      </c>
      <c r="F624" s="17" t="s">
        <v>272</v>
      </c>
      <c r="G624" s="17"/>
      <c r="H624" s="18" t="s">
        <v>33</v>
      </c>
      <c r="I624" s="12" t="str">
        <f aca="false">IF(OR(H624="Passed",H624="Accepted Exception"),"GREEN",IF(OR(H624="Not Started",H624="Failed"),"RED","AMBER"))</f>
        <v>RED</v>
      </c>
      <c r="J624" s="19" t="s">
        <v>34</v>
      </c>
      <c r="K624" s="14" t="str">
        <f aca="false">IF(OR(J624="Réussi",J624="Exception acceptée"),"GREEN",IF(OR(J624="Non commencé",J624="Échec"),"RED","AMBER"))</f>
        <v>RED</v>
      </c>
      <c r="L624" s="17"/>
      <c r="M624" s="17"/>
      <c r="N624" s="15" t="str">
        <f aca="true">IF(G624&lt;&gt;"",TODAY()-G624,"")</f>
        <v/>
      </c>
    </row>
    <row r="625" customFormat="false" ht="18" hidden="false" customHeight="true" outlineLevel="0" collapsed="false">
      <c r="A625" s="9" t="s">
        <v>273</v>
      </c>
      <c r="B625" s="10" t="s">
        <v>270</v>
      </c>
      <c r="C625" s="10" t="s">
        <v>385</v>
      </c>
      <c r="D625" s="9" t="s">
        <v>66</v>
      </c>
      <c r="E625" s="10" t="s">
        <v>386</v>
      </c>
      <c r="F625" s="10" t="s">
        <v>274</v>
      </c>
      <c r="G625" s="10"/>
      <c r="H625" s="11" t="s">
        <v>33</v>
      </c>
      <c r="I625" s="12" t="str">
        <f aca="false">IF(OR(H625="Passed",H625="Accepted Exception"),"GREEN",IF(OR(H625="Not Started",H625="Failed"),"RED","AMBER"))</f>
        <v>RED</v>
      </c>
      <c r="J625" s="13" t="s">
        <v>34</v>
      </c>
      <c r="K625" s="14" t="str">
        <f aca="false">IF(OR(J625="Réussi",J625="Exception acceptée"),"GREEN",IF(OR(J625="Non commencé",J625="Échec"),"RED","AMBER"))</f>
        <v>RED</v>
      </c>
      <c r="L625" s="10"/>
      <c r="M625" s="10"/>
      <c r="N625" s="15" t="str">
        <f aca="true">IF(G625&lt;&gt;"",TODAY()-G625,"")</f>
        <v/>
      </c>
    </row>
    <row r="626" customFormat="false" ht="18" hidden="false" customHeight="true" outlineLevel="0" collapsed="false">
      <c r="A626" s="16" t="s">
        <v>275</v>
      </c>
      <c r="B626" s="17" t="s">
        <v>270</v>
      </c>
      <c r="C626" s="17" t="s">
        <v>385</v>
      </c>
      <c r="D626" s="16" t="s">
        <v>66</v>
      </c>
      <c r="E626" s="17" t="s">
        <v>386</v>
      </c>
      <c r="F626" s="17" t="s">
        <v>276</v>
      </c>
      <c r="G626" s="17"/>
      <c r="H626" s="18" t="s">
        <v>33</v>
      </c>
      <c r="I626" s="12" t="str">
        <f aca="false">IF(OR(H626="Passed",H626="Accepted Exception"),"GREEN",IF(OR(H626="Not Started",H626="Failed"),"RED","AMBER"))</f>
        <v>RED</v>
      </c>
      <c r="J626" s="19" t="s">
        <v>34</v>
      </c>
      <c r="K626" s="14" t="str">
        <f aca="false">IF(OR(J626="Réussi",J626="Exception acceptée"),"GREEN",IF(OR(J626="Non commencé",J626="Échec"),"RED","AMBER"))</f>
        <v>RED</v>
      </c>
      <c r="L626" s="17"/>
      <c r="M626" s="17"/>
      <c r="N626" s="15" t="str">
        <f aca="true">IF(G626&lt;&gt;"",TODAY()-G626,"")</f>
        <v/>
      </c>
    </row>
    <row r="627" customFormat="false" ht="18" hidden="false" customHeight="true" outlineLevel="0" collapsed="false">
      <c r="A627" s="9" t="s">
        <v>235</v>
      </c>
      <c r="B627" s="10" t="s">
        <v>65</v>
      </c>
      <c r="C627" s="10" t="s">
        <v>385</v>
      </c>
      <c r="D627" s="9" t="s">
        <v>66</v>
      </c>
      <c r="E627" s="10" t="s">
        <v>386</v>
      </c>
      <c r="F627" s="10" t="s">
        <v>235</v>
      </c>
      <c r="G627" s="10"/>
      <c r="H627" s="11" t="s">
        <v>33</v>
      </c>
      <c r="I627" s="12" t="str">
        <f aca="false">IF(OR(H627="Passed",H627="Accepted Exception"),"GREEN",IF(OR(H627="Not Started",H627="Failed"),"RED","AMBER"))</f>
        <v>RED</v>
      </c>
      <c r="J627" s="13" t="s">
        <v>34</v>
      </c>
      <c r="K627" s="14" t="str">
        <f aca="false">IF(OR(J627="Réussi",J627="Exception acceptée"),"GREEN",IF(OR(J627="Non commencé",J627="Échec"),"RED","AMBER"))</f>
        <v>RED</v>
      </c>
      <c r="L627" s="10"/>
      <c r="M627" s="10"/>
      <c r="N627" s="15" t="str">
        <f aca="true">IF(G627&lt;&gt;"",TODAY()-G627,"")</f>
        <v/>
      </c>
    </row>
    <row r="628" customFormat="false" ht="18" hidden="false" customHeight="true" outlineLevel="0" collapsed="false">
      <c r="A628" s="16" t="s">
        <v>236</v>
      </c>
      <c r="B628" s="17" t="s">
        <v>65</v>
      </c>
      <c r="C628" s="17" t="s">
        <v>385</v>
      </c>
      <c r="D628" s="16" t="s">
        <v>66</v>
      </c>
      <c r="E628" s="17" t="s">
        <v>386</v>
      </c>
      <c r="F628" s="17" t="s">
        <v>237</v>
      </c>
      <c r="G628" s="17"/>
      <c r="H628" s="18" t="s">
        <v>33</v>
      </c>
      <c r="I628" s="12" t="str">
        <f aca="false">IF(OR(H628="Passed",H628="Accepted Exception"),"GREEN",IF(OR(H628="Not Started",H628="Failed"),"RED","AMBER"))</f>
        <v>RED</v>
      </c>
      <c r="J628" s="19" t="s">
        <v>34</v>
      </c>
      <c r="K628" s="14" t="str">
        <f aca="false">IF(OR(J628="Réussi",J628="Exception acceptée"),"GREEN",IF(OR(J628="Non commencé",J628="Échec"),"RED","AMBER"))</f>
        <v>RED</v>
      </c>
      <c r="L628" s="17"/>
      <c r="M628" s="17"/>
      <c r="N628" s="15" t="str">
        <f aca="true">IF(G628&lt;&gt;"",TODAY()-G628,"")</f>
        <v/>
      </c>
    </row>
    <row r="629" customFormat="false" ht="18" hidden="false" customHeight="true" outlineLevel="0" collapsed="false">
      <c r="A629" s="9" t="s">
        <v>64</v>
      </c>
      <c r="B629" s="10" t="s">
        <v>65</v>
      </c>
      <c r="C629" s="10" t="s">
        <v>385</v>
      </c>
      <c r="D629" s="9" t="s">
        <v>66</v>
      </c>
      <c r="E629" s="10" t="s">
        <v>386</v>
      </c>
      <c r="F629" s="10" t="s">
        <v>67</v>
      </c>
      <c r="G629" s="10"/>
      <c r="H629" s="11" t="s">
        <v>33</v>
      </c>
      <c r="I629" s="12" t="str">
        <f aca="false">IF(OR(H629="Passed",H629="Accepted Exception"),"GREEN",IF(OR(H629="Not Started",H629="Failed"),"RED","AMBER"))</f>
        <v>RED</v>
      </c>
      <c r="J629" s="13" t="s">
        <v>34</v>
      </c>
      <c r="K629" s="14" t="str">
        <f aca="false">IF(OR(J629="Réussi",J629="Exception acceptée"),"GREEN",IF(OR(J629="Non commencé",J629="Échec"),"RED","AMBER"))</f>
        <v>RED</v>
      </c>
      <c r="L629" s="10"/>
      <c r="M629" s="10"/>
      <c r="N629" s="15" t="str">
        <f aca="true">IF(G629&lt;&gt;"",TODAY()-G629,"")</f>
        <v/>
      </c>
    </row>
    <row r="630" customFormat="false" ht="18" hidden="false" customHeight="true" outlineLevel="0" collapsed="false">
      <c r="A630" s="16" t="s">
        <v>171</v>
      </c>
      <c r="B630" s="17" t="s">
        <v>65</v>
      </c>
      <c r="C630" s="17" t="s">
        <v>385</v>
      </c>
      <c r="D630" s="16" t="s">
        <v>66</v>
      </c>
      <c r="E630" s="17" t="s">
        <v>386</v>
      </c>
      <c r="F630" s="17" t="s">
        <v>172</v>
      </c>
      <c r="G630" s="17"/>
      <c r="H630" s="18" t="s">
        <v>33</v>
      </c>
      <c r="I630" s="12" t="str">
        <f aca="false">IF(OR(H630="Passed",H630="Accepted Exception"),"GREEN",IF(OR(H630="Not Started",H630="Failed"),"RED","AMBER"))</f>
        <v>RED</v>
      </c>
      <c r="J630" s="19" t="s">
        <v>34</v>
      </c>
      <c r="K630" s="14" t="str">
        <f aca="false">IF(OR(J630="Réussi",J630="Exception acceptée"),"GREEN",IF(OR(J630="Non commencé",J630="Échec"),"RED","AMBER"))</f>
        <v>RED</v>
      </c>
      <c r="L630" s="17"/>
      <c r="M630" s="17"/>
      <c r="N630" s="15" t="str">
        <f aca="true">IF(G630&lt;&gt;"",TODAY()-G630,"")</f>
        <v/>
      </c>
    </row>
    <row r="631" customFormat="false" ht="18" hidden="false" customHeight="true" outlineLevel="0" collapsed="false">
      <c r="A631" s="9" t="s">
        <v>238</v>
      </c>
      <c r="B631" s="10" t="s">
        <v>65</v>
      </c>
      <c r="C631" s="10" t="s">
        <v>385</v>
      </c>
      <c r="D631" s="9" t="s">
        <v>66</v>
      </c>
      <c r="E631" s="10" t="s">
        <v>386</v>
      </c>
      <c r="F631" s="10" t="s">
        <v>239</v>
      </c>
      <c r="G631" s="10"/>
      <c r="H631" s="11" t="s">
        <v>33</v>
      </c>
      <c r="I631" s="12" t="str">
        <f aca="false">IF(OR(H631="Passed",H631="Accepted Exception"),"GREEN",IF(OR(H631="Not Started",H631="Failed"),"RED","AMBER"))</f>
        <v>RED</v>
      </c>
      <c r="J631" s="13" t="s">
        <v>34</v>
      </c>
      <c r="K631" s="14" t="str">
        <f aca="false">IF(OR(J631="Réussi",J631="Exception acceptée"),"GREEN",IF(OR(J631="Non commencé",J631="Échec"),"RED","AMBER"))</f>
        <v>RED</v>
      </c>
      <c r="L631" s="10"/>
      <c r="M631" s="10"/>
      <c r="N631" s="15" t="str">
        <f aca="true">IF(G631&lt;&gt;"",TODAY()-G631,"")</f>
        <v/>
      </c>
    </row>
    <row r="632" customFormat="false" ht="18" hidden="false" customHeight="true" outlineLevel="0" collapsed="false">
      <c r="A632" s="16" t="s">
        <v>240</v>
      </c>
      <c r="B632" s="17" t="s">
        <v>65</v>
      </c>
      <c r="C632" s="17" t="s">
        <v>385</v>
      </c>
      <c r="D632" s="16" t="s">
        <v>66</v>
      </c>
      <c r="E632" s="17" t="s">
        <v>386</v>
      </c>
      <c r="F632" s="17" t="s">
        <v>241</v>
      </c>
      <c r="G632" s="17"/>
      <c r="H632" s="18" t="s">
        <v>33</v>
      </c>
      <c r="I632" s="12" t="str">
        <f aca="false">IF(OR(H632="Passed",H632="Accepted Exception"),"GREEN",IF(OR(H632="Not Started",H632="Failed"),"RED","AMBER"))</f>
        <v>RED</v>
      </c>
      <c r="J632" s="19" t="s">
        <v>34</v>
      </c>
      <c r="K632" s="14" t="str">
        <f aca="false">IF(OR(J632="Réussi",J632="Exception acceptée"),"GREEN",IF(OR(J632="Non commencé",J632="Échec"),"RED","AMBER"))</f>
        <v>RED</v>
      </c>
      <c r="L632" s="17"/>
      <c r="M632" s="17"/>
      <c r="N632" s="15" t="str">
        <f aca="true">IF(G632&lt;&gt;"",TODAY()-G632,"")</f>
        <v/>
      </c>
    </row>
    <row r="633" customFormat="false" ht="18" hidden="false" customHeight="true" outlineLevel="0" collapsed="false">
      <c r="A633" s="9" t="s">
        <v>68</v>
      </c>
      <c r="B633" s="10" t="s">
        <v>69</v>
      </c>
      <c r="C633" s="10" t="s">
        <v>385</v>
      </c>
      <c r="D633" s="9" t="s">
        <v>66</v>
      </c>
      <c r="E633" s="10" t="s">
        <v>386</v>
      </c>
      <c r="F633" s="10" t="s">
        <v>68</v>
      </c>
      <c r="G633" s="10"/>
      <c r="H633" s="11" t="s">
        <v>33</v>
      </c>
      <c r="I633" s="12" t="str">
        <f aca="false">IF(OR(H633="Passed",H633="Accepted Exception"),"GREEN",IF(OR(H633="Not Started",H633="Failed"),"RED","AMBER"))</f>
        <v>RED</v>
      </c>
      <c r="J633" s="13" t="s">
        <v>34</v>
      </c>
      <c r="K633" s="14" t="str">
        <f aca="false">IF(OR(J633="Réussi",J633="Exception acceptée"),"GREEN",IF(OR(J633="Non commencé",J633="Échec"),"RED","AMBER"))</f>
        <v>RED</v>
      </c>
      <c r="L633" s="10"/>
      <c r="M633" s="10"/>
      <c r="N633" s="15" t="str">
        <f aca="true">IF(G633&lt;&gt;"",TODAY()-G633,"")</f>
        <v/>
      </c>
    </row>
    <row r="634" customFormat="false" ht="18" hidden="false" customHeight="true" outlineLevel="0" collapsed="false">
      <c r="A634" s="16" t="s">
        <v>242</v>
      </c>
      <c r="B634" s="17" t="s">
        <v>176</v>
      </c>
      <c r="C634" s="17" t="s">
        <v>385</v>
      </c>
      <c r="D634" s="16" t="s">
        <v>66</v>
      </c>
      <c r="E634" s="17" t="s">
        <v>386</v>
      </c>
      <c r="F634" s="17" t="s">
        <v>243</v>
      </c>
      <c r="G634" s="17"/>
      <c r="H634" s="18" t="s">
        <v>33</v>
      </c>
      <c r="I634" s="12" t="str">
        <f aca="false">IF(OR(H634="Passed",H634="Accepted Exception"),"GREEN",IF(OR(H634="Not Started",H634="Failed"),"RED","AMBER"))</f>
        <v>RED</v>
      </c>
      <c r="J634" s="19" t="s">
        <v>34</v>
      </c>
      <c r="K634" s="14" t="str">
        <f aca="false">IF(OR(J634="Réussi",J634="Exception acceptée"),"GREEN",IF(OR(J634="Non commencé",J634="Échec"),"RED","AMBER"))</f>
        <v>RED</v>
      </c>
      <c r="L634" s="17"/>
      <c r="M634" s="17"/>
      <c r="N634" s="15" t="str">
        <f aca="true">IF(G634&lt;&gt;"",TODAY()-G634,"")</f>
        <v/>
      </c>
    </row>
    <row r="635" customFormat="false" ht="18" hidden="false" customHeight="true" outlineLevel="0" collapsed="false">
      <c r="A635" s="9" t="s">
        <v>379</v>
      </c>
      <c r="B635" s="10" t="s">
        <v>380</v>
      </c>
      <c r="C635" s="10" t="s">
        <v>385</v>
      </c>
      <c r="D635" s="9" t="s">
        <v>66</v>
      </c>
      <c r="E635" s="10" t="s">
        <v>386</v>
      </c>
      <c r="F635" s="10" t="s">
        <v>379</v>
      </c>
      <c r="G635" s="10"/>
      <c r="H635" s="11" t="s">
        <v>33</v>
      </c>
      <c r="I635" s="12" t="str">
        <f aca="false">IF(OR(H635="Passed",H635="Accepted Exception"),"GREEN",IF(OR(H635="Not Started",H635="Failed"),"RED","AMBER"))</f>
        <v>RED</v>
      </c>
      <c r="J635" s="13" t="s">
        <v>34</v>
      </c>
      <c r="K635" s="14" t="str">
        <f aca="false">IF(OR(J635="Réussi",J635="Exception acceptée"),"GREEN",IF(OR(J635="Non commencé",J635="Échec"),"RED","AMBER"))</f>
        <v>RED</v>
      </c>
      <c r="L635" s="10"/>
      <c r="M635" s="10"/>
      <c r="N635" s="15" t="str">
        <f aca="true">IF(G635&lt;&gt;"",TODAY()-G635,"")</f>
        <v/>
      </c>
    </row>
    <row r="636" customFormat="false" ht="18" hidden="false" customHeight="true" outlineLevel="0" collapsed="false">
      <c r="A636" s="16" t="s">
        <v>381</v>
      </c>
      <c r="B636" s="17" t="s">
        <v>380</v>
      </c>
      <c r="C636" s="17" t="s">
        <v>385</v>
      </c>
      <c r="D636" s="16" t="s">
        <v>66</v>
      </c>
      <c r="E636" s="17" t="s">
        <v>386</v>
      </c>
      <c r="F636" s="17" t="s">
        <v>382</v>
      </c>
      <c r="G636" s="17"/>
      <c r="H636" s="18" t="s">
        <v>33</v>
      </c>
      <c r="I636" s="12" t="str">
        <f aca="false">IF(OR(H636="Passed",H636="Accepted Exception"),"GREEN",IF(OR(H636="Not Started",H636="Failed"),"RED","AMBER"))</f>
        <v>RED</v>
      </c>
      <c r="J636" s="19" t="s">
        <v>34</v>
      </c>
      <c r="K636" s="14" t="str">
        <f aca="false">IF(OR(J636="Réussi",J636="Exception acceptée"),"GREEN",IF(OR(J636="Non commencé",J636="Échec"),"RED","AMBER"))</f>
        <v>RED</v>
      </c>
      <c r="L636" s="17"/>
      <c r="M636" s="17"/>
      <c r="N636" s="15" t="str">
        <f aca="true">IF(G636&lt;&gt;"",TODAY()-G636,"")</f>
        <v/>
      </c>
    </row>
    <row r="637" customFormat="false" ht="18" hidden="false" customHeight="true" outlineLevel="0" collapsed="false">
      <c r="A637" s="9" t="s">
        <v>383</v>
      </c>
      <c r="B637" s="10" t="s">
        <v>380</v>
      </c>
      <c r="C637" s="10" t="s">
        <v>385</v>
      </c>
      <c r="D637" s="9" t="s">
        <v>66</v>
      </c>
      <c r="E637" s="10" t="s">
        <v>386</v>
      </c>
      <c r="F637" s="10" t="s">
        <v>384</v>
      </c>
      <c r="G637" s="10"/>
      <c r="H637" s="11" t="s">
        <v>33</v>
      </c>
      <c r="I637" s="12" t="str">
        <f aca="false">IF(OR(H637="Passed",H637="Accepted Exception"),"GREEN",IF(OR(H637="Not Started",H637="Failed"),"RED","AMBER"))</f>
        <v>RED</v>
      </c>
      <c r="J637" s="13" t="s">
        <v>34</v>
      </c>
      <c r="K637" s="14" t="str">
        <f aca="false">IF(OR(J637="Réussi",J637="Exception acceptée"),"GREEN",IF(OR(J637="Non commencé",J637="Échec"),"RED","AMBER"))</f>
        <v>RED</v>
      </c>
      <c r="L637" s="10"/>
      <c r="M637" s="10"/>
      <c r="N637" s="15" t="str">
        <f aca="true">IF(G637&lt;&gt;"",TODAY()-G637,"")</f>
        <v/>
      </c>
    </row>
    <row r="638" customFormat="false" ht="18" hidden="false" customHeight="true" outlineLevel="0" collapsed="false">
      <c r="A638" s="16" t="s">
        <v>179</v>
      </c>
      <c r="B638" s="17" t="s">
        <v>180</v>
      </c>
      <c r="C638" s="17" t="s">
        <v>385</v>
      </c>
      <c r="D638" s="16" t="s">
        <v>66</v>
      </c>
      <c r="E638" s="17" t="s">
        <v>386</v>
      </c>
      <c r="F638" s="17" t="s">
        <v>179</v>
      </c>
      <c r="G638" s="17"/>
      <c r="H638" s="18" t="s">
        <v>33</v>
      </c>
      <c r="I638" s="12" t="str">
        <f aca="false">IF(OR(H638="Passed",H638="Accepted Exception"),"GREEN",IF(OR(H638="Not Started",H638="Failed"),"RED","AMBER"))</f>
        <v>RED</v>
      </c>
      <c r="J638" s="19" t="s">
        <v>34</v>
      </c>
      <c r="K638" s="14" t="str">
        <f aca="false">IF(OR(J638="Réussi",J638="Exception acceptée"),"GREEN",IF(OR(J638="Non commencé",J638="Échec"),"RED","AMBER"))</f>
        <v>RED</v>
      </c>
      <c r="L638" s="17"/>
      <c r="M638" s="17"/>
      <c r="N638" s="15" t="str">
        <f aca="true">IF(G638&lt;&gt;"",TODAY()-G638,"")</f>
        <v/>
      </c>
    </row>
    <row r="639" customFormat="false" ht="18" hidden="false" customHeight="true" outlineLevel="0" collapsed="false">
      <c r="A639" s="9" t="s">
        <v>28</v>
      </c>
      <c r="B639" s="10" t="s">
        <v>29</v>
      </c>
      <c r="C639" s="10" t="s">
        <v>394</v>
      </c>
      <c r="D639" s="9" t="s">
        <v>31</v>
      </c>
      <c r="E639" s="10" t="s">
        <v>395</v>
      </c>
      <c r="F639" s="10" t="s">
        <v>28</v>
      </c>
      <c r="G639" s="10"/>
      <c r="H639" s="11" t="s">
        <v>33</v>
      </c>
      <c r="I639" s="12" t="str">
        <f aca="false">IF(OR(H639="Passed",H639="Accepted Exception"),"GREEN",IF(OR(H639="Not Started",H639="Failed"),"RED","AMBER"))</f>
        <v>RED</v>
      </c>
      <c r="J639" s="13" t="s">
        <v>34</v>
      </c>
      <c r="K639" s="14" t="str">
        <f aca="false">IF(OR(J639="Réussi",J639="Exception acceptée"),"GREEN",IF(OR(J639="Non commencé",J639="Échec"),"RED","AMBER"))</f>
        <v>RED</v>
      </c>
      <c r="L639" s="10"/>
      <c r="M639" s="10"/>
      <c r="N639" s="15" t="str">
        <f aca="true">IF(G639&lt;&gt;"",TODAY()-G639,"")</f>
        <v/>
      </c>
    </row>
    <row r="640" customFormat="false" ht="18" hidden="false" customHeight="true" outlineLevel="0" collapsed="false">
      <c r="A640" s="16" t="s">
        <v>35</v>
      </c>
      <c r="B640" s="17" t="s">
        <v>36</v>
      </c>
      <c r="C640" s="17" t="s">
        <v>394</v>
      </c>
      <c r="D640" s="16" t="s">
        <v>31</v>
      </c>
      <c r="E640" s="17" t="s">
        <v>395</v>
      </c>
      <c r="F640" s="17" t="s">
        <v>35</v>
      </c>
      <c r="G640" s="17"/>
      <c r="H640" s="18" t="s">
        <v>33</v>
      </c>
      <c r="I640" s="12" t="str">
        <f aca="false">IF(OR(H640="Passed",H640="Accepted Exception"),"GREEN",IF(OR(H640="Not Started",H640="Failed"),"RED","AMBER"))</f>
        <v>RED</v>
      </c>
      <c r="J640" s="19" t="s">
        <v>34</v>
      </c>
      <c r="K640" s="14" t="str">
        <f aca="false">IF(OR(J640="Réussi",J640="Exception acceptée"),"GREEN",IF(OR(J640="Non commencé",J640="Échec"),"RED","AMBER"))</f>
        <v>RED</v>
      </c>
      <c r="L640" s="17"/>
      <c r="M640" s="17"/>
      <c r="N640" s="15" t="str">
        <f aca="true">IF(G640&lt;&gt;"",TODAY()-G640,"")</f>
        <v/>
      </c>
    </row>
    <row r="641" customFormat="false" ht="18" hidden="false" customHeight="true" outlineLevel="0" collapsed="false">
      <c r="A641" s="9" t="s">
        <v>37</v>
      </c>
      <c r="B641" s="10" t="s">
        <v>36</v>
      </c>
      <c r="C641" s="10" t="s">
        <v>394</v>
      </c>
      <c r="D641" s="9" t="s">
        <v>31</v>
      </c>
      <c r="E641" s="10" t="s">
        <v>395</v>
      </c>
      <c r="F641" s="10" t="s">
        <v>38</v>
      </c>
      <c r="G641" s="10"/>
      <c r="H641" s="11" t="s">
        <v>33</v>
      </c>
      <c r="I641" s="12" t="str">
        <f aca="false">IF(OR(H641="Passed",H641="Accepted Exception"),"GREEN",IF(OR(H641="Not Started",H641="Failed"),"RED","AMBER"))</f>
        <v>RED</v>
      </c>
      <c r="J641" s="13" t="s">
        <v>34</v>
      </c>
      <c r="K641" s="14" t="str">
        <f aca="false">IF(OR(J641="Réussi",J641="Exception acceptée"),"GREEN",IF(OR(J641="Non commencé",J641="Échec"),"RED","AMBER"))</f>
        <v>RED</v>
      </c>
      <c r="L641" s="10"/>
      <c r="M641" s="10"/>
      <c r="N641" s="15" t="str">
        <f aca="true">IF(G641&lt;&gt;"",TODAY()-G641,"")</f>
        <v/>
      </c>
    </row>
    <row r="642" customFormat="false" ht="18" hidden="false" customHeight="true" outlineLevel="0" collapsed="false">
      <c r="A642" s="16" t="s">
        <v>39</v>
      </c>
      <c r="B642" s="17" t="s">
        <v>40</v>
      </c>
      <c r="C642" s="17" t="s">
        <v>394</v>
      </c>
      <c r="D642" s="16" t="s">
        <v>31</v>
      </c>
      <c r="E642" s="17" t="s">
        <v>395</v>
      </c>
      <c r="F642" s="17" t="s">
        <v>41</v>
      </c>
      <c r="G642" s="17"/>
      <c r="H642" s="18" t="s">
        <v>33</v>
      </c>
      <c r="I642" s="12" t="str">
        <f aca="false">IF(OR(H642="Passed",H642="Accepted Exception"),"GREEN",IF(OR(H642="Not Started",H642="Failed"),"RED","AMBER"))</f>
        <v>RED</v>
      </c>
      <c r="J642" s="19" t="s">
        <v>34</v>
      </c>
      <c r="K642" s="14" t="str">
        <f aca="false">IF(OR(J642="Réussi",J642="Exception acceptée"),"GREEN",IF(OR(J642="Non commencé",J642="Échec"),"RED","AMBER"))</f>
        <v>RED</v>
      </c>
      <c r="L642" s="17"/>
      <c r="M642" s="17"/>
      <c r="N642" s="15" t="str">
        <f aca="true">IF(G642&lt;&gt;"",TODAY()-G642,"")</f>
        <v/>
      </c>
    </row>
    <row r="643" customFormat="false" ht="18" hidden="false" customHeight="true" outlineLevel="0" collapsed="false">
      <c r="A643" s="9" t="s">
        <v>220</v>
      </c>
      <c r="B643" s="10" t="s">
        <v>221</v>
      </c>
      <c r="C643" s="10" t="s">
        <v>394</v>
      </c>
      <c r="D643" s="9" t="s">
        <v>31</v>
      </c>
      <c r="E643" s="10" t="s">
        <v>395</v>
      </c>
      <c r="F643" s="10" t="s">
        <v>220</v>
      </c>
      <c r="G643" s="10"/>
      <c r="H643" s="11" t="s">
        <v>33</v>
      </c>
      <c r="I643" s="12" t="str">
        <f aca="false">IF(OR(H643="Passed",H643="Accepted Exception"),"GREEN",IF(OR(H643="Not Started",H643="Failed"),"RED","AMBER"))</f>
        <v>RED</v>
      </c>
      <c r="J643" s="13" t="s">
        <v>34</v>
      </c>
      <c r="K643" s="14" t="str">
        <f aca="false">IF(OR(J643="Réussi",J643="Exception acceptée"),"GREEN",IF(OR(J643="Non commencé",J643="Échec"),"RED","AMBER"))</f>
        <v>RED</v>
      </c>
      <c r="L643" s="10"/>
      <c r="M643" s="10"/>
      <c r="N643" s="15" t="str">
        <f aca="true">IF(G643&lt;&gt;"",TODAY()-G643,"")</f>
        <v/>
      </c>
    </row>
    <row r="644" customFormat="false" ht="18" hidden="false" customHeight="true" outlineLevel="0" collapsed="false">
      <c r="A644" s="16" t="s">
        <v>42</v>
      </c>
      <c r="B644" s="17" t="s">
        <v>43</v>
      </c>
      <c r="C644" s="17" t="s">
        <v>394</v>
      </c>
      <c r="D644" s="16" t="s">
        <v>31</v>
      </c>
      <c r="E644" s="17" t="s">
        <v>395</v>
      </c>
      <c r="F644" s="17" t="s">
        <v>42</v>
      </c>
      <c r="G644" s="17"/>
      <c r="H644" s="18" t="s">
        <v>33</v>
      </c>
      <c r="I644" s="12" t="str">
        <f aca="false">IF(OR(H644="Passed",H644="Accepted Exception"),"GREEN",IF(OR(H644="Not Started",H644="Failed"),"RED","AMBER"))</f>
        <v>RED</v>
      </c>
      <c r="J644" s="19" t="s">
        <v>34</v>
      </c>
      <c r="K644" s="14" t="str">
        <f aca="false">IF(OR(J644="Réussi",J644="Exception acceptée"),"GREEN",IF(OR(J644="Non commencé",J644="Échec"),"RED","AMBER"))</f>
        <v>RED</v>
      </c>
      <c r="L644" s="17"/>
      <c r="M644" s="17"/>
      <c r="N644" s="15" t="str">
        <f aca="true">IF(G644&lt;&gt;"",TODAY()-G644,"")</f>
        <v/>
      </c>
    </row>
    <row r="645" customFormat="false" ht="18" hidden="false" customHeight="true" outlineLevel="0" collapsed="false">
      <c r="A645" s="9" t="s">
        <v>74</v>
      </c>
      <c r="B645" s="10" t="s">
        <v>75</v>
      </c>
      <c r="C645" s="10" t="s">
        <v>394</v>
      </c>
      <c r="D645" s="9" t="s">
        <v>46</v>
      </c>
      <c r="E645" s="10" t="s">
        <v>395</v>
      </c>
      <c r="F645" s="10" t="s">
        <v>76</v>
      </c>
      <c r="G645" s="10"/>
      <c r="H645" s="11" t="s">
        <v>33</v>
      </c>
      <c r="I645" s="12" t="str">
        <f aca="false">IF(OR(H645="Passed",H645="Accepted Exception"),"GREEN",IF(OR(H645="Not Started",H645="Failed"),"RED","AMBER"))</f>
        <v>RED</v>
      </c>
      <c r="J645" s="13" t="s">
        <v>34</v>
      </c>
      <c r="K645" s="14" t="str">
        <f aca="false">IF(OR(J645="Réussi",J645="Exception acceptée"),"GREEN",IF(OR(J645="Non commencé",J645="Échec"),"RED","AMBER"))</f>
        <v>RED</v>
      </c>
      <c r="L645" s="10"/>
      <c r="M645" s="10"/>
      <c r="N645" s="15" t="str">
        <f aca="true">IF(G645&lt;&gt;"",TODAY()-G645,"")</f>
        <v/>
      </c>
    </row>
    <row r="646" customFormat="false" ht="18" hidden="false" customHeight="true" outlineLevel="0" collapsed="false">
      <c r="A646" s="16" t="s">
        <v>44</v>
      </c>
      <c r="B646" s="17" t="s">
        <v>45</v>
      </c>
      <c r="C646" s="17" t="s">
        <v>394</v>
      </c>
      <c r="D646" s="16" t="s">
        <v>46</v>
      </c>
      <c r="E646" s="17" t="s">
        <v>395</v>
      </c>
      <c r="F646" s="17" t="s">
        <v>44</v>
      </c>
      <c r="G646" s="17"/>
      <c r="H646" s="18" t="s">
        <v>33</v>
      </c>
      <c r="I646" s="12" t="str">
        <f aca="false">IF(OR(H646="Passed",H646="Accepted Exception"),"GREEN",IF(OR(H646="Not Started",H646="Failed"),"RED","AMBER"))</f>
        <v>RED</v>
      </c>
      <c r="J646" s="19" t="s">
        <v>34</v>
      </c>
      <c r="K646" s="14" t="str">
        <f aca="false">IF(OR(J646="Réussi",J646="Exception acceptée"),"GREEN",IF(OR(J646="Non commencé",J646="Échec"),"RED","AMBER"))</f>
        <v>RED</v>
      </c>
      <c r="L646" s="17"/>
      <c r="M646" s="17"/>
      <c r="N646" s="15" t="str">
        <f aca="true">IF(G646&lt;&gt;"",TODAY()-G646,"")</f>
        <v/>
      </c>
    </row>
    <row r="647" customFormat="false" ht="18" hidden="false" customHeight="true" outlineLevel="0" collapsed="false">
      <c r="A647" s="9" t="s">
        <v>47</v>
      </c>
      <c r="B647" s="10" t="s">
        <v>48</v>
      </c>
      <c r="C647" s="10" t="s">
        <v>394</v>
      </c>
      <c r="D647" s="9" t="s">
        <v>46</v>
      </c>
      <c r="E647" s="10" t="s">
        <v>395</v>
      </c>
      <c r="F647" s="10" t="s">
        <v>47</v>
      </c>
      <c r="G647" s="10"/>
      <c r="H647" s="11" t="s">
        <v>33</v>
      </c>
      <c r="I647" s="12" t="str">
        <f aca="false">IF(OR(H647="Passed",H647="Accepted Exception"),"GREEN",IF(OR(H647="Not Started",H647="Failed"),"RED","AMBER"))</f>
        <v>RED</v>
      </c>
      <c r="J647" s="13" t="s">
        <v>34</v>
      </c>
      <c r="K647" s="14" t="str">
        <f aca="false">IF(OR(J647="Réussi",J647="Exception acceptée"),"GREEN",IF(OR(J647="Non commencé",J647="Échec"),"RED","AMBER"))</f>
        <v>RED</v>
      </c>
      <c r="L647" s="10"/>
      <c r="M647" s="10"/>
      <c r="N647" s="15" t="str">
        <f aca="true">IF(G647&lt;&gt;"",TODAY()-G647,"")</f>
        <v/>
      </c>
    </row>
    <row r="648" customFormat="false" ht="18" hidden="false" customHeight="true" outlineLevel="0" collapsed="false">
      <c r="A648" s="16" t="s">
        <v>49</v>
      </c>
      <c r="B648" s="17" t="s">
        <v>48</v>
      </c>
      <c r="C648" s="17" t="s">
        <v>394</v>
      </c>
      <c r="D648" s="16" t="s">
        <v>46</v>
      </c>
      <c r="E648" s="17" t="s">
        <v>395</v>
      </c>
      <c r="F648" s="17" t="s">
        <v>50</v>
      </c>
      <c r="G648" s="17"/>
      <c r="H648" s="18" t="s">
        <v>33</v>
      </c>
      <c r="I648" s="12" t="str">
        <f aca="false">IF(OR(H648="Passed",H648="Accepted Exception"),"GREEN",IF(OR(H648="Not Started",H648="Failed"),"RED","AMBER"))</f>
        <v>RED</v>
      </c>
      <c r="J648" s="19" t="s">
        <v>34</v>
      </c>
      <c r="K648" s="14" t="str">
        <f aca="false">IF(OR(J648="Réussi",J648="Exception acceptée"),"GREEN",IF(OR(J648="Non commencé",J648="Échec"),"RED","AMBER"))</f>
        <v>RED</v>
      </c>
      <c r="L648" s="17"/>
      <c r="M648" s="17"/>
      <c r="N648" s="15" t="str">
        <f aca="true">IF(G648&lt;&gt;"",TODAY()-G648,"")</f>
        <v/>
      </c>
    </row>
    <row r="649" customFormat="false" ht="18" hidden="false" customHeight="true" outlineLevel="0" collapsed="false">
      <c r="A649" s="9" t="s">
        <v>80</v>
      </c>
      <c r="B649" s="10" t="s">
        <v>81</v>
      </c>
      <c r="C649" s="10" t="s">
        <v>394</v>
      </c>
      <c r="D649" s="9" t="s">
        <v>53</v>
      </c>
      <c r="E649" s="10" t="s">
        <v>395</v>
      </c>
      <c r="F649" s="10" t="s">
        <v>80</v>
      </c>
      <c r="G649" s="10"/>
      <c r="H649" s="11" t="s">
        <v>33</v>
      </c>
      <c r="I649" s="12" t="str">
        <f aca="false">IF(OR(H649="Passed",H649="Accepted Exception"),"GREEN",IF(OR(H649="Not Started",H649="Failed"),"RED","AMBER"))</f>
        <v>RED</v>
      </c>
      <c r="J649" s="13" t="s">
        <v>34</v>
      </c>
      <c r="K649" s="14" t="str">
        <f aca="false">IF(OR(J649="Réussi",J649="Exception acceptée"),"GREEN",IF(OR(J649="Non commencé",J649="Échec"),"RED","AMBER"))</f>
        <v>RED</v>
      </c>
      <c r="L649" s="10"/>
      <c r="M649" s="10"/>
      <c r="N649" s="15" t="str">
        <f aca="true">IF(G649&lt;&gt;"",TODAY()-G649,"")</f>
        <v/>
      </c>
    </row>
    <row r="650" customFormat="false" ht="18" hidden="false" customHeight="true" outlineLevel="0" collapsed="false">
      <c r="A650" s="16" t="s">
        <v>82</v>
      </c>
      <c r="B650" s="17" t="s">
        <v>81</v>
      </c>
      <c r="C650" s="17" t="s">
        <v>394</v>
      </c>
      <c r="D650" s="16" t="s">
        <v>53</v>
      </c>
      <c r="E650" s="17" t="s">
        <v>395</v>
      </c>
      <c r="F650" s="17" t="s">
        <v>83</v>
      </c>
      <c r="G650" s="17"/>
      <c r="H650" s="18" t="s">
        <v>33</v>
      </c>
      <c r="I650" s="12" t="str">
        <f aca="false">IF(OR(H650="Passed",H650="Accepted Exception"),"GREEN",IF(OR(H650="Not Started",H650="Failed"),"RED","AMBER"))</f>
        <v>RED</v>
      </c>
      <c r="J650" s="19" t="s">
        <v>34</v>
      </c>
      <c r="K650" s="14" t="str">
        <f aca="false">IF(OR(J650="Réussi",J650="Exception acceptée"),"GREEN",IF(OR(J650="Non commencé",J650="Échec"),"RED","AMBER"))</f>
        <v>RED</v>
      </c>
      <c r="L650" s="17"/>
      <c r="M650" s="17"/>
      <c r="N650" s="15" t="str">
        <f aca="true">IF(G650&lt;&gt;"",TODAY()-G650,"")</f>
        <v/>
      </c>
    </row>
    <row r="651" customFormat="false" ht="18" hidden="false" customHeight="true" outlineLevel="0" collapsed="false">
      <c r="A651" s="9" t="s">
        <v>84</v>
      </c>
      <c r="B651" s="10" t="s">
        <v>85</v>
      </c>
      <c r="C651" s="10" t="s">
        <v>394</v>
      </c>
      <c r="D651" s="9" t="s">
        <v>53</v>
      </c>
      <c r="E651" s="10" t="s">
        <v>395</v>
      </c>
      <c r="F651" s="10" t="s">
        <v>84</v>
      </c>
      <c r="G651" s="10"/>
      <c r="H651" s="11" t="s">
        <v>33</v>
      </c>
      <c r="I651" s="12" t="str">
        <f aca="false">IF(OR(H651="Passed",H651="Accepted Exception"),"GREEN",IF(OR(H651="Not Started",H651="Failed"),"RED","AMBER"))</f>
        <v>RED</v>
      </c>
      <c r="J651" s="13" t="s">
        <v>34</v>
      </c>
      <c r="K651" s="14" t="str">
        <f aca="false">IF(OR(J651="Réussi",J651="Exception acceptée"),"GREEN",IF(OR(J651="Non commencé",J651="Échec"),"RED","AMBER"))</f>
        <v>RED</v>
      </c>
      <c r="L651" s="10"/>
      <c r="M651" s="10"/>
      <c r="N651" s="15" t="str">
        <f aca="true">IF(G651&lt;&gt;"",TODAY()-G651,"")</f>
        <v/>
      </c>
    </row>
    <row r="652" customFormat="false" ht="18" hidden="false" customHeight="true" outlineLevel="0" collapsed="false">
      <c r="A652" s="16" t="s">
        <v>86</v>
      </c>
      <c r="B652" s="17" t="s">
        <v>85</v>
      </c>
      <c r="C652" s="17" t="s">
        <v>394</v>
      </c>
      <c r="D652" s="16" t="s">
        <v>53</v>
      </c>
      <c r="E652" s="17" t="s">
        <v>395</v>
      </c>
      <c r="F652" s="17" t="s">
        <v>87</v>
      </c>
      <c r="G652" s="17"/>
      <c r="H652" s="18" t="s">
        <v>33</v>
      </c>
      <c r="I652" s="12" t="str">
        <f aca="false">IF(OR(H652="Passed",H652="Accepted Exception"),"GREEN",IF(OR(H652="Not Started",H652="Failed"),"RED","AMBER"))</f>
        <v>RED</v>
      </c>
      <c r="J652" s="19" t="s">
        <v>34</v>
      </c>
      <c r="K652" s="14" t="str">
        <f aca="false">IF(OR(J652="Réussi",J652="Exception acceptée"),"GREEN",IF(OR(J652="Non commencé",J652="Échec"),"RED","AMBER"))</f>
        <v>RED</v>
      </c>
      <c r="L652" s="17"/>
      <c r="M652" s="17"/>
      <c r="N652" s="15" t="str">
        <f aca="true">IF(G652&lt;&gt;"",TODAY()-G652,"")</f>
        <v/>
      </c>
    </row>
    <row r="653" customFormat="false" ht="18" hidden="false" customHeight="true" outlineLevel="0" collapsed="false">
      <c r="A653" s="9" t="s">
        <v>88</v>
      </c>
      <c r="B653" s="10" t="s">
        <v>85</v>
      </c>
      <c r="C653" s="10" t="s">
        <v>394</v>
      </c>
      <c r="D653" s="9" t="s">
        <v>53</v>
      </c>
      <c r="E653" s="10" t="s">
        <v>395</v>
      </c>
      <c r="F653" s="10" t="s">
        <v>89</v>
      </c>
      <c r="G653" s="10"/>
      <c r="H653" s="11" t="s">
        <v>33</v>
      </c>
      <c r="I653" s="12" t="str">
        <f aca="false">IF(OR(H653="Passed",H653="Accepted Exception"),"GREEN",IF(OR(H653="Not Started",H653="Failed"),"RED","AMBER"))</f>
        <v>RED</v>
      </c>
      <c r="J653" s="13" t="s">
        <v>34</v>
      </c>
      <c r="K653" s="14" t="str">
        <f aca="false">IF(OR(J653="Réussi",J653="Exception acceptée"),"GREEN",IF(OR(J653="Non commencé",J653="Échec"),"RED","AMBER"))</f>
        <v>RED</v>
      </c>
      <c r="L653" s="10"/>
      <c r="M653" s="10"/>
      <c r="N653" s="15" t="str">
        <f aca="true">IF(G653&lt;&gt;"",TODAY()-G653,"")</f>
        <v/>
      </c>
    </row>
    <row r="654" customFormat="false" ht="18" hidden="false" customHeight="true" outlineLevel="0" collapsed="false">
      <c r="A654" s="16" t="s">
        <v>342</v>
      </c>
      <c r="B654" s="17" t="s">
        <v>85</v>
      </c>
      <c r="C654" s="17" t="s">
        <v>394</v>
      </c>
      <c r="D654" s="16" t="s">
        <v>53</v>
      </c>
      <c r="E654" s="17" t="s">
        <v>395</v>
      </c>
      <c r="F654" s="17" t="s">
        <v>343</v>
      </c>
      <c r="G654" s="17"/>
      <c r="H654" s="18" t="s">
        <v>33</v>
      </c>
      <c r="I654" s="12" t="str">
        <f aca="false">IF(OR(H654="Passed",H654="Accepted Exception"),"GREEN",IF(OR(H654="Not Started",H654="Failed"),"RED","AMBER"))</f>
        <v>RED</v>
      </c>
      <c r="J654" s="19" t="s">
        <v>34</v>
      </c>
      <c r="K654" s="14" t="str">
        <f aca="false">IF(OR(J654="Réussi",J654="Exception acceptée"),"GREEN",IF(OR(J654="Non commencé",J654="Échec"),"RED","AMBER"))</f>
        <v>RED</v>
      </c>
      <c r="L654" s="17"/>
      <c r="M654" s="17"/>
      <c r="N654" s="15" t="str">
        <f aca="true">IF(G654&lt;&gt;"",TODAY()-G654,"")</f>
        <v/>
      </c>
    </row>
    <row r="655" customFormat="false" ht="18" hidden="false" customHeight="true" outlineLevel="0" collapsed="false">
      <c r="A655" s="9" t="s">
        <v>90</v>
      </c>
      <c r="B655" s="10" t="s">
        <v>85</v>
      </c>
      <c r="C655" s="10" t="s">
        <v>394</v>
      </c>
      <c r="D655" s="9" t="s">
        <v>53</v>
      </c>
      <c r="E655" s="10" t="s">
        <v>395</v>
      </c>
      <c r="F655" s="10" t="s">
        <v>91</v>
      </c>
      <c r="G655" s="10"/>
      <c r="H655" s="11" t="s">
        <v>33</v>
      </c>
      <c r="I655" s="12" t="str">
        <f aca="false">IF(OR(H655="Passed",H655="Accepted Exception"),"GREEN",IF(OR(H655="Not Started",H655="Failed"),"RED","AMBER"))</f>
        <v>RED</v>
      </c>
      <c r="J655" s="13" t="s">
        <v>34</v>
      </c>
      <c r="K655" s="14" t="str">
        <f aca="false">IF(OR(J655="Réussi",J655="Exception acceptée"),"GREEN",IF(OR(J655="Non commencé",J655="Échec"),"RED","AMBER"))</f>
        <v>RED</v>
      </c>
      <c r="L655" s="10"/>
      <c r="M655" s="10"/>
      <c r="N655" s="15" t="str">
        <f aca="true">IF(G655&lt;&gt;"",TODAY()-G655,"")</f>
        <v/>
      </c>
    </row>
    <row r="656" customFormat="false" ht="18" hidden="false" customHeight="true" outlineLevel="0" collapsed="false">
      <c r="A656" s="16" t="s">
        <v>396</v>
      </c>
      <c r="B656" s="17" t="s">
        <v>85</v>
      </c>
      <c r="C656" s="17" t="s">
        <v>394</v>
      </c>
      <c r="D656" s="16" t="s">
        <v>53</v>
      </c>
      <c r="E656" s="17" t="s">
        <v>395</v>
      </c>
      <c r="F656" s="17" t="s">
        <v>397</v>
      </c>
      <c r="G656" s="17"/>
      <c r="H656" s="18" t="s">
        <v>33</v>
      </c>
      <c r="I656" s="12" t="str">
        <f aca="false">IF(OR(H656="Passed",H656="Accepted Exception"),"GREEN",IF(OR(H656="Not Started",H656="Failed"),"RED","AMBER"))</f>
        <v>RED</v>
      </c>
      <c r="J656" s="19" t="s">
        <v>34</v>
      </c>
      <c r="K656" s="14" t="str">
        <f aca="false">IF(OR(J656="Réussi",J656="Exception acceptée"),"GREEN",IF(OR(J656="Non commencé",J656="Échec"),"RED","AMBER"))</f>
        <v>RED</v>
      </c>
      <c r="L656" s="17"/>
      <c r="M656" s="17"/>
      <c r="N656" s="15" t="str">
        <f aca="true">IF(G656&lt;&gt;"",TODAY()-G656,"")</f>
        <v/>
      </c>
    </row>
    <row r="657" customFormat="false" ht="18" hidden="false" customHeight="true" outlineLevel="0" collapsed="false">
      <c r="A657" s="9" t="s">
        <v>56</v>
      </c>
      <c r="B657" s="10" t="s">
        <v>57</v>
      </c>
      <c r="C657" s="10" t="s">
        <v>394</v>
      </c>
      <c r="D657" s="9" t="s">
        <v>53</v>
      </c>
      <c r="E657" s="10" t="s">
        <v>395</v>
      </c>
      <c r="F657" s="10" t="s">
        <v>56</v>
      </c>
      <c r="G657" s="10"/>
      <c r="H657" s="11" t="s">
        <v>33</v>
      </c>
      <c r="I657" s="12" t="str">
        <f aca="false">IF(OR(H657="Passed",H657="Accepted Exception"),"GREEN",IF(OR(H657="Not Started",H657="Failed"),"RED","AMBER"))</f>
        <v>RED</v>
      </c>
      <c r="J657" s="13" t="s">
        <v>34</v>
      </c>
      <c r="K657" s="14" t="str">
        <f aca="false">IF(OR(J657="Réussi",J657="Exception acceptée"),"GREEN",IF(OR(J657="Non commencé",J657="Échec"),"RED","AMBER"))</f>
        <v>RED</v>
      </c>
      <c r="L657" s="10"/>
      <c r="M657" s="10"/>
      <c r="N657" s="15" t="str">
        <f aca="true">IF(G657&lt;&gt;"",TODAY()-G657,"")</f>
        <v/>
      </c>
    </row>
    <row r="658" customFormat="false" ht="18" hidden="false" customHeight="true" outlineLevel="0" collapsed="false">
      <c r="A658" s="16" t="s">
        <v>58</v>
      </c>
      <c r="B658" s="17" t="s">
        <v>57</v>
      </c>
      <c r="C658" s="17" t="s">
        <v>394</v>
      </c>
      <c r="D658" s="16" t="s">
        <v>53</v>
      </c>
      <c r="E658" s="17" t="s">
        <v>395</v>
      </c>
      <c r="F658" s="17" t="s">
        <v>59</v>
      </c>
      <c r="G658" s="17"/>
      <c r="H658" s="18" t="s">
        <v>33</v>
      </c>
      <c r="I658" s="12" t="str">
        <f aca="false">IF(OR(H658="Passed",H658="Accepted Exception"),"GREEN",IF(OR(H658="Not Started",H658="Failed"),"RED","AMBER"))</f>
        <v>RED</v>
      </c>
      <c r="J658" s="19" t="s">
        <v>34</v>
      </c>
      <c r="K658" s="14" t="str">
        <f aca="false">IF(OR(J658="Réussi",J658="Exception acceptée"),"GREEN",IF(OR(J658="Non commencé",J658="Échec"),"RED","AMBER"))</f>
        <v>RED</v>
      </c>
      <c r="L658" s="17"/>
      <c r="M658" s="17"/>
      <c r="N658" s="15" t="str">
        <f aca="true">IF(G658&lt;&gt;"",TODAY()-G658,"")</f>
        <v/>
      </c>
    </row>
    <row r="659" customFormat="false" ht="18" hidden="false" customHeight="true" outlineLevel="0" collapsed="false">
      <c r="A659" s="9" t="s">
        <v>60</v>
      </c>
      <c r="B659" s="10" t="s">
        <v>61</v>
      </c>
      <c r="C659" s="10" t="s">
        <v>394</v>
      </c>
      <c r="D659" s="9" t="s">
        <v>62</v>
      </c>
      <c r="E659" s="10" t="s">
        <v>395</v>
      </c>
      <c r="F659" s="10" t="s">
        <v>63</v>
      </c>
      <c r="G659" s="10"/>
      <c r="H659" s="11" t="s">
        <v>33</v>
      </c>
      <c r="I659" s="12" t="str">
        <f aca="false">IF(OR(H659="Passed",H659="Accepted Exception"),"GREEN",IF(OR(H659="Not Started",H659="Failed"),"RED","AMBER"))</f>
        <v>RED</v>
      </c>
      <c r="J659" s="13" t="s">
        <v>34</v>
      </c>
      <c r="K659" s="14" t="str">
        <f aca="false">IF(OR(J659="Réussi",J659="Exception acceptée"),"GREEN",IF(OR(J659="Non commencé",J659="Échec"),"RED","AMBER"))</f>
        <v>RED</v>
      </c>
      <c r="L659" s="10"/>
      <c r="M659" s="10"/>
      <c r="N659" s="15" t="str">
        <f aca="true">IF(G659&lt;&gt;"",TODAY()-G659,"")</f>
        <v/>
      </c>
    </row>
    <row r="660" customFormat="false" ht="18" hidden="false" customHeight="true" outlineLevel="0" collapsed="false">
      <c r="A660" s="16" t="s">
        <v>92</v>
      </c>
      <c r="B660" s="17" t="s">
        <v>93</v>
      </c>
      <c r="C660" s="17" t="s">
        <v>394</v>
      </c>
      <c r="D660" s="16" t="s">
        <v>94</v>
      </c>
      <c r="E660" s="17" t="s">
        <v>395</v>
      </c>
      <c r="F660" s="17" t="s">
        <v>92</v>
      </c>
      <c r="G660" s="17"/>
      <c r="H660" s="18" t="s">
        <v>33</v>
      </c>
      <c r="I660" s="12" t="str">
        <f aca="false">IF(OR(H660="Passed",H660="Accepted Exception"),"GREEN",IF(OR(H660="Not Started",H660="Failed"),"RED","AMBER"))</f>
        <v>RED</v>
      </c>
      <c r="J660" s="19" t="s">
        <v>34</v>
      </c>
      <c r="K660" s="14" t="str">
        <f aca="false">IF(OR(J660="Réussi",J660="Exception acceptée"),"GREEN",IF(OR(J660="Non commencé",J660="Échec"),"RED","AMBER"))</f>
        <v>RED</v>
      </c>
      <c r="L660" s="17"/>
      <c r="M660" s="17"/>
      <c r="N660" s="15" t="str">
        <f aca="true">IF(G660&lt;&gt;"",TODAY()-G660,"")</f>
        <v/>
      </c>
    </row>
    <row r="661" customFormat="false" ht="18" hidden="false" customHeight="true" outlineLevel="0" collapsed="false">
      <c r="A661" s="9" t="s">
        <v>95</v>
      </c>
      <c r="B661" s="10" t="s">
        <v>96</v>
      </c>
      <c r="C661" s="10" t="s">
        <v>394</v>
      </c>
      <c r="D661" s="9" t="s">
        <v>94</v>
      </c>
      <c r="E661" s="10" t="s">
        <v>395</v>
      </c>
      <c r="F661" s="10" t="s">
        <v>95</v>
      </c>
      <c r="G661" s="10"/>
      <c r="H661" s="11" t="s">
        <v>33</v>
      </c>
      <c r="I661" s="12" t="str">
        <f aca="false">IF(OR(H661="Passed",H661="Accepted Exception"),"GREEN",IF(OR(H661="Not Started",H661="Failed"),"RED","AMBER"))</f>
        <v>RED</v>
      </c>
      <c r="J661" s="13" t="s">
        <v>34</v>
      </c>
      <c r="K661" s="14" t="str">
        <f aca="false">IF(OR(J661="Réussi",J661="Exception acceptée"),"GREEN",IF(OR(J661="Non commencé",J661="Échec"),"RED","AMBER"))</f>
        <v>RED</v>
      </c>
      <c r="L661" s="10"/>
      <c r="M661" s="10"/>
      <c r="N661" s="15" t="str">
        <f aca="true">IF(G661&lt;&gt;"",TODAY()-G661,"")</f>
        <v/>
      </c>
    </row>
    <row r="662" customFormat="false" ht="18" hidden="false" customHeight="true" outlineLevel="0" collapsed="false">
      <c r="A662" s="16" t="s">
        <v>97</v>
      </c>
      <c r="B662" s="17" t="s">
        <v>98</v>
      </c>
      <c r="C662" s="17" t="s">
        <v>394</v>
      </c>
      <c r="D662" s="16" t="s">
        <v>94</v>
      </c>
      <c r="E662" s="17" t="s">
        <v>395</v>
      </c>
      <c r="F662" s="17" t="s">
        <v>97</v>
      </c>
      <c r="G662" s="17"/>
      <c r="H662" s="18" t="s">
        <v>33</v>
      </c>
      <c r="I662" s="12" t="str">
        <f aca="false">IF(OR(H662="Passed",H662="Accepted Exception"),"GREEN",IF(OR(H662="Not Started",H662="Failed"),"RED","AMBER"))</f>
        <v>RED</v>
      </c>
      <c r="J662" s="19" t="s">
        <v>34</v>
      </c>
      <c r="K662" s="14" t="str">
        <f aca="false">IF(OR(J662="Réussi",J662="Exception acceptée"),"GREEN",IF(OR(J662="Non commencé",J662="Échec"),"RED","AMBER"))</f>
        <v>RED</v>
      </c>
      <c r="L662" s="17"/>
      <c r="M662" s="17"/>
      <c r="N662" s="15" t="str">
        <f aca="true">IF(G662&lt;&gt;"",TODAY()-G662,"")</f>
        <v/>
      </c>
    </row>
    <row r="663" customFormat="false" ht="18" hidden="false" customHeight="true" outlineLevel="0" collapsed="false">
      <c r="A663" s="9" t="s">
        <v>99</v>
      </c>
      <c r="B663" s="10" t="s">
        <v>98</v>
      </c>
      <c r="C663" s="10" t="s">
        <v>394</v>
      </c>
      <c r="D663" s="9" t="s">
        <v>94</v>
      </c>
      <c r="E663" s="10" t="s">
        <v>395</v>
      </c>
      <c r="F663" s="10" t="s">
        <v>100</v>
      </c>
      <c r="G663" s="10"/>
      <c r="H663" s="11" t="s">
        <v>33</v>
      </c>
      <c r="I663" s="12" t="str">
        <f aca="false">IF(OR(H663="Passed",H663="Accepted Exception"),"GREEN",IF(OR(H663="Not Started",H663="Failed"),"RED","AMBER"))</f>
        <v>RED</v>
      </c>
      <c r="J663" s="13" t="s">
        <v>34</v>
      </c>
      <c r="K663" s="14" t="str">
        <f aca="false">IF(OR(J663="Réussi",J663="Exception acceptée"),"GREEN",IF(OR(J663="Non commencé",J663="Échec"),"RED","AMBER"))</f>
        <v>RED</v>
      </c>
      <c r="L663" s="10"/>
      <c r="M663" s="10"/>
      <c r="N663" s="15" t="str">
        <f aca="true">IF(G663&lt;&gt;"",TODAY()-G663,"")</f>
        <v/>
      </c>
    </row>
    <row r="664" customFormat="false" ht="18" hidden="false" customHeight="true" outlineLevel="0" collapsed="false">
      <c r="A664" s="16" t="s">
        <v>64</v>
      </c>
      <c r="B664" s="17" t="s">
        <v>65</v>
      </c>
      <c r="C664" s="17" t="s">
        <v>394</v>
      </c>
      <c r="D664" s="16" t="s">
        <v>66</v>
      </c>
      <c r="E664" s="17" t="s">
        <v>395</v>
      </c>
      <c r="F664" s="17" t="s">
        <v>67</v>
      </c>
      <c r="G664" s="17"/>
      <c r="H664" s="18" t="s">
        <v>33</v>
      </c>
      <c r="I664" s="12" t="str">
        <f aca="false">IF(OR(H664="Passed",H664="Accepted Exception"),"GREEN",IF(OR(H664="Not Started",H664="Failed"),"RED","AMBER"))</f>
        <v>RED</v>
      </c>
      <c r="J664" s="19" t="s">
        <v>34</v>
      </c>
      <c r="K664" s="14" t="str">
        <f aca="false">IF(OR(J664="Réussi",J664="Exception acceptée"),"GREEN",IF(OR(J664="Non commencé",J664="Échec"),"RED","AMBER"))</f>
        <v>RED</v>
      </c>
      <c r="L664" s="17"/>
      <c r="M664" s="17"/>
      <c r="N664" s="15" t="str">
        <f aca="true">IF(G664&lt;&gt;"",TODAY()-G664,"")</f>
        <v/>
      </c>
    </row>
    <row r="665" customFormat="false" ht="18" hidden="false" customHeight="true" outlineLevel="0" collapsed="false">
      <c r="A665" s="9" t="s">
        <v>68</v>
      </c>
      <c r="B665" s="10" t="s">
        <v>69</v>
      </c>
      <c r="C665" s="10" t="s">
        <v>394</v>
      </c>
      <c r="D665" s="9" t="s">
        <v>66</v>
      </c>
      <c r="E665" s="10" t="s">
        <v>395</v>
      </c>
      <c r="F665" s="10" t="s">
        <v>68</v>
      </c>
      <c r="G665" s="10"/>
      <c r="H665" s="11" t="s">
        <v>33</v>
      </c>
      <c r="I665" s="12" t="str">
        <f aca="false">IF(OR(H665="Passed",H665="Accepted Exception"),"GREEN",IF(OR(H665="Not Started",H665="Failed"),"RED","AMBER"))</f>
        <v>RED</v>
      </c>
      <c r="J665" s="13" t="s">
        <v>34</v>
      </c>
      <c r="K665" s="14" t="str">
        <f aca="false">IF(OR(J665="Réussi",J665="Exception acceptée"),"GREEN",IF(OR(J665="Non commencé",J665="Échec"),"RED","AMBER"))</f>
        <v>RED</v>
      </c>
      <c r="L665" s="10"/>
      <c r="M665" s="10"/>
      <c r="N665" s="15" t="str">
        <f aca="true">IF(G665&lt;&gt;"",TODAY()-G665,"")</f>
        <v/>
      </c>
    </row>
    <row r="666" customFormat="false" ht="18" hidden="false" customHeight="true" outlineLevel="0" collapsed="false">
      <c r="A666" s="16" t="s">
        <v>286</v>
      </c>
      <c r="B666" s="17" t="s">
        <v>287</v>
      </c>
      <c r="C666" s="17" t="s">
        <v>398</v>
      </c>
      <c r="D666" s="16" t="s">
        <v>104</v>
      </c>
      <c r="E666" s="17" t="s">
        <v>399</v>
      </c>
      <c r="F666" s="17" t="s">
        <v>286</v>
      </c>
      <c r="G666" s="17"/>
      <c r="H666" s="18" t="s">
        <v>33</v>
      </c>
      <c r="I666" s="12" t="str">
        <f aca="false">IF(OR(H666="Passed",H666="Accepted Exception"),"GREEN",IF(OR(H666="Not Started",H666="Failed"),"RED","AMBER"))</f>
        <v>RED</v>
      </c>
      <c r="J666" s="19" t="s">
        <v>34</v>
      </c>
      <c r="K666" s="14" t="str">
        <f aca="false">IF(OR(J666="Réussi",J666="Exception acceptée"),"GREEN",IF(OR(J666="Non commencé",J666="Échec"),"RED","AMBER"))</f>
        <v>RED</v>
      </c>
      <c r="L666" s="17"/>
      <c r="M666" s="17"/>
      <c r="N666" s="15" t="str">
        <f aca="true">IF(G666&lt;&gt;"",TODAY()-G666,"")</f>
        <v/>
      </c>
    </row>
    <row r="667" customFormat="false" ht="18" hidden="false" customHeight="true" outlineLevel="0" collapsed="false">
      <c r="A667" s="9" t="s">
        <v>101</v>
      </c>
      <c r="B667" s="10" t="s">
        <v>102</v>
      </c>
      <c r="C667" s="10" t="s">
        <v>398</v>
      </c>
      <c r="D667" s="9" t="s">
        <v>104</v>
      </c>
      <c r="E667" s="10" t="s">
        <v>399</v>
      </c>
      <c r="F667" s="10" t="s">
        <v>101</v>
      </c>
      <c r="G667" s="10"/>
      <c r="H667" s="11" t="s">
        <v>33</v>
      </c>
      <c r="I667" s="12" t="str">
        <f aca="false">IF(OR(H667="Passed",H667="Accepted Exception"),"GREEN",IF(OR(H667="Not Started",H667="Failed"),"RED","AMBER"))</f>
        <v>RED</v>
      </c>
      <c r="J667" s="13" t="s">
        <v>34</v>
      </c>
      <c r="K667" s="14" t="str">
        <f aca="false">IF(OR(J667="Réussi",J667="Exception acceptée"),"GREEN",IF(OR(J667="Non commencé",J667="Échec"),"RED","AMBER"))</f>
        <v>RED</v>
      </c>
      <c r="L667" s="10"/>
      <c r="M667" s="10"/>
      <c r="N667" s="15" t="str">
        <f aca="true">IF(G667&lt;&gt;"",TODAY()-G667,"")</f>
        <v/>
      </c>
    </row>
    <row r="668" customFormat="false" ht="18" hidden="false" customHeight="true" outlineLevel="0" collapsed="false">
      <c r="A668" s="16" t="s">
        <v>106</v>
      </c>
      <c r="B668" s="17" t="s">
        <v>102</v>
      </c>
      <c r="C668" s="17" t="s">
        <v>398</v>
      </c>
      <c r="D668" s="16" t="s">
        <v>104</v>
      </c>
      <c r="E668" s="17" t="s">
        <v>399</v>
      </c>
      <c r="F668" s="17" t="s">
        <v>107</v>
      </c>
      <c r="G668" s="17"/>
      <c r="H668" s="18" t="s">
        <v>33</v>
      </c>
      <c r="I668" s="12" t="str">
        <f aca="false">IF(OR(H668="Passed",H668="Accepted Exception"),"GREEN",IF(OR(H668="Not Started",H668="Failed"),"RED","AMBER"))</f>
        <v>RED</v>
      </c>
      <c r="J668" s="19" t="s">
        <v>34</v>
      </c>
      <c r="K668" s="14" t="str">
        <f aca="false">IF(OR(J668="Réussi",J668="Exception acceptée"),"GREEN",IF(OR(J668="Non commencé",J668="Échec"),"RED","AMBER"))</f>
        <v>RED</v>
      </c>
      <c r="L668" s="17"/>
      <c r="M668" s="17"/>
      <c r="N668" s="15" t="str">
        <f aca="true">IF(G668&lt;&gt;"",TODAY()-G668,"")</f>
        <v/>
      </c>
    </row>
    <row r="669" customFormat="false" ht="18" hidden="false" customHeight="true" outlineLevel="0" collapsed="false">
      <c r="A669" s="9" t="s">
        <v>108</v>
      </c>
      <c r="B669" s="10" t="s">
        <v>109</v>
      </c>
      <c r="C669" s="10" t="s">
        <v>398</v>
      </c>
      <c r="D669" s="9" t="s">
        <v>104</v>
      </c>
      <c r="E669" s="10" t="s">
        <v>399</v>
      </c>
      <c r="F669" s="10" t="s">
        <v>108</v>
      </c>
      <c r="G669" s="10"/>
      <c r="H669" s="11" t="s">
        <v>33</v>
      </c>
      <c r="I669" s="12" t="str">
        <f aca="false">IF(OR(H669="Passed",H669="Accepted Exception"),"GREEN",IF(OR(H669="Not Started",H669="Failed"),"RED","AMBER"))</f>
        <v>RED</v>
      </c>
      <c r="J669" s="13" t="s">
        <v>34</v>
      </c>
      <c r="K669" s="14" t="str">
        <f aca="false">IF(OR(J669="Réussi",J669="Exception acceptée"),"GREEN",IF(OR(J669="Non commencé",J669="Échec"),"RED","AMBER"))</f>
        <v>RED</v>
      </c>
      <c r="L669" s="10"/>
      <c r="M669" s="10"/>
      <c r="N669" s="15" t="str">
        <f aca="true">IF(G669&lt;&gt;"",TODAY()-G669,"")</f>
        <v/>
      </c>
    </row>
    <row r="670" customFormat="false" ht="18" hidden="false" customHeight="true" outlineLevel="0" collapsed="false">
      <c r="A670" s="16" t="s">
        <v>110</v>
      </c>
      <c r="B670" s="17" t="s">
        <v>111</v>
      </c>
      <c r="C670" s="17" t="s">
        <v>398</v>
      </c>
      <c r="D670" s="16" t="s">
        <v>104</v>
      </c>
      <c r="E670" s="17" t="s">
        <v>399</v>
      </c>
      <c r="F670" s="17" t="s">
        <v>110</v>
      </c>
      <c r="G670" s="17"/>
      <c r="H670" s="18" t="s">
        <v>33</v>
      </c>
      <c r="I670" s="12" t="str">
        <f aca="false">IF(OR(H670="Passed",H670="Accepted Exception"),"GREEN",IF(OR(H670="Not Started",H670="Failed"),"RED","AMBER"))</f>
        <v>RED</v>
      </c>
      <c r="J670" s="19" t="s">
        <v>34</v>
      </c>
      <c r="K670" s="14" t="str">
        <f aca="false">IF(OR(J670="Réussi",J670="Exception acceptée"),"GREEN",IF(OR(J670="Non commencé",J670="Échec"),"RED","AMBER"))</f>
        <v>RED</v>
      </c>
      <c r="L670" s="17"/>
      <c r="M670" s="17"/>
      <c r="N670" s="15" t="str">
        <f aca="true">IF(G670&lt;&gt;"",TODAY()-G670,"")</f>
        <v/>
      </c>
    </row>
    <row r="671" customFormat="false" ht="18" hidden="false" customHeight="true" outlineLevel="0" collapsed="false">
      <c r="A671" s="9" t="s">
        <v>112</v>
      </c>
      <c r="B671" s="10" t="s">
        <v>113</v>
      </c>
      <c r="C671" s="10" t="s">
        <v>398</v>
      </c>
      <c r="D671" s="9" t="s">
        <v>104</v>
      </c>
      <c r="E671" s="10" t="s">
        <v>399</v>
      </c>
      <c r="F671" s="10" t="s">
        <v>112</v>
      </c>
      <c r="G671" s="10"/>
      <c r="H671" s="11" t="s">
        <v>33</v>
      </c>
      <c r="I671" s="12" t="str">
        <f aca="false">IF(OR(H671="Passed",H671="Accepted Exception"),"GREEN",IF(OR(H671="Not Started",H671="Failed"),"RED","AMBER"))</f>
        <v>RED</v>
      </c>
      <c r="J671" s="13" t="s">
        <v>34</v>
      </c>
      <c r="K671" s="14" t="str">
        <f aca="false">IF(OR(J671="Réussi",J671="Exception acceptée"),"GREEN",IF(OR(J671="Non commencé",J671="Échec"),"RED","AMBER"))</f>
        <v>RED</v>
      </c>
      <c r="L671" s="10"/>
      <c r="M671" s="10"/>
      <c r="N671" s="15" t="str">
        <f aca="true">IF(G671&lt;&gt;"",TODAY()-G671,"")</f>
        <v/>
      </c>
    </row>
    <row r="672" customFormat="false" ht="18" hidden="false" customHeight="true" outlineLevel="0" collapsed="false">
      <c r="A672" s="16" t="s">
        <v>114</v>
      </c>
      <c r="B672" s="17" t="s">
        <v>113</v>
      </c>
      <c r="C672" s="17" t="s">
        <v>398</v>
      </c>
      <c r="D672" s="16" t="s">
        <v>104</v>
      </c>
      <c r="E672" s="17" t="s">
        <v>399</v>
      </c>
      <c r="F672" s="17" t="s">
        <v>115</v>
      </c>
      <c r="G672" s="17"/>
      <c r="H672" s="18" t="s">
        <v>33</v>
      </c>
      <c r="I672" s="12" t="str">
        <f aca="false">IF(OR(H672="Passed",H672="Accepted Exception"),"GREEN",IF(OR(H672="Not Started",H672="Failed"),"RED","AMBER"))</f>
        <v>RED</v>
      </c>
      <c r="J672" s="19" t="s">
        <v>34</v>
      </c>
      <c r="K672" s="14" t="str">
        <f aca="false">IF(OR(J672="Réussi",J672="Exception acceptée"),"GREEN",IF(OR(J672="Non commencé",J672="Échec"),"RED","AMBER"))</f>
        <v>RED</v>
      </c>
      <c r="L672" s="17"/>
      <c r="M672" s="17"/>
      <c r="N672" s="15" t="str">
        <f aca="true">IF(G672&lt;&gt;"",TODAY()-G672,"")</f>
        <v/>
      </c>
    </row>
    <row r="673" customFormat="false" ht="18" hidden="false" customHeight="true" outlineLevel="0" collapsed="false">
      <c r="A673" s="9" t="s">
        <v>116</v>
      </c>
      <c r="B673" s="10" t="s">
        <v>117</v>
      </c>
      <c r="C673" s="10" t="s">
        <v>398</v>
      </c>
      <c r="D673" s="9" t="s">
        <v>104</v>
      </c>
      <c r="E673" s="10" t="s">
        <v>399</v>
      </c>
      <c r="F673" s="10" t="s">
        <v>116</v>
      </c>
      <c r="G673" s="10"/>
      <c r="H673" s="11" t="s">
        <v>33</v>
      </c>
      <c r="I673" s="12" t="str">
        <f aca="false">IF(OR(H673="Passed",H673="Accepted Exception"),"GREEN",IF(OR(H673="Not Started",H673="Failed"),"RED","AMBER"))</f>
        <v>RED</v>
      </c>
      <c r="J673" s="13" t="s">
        <v>34</v>
      </c>
      <c r="K673" s="14" t="str">
        <f aca="false">IF(OR(J673="Réussi",J673="Exception acceptée"),"GREEN",IF(OR(J673="Non commencé",J673="Échec"),"RED","AMBER"))</f>
        <v>RED</v>
      </c>
      <c r="L673" s="10"/>
      <c r="M673" s="10"/>
      <c r="N673" s="15" t="str">
        <f aca="true">IF(G673&lt;&gt;"",TODAY()-G673,"")</f>
        <v/>
      </c>
    </row>
    <row r="674" customFormat="false" ht="18" hidden="false" customHeight="true" outlineLevel="0" collapsed="false">
      <c r="A674" s="16" t="s">
        <v>118</v>
      </c>
      <c r="B674" s="17" t="s">
        <v>119</v>
      </c>
      <c r="C674" s="17" t="s">
        <v>398</v>
      </c>
      <c r="D674" s="16" t="s">
        <v>104</v>
      </c>
      <c r="E674" s="17" t="s">
        <v>399</v>
      </c>
      <c r="F674" s="17" t="s">
        <v>120</v>
      </c>
      <c r="G674" s="17"/>
      <c r="H674" s="18" t="s">
        <v>33</v>
      </c>
      <c r="I674" s="12" t="str">
        <f aca="false">IF(OR(H674="Passed",H674="Accepted Exception"),"GREEN",IF(OR(H674="Not Started",H674="Failed"),"RED","AMBER"))</f>
        <v>RED</v>
      </c>
      <c r="J674" s="19" t="s">
        <v>34</v>
      </c>
      <c r="K674" s="14" t="str">
        <f aca="false">IF(OR(J674="Réussi",J674="Exception acceptée"),"GREEN",IF(OR(J674="Non commencé",J674="Échec"),"RED","AMBER"))</f>
        <v>RED</v>
      </c>
      <c r="L674" s="17"/>
      <c r="M674" s="17"/>
      <c r="N674" s="15" t="str">
        <f aca="true">IF(G674&lt;&gt;"",TODAY()-G674,"")</f>
        <v/>
      </c>
    </row>
    <row r="675" customFormat="false" ht="18" hidden="false" customHeight="true" outlineLevel="0" collapsed="false">
      <c r="A675" s="9" t="s">
        <v>121</v>
      </c>
      <c r="B675" s="10" t="s">
        <v>119</v>
      </c>
      <c r="C675" s="10" t="s">
        <v>398</v>
      </c>
      <c r="D675" s="9" t="s">
        <v>104</v>
      </c>
      <c r="E675" s="10" t="s">
        <v>399</v>
      </c>
      <c r="F675" s="10" t="s">
        <v>122</v>
      </c>
      <c r="G675" s="10"/>
      <c r="H675" s="11" t="s">
        <v>33</v>
      </c>
      <c r="I675" s="12" t="str">
        <f aca="false">IF(OR(H675="Passed",H675="Accepted Exception"),"GREEN",IF(OR(H675="Not Started",H675="Failed"),"RED","AMBER"))</f>
        <v>RED</v>
      </c>
      <c r="J675" s="13" t="s">
        <v>34</v>
      </c>
      <c r="K675" s="14" t="str">
        <f aca="false">IF(OR(J675="Réussi",J675="Exception acceptée"),"GREEN",IF(OR(J675="Non commencé",J675="Échec"),"RED","AMBER"))</f>
        <v>RED</v>
      </c>
      <c r="L675" s="10"/>
      <c r="M675" s="10"/>
      <c r="N675" s="15" t="str">
        <f aca="true">IF(G675&lt;&gt;"",TODAY()-G675,"")</f>
        <v/>
      </c>
    </row>
    <row r="676" customFormat="false" ht="18" hidden="false" customHeight="true" outlineLevel="0" collapsed="false">
      <c r="A676" s="16" t="s">
        <v>123</v>
      </c>
      <c r="B676" s="17" t="s">
        <v>119</v>
      </c>
      <c r="C676" s="17" t="s">
        <v>398</v>
      </c>
      <c r="D676" s="16" t="s">
        <v>104</v>
      </c>
      <c r="E676" s="17" t="s">
        <v>399</v>
      </c>
      <c r="F676" s="17" t="s">
        <v>124</v>
      </c>
      <c r="G676" s="17"/>
      <c r="H676" s="18" t="s">
        <v>33</v>
      </c>
      <c r="I676" s="12" t="str">
        <f aca="false">IF(OR(H676="Passed",H676="Accepted Exception"),"GREEN",IF(OR(H676="Not Started",H676="Failed"),"RED","AMBER"))</f>
        <v>RED</v>
      </c>
      <c r="J676" s="19" t="s">
        <v>34</v>
      </c>
      <c r="K676" s="14" t="str">
        <f aca="false">IF(OR(J676="Réussi",J676="Exception acceptée"),"GREEN",IF(OR(J676="Non commencé",J676="Échec"),"RED","AMBER"))</f>
        <v>RED</v>
      </c>
      <c r="L676" s="17"/>
      <c r="M676" s="17"/>
      <c r="N676" s="15" t="str">
        <f aca="true">IF(G676&lt;&gt;"",TODAY()-G676,"")</f>
        <v/>
      </c>
    </row>
    <row r="677" customFormat="false" ht="18" hidden="false" customHeight="true" outlineLevel="0" collapsed="false">
      <c r="A677" s="9" t="s">
        <v>28</v>
      </c>
      <c r="B677" s="10" t="s">
        <v>29</v>
      </c>
      <c r="C677" s="10" t="s">
        <v>398</v>
      </c>
      <c r="D677" s="9" t="s">
        <v>31</v>
      </c>
      <c r="E677" s="10" t="s">
        <v>399</v>
      </c>
      <c r="F677" s="10" t="s">
        <v>28</v>
      </c>
      <c r="G677" s="10"/>
      <c r="H677" s="11" t="s">
        <v>33</v>
      </c>
      <c r="I677" s="12" t="str">
        <f aca="false">IF(OR(H677="Passed",H677="Accepted Exception"),"GREEN",IF(OR(H677="Not Started",H677="Failed"),"RED","AMBER"))</f>
        <v>RED</v>
      </c>
      <c r="J677" s="13" t="s">
        <v>34</v>
      </c>
      <c r="K677" s="14" t="str">
        <f aca="false">IF(OR(J677="Réussi",J677="Exception acceptée"),"GREEN",IF(OR(J677="Non commencé",J677="Échec"),"RED","AMBER"))</f>
        <v>RED</v>
      </c>
      <c r="L677" s="10"/>
      <c r="M677" s="10"/>
      <c r="N677" s="15" t="str">
        <f aca="true">IF(G677&lt;&gt;"",TODAY()-G677,"")</f>
        <v/>
      </c>
    </row>
    <row r="678" customFormat="false" ht="18" hidden="false" customHeight="true" outlineLevel="0" collapsed="false">
      <c r="A678" s="16" t="s">
        <v>35</v>
      </c>
      <c r="B678" s="17" t="s">
        <v>36</v>
      </c>
      <c r="C678" s="17" t="s">
        <v>398</v>
      </c>
      <c r="D678" s="16" t="s">
        <v>31</v>
      </c>
      <c r="E678" s="17" t="s">
        <v>399</v>
      </c>
      <c r="F678" s="17" t="s">
        <v>35</v>
      </c>
      <c r="G678" s="17"/>
      <c r="H678" s="18" t="s">
        <v>33</v>
      </c>
      <c r="I678" s="12" t="str">
        <f aca="false">IF(OR(H678="Passed",H678="Accepted Exception"),"GREEN",IF(OR(H678="Not Started",H678="Failed"),"RED","AMBER"))</f>
        <v>RED</v>
      </c>
      <c r="J678" s="19" t="s">
        <v>34</v>
      </c>
      <c r="K678" s="14" t="str">
        <f aca="false">IF(OR(J678="Réussi",J678="Exception acceptée"),"GREEN",IF(OR(J678="Non commencé",J678="Échec"),"RED","AMBER"))</f>
        <v>RED</v>
      </c>
      <c r="L678" s="17"/>
      <c r="M678" s="17"/>
      <c r="N678" s="15" t="str">
        <f aca="true">IF(G678&lt;&gt;"",TODAY()-G678,"")</f>
        <v/>
      </c>
    </row>
    <row r="679" customFormat="false" ht="18" hidden="false" customHeight="true" outlineLevel="0" collapsed="false">
      <c r="A679" s="9" t="s">
        <v>37</v>
      </c>
      <c r="B679" s="10" t="s">
        <v>36</v>
      </c>
      <c r="C679" s="10" t="s">
        <v>398</v>
      </c>
      <c r="D679" s="9" t="s">
        <v>31</v>
      </c>
      <c r="E679" s="10" t="s">
        <v>399</v>
      </c>
      <c r="F679" s="10" t="s">
        <v>38</v>
      </c>
      <c r="G679" s="10"/>
      <c r="H679" s="11" t="s">
        <v>33</v>
      </c>
      <c r="I679" s="12" t="str">
        <f aca="false">IF(OR(H679="Passed",H679="Accepted Exception"),"GREEN",IF(OR(H679="Not Started",H679="Failed"),"RED","AMBER"))</f>
        <v>RED</v>
      </c>
      <c r="J679" s="13" t="s">
        <v>34</v>
      </c>
      <c r="K679" s="14" t="str">
        <f aca="false">IF(OR(J679="Réussi",J679="Exception acceptée"),"GREEN",IF(OR(J679="Non commencé",J679="Échec"),"RED","AMBER"))</f>
        <v>RED</v>
      </c>
      <c r="L679" s="10"/>
      <c r="M679" s="10"/>
      <c r="N679" s="15" t="str">
        <f aca="true">IF(G679&lt;&gt;"",TODAY()-G679,"")</f>
        <v/>
      </c>
    </row>
    <row r="680" customFormat="false" ht="18" hidden="false" customHeight="true" outlineLevel="0" collapsed="false">
      <c r="A680" s="16" t="s">
        <v>39</v>
      </c>
      <c r="B680" s="17" t="s">
        <v>40</v>
      </c>
      <c r="C680" s="17" t="s">
        <v>398</v>
      </c>
      <c r="D680" s="16" t="s">
        <v>31</v>
      </c>
      <c r="E680" s="17" t="s">
        <v>399</v>
      </c>
      <c r="F680" s="17" t="s">
        <v>41</v>
      </c>
      <c r="G680" s="17"/>
      <c r="H680" s="18" t="s">
        <v>33</v>
      </c>
      <c r="I680" s="12" t="str">
        <f aca="false">IF(OR(H680="Passed",H680="Accepted Exception"),"GREEN",IF(OR(H680="Not Started",H680="Failed"),"RED","AMBER"))</f>
        <v>RED</v>
      </c>
      <c r="J680" s="19" t="s">
        <v>34</v>
      </c>
      <c r="K680" s="14" t="str">
        <f aca="false">IF(OR(J680="Réussi",J680="Exception acceptée"),"GREEN",IF(OR(J680="Non commencé",J680="Échec"),"RED","AMBER"))</f>
        <v>RED</v>
      </c>
      <c r="L680" s="17"/>
      <c r="M680" s="17"/>
      <c r="N680" s="15" t="str">
        <f aca="true">IF(G680&lt;&gt;"",TODAY()-G680,"")</f>
        <v/>
      </c>
    </row>
    <row r="681" customFormat="false" ht="18" hidden="false" customHeight="true" outlineLevel="0" collapsed="false">
      <c r="A681" s="9" t="s">
        <v>42</v>
      </c>
      <c r="B681" s="10" t="s">
        <v>43</v>
      </c>
      <c r="C681" s="10" t="s">
        <v>398</v>
      </c>
      <c r="D681" s="9" t="s">
        <v>31</v>
      </c>
      <c r="E681" s="10" t="s">
        <v>399</v>
      </c>
      <c r="F681" s="10" t="s">
        <v>42</v>
      </c>
      <c r="G681" s="10"/>
      <c r="H681" s="11" t="s">
        <v>33</v>
      </c>
      <c r="I681" s="12" t="str">
        <f aca="false">IF(OR(H681="Passed",H681="Accepted Exception"),"GREEN",IF(OR(H681="Not Started",H681="Failed"),"RED","AMBER"))</f>
        <v>RED</v>
      </c>
      <c r="J681" s="13" t="s">
        <v>34</v>
      </c>
      <c r="K681" s="14" t="str">
        <f aca="false">IF(OR(J681="Réussi",J681="Exception acceptée"),"GREEN",IF(OR(J681="Non commencé",J681="Échec"),"RED","AMBER"))</f>
        <v>RED</v>
      </c>
      <c r="L681" s="10"/>
      <c r="M681" s="10"/>
      <c r="N681" s="15" t="str">
        <f aca="true">IF(G681&lt;&gt;"",TODAY()-G681,"")</f>
        <v/>
      </c>
    </row>
    <row r="682" customFormat="false" ht="18" hidden="false" customHeight="true" outlineLevel="0" collapsed="false">
      <c r="A682" s="16" t="s">
        <v>129</v>
      </c>
      <c r="B682" s="17" t="s">
        <v>130</v>
      </c>
      <c r="C682" s="17" t="s">
        <v>398</v>
      </c>
      <c r="D682" s="16" t="s">
        <v>127</v>
      </c>
      <c r="E682" s="17" t="s">
        <v>399</v>
      </c>
      <c r="F682" s="17" t="s">
        <v>129</v>
      </c>
      <c r="G682" s="17"/>
      <c r="H682" s="18" t="s">
        <v>33</v>
      </c>
      <c r="I682" s="12" t="str">
        <f aca="false">IF(OR(H682="Passed",H682="Accepted Exception"),"GREEN",IF(OR(H682="Not Started",H682="Failed"),"RED","AMBER"))</f>
        <v>RED</v>
      </c>
      <c r="J682" s="19" t="s">
        <v>34</v>
      </c>
      <c r="K682" s="14" t="str">
        <f aca="false">IF(OR(J682="Réussi",J682="Exception acceptée"),"GREEN",IF(OR(J682="Non commencé",J682="Échec"),"RED","AMBER"))</f>
        <v>RED</v>
      </c>
      <c r="L682" s="17"/>
      <c r="M682" s="17"/>
      <c r="N682" s="15" t="str">
        <f aca="true">IF(G682&lt;&gt;"",TODAY()-G682,"")</f>
        <v/>
      </c>
    </row>
    <row r="683" customFormat="false" ht="18" hidden="false" customHeight="true" outlineLevel="0" collapsed="false">
      <c r="A683" s="9" t="s">
        <v>44</v>
      </c>
      <c r="B683" s="10" t="s">
        <v>45</v>
      </c>
      <c r="C683" s="10" t="s">
        <v>398</v>
      </c>
      <c r="D683" s="9" t="s">
        <v>46</v>
      </c>
      <c r="E683" s="10" t="s">
        <v>399</v>
      </c>
      <c r="F683" s="10" t="s">
        <v>44</v>
      </c>
      <c r="G683" s="10"/>
      <c r="H683" s="11" t="s">
        <v>33</v>
      </c>
      <c r="I683" s="12" t="str">
        <f aca="false">IF(OR(H683="Passed",H683="Accepted Exception"),"GREEN",IF(OR(H683="Not Started",H683="Failed"),"RED","AMBER"))</f>
        <v>RED</v>
      </c>
      <c r="J683" s="13" t="s">
        <v>34</v>
      </c>
      <c r="K683" s="14" t="str">
        <f aca="false">IF(OR(J683="Réussi",J683="Exception acceptée"),"GREEN",IF(OR(J683="Non commencé",J683="Échec"),"RED","AMBER"))</f>
        <v>RED</v>
      </c>
      <c r="L683" s="10"/>
      <c r="M683" s="10"/>
      <c r="N683" s="15" t="str">
        <f aca="true">IF(G683&lt;&gt;"",TODAY()-G683,"")</f>
        <v/>
      </c>
    </row>
    <row r="684" customFormat="false" ht="18" hidden="false" customHeight="true" outlineLevel="0" collapsed="false">
      <c r="A684" s="16" t="s">
        <v>47</v>
      </c>
      <c r="B684" s="17" t="s">
        <v>48</v>
      </c>
      <c r="C684" s="17" t="s">
        <v>398</v>
      </c>
      <c r="D684" s="16" t="s">
        <v>46</v>
      </c>
      <c r="E684" s="17" t="s">
        <v>399</v>
      </c>
      <c r="F684" s="17" t="s">
        <v>47</v>
      </c>
      <c r="G684" s="17"/>
      <c r="H684" s="18" t="s">
        <v>33</v>
      </c>
      <c r="I684" s="12" t="str">
        <f aca="false">IF(OR(H684="Passed",H684="Accepted Exception"),"GREEN",IF(OR(H684="Not Started",H684="Failed"),"RED","AMBER"))</f>
        <v>RED</v>
      </c>
      <c r="J684" s="19" t="s">
        <v>34</v>
      </c>
      <c r="K684" s="14" t="str">
        <f aca="false">IF(OR(J684="Réussi",J684="Exception acceptée"),"GREEN",IF(OR(J684="Non commencé",J684="Échec"),"RED","AMBER"))</f>
        <v>RED</v>
      </c>
      <c r="L684" s="17"/>
      <c r="M684" s="17"/>
      <c r="N684" s="15" t="str">
        <f aca="true">IF(G684&lt;&gt;"",TODAY()-G684,"")</f>
        <v/>
      </c>
    </row>
    <row r="685" customFormat="false" ht="18" hidden="false" customHeight="true" outlineLevel="0" collapsed="false">
      <c r="A685" s="9" t="s">
        <v>49</v>
      </c>
      <c r="B685" s="10" t="s">
        <v>48</v>
      </c>
      <c r="C685" s="10" t="s">
        <v>398</v>
      </c>
      <c r="D685" s="9" t="s">
        <v>46</v>
      </c>
      <c r="E685" s="10" t="s">
        <v>399</v>
      </c>
      <c r="F685" s="10" t="s">
        <v>50</v>
      </c>
      <c r="G685" s="10"/>
      <c r="H685" s="11" t="s">
        <v>33</v>
      </c>
      <c r="I685" s="12" t="str">
        <f aca="false">IF(OR(H685="Passed",H685="Accepted Exception"),"GREEN",IF(OR(H685="Not Started",H685="Failed"),"RED","AMBER"))</f>
        <v>RED</v>
      </c>
      <c r="J685" s="13" t="s">
        <v>34</v>
      </c>
      <c r="K685" s="14" t="str">
        <f aca="false">IF(OR(J685="Réussi",J685="Exception acceptée"),"GREEN",IF(OR(J685="Non commencé",J685="Échec"),"RED","AMBER"))</f>
        <v>RED</v>
      </c>
      <c r="L685" s="10"/>
      <c r="M685" s="10"/>
      <c r="N685" s="15" t="str">
        <f aca="true">IF(G685&lt;&gt;"",TODAY()-G685,"")</f>
        <v/>
      </c>
    </row>
    <row r="686" customFormat="false" ht="18" hidden="false" customHeight="true" outlineLevel="0" collapsed="false">
      <c r="A686" s="16" t="s">
        <v>131</v>
      </c>
      <c r="B686" s="17" t="s">
        <v>48</v>
      </c>
      <c r="C686" s="17" t="s">
        <v>398</v>
      </c>
      <c r="D686" s="16" t="s">
        <v>46</v>
      </c>
      <c r="E686" s="17" t="s">
        <v>399</v>
      </c>
      <c r="F686" s="17" t="s">
        <v>132</v>
      </c>
      <c r="G686" s="17"/>
      <c r="H686" s="18" t="s">
        <v>33</v>
      </c>
      <c r="I686" s="12" t="str">
        <f aca="false">IF(OR(H686="Passed",H686="Accepted Exception"),"GREEN",IF(OR(H686="Not Started",H686="Failed"),"RED","AMBER"))</f>
        <v>RED</v>
      </c>
      <c r="J686" s="19" t="s">
        <v>34</v>
      </c>
      <c r="K686" s="14" t="str">
        <f aca="false">IF(OR(J686="Réussi",J686="Exception acceptée"),"GREEN",IF(OR(J686="Non commencé",J686="Échec"),"RED","AMBER"))</f>
        <v>RED</v>
      </c>
      <c r="L686" s="17"/>
      <c r="M686" s="17"/>
      <c r="N686" s="15" t="str">
        <f aca="true">IF(G686&lt;&gt;"",TODAY()-G686,"")</f>
        <v/>
      </c>
    </row>
    <row r="687" customFormat="false" ht="18" hidden="false" customHeight="true" outlineLevel="0" collapsed="false">
      <c r="A687" s="9" t="s">
        <v>133</v>
      </c>
      <c r="B687" s="10" t="s">
        <v>134</v>
      </c>
      <c r="C687" s="10" t="s">
        <v>398</v>
      </c>
      <c r="D687" s="9" t="s">
        <v>46</v>
      </c>
      <c r="E687" s="10" t="s">
        <v>399</v>
      </c>
      <c r="F687" s="10" t="s">
        <v>133</v>
      </c>
      <c r="G687" s="10"/>
      <c r="H687" s="11" t="s">
        <v>33</v>
      </c>
      <c r="I687" s="12" t="str">
        <f aca="false">IF(OR(H687="Passed",H687="Accepted Exception"),"GREEN",IF(OR(H687="Not Started",H687="Failed"),"RED","AMBER"))</f>
        <v>RED</v>
      </c>
      <c r="J687" s="13" t="s">
        <v>34</v>
      </c>
      <c r="K687" s="14" t="str">
        <f aca="false">IF(OR(J687="Réussi",J687="Exception acceptée"),"GREEN",IF(OR(J687="Non commencé",J687="Échec"),"RED","AMBER"))</f>
        <v>RED</v>
      </c>
      <c r="L687" s="10"/>
      <c r="M687" s="10"/>
      <c r="N687" s="15" t="str">
        <f aca="true">IF(G687&lt;&gt;"",TODAY()-G687,"")</f>
        <v/>
      </c>
    </row>
    <row r="688" customFormat="false" ht="18" hidden="false" customHeight="true" outlineLevel="0" collapsed="false">
      <c r="A688" s="16" t="s">
        <v>80</v>
      </c>
      <c r="B688" s="17" t="s">
        <v>81</v>
      </c>
      <c r="C688" s="17" t="s">
        <v>398</v>
      </c>
      <c r="D688" s="16" t="s">
        <v>53</v>
      </c>
      <c r="E688" s="17" t="s">
        <v>399</v>
      </c>
      <c r="F688" s="17" t="s">
        <v>80</v>
      </c>
      <c r="G688" s="17"/>
      <c r="H688" s="18" t="s">
        <v>33</v>
      </c>
      <c r="I688" s="12" t="str">
        <f aca="false">IF(OR(H688="Passed",H688="Accepted Exception"),"GREEN",IF(OR(H688="Not Started",H688="Failed"),"RED","AMBER"))</f>
        <v>RED</v>
      </c>
      <c r="J688" s="19" t="s">
        <v>34</v>
      </c>
      <c r="K688" s="14" t="str">
        <f aca="false">IF(OR(J688="Réussi",J688="Exception acceptée"),"GREEN",IF(OR(J688="Non commencé",J688="Échec"),"RED","AMBER"))</f>
        <v>RED</v>
      </c>
      <c r="L688" s="17"/>
      <c r="M688" s="17"/>
      <c r="N688" s="15" t="str">
        <f aca="true">IF(G688&lt;&gt;"",TODAY()-G688,"")</f>
        <v/>
      </c>
    </row>
    <row r="689" customFormat="false" ht="18" hidden="false" customHeight="true" outlineLevel="0" collapsed="false">
      <c r="A689" s="9" t="s">
        <v>82</v>
      </c>
      <c r="B689" s="10" t="s">
        <v>81</v>
      </c>
      <c r="C689" s="10" t="s">
        <v>398</v>
      </c>
      <c r="D689" s="9" t="s">
        <v>53</v>
      </c>
      <c r="E689" s="10" t="s">
        <v>399</v>
      </c>
      <c r="F689" s="10" t="s">
        <v>83</v>
      </c>
      <c r="G689" s="10"/>
      <c r="H689" s="11" t="s">
        <v>33</v>
      </c>
      <c r="I689" s="12" t="str">
        <f aca="false">IF(OR(H689="Passed",H689="Accepted Exception"),"GREEN",IF(OR(H689="Not Started",H689="Failed"),"RED","AMBER"))</f>
        <v>RED</v>
      </c>
      <c r="J689" s="13" t="s">
        <v>34</v>
      </c>
      <c r="K689" s="14" t="str">
        <f aca="false">IF(OR(J689="Réussi",J689="Exception acceptée"),"GREEN",IF(OR(J689="Non commencé",J689="Échec"),"RED","AMBER"))</f>
        <v>RED</v>
      </c>
      <c r="L689" s="10"/>
      <c r="M689" s="10"/>
      <c r="N689" s="15" t="str">
        <f aca="true">IF(G689&lt;&gt;"",TODAY()-G689,"")</f>
        <v/>
      </c>
    </row>
    <row r="690" customFormat="false" ht="18" hidden="false" customHeight="true" outlineLevel="0" collapsed="false">
      <c r="A690" s="16" t="s">
        <v>51</v>
      </c>
      <c r="B690" s="17" t="s">
        <v>52</v>
      </c>
      <c r="C690" s="17" t="s">
        <v>398</v>
      </c>
      <c r="D690" s="16" t="s">
        <v>53</v>
      </c>
      <c r="E690" s="17" t="s">
        <v>399</v>
      </c>
      <c r="F690" s="17" t="s">
        <v>51</v>
      </c>
      <c r="G690" s="17"/>
      <c r="H690" s="18" t="s">
        <v>33</v>
      </c>
      <c r="I690" s="12" t="str">
        <f aca="false">IF(OR(H690="Passed",H690="Accepted Exception"),"GREEN",IF(OR(H690="Not Started",H690="Failed"),"RED","AMBER"))</f>
        <v>RED</v>
      </c>
      <c r="J690" s="19" t="s">
        <v>34</v>
      </c>
      <c r="K690" s="14" t="str">
        <f aca="false">IF(OR(J690="Réussi",J690="Exception acceptée"),"GREEN",IF(OR(J690="Non commencé",J690="Échec"),"RED","AMBER"))</f>
        <v>RED</v>
      </c>
      <c r="L690" s="17"/>
      <c r="M690" s="17"/>
      <c r="N690" s="15" t="str">
        <f aca="true">IF(G690&lt;&gt;"",TODAY()-G690,"")</f>
        <v/>
      </c>
    </row>
    <row r="691" customFormat="false" ht="18" hidden="false" customHeight="true" outlineLevel="0" collapsed="false">
      <c r="A691" s="9" t="s">
        <v>54</v>
      </c>
      <c r="B691" s="10" t="s">
        <v>52</v>
      </c>
      <c r="C691" s="10" t="s">
        <v>398</v>
      </c>
      <c r="D691" s="9" t="s">
        <v>53</v>
      </c>
      <c r="E691" s="10" t="s">
        <v>399</v>
      </c>
      <c r="F691" s="10" t="s">
        <v>55</v>
      </c>
      <c r="G691" s="10"/>
      <c r="H691" s="11" t="s">
        <v>33</v>
      </c>
      <c r="I691" s="12" t="str">
        <f aca="false">IF(OR(H691="Passed",H691="Accepted Exception"),"GREEN",IF(OR(H691="Not Started",H691="Failed"),"RED","AMBER"))</f>
        <v>RED</v>
      </c>
      <c r="J691" s="13" t="s">
        <v>34</v>
      </c>
      <c r="K691" s="14" t="str">
        <f aca="false">IF(OR(J691="Réussi",J691="Exception acceptée"),"GREEN",IF(OR(J691="Non commencé",J691="Échec"),"RED","AMBER"))</f>
        <v>RED</v>
      </c>
      <c r="L691" s="10"/>
      <c r="M691" s="10"/>
      <c r="N691" s="15" t="str">
        <f aca="true">IF(G691&lt;&gt;"",TODAY()-G691,"")</f>
        <v/>
      </c>
    </row>
    <row r="692" customFormat="false" ht="18" hidden="false" customHeight="true" outlineLevel="0" collapsed="false">
      <c r="A692" s="16" t="s">
        <v>84</v>
      </c>
      <c r="B692" s="17" t="s">
        <v>85</v>
      </c>
      <c r="C692" s="17" t="s">
        <v>398</v>
      </c>
      <c r="D692" s="16" t="s">
        <v>53</v>
      </c>
      <c r="E692" s="17" t="s">
        <v>399</v>
      </c>
      <c r="F692" s="17" t="s">
        <v>84</v>
      </c>
      <c r="G692" s="17"/>
      <c r="H692" s="18" t="s">
        <v>33</v>
      </c>
      <c r="I692" s="12" t="str">
        <f aca="false">IF(OR(H692="Passed",H692="Accepted Exception"),"GREEN",IF(OR(H692="Not Started",H692="Failed"),"RED","AMBER"))</f>
        <v>RED</v>
      </c>
      <c r="J692" s="19" t="s">
        <v>34</v>
      </c>
      <c r="K692" s="14" t="str">
        <f aca="false">IF(OR(J692="Réussi",J692="Exception acceptée"),"GREEN",IF(OR(J692="Non commencé",J692="Échec"),"RED","AMBER"))</f>
        <v>RED</v>
      </c>
      <c r="L692" s="17"/>
      <c r="M692" s="17"/>
      <c r="N692" s="15" t="str">
        <f aca="true">IF(G692&lt;&gt;"",TODAY()-G692,"")</f>
        <v/>
      </c>
    </row>
    <row r="693" customFormat="false" ht="18" hidden="false" customHeight="true" outlineLevel="0" collapsed="false">
      <c r="A693" s="9" t="s">
        <v>86</v>
      </c>
      <c r="B693" s="10" t="s">
        <v>85</v>
      </c>
      <c r="C693" s="10" t="s">
        <v>398</v>
      </c>
      <c r="D693" s="9" t="s">
        <v>53</v>
      </c>
      <c r="E693" s="10" t="s">
        <v>399</v>
      </c>
      <c r="F693" s="10" t="s">
        <v>87</v>
      </c>
      <c r="G693" s="10"/>
      <c r="H693" s="11" t="s">
        <v>33</v>
      </c>
      <c r="I693" s="12" t="str">
        <f aca="false">IF(OR(H693="Passed",H693="Accepted Exception"),"GREEN",IF(OR(H693="Not Started",H693="Failed"),"RED","AMBER"))</f>
        <v>RED</v>
      </c>
      <c r="J693" s="13" t="s">
        <v>34</v>
      </c>
      <c r="K693" s="14" t="str">
        <f aca="false">IF(OR(J693="Réussi",J693="Exception acceptée"),"GREEN",IF(OR(J693="Non commencé",J693="Échec"),"RED","AMBER"))</f>
        <v>RED</v>
      </c>
      <c r="L693" s="10"/>
      <c r="M693" s="10"/>
      <c r="N693" s="15" t="str">
        <f aca="true">IF(G693&lt;&gt;"",TODAY()-G693,"")</f>
        <v/>
      </c>
    </row>
    <row r="694" customFormat="false" ht="18" hidden="false" customHeight="true" outlineLevel="0" collapsed="false">
      <c r="A694" s="16" t="s">
        <v>88</v>
      </c>
      <c r="B694" s="17" t="s">
        <v>85</v>
      </c>
      <c r="C694" s="17" t="s">
        <v>398</v>
      </c>
      <c r="D694" s="16" t="s">
        <v>53</v>
      </c>
      <c r="E694" s="17" t="s">
        <v>399</v>
      </c>
      <c r="F694" s="17" t="s">
        <v>89</v>
      </c>
      <c r="G694" s="17"/>
      <c r="H694" s="18" t="s">
        <v>33</v>
      </c>
      <c r="I694" s="12" t="str">
        <f aca="false">IF(OR(H694="Passed",H694="Accepted Exception"),"GREEN",IF(OR(H694="Not Started",H694="Failed"),"RED","AMBER"))</f>
        <v>RED</v>
      </c>
      <c r="J694" s="19" t="s">
        <v>34</v>
      </c>
      <c r="K694" s="14" t="str">
        <f aca="false">IF(OR(J694="Réussi",J694="Exception acceptée"),"GREEN",IF(OR(J694="Non commencé",J694="Échec"),"RED","AMBER"))</f>
        <v>RED</v>
      </c>
      <c r="L694" s="17"/>
      <c r="M694" s="17"/>
      <c r="N694" s="15" t="str">
        <f aca="true">IF(G694&lt;&gt;"",TODAY()-G694,"")</f>
        <v/>
      </c>
    </row>
    <row r="695" customFormat="false" ht="18" hidden="false" customHeight="true" outlineLevel="0" collapsed="false">
      <c r="A695" s="9" t="s">
        <v>342</v>
      </c>
      <c r="B695" s="10" t="s">
        <v>85</v>
      </c>
      <c r="C695" s="10" t="s">
        <v>398</v>
      </c>
      <c r="D695" s="9" t="s">
        <v>53</v>
      </c>
      <c r="E695" s="10" t="s">
        <v>399</v>
      </c>
      <c r="F695" s="10" t="s">
        <v>343</v>
      </c>
      <c r="G695" s="10"/>
      <c r="H695" s="11" t="s">
        <v>33</v>
      </c>
      <c r="I695" s="12" t="str">
        <f aca="false">IF(OR(H695="Passed",H695="Accepted Exception"),"GREEN",IF(OR(H695="Not Started",H695="Failed"),"RED","AMBER"))</f>
        <v>RED</v>
      </c>
      <c r="J695" s="13" t="s">
        <v>34</v>
      </c>
      <c r="K695" s="14" t="str">
        <f aca="false">IF(OR(J695="Réussi",J695="Exception acceptée"),"GREEN",IF(OR(J695="Non commencé",J695="Échec"),"RED","AMBER"))</f>
        <v>RED</v>
      </c>
      <c r="L695" s="10"/>
      <c r="M695" s="10"/>
      <c r="N695" s="15" t="str">
        <f aca="true">IF(G695&lt;&gt;"",TODAY()-G695,"")</f>
        <v/>
      </c>
    </row>
    <row r="696" customFormat="false" ht="18" hidden="false" customHeight="true" outlineLevel="0" collapsed="false">
      <c r="A696" s="16" t="s">
        <v>90</v>
      </c>
      <c r="B696" s="17" t="s">
        <v>85</v>
      </c>
      <c r="C696" s="17" t="s">
        <v>398</v>
      </c>
      <c r="D696" s="16" t="s">
        <v>53</v>
      </c>
      <c r="E696" s="17" t="s">
        <v>399</v>
      </c>
      <c r="F696" s="17" t="s">
        <v>91</v>
      </c>
      <c r="G696" s="17"/>
      <c r="H696" s="18" t="s">
        <v>33</v>
      </c>
      <c r="I696" s="12" t="str">
        <f aca="false">IF(OR(H696="Passed",H696="Accepted Exception"),"GREEN",IF(OR(H696="Not Started",H696="Failed"),"RED","AMBER"))</f>
        <v>RED</v>
      </c>
      <c r="J696" s="19" t="s">
        <v>34</v>
      </c>
      <c r="K696" s="14" t="str">
        <f aca="false">IF(OR(J696="Réussi",J696="Exception acceptée"),"GREEN",IF(OR(J696="Non commencé",J696="Échec"),"RED","AMBER"))</f>
        <v>RED</v>
      </c>
      <c r="L696" s="17"/>
      <c r="M696" s="17"/>
      <c r="N696" s="15" t="str">
        <f aca="true">IF(G696&lt;&gt;"",TODAY()-G696,"")</f>
        <v/>
      </c>
    </row>
    <row r="697" customFormat="false" ht="18" hidden="false" customHeight="true" outlineLevel="0" collapsed="false">
      <c r="A697" s="9" t="s">
        <v>396</v>
      </c>
      <c r="B697" s="10" t="s">
        <v>85</v>
      </c>
      <c r="C697" s="10" t="s">
        <v>398</v>
      </c>
      <c r="D697" s="9" t="s">
        <v>53</v>
      </c>
      <c r="E697" s="10" t="s">
        <v>399</v>
      </c>
      <c r="F697" s="10" t="s">
        <v>397</v>
      </c>
      <c r="G697" s="10"/>
      <c r="H697" s="11" t="s">
        <v>33</v>
      </c>
      <c r="I697" s="12" t="str">
        <f aca="false">IF(OR(H697="Passed",H697="Accepted Exception"),"GREEN",IF(OR(H697="Not Started",H697="Failed"),"RED","AMBER"))</f>
        <v>RED</v>
      </c>
      <c r="J697" s="13" t="s">
        <v>34</v>
      </c>
      <c r="K697" s="14" t="str">
        <f aca="false">IF(OR(J697="Réussi",J697="Exception acceptée"),"GREEN",IF(OR(J697="Non commencé",J697="Échec"),"RED","AMBER"))</f>
        <v>RED</v>
      </c>
      <c r="L697" s="10"/>
      <c r="M697" s="10"/>
      <c r="N697" s="15" t="str">
        <f aca="true">IF(G697&lt;&gt;"",TODAY()-G697,"")</f>
        <v/>
      </c>
    </row>
    <row r="698" customFormat="false" ht="18" hidden="false" customHeight="true" outlineLevel="0" collapsed="false">
      <c r="A698" s="16" t="s">
        <v>56</v>
      </c>
      <c r="B698" s="17" t="s">
        <v>57</v>
      </c>
      <c r="C698" s="17" t="s">
        <v>398</v>
      </c>
      <c r="D698" s="16" t="s">
        <v>53</v>
      </c>
      <c r="E698" s="17" t="s">
        <v>399</v>
      </c>
      <c r="F698" s="17" t="s">
        <v>56</v>
      </c>
      <c r="G698" s="17"/>
      <c r="H698" s="18" t="s">
        <v>33</v>
      </c>
      <c r="I698" s="12" t="str">
        <f aca="false">IF(OR(H698="Passed",H698="Accepted Exception"),"GREEN",IF(OR(H698="Not Started",H698="Failed"),"RED","AMBER"))</f>
        <v>RED</v>
      </c>
      <c r="J698" s="19" t="s">
        <v>34</v>
      </c>
      <c r="K698" s="14" t="str">
        <f aca="false">IF(OR(J698="Réussi",J698="Exception acceptée"),"GREEN",IF(OR(J698="Non commencé",J698="Échec"),"RED","AMBER"))</f>
        <v>RED</v>
      </c>
      <c r="L698" s="17"/>
      <c r="M698" s="17"/>
      <c r="N698" s="15" t="str">
        <f aca="true">IF(G698&lt;&gt;"",TODAY()-G698,"")</f>
        <v/>
      </c>
    </row>
    <row r="699" customFormat="false" ht="18" hidden="false" customHeight="true" outlineLevel="0" collapsed="false">
      <c r="A699" s="9" t="s">
        <v>58</v>
      </c>
      <c r="B699" s="10" t="s">
        <v>57</v>
      </c>
      <c r="C699" s="10" t="s">
        <v>398</v>
      </c>
      <c r="D699" s="9" t="s">
        <v>53</v>
      </c>
      <c r="E699" s="10" t="s">
        <v>399</v>
      </c>
      <c r="F699" s="10" t="s">
        <v>59</v>
      </c>
      <c r="G699" s="10"/>
      <c r="H699" s="11" t="s">
        <v>33</v>
      </c>
      <c r="I699" s="12" t="str">
        <f aca="false">IF(OR(H699="Passed",H699="Accepted Exception"),"GREEN",IF(OR(H699="Not Started",H699="Failed"),"RED","AMBER"))</f>
        <v>RED</v>
      </c>
      <c r="J699" s="13" t="s">
        <v>34</v>
      </c>
      <c r="K699" s="14" t="str">
        <f aca="false">IF(OR(J699="Réussi",J699="Exception acceptée"),"GREEN",IF(OR(J699="Non commencé",J699="Échec"),"RED","AMBER"))</f>
        <v>RED</v>
      </c>
      <c r="L699" s="10"/>
      <c r="M699" s="10"/>
      <c r="N699" s="15" t="str">
        <f aca="true">IF(G699&lt;&gt;"",TODAY()-G699,"")</f>
        <v/>
      </c>
    </row>
    <row r="700" customFormat="false" ht="18" hidden="false" customHeight="true" outlineLevel="0" collapsed="false">
      <c r="A700" s="16" t="s">
        <v>135</v>
      </c>
      <c r="B700" s="17" t="s">
        <v>136</v>
      </c>
      <c r="C700" s="17" t="s">
        <v>398</v>
      </c>
      <c r="D700" s="16" t="s">
        <v>137</v>
      </c>
      <c r="E700" s="17" t="s">
        <v>399</v>
      </c>
      <c r="F700" s="17" t="s">
        <v>138</v>
      </c>
      <c r="G700" s="17"/>
      <c r="H700" s="18" t="s">
        <v>33</v>
      </c>
      <c r="I700" s="12" t="str">
        <f aca="false">IF(OR(H700="Passed",H700="Accepted Exception"),"GREEN",IF(OR(H700="Not Started",H700="Failed"),"RED","AMBER"))</f>
        <v>RED</v>
      </c>
      <c r="J700" s="19" t="s">
        <v>34</v>
      </c>
      <c r="K700" s="14" t="str">
        <f aca="false">IF(OR(J700="Réussi",J700="Exception acceptée"),"GREEN",IF(OR(J700="Non commencé",J700="Échec"),"RED","AMBER"))</f>
        <v>RED</v>
      </c>
      <c r="L700" s="17"/>
      <c r="M700" s="17"/>
      <c r="N700" s="15" t="str">
        <f aca="true">IF(G700&lt;&gt;"",TODAY()-G700,"")</f>
        <v/>
      </c>
    </row>
    <row r="701" customFormat="false" ht="18" hidden="false" customHeight="true" outlineLevel="0" collapsed="false">
      <c r="A701" s="9" t="s">
        <v>60</v>
      </c>
      <c r="B701" s="10" t="s">
        <v>61</v>
      </c>
      <c r="C701" s="10" t="s">
        <v>398</v>
      </c>
      <c r="D701" s="9" t="s">
        <v>62</v>
      </c>
      <c r="E701" s="10" t="s">
        <v>399</v>
      </c>
      <c r="F701" s="10" t="s">
        <v>63</v>
      </c>
      <c r="G701" s="10"/>
      <c r="H701" s="11" t="s">
        <v>33</v>
      </c>
      <c r="I701" s="12" t="str">
        <f aca="false">IF(OR(H701="Passed",H701="Accepted Exception"),"GREEN",IF(OR(H701="Not Started",H701="Failed"),"RED","AMBER"))</f>
        <v>RED</v>
      </c>
      <c r="J701" s="13" t="s">
        <v>34</v>
      </c>
      <c r="K701" s="14" t="str">
        <f aca="false">IF(OR(J701="Réussi",J701="Exception acceptée"),"GREEN",IF(OR(J701="Non commencé",J701="Échec"),"RED","AMBER"))</f>
        <v>RED</v>
      </c>
      <c r="L701" s="10"/>
      <c r="M701" s="10"/>
      <c r="N701" s="15" t="str">
        <f aca="true">IF(G701&lt;&gt;"",TODAY()-G701,"")</f>
        <v/>
      </c>
    </row>
    <row r="702" customFormat="false" ht="18" hidden="false" customHeight="true" outlineLevel="0" collapsed="false">
      <c r="A702" s="16" t="s">
        <v>141</v>
      </c>
      <c r="B702" s="17" t="s">
        <v>142</v>
      </c>
      <c r="C702" s="17" t="s">
        <v>398</v>
      </c>
      <c r="D702" s="16" t="s">
        <v>62</v>
      </c>
      <c r="E702" s="17" t="s">
        <v>399</v>
      </c>
      <c r="F702" s="17" t="s">
        <v>143</v>
      </c>
      <c r="G702" s="17"/>
      <c r="H702" s="18" t="s">
        <v>33</v>
      </c>
      <c r="I702" s="12" t="str">
        <f aca="false">IF(OR(H702="Passed",H702="Accepted Exception"),"GREEN",IF(OR(H702="Not Started",H702="Failed"),"RED","AMBER"))</f>
        <v>RED</v>
      </c>
      <c r="J702" s="19" t="s">
        <v>34</v>
      </c>
      <c r="K702" s="14" t="str">
        <f aca="false">IF(OR(J702="Réussi",J702="Exception acceptée"),"GREEN",IF(OR(J702="Non commencé",J702="Échec"),"RED","AMBER"))</f>
        <v>RED</v>
      </c>
      <c r="L702" s="17"/>
      <c r="M702" s="17"/>
      <c r="N702" s="15" t="str">
        <f aca="true">IF(G702&lt;&gt;"",TODAY()-G702,"")</f>
        <v/>
      </c>
    </row>
    <row r="703" customFormat="false" ht="18" hidden="false" customHeight="true" outlineLevel="0" collapsed="false">
      <c r="A703" s="9" t="s">
        <v>92</v>
      </c>
      <c r="B703" s="10" t="s">
        <v>93</v>
      </c>
      <c r="C703" s="10" t="s">
        <v>398</v>
      </c>
      <c r="D703" s="9" t="s">
        <v>94</v>
      </c>
      <c r="E703" s="10" t="s">
        <v>399</v>
      </c>
      <c r="F703" s="10" t="s">
        <v>92</v>
      </c>
      <c r="G703" s="10"/>
      <c r="H703" s="11" t="s">
        <v>33</v>
      </c>
      <c r="I703" s="12" t="str">
        <f aca="false">IF(OR(H703="Passed",H703="Accepted Exception"),"GREEN",IF(OR(H703="Not Started",H703="Failed"),"RED","AMBER"))</f>
        <v>RED</v>
      </c>
      <c r="J703" s="13" t="s">
        <v>34</v>
      </c>
      <c r="K703" s="14" t="str">
        <f aca="false">IF(OR(J703="Réussi",J703="Exception acceptée"),"GREEN",IF(OR(J703="Non commencé",J703="Échec"),"RED","AMBER"))</f>
        <v>RED</v>
      </c>
      <c r="L703" s="10"/>
      <c r="M703" s="10"/>
      <c r="N703" s="15" t="str">
        <f aca="true">IF(G703&lt;&gt;"",TODAY()-G703,"")</f>
        <v/>
      </c>
    </row>
    <row r="704" customFormat="false" ht="18" hidden="false" customHeight="true" outlineLevel="0" collapsed="false">
      <c r="A704" s="16" t="s">
        <v>146</v>
      </c>
      <c r="B704" s="17" t="s">
        <v>147</v>
      </c>
      <c r="C704" s="17" t="s">
        <v>398</v>
      </c>
      <c r="D704" s="16" t="s">
        <v>94</v>
      </c>
      <c r="E704" s="17" t="s">
        <v>399</v>
      </c>
      <c r="F704" s="17" t="s">
        <v>146</v>
      </c>
      <c r="G704" s="17"/>
      <c r="H704" s="18" t="s">
        <v>33</v>
      </c>
      <c r="I704" s="12" t="str">
        <f aca="false">IF(OR(H704="Passed",H704="Accepted Exception"),"GREEN",IF(OR(H704="Not Started",H704="Failed"),"RED","AMBER"))</f>
        <v>RED</v>
      </c>
      <c r="J704" s="19" t="s">
        <v>34</v>
      </c>
      <c r="K704" s="14" t="str">
        <f aca="false">IF(OR(J704="Réussi",J704="Exception acceptée"),"GREEN",IF(OR(J704="Non commencé",J704="Échec"),"RED","AMBER"))</f>
        <v>RED</v>
      </c>
      <c r="L704" s="17"/>
      <c r="M704" s="17"/>
      <c r="N704" s="15" t="str">
        <f aca="true">IF(G704&lt;&gt;"",TODAY()-G704,"")</f>
        <v/>
      </c>
    </row>
    <row r="705" customFormat="false" ht="18" hidden="false" customHeight="true" outlineLevel="0" collapsed="false">
      <c r="A705" s="9" t="s">
        <v>148</v>
      </c>
      <c r="B705" s="10" t="s">
        <v>149</v>
      </c>
      <c r="C705" s="10" t="s">
        <v>398</v>
      </c>
      <c r="D705" s="9" t="s">
        <v>94</v>
      </c>
      <c r="E705" s="10" t="s">
        <v>399</v>
      </c>
      <c r="F705" s="10" t="s">
        <v>150</v>
      </c>
      <c r="G705" s="10"/>
      <c r="H705" s="11" t="s">
        <v>33</v>
      </c>
      <c r="I705" s="12" t="str">
        <f aca="false">IF(OR(H705="Passed",H705="Accepted Exception"),"GREEN",IF(OR(H705="Not Started",H705="Failed"),"RED","AMBER"))</f>
        <v>RED</v>
      </c>
      <c r="J705" s="13" t="s">
        <v>34</v>
      </c>
      <c r="K705" s="14" t="str">
        <f aca="false">IF(OR(J705="Réussi",J705="Exception acceptée"),"GREEN",IF(OR(J705="Non commencé",J705="Échec"),"RED","AMBER"))</f>
        <v>RED</v>
      </c>
      <c r="L705" s="10"/>
      <c r="M705" s="10"/>
      <c r="N705" s="15" t="str">
        <f aca="true">IF(G705&lt;&gt;"",TODAY()-G705,"")</f>
        <v/>
      </c>
    </row>
    <row r="706" customFormat="false" ht="18" hidden="false" customHeight="true" outlineLevel="0" collapsed="false">
      <c r="A706" s="16" t="s">
        <v>151</v>
      </c>
      <c r="B706" s="17" t="s">
        <v>149</v>
      </c>
      <c r="C706" s="17" t="s">
        <v>398</v>
      </c>
      <c r="D706" s="16" t="s">
        <v>94</v>
      </c>
      <c r="E706" s="17" t="s">
        <v>399</v>
      </c>
      <c r="F706" s="17" t="s">
        <v>152</v>
      </c>
      <c r="G706" s="17"/>
      <c r="H706" s="18" t="s">
        <v>33</v>
      </c>
      <c r="I706" s="12" t="str">
        <f aca="false">IF(OR(H706="Passed",H706="Accepted Exception"),"GREEN",IF(OR(H706="Not Started",H706="Failed"),"RED","AMBER"))</f>
        <v>RED</v>
      </c>
      <c r="J706" s="19" t="s">
        <v>34</v>
      </c>
      <c r="K706" s="14" t="str">
        <f aca="false">IF(OR(J706="Réussi",J706="Exception acceptée"),"GREEN",IF(OR(J706="Non commencé",J706="Échec"),"RED","AMBER"))</f>
        <v>RED</v>
      </c>
      <c r="L706" s="17"/>
      <c r="M706" s="17"/>
      <c r="N706" s="15" t="str">
        <f aca="true">IF(G706&lt;&gt;"",TODAY()-G706,"")</f>
        <v/>
      </c>
    </row>
    <row r="707" customFormat="false" ht="18" hidden="false" customHeight="true" outlineLevel="0" collapsed="false">
      <c r="A707" s="9" t="s">
        <v>153</v>
      </c>
      <c r="B707" s="10" t="s">
        <v>154</v>
      </c>
      <c r="C707" s="10" t="s">
        <v>398</v>
      </c>
      <c r="D707" s="9" t="s">
        <v>94</v>
      </c>
      <c r="E707" s="10" t="s">
        <v>399</v>
      </c>
      <c r="F707" s="10" t="s">
        <v>153</v>
      </c>
      <c r="G707" s="10"/>
      <c r="H707" s="11" t="s">
        <v>33</v>
      </c>
      <c r="I707" s="12" t="str">
        <f aca="false">IF(OR(H707="Passed",H707="Accepted Exception"),"GREEN",IF(OR(H707="Not Started",H707="Failed"),"RED","AMBER"))</f>
        <v>RED</v>
      </c>
      <c r="J707" s="13" t="s">
        <v>34</v>
      </c>
      <c r="K707" s="14" t="str">
        <f aca="false">IF(OR(J707="Réussi",J707="Exception acceptée"),"GREEN",IF(OR(J707="Non commencé",J707="Échec"),"RED","AMBER"))</f>
        <v>RED</v>
      </c>
      <c r="L707" s="10"/>
      <c r="M707" s="10"/>
      <c r="N707" s="15" t="str">
        <f aca="true">IF(G707&lt;&gt;"",TODAY()-G707,"")</f>
        <v/>
      </c>
    </row>
    <row r="708" customFormat="false" ht="18" hidden="false" customHeight="true" outlineLevel="0" collapsed="false">
      <c r="A708" s="16" t="s">
        <v>155</v>
      </c>
      <c r="B708" s="17" t="s">
        <v>154</v>
      </c>
      <c r="C708" s="17" t="s">
        <v>398</v>
      </c>
      <c r="D708" s="16" t="s">
        <v>94</v>
      </c>
      <c r="E708" s="17" t="s">
        <v>399</v>
      </c>
      <c r="F708" s="17" t="s">
        <v>156</v>
      </c>
      <c r="G708" s="17"/>
      <c r="H708" s="18" t="s">
        <v>33</v>
      </c>
      <c r="I708" s="12" t="str">
        <f aca="false">IF(OR(H708="Passed",H708="Accepted Exception"),"GREEN",IF(OR(H708="Not Started",H708="Failed"),"RED","AMBER"))</f>
        <v>RED</v>
      </c>
      <c r="J708" s="19" t="s">
        <v>34</v>
      </c>
      <c r="K708" s="14" t="str">
        <f aca="false">IF(OR(J708="Réussi",J708="Exception acceptée"),"GREEN",IF(OR(J708="Non commencé",J708="Échec"),"RED","AMBER"))</f>
        <v>RED</v>
      </c>
      <c r="L708" s="17"/>
      <c r="M708" s="17"/>
      <c r="N708" s="15" t="str">
        <f aca="true">IF(G708&lt;&gt;"",TODAY()-G708,"")</f>
        <v/>
      </c>
    </row>
    <row r="709" customFormat="false" ht="18" hidden="false" customHeight="true" outlineLevel="0" collapsed="false">
      <c r="A709" s="9" t="s">
        <v>157</v>
      </c>
      <c r="B709" s="10" t="s">
        <v>158</v>
      </c>
      <c r="C709" s="10" t="s">
        <v>398</v>
      </c>
      <c r="D709" s="9" t="s">
        <v>94</v>
      </c>
      <c r="E709" s="10" t="s">
        <v>399</v>
      </c>
      <c r="F709" s="10" t="s">
        <v>157</v>
      </c>
      <c r="G709" s="10"/>
      <c r="H709" s="11" t="s">
        <v>33</v>
      </c>
      <c r="I709" s="12" t="str">
        <f aca="false">IF(OR(H709="Passed",H709="Accepted Exception"),"GREEN",IF(OR(H709="Not Started",H709="Failed"),"RED","AMBER"))</f>
        <v>RED</v>
      </c>
      <c r="J709" s="13" t="s">
        <v>34</v>
      </c>
      <c r="K709" s="14" t="str">
        <f aca="false">IF(OR(J709="Réussi",J709="Exception acceptée"),"GREEN",IF(OR(J709="Non commencé",J709="Échec"),"RED","AMBER"))</f>
        <v>RED</v>
      </c>
      <c r="L709" s="10"/>
      <c r="M709" s="10"/>
      <c r="N709" s="15" t="str">
        <f aca="true">IF(G709&lt;&gt;"",TODAY()-G709,"")</f>
        <v/>
      </c>
    </row>
    <row r="710" customFormat="false" ht="18" hidden="false" customHeight="true" outlineLevel="0" collapsed="false">
      <c r="A710" s="16" t="s">
        <v>95</v>
      </c>
      <c r="B710" s="17" t="s">
        <v>96</v>
      </c>
      <c r="C710" s="17" t="s">
        <v>398</v>
      </c>
      <c r="D710" s="16" t="s">
        <v>94</v>
      </c>
      <c r="E710" s="17" t="s">
        <v>399</v>
      </c>
      <c r="F710" s="17" t="s">
        <v>95</v>
      </c>
      <c r="G710" s="17"/>
      <c r="H710" s="18" t="s">
        <v>33</v>
      </c>
      <c r="I710" s="12" t="str">
        <f aca="false">IF(OR(H710="Passed",H710="Accepted Exception"),"GREEN",IF(OR(H710="Not Started",H710="Failed"),"RED","AMBER"))</f>
        <v>RED</v>
      </c>
      <c r="J710" s="19" t="s">
        <v>34</v>
      </c>
      <c r="K710" s="14" t="str">
        <f aca="false">IF(OR(J710="Réussi",J710="Exception acceptée"),"GREEN",IF(OR(J710="Non commencé",J710="Échec"),"RED","AMBER"))</f>
        <v>RED</v>
      </c>
      <c r="L710" s="17"/>
      <c r="M710" s="17"/>
      <c r="N710" s="15" t="str">
        <f aca="true">IF(G710&lt;&gt;"",TODAY()-G710,"")</f>
        <v/>
      </c>
    </row>
    <row r="711" customFormat="false" ht="18" hidden="false" customHeight="true" outlineLevel="0" collapsed="false">
      <c r="A711" s="9" t="s">
        <v>159</v>
      </c>
      <c r="B711" s="10" t="s">
        <v>160</v>
      </c>
      <c r="C711" s="10" t="s">
        <v>398</v>
      </c>
      <c r="D711" s="9" t="s">
        <v>94</v>
      </c>
      <c r="E711" s="10" t="s">
        <v>399</v>
      </c>
      <c r="F711" s="10" t="s">
        <v>159</v>
      </c>
      <c r="G711" s="10"/>
      <c r="H711" s="11" t="s">
        <v>33</v>
      </c>
      <c r="I711" s="12" t="str">
        <f aca="false">IF(OR(H711="Passed",H711="Accepted Exception"),"GREEN",IF(OR(H711="Not Started",H711="Failed"),"RED","AMBER"))</f>
        <v>RED</v>
      </c>
      <c r="J711" s="13" t="s">
        <v>34</v>
      </c>
      <c r="K711" s="14" t="str">
        <f aca="false">IF(OR(J711="Réussi",J711="Exception acceptée"),"GREEN",IF(OR(J711="Non commencé",J711="Échec"),"RED","AMBER"))</f>
        <v>RED</v>
      </c>
      <c r="L711" s="10"/>
      <c r="M711" s="10"/>
      <c r="N711" s="15" t="str">
        <f aca="true">IF(G711&lt;&gt;"",TODAY()-G711,"")</f>
        <v/>
      </c>
    </row>
    <row r="712" customFormat="false" ht="18" hidden="false" customHeight="true" outlineLevel="0" collapsed="false">
      <c r="A712" s="16" t="s">
        <v>161</v>
      </c>
      <c r="B712" s="17" t="s">
        <v>160</v>
      </c>
      <c r="C712" s="17" t="s">
        <v>398</v>
      </c>
      <c r="D712" s="16" t="s">
        <v>94</v>
      </c>
      <c r="E712" s="17" t="s">
        <v>399</v>
      </c>
      <c r="F712" s="17" t="s">
        <v>162</v>
      </c>
      <c r="G712" s="17"/>
      <c r="H712" s="18" t="s">
        <v>33</v>
      </c>
      <c r="I712" s="12" t="str">
        <f aca="false">IF(OR(H712="Passed",H712="Accepted Exception"),"GREEN",IF(OR(H712="Not Started",H712="Failed"),"RED","AMBER"))</f>
        <v>RED</v>
      </c>
      <c r="J712" s="19" t="s">
        <v>34</v>
      </c>
      <c r="K712" s="14" t="str">
        <f aca="false">IF(OR(J712="Réussi",J712="Exception acceptée"),"GREEN",IF(OR(J712="Non commencé",J712="Échec"),"RED","AMBER"))</f>
        <v>RED</v>
      </c>
      <c r="L712" s="17"/>
      <c r="M712" s="17"/>
      <c r="N712" s="15" t="str">
        <f aca="true">IF(G712&lt;&gt;"",TODAY()-G712,"")</f>
        <v/>
      </c>
    </row>
    <row r="713" customFormat="false" ht="18" hidden="false" customHeight="true" outlineLevel="0" collapsed="false">
      <c r="A713" s="9" t="s">
        <v>163</v>
      </c>
      <c r="B713" s="10" t="s">
        <v>160</v>
      </c>
      <c r="C713" s="10" t="s">
        <v>398</v>
      </c>
      <c r="D713" s="9" t="s">
        <v>94</v>
      </c>
      <c r="E713" s="10" t="s">
        <v>399</v>
      </c>
      <c r="F713" s="10" t="s">
        <v>164</v>
      </c>
      <c r="G713" s="10"/>
      <c r="H713" s="11" t="s">
        <v>33</v>
      </c>
      <c r="I713" s="12" t="str">
        <f aca="false">IF(OR(H713="Passed",H713="Accepted Exception"),"GREEN",IF(OR(H713="Not Started",H713="Failed"),"RED","AMBER"))</f>
        <v>RED</v>
      </c>
      <c r="J713" s="13" t="s">
        <v>34</v>
      </c>
      <c r="K713" s="14" t="str">
        <f aca="false">IF(OR(J713="Réussi",J713="Exception acceptée"),"GREEN",IF(OR(J713="Non commencé",J713="Échec"),"RED","AMBER"))</f>
        <v>RED</v>
      </c>
      <c r="L713" s="10"/>
      <c r="M713" s="10"/>
      <c r="N713" s="15" t="str">
        <f aca="true">IF(G713&lt;&gt;"",TODAY()-G713,"")</f>
        <v/>
      </c>
    </row>
    <row r="714" customFormat="false" ht="18" hidden="false" customHeight="true" outlineLevel="0" collapsed="false">
      <c r="A714" s="16" t="s">
        <v>165</v>
      </c>
      <c r="B714" s="17" t="s">
        <v>166</v>
      </c>
      <c r="C714" s="17" t="s">
        <v>398</v>
      </c>
      <c r="D714" s="16" t="s">
        <v>94</v>
      </c>
      <c r="E714" s="17" t="s">
        <v>399</v>
      </c>
      <c r="F714" s="17" t="s">
        <v>165</v>
      </c>
      <c r="G714" s="17"/>
      <c r="H714" s="18" t="s">
        <v>33</v>
      </c>
      <c r="I714" s="12" t="str">
        <f aca="false">IF(OR(H714="Passed",H714="Accepted Exception"),"GREEN",IF(OR(H714="Not Started",H714="Failed"),"RED","AMBER"))</f>
        <v>RED</v>
      </c>
      <c r="J714" s="19" t="s">
        <v>34</v>
      </c>
      <c r="K714" s="14" t="str">
        <f aca="false">IF(OR(J714="Réussi",J714="Exception acceptée"),"GREEN",IF(OR(J714="Non commencé",J714="Échec"),"RED","AMBER"))</f>
        <v>RED</v>
      </c>
      <c r="L714" s="17"/>
      <c r="M714" s="17"/>
      <c r="N714" s="15" t="str">
        <f aca="true">IF(G714&lt;&gt;"",TODAY()-G714,"")</f>
        <v/>
      </c>
    </row>
    <row r="715" customFormat="false" ht="18" hidden="false" customHeight="true" outlineLevel="0" collapsed="false">
      <c r="A715" s="9" t="s">
        <v>167</v>
      </c>
      <c r="B715" s="10" t="s">
        <v>166</v>
      </c>
      <c r="C715" s="10" t="s">
        <v>398</v>
      </c>
      <c r="D715" s="9" t="s">
        <v>94</v>
      </c>
      <c r="E715" s="10" t="s">
        <v>399</v>
      </c>
      <c r="F715" s="10" t="s">
        <v>168</v>
      </c>
      <c r="G715" s="10"/>
      <c r="H715" s="11" t="s">
        <v>33</v>
      </c>
      <c r="I715" s="12" t="str">
        <f aca="false">IF(OR(H715="Passed",H715="Accepted Exception"),"GREEN",IF(OR(H715="Not Started",H715="Failed"),"RED","AMBER"))</f>
        <v>RED</v>
      </c>
      <c r="J715" s="13" t="s">
        <v>34</v>
      </c>
      <c r="K715" s="14" t="str">
        <f aca="false">IF(OR(J715="Réussi",J715="Exception acceptée"),"GREEN",IF(OR(J715="Non commencé",J715="Échec"),"RED","AMBER"))</f>
        <v>RED</v>
      </c>
      <c r="L715" s="10"/>
      <c r="M715" s="10"/>
      <c r="N715" s="15" t="str">
        <f aca="true">IF(G715&lt;&gt;"",TODAY()-G715,"")</f>
        <v/>
      </c>
    </row>
    <row r="716" customFormat="false" ht="18" hidden="false" customHeight="true" outlineLevel="0" collapsed="false">
      <c r="A716" s="16" t="s">
        <v>97</v>
      </c>
      <c r="B716" s="17" t="s">
        <v>98</v>
      </c>
      <c r="C716" s="17" t="s">
        <v>398</v>
      </c>
      <c r="D716" s="16" t="s">
        <v>94</v>
      </c>
      <c r="E716" s="17" t="s">
        <v>399</v>
      </c>
      <c r="F716" s="17" t="s">
        <v>97</v>
      </c>
      <c r="G716" s="17"/>
      <c r="H716" s="18" t="s">
        <v>33</v>
      </c>
      <c r="I716" s="12" t="str">
        <f aca="false">IF(OR(H716="Passed",H716="Accepted Exception"),"GREEN",IF(OR(H716="Not Started",H716="Failed"),"RED","AMBER"))</f>
        <v>RED</v>
      </c>
      <c r="J716" s="19" t="s">
        <v>34</v>
      </c>
      <c r="K716" s="14" t="str">
        <f aca="false">IF(OR(J716="Réussi",J716="Exception acceptée"),"GREEN",IF(OR(J716="Non commencé",J716="Échec"),"RED","AMBER"))</f>
        <v>RED</v>
      </c>
      <c r="L716" s="17"/>
      <c r="M716" s="17"/>
      <c r="N716" s="15" t="str">
        <f aca="true">IF(G716&lt;&gt;"",TODAY()-G716,"")</f>
        <v/>
      </c>
    </row>
    <row r="717" customFormat="false" ht="18" hidden="false" customHeight="true" outlineLevel="0" collapsed="false">
      <c r="A717" s="9" t="s">
        <v>99</v>
      </c>
      <c r="B717" s="10" t="s">
        <v>98</v>
      </c>
      <c r="C717" s="10" t="s">
        <v>398</v>
      </c>
      <c r="D717" s="9" t="s">
        <v>94</v>
      </c>
      <c r="E717" s="10" t="s">
        <v>399</v>
      </c>
      <c r="F717" s="10" t="s">
        <v>100</v>
      </c>
      <c r="G717" s="10"/>
      <c r="H717" s="11" t="s">
        <v>33</v>
      </c>
      <c r="I717" s="12" t="str">
        <f aca="false">IF(OR(H717="Passed",H717="Accepted Exception"),"GREEN",IF(OR(H717="Not Started",H717="Failed"),"RED","AMBER"))</f>
        <v>RED</v>
      </c>
      <c r="J717" s="13" t="s">
        <v>34</v>
      </c>
      <c r="K717" s="14" t="str">
        <f aca="false">IF(OR(J717="Réussi",J717="Exception acceptée"),"GREEN",IF(OR(J717="Non commencé",J717="Échec"),"RED","AMBER"))</f>
        <v>RED</v>
      </c>
      <c r="L717" s="10"/>
      <c r="M717" s="10"/>
      <c r="N717" s="15" t="str">
        <f aca="true">IF(G717&lt;&gt;"",TODAY()-G717,"")</f>
        <v/>
      </c>
    </row>
    <row r="718" customFormat="false" ht="18" hidden="false" customHeight="true" outlineLevel="0" collapsed="false">
      <c r="A718" s="16" t="s">
        <v>169</v>
      </c>
      <c r="B718" s="17" t="s">
        <v>170</v>
      </c>
      <c r="C718" s="17" t="s">
        <v>398</v>
      </c>
      <c r="D718" s="16" t="s">
        <v>94</v>
      </c>
      <c r="E718" s="17" t="s">
        <v>399</v>
      </c>
      <c r="F718" s="17" t="s">
        <v>169</v>
      </c>
      <c r="G718" s="17"/>
      <c r="H718" s="18" t="s">
        <v>33</v>
      </c>
      <c r="I718" s="12" t="str">
        <f aca="false">IF(OR(H718="Passed",H718="Accepted Exception"),"GREEN",IF(OR(H718="Not Started",H718="Failed"),"RED","AMBER"))</f>
        <v>RED</v>
      </c>
      <c r="J718" s="19" t="s">
        <v>34</v>
      </c>
      <c r="K718" s="14" t="str">
        <f aca="false">IF(OR(J718="Réussi",J718="Exception acceptée"),"GREEN",IF(OR(J718="Non commencé",J718="Échec"),"RED","AMBER"))</f>
        <v>RED</v>
      </c>
      <c r="L718" s="17"/>
      <c r="M718" s="17"/>
      <c r="N718" s="15" t="str">
        <f aca="true">IF(G718&lt;&gt;"",TODAY()-G718,"")</f>
        <v/>
      </c>
    </row>
    <row r="719" customFormat="false" ht="18" hidden="false" customHeight="true" outlineLevel="0" collapsed="false">
      <c r="A719" s="9" t="s">
        <v>64</v>
      </c>
      <c r="B719" s="10" t="s">
        <v>65</v>
      </c>
      <c r="C719" s="10" t="s">
        <v>398</v>
      </c>
      <c r="D719" s="9" t="s">
        <v>66</v>
      </c>
      <c r="E719" s="10" t="s">
        <v>399</v>
      </c>
      <c r="F719" s="10" t="s">
        <v>67</v>
      </c>
      <c r="G719" s="10"/>
      <c r="H719" s="11" t="s">
        <v>33</v>
      </c>
      <c r="I719" s="12" t="str">
        <f aca="false">IF(OR(H719="Passed",H719="Accepted Exception"),"GREEN",IF(OR(H719="Not Started",H719="Failed"),"RED","AMBER"))</f>
        <v>RED</v>
      </c>
      <c r="J719" s="13" t="s">
        <v>34</v>
      </c>
      <c r="K719" s="14" t="str">
        <f aca="false">IF(OR(J719="Réussi",J719="Exception acceptée"),"GREEN",IF(OR(J719="Non commencé",J719="Échec"),"RED","AMBER"))</f>
        <v>RED</v>
      </c>
      <c r="L719" s="10"/>
      <c r="M719" s="10"/>
      <c r="N719" s="15" t="str">
        <f aca="true">IF(G719&lt;&gt;"",TODAY()-G719,"")</f>
        <v/>
      </c>
    </row>
    <row r="720" customFormat="false" ht="18" hidden="false" customHeight="true" outlineLevel="0" collapsed="false">
      <c r="A720" s="16" t="s">
        <v>171</v>
      </c>
      <c r="B720" s="17" t="s">
        <v>65</v>
      </c>
      <c r="C720" s="17" t="s">
        <v>398</v>
      </c>
      <c r="D720" s="16" t="s">
        <v>66</v>
      </c>
      <c r="E720" s="17" t="s">
        <v>399</v>
      </c>
      <c r="F720" s="17" t="s">
        <v>172</v>
      </c>
      <c r="G720" s="17"/>
      <c r="H720" s="18" t="s">
        <v>33</v>
      </c>
      <c r="I720" s="12" t="str">
        <f aca="false">IF(OR(H720="Passed",H720="Accepted Exception"),"GREEN",IF(OR(H720="Not Started",H720="Failed"),"RED","AMBER"))</f>
        <v>RED</v>
      </c>
      <c r="J720" s="19" t="s">
        <v>34</v>
      </c>
      <c r="K720" s="14" t="str">
        <f aca="false">IF(OR(J720="Réussi",J720="Exception acceptée"),"GREEN",IF(OR(J720="Non commencé",J720="Échec"),"RED","AMBER"))</f>
        <v>RED</v>
      </c>
      <c r="L720" s="17"/>
      <c r="M720" s="17"/>
      <c r="N720" s="15" t="str">
        <f aca="true">IF(G720&lt;&gt;"",TODAY()-G720,"")</f>
        <v/>
      </c>
    </row>
    <row r="721" customFormat="false" ht="18" hidden="false" customHeight="true" outlineLevel="0" collapsed="false">
      <c r="A721" s="9" t="s">
        <v>173</v>
      </c>
      <c r="B721" s="10" t="s">
        <v>65</v>
      </c>
      <c r="C721" s="10" t="s">
        <v>398</v>
      </c>
      <c r="D721" s="9" t="s">
        <v>66</v>
      </c>
      <c r="E721" s="10" t="s">
        <v>399</v>
      </c>
      <c r="F721" s="10" t="s">
        <v>174</v>
      </c>
      <c r="G721" s="10"/>
      <c r="H721" s="11" t="s">
        <v>33</v>
      </c>
      <c r="I721" s="12" t="str">
        <f aca="false">IF(OR(H721="Passed",H721="Accepted Exception"),"GREEN",IF(OR(H721="Not Started",H721="Failed"),"RED","AMBER"))</f>
        <v>RED</v>
      </c>
      <c r="J721" s="13" t="s">
        <v>34</v>
      </c>
      <c r="K721" s="14" t="str">
        <f aca="false">IF(OR(J721="Réussi",J721="Exception acceptée"),"GREEN",IF(OR(J721="Non commencé",J721="Échec"),"RED","AMBER"))</f>
        <v>RED</v>
      </c>
      <c r="L721" s="10"/>
      <c r="M721" s="10"/>
      <c r="N721" s="15" t="str">
        <f aca="true">IF(G721&lt;&gt;"",TODAY()-G721,"")</f>
        <v/>
      </c>
    </row>
    <row r="722" customFormat="false" ht="18" hidden="false" customHeight="true" outlineLevel="0" collapsed="false">
      <c r="A722" s="16" t="s">
        <v>68</v>
      </c>
      <c r="B722" s="17" t="s">
        <v>69</v>
      </c>
      <c r="C722" s="17" t="s">
        <v>398</v>
      </c>
      <c r="D722" s="16" t="s">
        <v>66</v>
      </c>
      <c r="E722" s="17" t="s">
        <v>399</v>
      </c>
      <c r="F722" s="17" t="s">
        <v>68</v>
      </c>
      <c r="G722" s="17"/>
      <c r="H722" s="18" t="s">
        <v>33</v>
      </c>
      <c r="I722" s="12" t="str">
        <f aca="false">IF(OR(H722="Passed",H722="Accepted Exception"),"GREEN",IF(OR(H722="Not Started",H722="Failed"),"RED","AMBER"))</f>
        <v>RED</v>
      </c>
      <c r="J722" s="19" t="s">
        <v>34</v>
      </c>
      <c r="K722" s="14" t="str">
        <f aca="false">IF(OR(J722="Réussi",J722="Exception acceptée"),"GREEN",IF(OR(J722="Non commencé",J722="Échec"),"RED","AMBER"))</f>
        <v>RED</v>
      </c>
      <c r="L722" s="17"/>
      <c r="M722" s="17"/>
      <c r="N722" s="15" t="str">
        <f aca="true">IF(G722&lt;&gt;"",TODAY()-G722,"")</f>
        <v/>
      </c>
    </row>
    <row r="723" customFormat="false" ht="18" hidden="false" customHeight="true" outlineLevel="0" collapsed="false">
      <c r="A723" s="9" t="s">
        <v>175</v>
      </c>
      <c r="B723" s="10" t="s">
        <v>176</v>
      </c>
      <c r="C723" s="10" t="s">
        <v>398</v>
      </c>
      <c r="D723" s="9" t="s">
        <v>66</v>
      </c>
      <c r="E723" s="10" t="s">
        <v>399</v>
      </c>
      <c r="F723" s="10" t="s">
        <v>175</v>
      </c>
      <c r="G723" s="10"/>
      <c r="H723" s="11" t="s">
        <v>33</v>
      </c>
      <c r="I723" s="12" t="str">
        <f aca="false">IF(OR(H723="Passed",H723="Accepted Exception"),"GREEN",IF(OR(H723="Not Started",H723="Failed"),"RED","AMBER"))</f>
        <v>RED</v>
      </c>
      <c r="J723" s="13" t="s">
        <v>34</v>
      </c>
      <c r="K723" s="14" t="str">
        <f aca="false">IF(OR(J723="Réussi",J723="Exception acceptée"),"GREEN",IF(OR(J723="Non commencé",J723="Échec"),"RED","AMBER"))</f>
        <v>RED</v>
      </c>
      <c r="L723" s="10"/>
      <c r="M723" s="10"/>
      <c r="N723" s="15" t="str">
        <f aca="true">IF(G723&lt;&gt;"",TODAY()-G723,"")</f>
        <v/>
      </c>
    </row>
    <row r="724" customFormat="false" ht="18" hidden="false" customHeight="true" outlineLevel="0" collapsed="false">
      <c r="A724" s="16" t="s">
        <v>177</v>
      </c>
      <c r="B724" s="17" t="s">
        <v>176</v>
      </c>
      <c r="C724" s="17" t="s">
        <v>398</v>
      </c>
      <c r="D724" s="16" t="s">
        <v>66</v>
      </c>
      <c r="E724" s="17" t="s">
        <v>399</v>
      </c>
      <c r="F724" s="17" t="s">
        <v>178</v>
      </c>
      <c r="G724" s="17"/>
      <c r="H724" s="18" t="s">
        <v>33</v>
      </c>
      <c r="I724" s="12" t="str">
        <f aca="false">IF(OR(H724="Passed",H724="Accepted Exception"),"GREEN",IF(OR(H724="Not Started",H724="Failed"),"RED","AMBER"))</f>
        <v>RED</v>
      </c>
      <c r="J724" s="19" t="s">
        <v>34</v>
      </c>
      <c r="K724" s="14" t="str">
        <f aca="false">IF(OR(J724="Réussi",J724="Exception acceptée"),"GREEN",IF(OR(J724="Non commencé",J724="Échec"),"RED","AMBER"))</f>
        <v>RED</v>
      </c>
      <c r="L724" s="17"/>
      <c r="M724" s="17"/>
      <c r="N724" s="15" t="str">
        <f aca="true">IF(G724&lt;&gt;"",TODAY()-G724,"")</f>
        <v/>
      </c>
    </row>
    <row r="725" customFormat="false" ht="18" hidden="false" customHeight="true" outlineLevel="0" collapsed="false">
      <c r="A725" s="9" t="s">
        <v>28</v>
      </c>
      <c r="B725" s="10" t="s">
        <v>29</v>
      </c>
      <c r="C725" s="10" t="s">
        <v>400</v>
      </c>
      <c r="D725" s="9" t="s">
        <v>31</v>
      </c>
      <c r="E725" s="10" t="s">
        <v>401</v>
      </c>
      <c r="F725" s="10" t="s">
        <v>28</v>
      </c>
      <c r="G725" s="10"/>
      <c r="H725" s="11" t="s">
        <v>33</v>
      </c>
      <c r="I725" s="12" t="str">
        <f aca="false">IF(OR(H725="Passed",H725="Accepted Exception"),"GREEN",IF(OR(H725="Not Started",H725="Failed"),"RED","AMBER"))</f>
        <v>RED</v>
      </c>
      <c r="J725" s="13" t="s">
        <v>34</v>
      </c>
      <c r="K725" s="14" t="str">
        <f aca="false">IF(OR(J725="Réussi",J725="Exception acceptée"),"GREEN",IF(OR(J725="Non commencé",J725="Échec"),"RED","AMBER"))</f>
        <v>RED</v>
      </c>
      <c r="L725" s="10"/>
      <c r="M725" s="10"/>
      <c r="N725" s="15" t="str">
        <f aca="true">IF(G725&lt;&gt;"",TODAY()-G725,"")</f>
        <v/>
      </c>
    </row>
    <row r="726" customFormat="false" ht="18" hidden="false" customHeight="true" outlineLevel="0" collapsed="false">
      <c r="A726" s="16" t="s">
        <v>35</v>
      </c>
      <c r="B726" s="17" t="s">
        <v>36</v>
      </c>
      <c r="C726" s="17" t="s">
        <v>400</v>
      </c>
      <c r="D726" s="16" t="s">
        <v>31</v>
      </c>
      <c r="E726" s="17" t="s">
        <v>401</v>
      </c>
      <c r="F726" s="17" t="s">
        <v>35</v>
      </c>
      <c r="G726" s="17"/>
      <c r="H726" s="18" t="s">
        <v>33</v>
      </c>
      <c r="I726" s="12" t="str">
        <f aca="false">IF(OR(H726="Passed",H726="Accepted Exception"),"GREEN",IF(OR(H726="Not Started",H726="Failed"),"RED","AMBER"))</f>
        <v>RED</v>
      </c>
      <c r="J726" s="19" t="s">
        <v>34</v>
      </c>
      <c r="K726" s="14" t="str">
        <f aca="false">IF(OR(J726="Réussi",J726="Exception acceptée"),"GREEN",IF(OR(J726="Non commencé",J726="Échec"),"RED","AMBER"))</f>
        <v>RED</v>
      </c>
      <c r="L726" s="17"/>
      <c r="M726" s="17"/>
      <c r="N726" s="15" t="str">
        <f aca="true">IF(G726&lt;&gt;"",TODAY()-G726,"")</f>
        <v/>
      </c>
    </row>
    <row r="727" customFormat="false" ht="18" hidden="false" customHeight="true" outlineLevel="0" collapsed="false">
      <c r="A727" s="9" t="s">
        <v>37</v>
      </c>
      <c r="B727" s="10" t="s">
        <v>36</v>
      </c>
      <c r="C727" s="10" t="s">
        <v>400</v>
      </c>
      <c r="D727" s="9" t="s">
        <v>31</v>
      </c>
      <c r="E727" s="10" t="s">
        <v>401</v>
      </c>
      <c r="F727" s="10" t="s">
        <v>38</v>
      </c>
      <c r="G727" s="10"/>
      <c r="H727" s="11" t="s">
        <v>33</v>
      </c>
      <c r="I727" s="12" t="str">
        <f aca="false">IF(OR(H727="Passed",H727="Accepted Exception"),"GREEN",IF(OR(H727="Not Started",H727="Failed"),"RED","AMBER"))</f>
        <v>RED</v>
      </c>
      <c r="J727" s="13" t="s">
        <v>34</v>
      </c>
      <c r="K727" s="14" t="str">
        <f aca="false">IF(OR(J727="Réussi",J727="Exception acceptée"),"GREEN",IF(OR(J727="Non commencé",J727="Échec"),"RED","AMBER"))</f>
        <v>RED</v>
      </c>
      <c r="L727" s="10"/>
      <c r="M727" s="10"/>
      <c r="N727" s="15" t="str">
        <f aca="true">IF(G727&lt;&gt;"",TODAY()-G727,"")</f>
        <v/>
      </c>
    </row>
    <row r="728" customFormat="false" ht="18" hidden="false" customHeight="true" outlineLevel="0" collapsed="false">
      <c r="A728" s="16" t="s">
        <v>39</v>
      </c>
      <c r="B728" s="17" t="s">
        <v>40</v>
      </c>
      <c r="C728" s="17" t="s">
        <v>400</v>
      </c>
      <c r="D728" s="16" t="s">
        <v>31</v>
      </c>
      <c r="E728" s="17" t="s">
        <v>401</v>
      </c>
      <c r="F728" s="17" t="s">
        <v>41</v>
      </c>
      <c r="G728" s="17"/>
      <c r="H728" s="18" t="s">
        <v>33</v>
      </c>
      <c r="I728" s="12" t="str">
        <f aca="false">IF(OR(H728="Passed",H728="Accepted Exception"),"GREEN",IF(OR(H728="Not Started",H728="Failed"),"RED","AMBER"))</f>
        <v>RED</v>
      </c>
      <c r="J728" s="19" t="s">
        <v>34</v>
      </c>
      <c r="K728" s="14" t="str">
        <f aca="false">IF(OR(J728="Réussi",J728="Exception acceptée"),"GREEN",IF(OR(J728="Non commencé",J728="Échec"),"RED","AMBER"))</f>
        <v>RED</v>
      </c>
      <c r="L728" s="17"/>
      <c r="M728" s="17"/>
      <c r="N728" s="15" t="str">
        <f aca="true">IF(G728&lt;&gt;"",TODAY()-G728,"")</f>
        <v/>
      </c>
    </row>
    <row r="729" customFormat="false" ht="18" hidden="false" customHeight="true" outlineLevel="0" collapsed="false">
      <c r="A729" s="9" t="s">
        <v>42</v>
      </c>
      <c r="B729" s="10" t="s">
        <v>43</v>
      </c>
      <c r="C729" s="10" t="s">
        <v>400</v>
      </c>
      <c r="D729" s="9" t="s">
        <v>31</v>
      </c>
      <c r="E729" s="10" t="s">
        <v>401</v>
      </c>
      <c r="F729" s="10" t="s">
        <v>42</v>
      </c>
      <c r="G729" s="10"/>
      <c r="H729" s="11" t="s">
        <v>33</v>
      </c>
      <c r="I729" s="12" t="str">
        <f aca="false">IF(OR(H729="Passed",H729="Accepted Exception"),"GREEN",IF(OR(H729="Not Started",H729="Failed"),"RED","AMBER"))</f>
        <v>RED</v>
      </c>
      <c r="J729" s="13" t="s">
        <v>34</v>
      </c>
      <c r="K729" s="14" t="str">
        <f aca="false">IF(OR(J729="Réussi",J729="Exception acceptée"),"GREEN",IF(OR(J729="Non commencé",J729="Échec"),"RED","AMBER"))</f>
        <v>RED</v>
      </c>
      <c r="L729" s="10"/>
      <c r="M729" s="10"/>
      <c r="N729" s="15" t="str">
        <f aca="true">IF(G729&lt;&gt;"",TODAY()-G729,"")</f>
        <v/>
      </c>
    </row>
    <row r="730" customFormat="false" ht="18" hidden="false" customHeight="true" outlineLevel="0" collapsed="false">
      <c r="A730" s="16" t="s">
        <v>125</v>
      </c>
      <c r="B730" s="17" t="s">
        <v>126</v>
      </c>
      <c r="C730" s="17" t="s">
        <v>400</v>
      </c>
      <c r="D730" s="16" t="s">
        <v>127</v>
      </c>
      <c r="E730" s="17" t="s">
        <v>401</v>
      </c>
      <c r="F730" s="17" t="s">
        <v>128</v>
      </c>
      <c r="G730" s="17"/>
      <c r="H730" s="18" t="s">
        <v>33</v>
      </c>
      <c r="I730" s="12" t="str">
        <f aca="false">IF(OR(H730="Passed",H730="Accepted Exception"),"GREEN",IF(OR(H730="Not Started",H730="Failed"),"RED","AMBER"))</f>
        <v>RED</v>
      </c>
      <c r="J730" s="19" t="s">
        <v>34</v>
      </c>
      <c r="K730" s="14" t="str">
        <f aca="false">IF(OR(J730="Réussi",J730="Exception acceptée"),"GREEN",IF(OR(J730="Non commencé",J730="Échec"),"RED","AMBER"))</f>
        <v>RED</v>
      </c>
      <c r="L730" s="17"/>
      <c r="M730" s="17"/>
      <c r="N730" s="15" t="str">
        <f aca="true">IF(G730&lt;&gt;"",TODAY()-G730,"")</f>
        <v/>
      </c>
    </row>
    <row r="731" customFormat="false" ht="18" hidden="false" customHeight="true" outlineLevel="0" collapsed="false">
      <c r="A731" s="9" t="s">
        <v>129</v>
      </c>
      <c r="B731" s="10" t="s">
        <v>130</v>
      </c>
      <c r="C731" s="10" t="s">
        <v>400</v>
      </c>
      <c r="D731" s="9" t="s">
        <v>127</v>
      </c>
      <c r="E731" s="10" t="s">
        <v>401</v>
      </c>
      <c r="F731" s="10" t="s">
        <v>129</v>
      </c>
      <c r="G731" s="10"/>
      <c r="H731" s="11" t="s">
        <v>33</v>
      </c>
      <c r="I731" s="12" t="str">
        <f aca="false">IF(OR(H731="Passed",H731="Accepted Exception"),"GREEN",IF(OR(H731="Not Started",H731="Failed"),"RED","AMBER"))</f>
        <v>RED</v>
      </c>
      <c r="J731" s="13" t="s">
        <v>34</v>
      </c>
      <c r="K731" s="14" t="str">
        <f aca="false">IF(OR(J731="Réussi",J731="Exception acceptée"),"GREEN",IF(OR(J731="Non commencé",J731="Échec"),"RED","AMBER"))</f>
        <v>RED</v>
      </c>
      <c r="L731" s="10"/>
      <c r="M731" s="10"/>
      <c r="N731" s="15" t="str">
        <f aca="true">IF(G731&lt;&gt;"",TODAY()-G731,"")</f>
        <v/>
      </c>
    </row>
    <row r="732" customFormat="false" ht="18" hidden="false" customHeight="true" outlineLevel="0" collapsed="false">
      <c r="A732" s="16" t="s">
        <v>44</v>
      </c>
      <c r="B732" s="17" t="s">
        <v>45</v>
      </c>
      <c r="C732" s="17" t="s">
        <v>400</v>
      </c>
      <c r="D732" s="16" t="s">
        <v>46</v>
      </c>
      <c r="E732" s="17" t="s">
        <v>401</v>
      </c>
      <c r="F732" s="17" t="s">
        <v>44</v>
      </c>
      <c r="G732" s="17"/>
      <c r="H732" s="18" t="s">
        <v>33</v>
      </c>
      <c r="I732" s="12" t="str">
        <f aca="false">IF(OR(H732="Passed",H732="Accepted Exception"),"GREEN",IF(OR(H732="Not Started",H732="Failed"),"RED","AMBER"))</f>
        <v>RED</v>
      </c>
      <c r="J732" s="19" t="s">
        <v>34</v>
      </c>
      <c r="K732" s="14" t="str">
        <f aca="false">IF(OR(J732="Réussi",J732="Exception acceptée"),"GREEN",IF(OR(J732="Non commencé",J732="Échec"),"RED","AMBER"))</f>
        <v>RED</v>
      </c>
      <c r="L732" s="17"/>
      <c r="M732" s="17"/>
      <c r="N732" s="15" t="str">
        <f aca="true">IF(G732&lt;&gt;"",TODAY()-G732,"")</f>
        <v/>
      </c>
    </row>
    <row r="733" customFormat="false" ht="18" hidden="false" customHeight="true" outlineLevel="0" collapsed="false">
      <c r="A733" s="9" t="s">
        <v>47</v>
      </c>
      <c r="B733" s="10" t="s">
        <v>48</v>
      </c>
      <c r="C733" s="10" t="s">
        <v>400</v>
      </c>
      <c r="D733" s="9" t="s">
        <v>46</v>
      </c>
      <c r="E733" s="10" t="s">
        <v>401</v>
      </c>
      <c r="F733" s="10" t="s">
        <v>47</v>
      </c>
      <c r="G733" s="10"/>
      <c r="H733" s="11" t="s">
        <v>33</v>
      </c>
      <c r="I733" s="12" t="str">
        <f aca="false">IF(OR(H733="Passed",H733="Accepted Exception"),"GREEN",IF(OR(H733="Not Started",H733="Failed"),"RED","AMBER"))</f>
        <v>RED</v>
      </c>
      <c r="J733" s="13" t="s">
        <v>34</v>
      </c>
      <c r="K733" s="14" t="str">
        <f aca="false">IF(OR(J733="Réussi",J733="Exception acceptée"),"GREEN",IF(OR(J733="Non commencé",J733="Échec"),"RED","AMBER"))</f>
        <v>RED</v>
      </c>
      <c r="L733" s="10"/>
      <c r="M733" s="10"/>
      <c r="N733" s="15" t="str">
        <f aca="true">IF(G733&lt;&gt;"",TODAY()-G733,"")</f>
        <v/>
      </c>
    </row>
    <row r="734" customFormat="false" ht="18" hidden="false" customHeight="true" outlineLevel="0" collapsed="false">
      <c r="A734" s="16" t="s">
        <v>49</v>
      </c>
      <c r="B734" s="17" t="s">
        <v>48</v>
      </c>
      <c r="C734" s="17" t="s">
        <v>400</v>
      </c>
      <c r="D734" s="16" t="s">
        <v>46</v>
      </c>
      <c r="E734" s="17" t="s">
        <v>401</v>
      </c>
      <c r="F734" s="17" t="s">
        <v>50</v>
      </c>
      <c r="G734" s="17"/>
      <c r="H734" s="18" t="s">
        <v>33</v>
      </c>
      <c r="I734" s="12" t="str">
        <f aca="false">IF(OR(H734="Passed",H734="Accepted Exception"),"GREEN",IF(OR(H734="Not Started",H734="Failed"),"RED","AMBER"))</f>
        <v>RED</v>
      </c>
      <c r="J734" s="19" t="s">
        <v>34</v>
      </c>
      <c r="K734" s="14" t="str">
        <f aca="false">IF(OR(J734="Réussi",J734="Exception acceptée"),"GREEN",IF(OR(J734="Non commencé",J734="Échec"),"RED","AMBER"))</f>
        <v>RED</v>
      </c>
      <c r="L734" s="17"/>
      <c r="M734" s="17"/>
      <c r="N734" s="15" t="str">
        <f aca="true">IF(G734&lt;&gt;"",TODAY()-G734,"")</f>
        <v/>
      </c>
    </row>
    <row r="735" customFormat="false" ht="18" hidden="false" customHeight="true" outlineLevel="0" collapsed="false">
      <c r="A735" s="9" t="s">
        <v>51</v>
      </c>
      <c r="B735" s="10" t="s">
        <v>52</v>
      </c>
      <c r="C735" s="10" t="s">
        <v>400</v>
      </c>
      <c r="D735" s="9" t="s">
        <v>53</v>
      </c>
      <c r="E735" s="10" t="s">
        <v>401</v>
      </c>
      <c r="F735" s="10" t="s">
        <v>51</v>
      </c>
      <c r="G735" s="10"/>
      <c r="H735" s="11" t="s">
        <v>33</v>
      </c>
      <c r="I735" s="12" t="str">
        <f aca="false">IF(OR(H735="Passed",H735="Accepted Exception"),"GREEN",IF(OR(H735="Not Started",H735="Failed"),"RED","AMBER"))</f>
        <v>RED</v>
      </c>
      <c r="J735" s="13" t="s">
        <v>34</v>
      </c>
      <c r="K735" s="14" t="str">
        <f aca="false">IF(OR(J735="Réussi",J735="Exception acceptée"),"GREEN",IF(OR(J735="Non commencé",J735="Échec"),"RED","AMBER"))</f>
        <v>RED</v>
      </c>
      <c r="L735" s="10"/>
      <c r="M735" s="10"/>
      <c r="N735" s="15" t="str">
        <f aca="true">IF(G735&lt;&gt;"",TODAY()-G735,"")</f>
        <v/>
      </c>
    </row>
    <row r="736" customFormat="false" ht="18" hidden="false" customHeight="true" outlineLevel="0" collapsed="false">
      <c r="A736" s="16" t="s">
        <v>54</v>
      </c>
      <c r="B736" s="17" t="s">
        <v>52</v>
      </c>
      <c r="C736" s="17" t="s">
        <v>400</v>
      </c>
      <c r="D736" s="16" t="s">
        <v>53</v>
      </c>
      <c r="E736" s="17" t="s">
        <v>401</v>
      </c>
      <c r="F736" s="17" t="s">
        <v>55</v>
      </c>
      <c r="G736" s="17"/>
      <c r="H736" s="18" t="s">
        <v>33</v>
      </c>
      <c r="I736" s="12" t="str">
        <f aca="false">IF(OR(H736="Passed",H736="Accepted Exception"),"GREEN",IF(OR(H736="Not Started",H736="Failed"),"RED","AMBER"))</f>
        <v>RED</v>
      </c>
      <c r="J736" s="19" t="s">
        <v>34</v>
      </c>
      <c r="K736" s="14" t="str">
        <f aca="false">IF(OR(J736="Réussi",J736="Exception acceptée"),"GREEN",IF(OR(J736="Non commencé",J736="Échec"),"RED","AMBER"))</f>
        <v>RED</v>
      </c>
      <c r="L736" s="17"/>
      <c r="M736" s="17"/>
      <c r="N736" s="15" t="str">
        <f aca="true">IF(G736&lt;&gt;"",TODAY()-G736,"")</f>
        <v/>
      </c>
    </row>
    <row r="737" customFormat="false" ht="18" hidden="false" customHeight="true" outlineLevel="0" collapsed="false">
      <c r="A737" s="9" t="s">
        <v>56</v>
      </c>
      <c r="B737" s="10" t="s">
        <v>57</v>
      </c>
      <c r="C737" s="10" t="s">
        <v>400</v>
      </c>
      <c r="D737" s="9" t="s">
        <v>53</v>
      </c>
      <c r="E737" s="10" t="s">
        <v>401</v>
      </c>
      <c r="F737" s="10" t="s">
        <v>56</v>
      </c>
      <c r="G737" s="10"/>
      <c r="H737" s="11" t="s">
        <v>33</v>
      </c>
      <c r="I737" s="12" t="str">
        <f aca="false">IF(OR(H737="Passed",H737="Accepted Exception"),"GREEN",IF(OR(H737="Not Started",H737="Failed"),"RED","AMBER"))</f>
        <v>RED</v>
      </c>
      <c r="J737" s="13" t="s">
        <v>34</v>
      </c>
      <c r="K737" s="14" t="str">
        <f aca="false">IF(OR(J737="Réussi",J737="Exception acceptée"),"GREEN",IF(OR(J737="Non commencé",J737="Échec"),"RED","AMBER"))</f>
        <v>RED</v>
      </c>
      <c r="L737" s="10"/>
      <c r="M737" s="10"/>
      <c r="N737" s="15" t="str">
        <f aca="true">IF(G737&lt;&gt;"",TODAY()-G737,"")</f>
        <v/>
      </c>
    </row>
    <row r="738" customFormat="false" ht="18" hidden="false" customHeight="true" outlineLevel="0" collapsed="false">
      <c r="A738" s="16" t="s">
        <v>58</v>
      </c>
      <c r="B738" s="17" t="s">
        <v>57</v>
      </c>
      <c r="C738" s="17" t="s">
        <v>400</v>
      </c>
      <c r="D738" s="16" t="s">
        <v>53</v>
      </c>
      <c r="E738" s="17" t="s">
        <v>401</v>
      </c>
      <c r="F738" s="17" t="s">
        <v>59</v>
      </c>
      <c r="G738" s="17"/>
      <c r="H738" s="18" t="s">
        <v>33</v>
      </c>
      <c r="I738" s="12" t="str">
        <f aca="false">IF(OR(H738="Passed",H738="Accepted Exception"),"GREEN",IF(OR(H738="Not Started",H738="Failed"),"RED","AMBER"))</f>
        <v>RED</v>
      </c>
      <c r="J738" s="19" t="s">
        <v>34</v>
      </c>
      <c r="K738" s="14" t="str">
        <f aca="false">IF(OR(J738="Réussi",J738="Exception acceptée"),"GREEN",IF(OR(J738="Non commencé",J738="Échec"),"RED","AMBER"))</f>
        <v>RED</v>
      </c>
      <c r="L738" s="17"/>
      <c r="M738" s="17"/>
      <c r="N738" s="15" t="str">
        <f aca="true">IF(G738&lt;&gt;"",TODAY()-G738,"")</f>
        <v/>
      </c>
    </row>
    <row r="739" customFormat="false" ht="18" hidden="false" customHeight="true" outlineLevel="0" collapsed="false">
      <c r="A739" s="9" t="s">
        <v>139</v>
      </c>
      <c r="B739" s="10" t="s">
        <v>136</v>
      </c>
      <c r="C739" s="10" t="s">
        <v>400</v>
      </c>
      <c r="D739" s="9" t="s">
        <v>137</v>
      </c>
      <c r="E739" s="10" t="s">
        <v>401</v>
      </c>
      <c r="F739" s="10" t="s">
        <v>140</v>
      </c>
      <c r="G739" s="10"/>
      <c r="H739" s="11" t="s">
        <v>33</v>
      </c>
      <c r="I739" s="12" t="str">
        <f aca="false">IF(OR(H739="Passed",H739="Accepted Exception"),"GREEN",IF(OR(H739="Not Started",H739="Failed"),"RED","AMBER"))</f>
        <v>RED</v>
      </c>
      <c r="J739" s="13" t="s">
        <v>34</v>
      </c>
      <c r="K739" s="14" t="str">
        <f aca="false">IF(OR(J739="Réussi",J739="Exception acceptée"),"GREEN",IF(OR(J739="Non commencé",J739="Échec"),"RED","AMBER"))</f>
        <v>RED</v>
      </c>
      <c r="L739" s="10"/>
      <c r="M739" s="10"/>
      <c r="N739" s="15" t="str">
        <f aca="true">IF(G739&lt;&gt;"",TODAY()-G739,"")</f>
        <v/>
      </c>
    </row>
    <row r="740" customFormat="false" ht="18" hidden="false" customHeight="true" outlineLevel="0" collapsed="false">
      <c r="A740" s="16" t="s">
        <v>60</v>
      </c>
      <c r="B740" s="17" t="s">
        <v>61</v>
      </c>
      <c r="C740" s="17" t="s">
        <v>400</v>
      </c>
      <c r="D740" s="16" t="s">
        <v>62</v>
      </c>
      <c r="E740" s="17" t="s">
        <v>401</v>
      </c>
      <c r="F740" s="17" t="s">
        <v>63</v>
      </c>
      <c r="G740" s="17"/>
      <c r="H740" s="18" t="s">
        <v>33</v>
      </c>
      <c r="I740" s="12" t="str">
        <f aca="false">IF(OR(H740="Passed",H740="Accepted Exception"),"GREEN",IF(OR(H740="Not Started",H740="Failed"),"RED","AMBER"))</f>
        <v>RED</v>
      </c>
      <c r="J740" s="19" t="s">
        <v>34</v>
      </c>
      <c r="K740" s="14" t="str">
        <f aca="false">IF(OR(J740="Réussi",J740="Exception acceptée"),"GREEN",IF(OR(J740="Non commencé",J740="Échec"),"RED","AMBER"))</f>
        <v>RED</v>
      </c>
      <c r="L740" s="17"/>
      <c r="M740" s="17"/>
      <c r="N740" s="15" t="str">
        <f aca="true">IF(G740&lt;&gt;"",TODAY()-G740,"")</f>
        <v/>
      </c>
    </row>
    <row r="741" customFormat="false" ht="18" hidden="false" customHeight="true" outlineLevel="0" collapsed="false">
      <c r="A741" s="9" t="s">
        <v>153</v>
      </c>
      <c r="B741" s="10" t="s">
        <v>154</v>
      </c>
      <c r="C741" s="10" t="s">
        <v>400</v>
      </c>
      <c r="D741" s="9" t="s">
        <v>94</v>
      </c>
      <c r="E741" s="10" t="s">
        <v>401</v>
      </c>
      <c r="F741" s="10" t="s">
        <v>153</v>
      </c>
      <c r="G741" s="10"/>
      <c r="H741" s="11" t="s">
        <v>33</v>
      </c>
      <c r="I741" s="12" t="str">
        <f aca="false">IF(OR(H741="Passed",H741="Accepted Exception"),"GREEN",IF(OR(H741="Not Started",H741="Failed"),"RED","AMBER"))</f>
        <v>RED</v>
      </c>
      <c r="J741" s="13" t="s">
        <v>34</v>
      </c>
      <c r="K741" s="14" t="str">
        <f aca="false">IF(OR(J741="Réussi",J741="Exception acceptée"),"GREEN",IF(OR(J741="Non commencé",J741="Échec"),"RED","AMBER"))</f>
        <v>RED</v>
      </c>
      <c r="L741" s="10"/>
      <c r="M741" s="10"/>
      <c r="N741" s="15" t="str">
        <f aca="true">IF(G741&lt;&gt;"",TODAY()-G741,"")</f>
        <v/>
      </c>
    </row>
    <row r="742" customFormat="false" ht="18" hidden="false" customHeight="true" outlineLevel="0" collapsed="false">
      <c r="A742" s="16" t="s">
        <v>155</v>
      </c>
      <c r="B742" s="17" t="s">
        <v>154</v>
      </c>
      <c r="C742" s="17" t="s">
        <v>400</v>
      </c>
      <c r="D742" s="16" t="s">
        <v>94</v>
      </c>
      <c r="E742" s="17" t="s">
        <v>401</v>
      </c>
      <c r="F742" s="17" t="s">
        <v>156</v>
      </c>
      <c r="G742" s="17"/>
      <c r="H742" s="18" t="s">
        <v>33</v>
      </c>
      <c r="I742" s="12" t="str">
        <f aca="false">IF(OR(H742="Passed",H742="Accepted Exception"),"GREEN",IF(OR(H742="Not Started",H742="Failed"),"RED","AMBER"))</f>
        <v>RED</v>
      </c>
      <c r="J742" s="19" t="s">
        <v>34</v>
      </c>
      <c r="K742" s="14" t="str">
        <f aca="false">IF(OR(J742="Réussi",J742="Exception acceptée"),"GREEN",IF(OR(J742="Non commencé",J742="Échec"),"RED","AMBER"))</f>
        <v>RED</v>
      </c>
      <c r="L742" s="17"/>
      <c r="M742" s="17"/>
      <c r="N742" s="15" t="str">
        <f aca="true">IF(G742&lt;&gt;"",TODAY()-G742,"")</f>
        <v/>
      </c>
    </row>
    <row r="743" customFormat="false" ht="18" hidden="false" customHeight="true" outlineLevel="0" collapsed="false">
      <c r="A743" s="9" t="s">
        <v>157</v>
      </c>
      <c r="B743" s="10" t="s">
        <v>158</v>
      </c>
      <c r="C743" s="10" t="s">
        <v>400</v>
      </c>
      <c r="D743" s="9" t="s">
        <v>94</v>
      </c>
      <c r="E743" s="10" t="s">
        <v>401</v>
      </c>
      <c r="F743" s="10" t="s">
        <v>157</v>
      </c>
      <c r="G743" s="10"/>
      <c r="H743" s="11" t="s">
        <v>33</v>
      </c>
      <c r="I743" s="12" t="str">
        <f aca="false">IF(OR(H743="Passed",H743="Accepted Exception"),"GREEN",IF(OR(H743="Not Started",H743="Failed"),"RED","AMBER"))</f>
        <v>RED</v>
      </c>
      <c r="J743" s="13" t="s">
        <v>34</v>
      </c>
      <c r="K743" s="14" t="str">
        <f aca="false">IF(OR(J743="Réussi",J743="Exception acceptée"),"GREEN",IF(OR(J743="Non commencé",J743="Échec"),"RED","AMBER"))</f>
        <v>RED</v>
      </c>
      <c r="L743" s="10"/>
      <c r="M743" s="10"/>
      <c r="N743" s="15" t="str">
        <f aca="true">IF(G743&lt;&gt;"",TODAY()-G743,"")</f>
        <v/>
      </c>
    </row>
    <row r="744" customFormat="false" ht="18" hidden="false" customHeight="true" outlineLevel="0" collapsed="false">
      <c r="A744" s="16" t="s">
        <v>95</v>
      </c>
      <c r="B744" s="17" t="s">
        <v>96</v>
      </c>
      <c r="C744" s="17" t="s">
        <v>400</v>
      </c>
      <c r="D744" s="16" t="s">
        <v>94</v>
      </c>
      <c r="E744" s="17" t="s">
        <v>401</v>
      </c>
      <c r="F744" s="17" t="s">
        <v>95</v>
      </c>
      <c r="G744" s="17"/>
      <c r="H744" s="18" t="s">
        <v>33</v>
      </c>
      <c r="I744" s="12" t="str">
        <f aca="false">IF(OR(H744="Passed",H744="Accepted Exception"),"GREEN",IF(OR(H744="Not Started",H744="Failed"),"RED","AMBER"))</f>
        <v>RED</v>
      </c>
      <c r="J744" s="19" t="s">
        <v>34</v>
      </c>
      <c r="K744" s="14" t="str">
        <f aca="false">IF(OR(J744="Réussi",J744="Exception acceptée"),"GREEN",IF(OR(J744="Non commencé",J744="Échec"),"RED","AMBER"))</f>
        <v>RED</v>
      </c>
      <c r="L744" s="17"/>
      <c r="M744" s="17"/>
      <c r="N744" s="15" t="str">
        <f aca="true">IF(G744&lt;&gt;"",TODAY()-G744,"")</f>
        <v/>
      </c>
    </row>
    <row r="745" customFormat="false" ht="18" hidden="false" customHeight="true" outlineLevel="0" collapsed="false">
      <c r="A745" s="9" t="s">
        <v>159</v>
      </c>
      <c r="B745" s="10" t="s">
        <v>160</v>
      </c>
      <c r="C745" s="10" t="s">
        <v>400</v>
      </c>
      <c r="D745" s="9" t="s">
        <v>94</v>
      </c>
      <c r="E745" s="10" t="s">
        <v>401</v>
      </c>
      <c r="F745" s="10" t="s">
        <v>159</v>
      </c>
      <c r="G745" s="10"/>
      <c r="H745" s="11" t="s">
        <v>33</v>
      </c>
      <c r="I745" s="12" t="str">
        <f aca="false">IF(OR(H745="Passed",H745="Accepted Exception"),"GREEN",IF(OR(H745="Not Started",H745="Failed"),"RED","AMBER"))</f>
        <v>RED</v>
      </c>
      <c r="J745" s="13" t="s">
        <v>34</v>
      </c>
      <c r="K745" s="14" t="str">
        <f aca="false">IF(OR(J745="Réussi",J745="Exception acceptée"),"GREEN",IF(OR(J745="Non commencé",J745="Échec"),"RED","AMBER"))</f>
        <v>RED</v>
      </c>
      <c r="L745" s="10"/>
      <c r="M745" s="10"/>
      <c r="N745" s="15" t="str">
        <f aca="true">IF(G745&lt;&gt;"",TODAY()-G745,"")</f>
        <v/>
      </c>
    </row>
    <row r="746" customFormat="false" ht="18" hidden="false" customHeight="true" outlineLevel="0" collapsed="false">
      <c r="A746" s="16" t="s">
        <v>165</v>
      </c>
      <c r="B746" s="17" t="s">
        <v>166</v>
      </c>
      <c r="C746" s="17" t="s">
        <v>400</v>
      </c>
      <c r="D746" s="16" t="s">
        <v>94</v>
      </c>
      <c r="E746" s="17" t="s">
        <v>401</v>
      </c>
      <c r="F746" s="17" t="s">
        <v>165</v>
      </c>
      <c r="G746" s="17"/>
      <c r="H746" s="18" t="s">
        <v>33</v>
      </c>
      <c r="I746" s="12" t="str">
        <f aca="false">IF(OR(H746="Passed",H746="Accepted Exception"),"GREEN",IF(OR(H746="Not Started",H746="Failed"),"RED","AMBER"))</f>
        <v>RED</v>
      </c>
      <c r="J746" s="19" t="s">
        <v>34</v>
      </c>
      <c r="K746" s="14" t="str">
        <f aca="false">IF(OR(J746="Réussi",J746="Exception acceptée"),"GREEN",IF(OR(J746="Non commencé",J746="Échec"),"RED","AMBER"))</f>
        <v>RED</v>
      </c>
      <c r="L746" s="17"/>
      <c r="M746" s="17"/>
      <c r="N746" s="15" t="str">
        <f aca="true">IF(G746&lt;&gt;"",TODAY()-G746,"")</f>
        <v/>
      </c>
    </row>
    <row r="747" customFormat="false" ht="18" hidden="false" customHeight="true" outlineLevel="0" collapsed="false">
      <c r="A747" s="9" t="s">
        <v>167</v>
      </c>
      <c r="B747" s="10" t="s">
        <v>166</v>
      </c>
      <c r="C747" s="10" t="s">
        <v>400</v>
      </c>
      <c r="D747" s="9" t="s">
        <v>94</v>
      </c>
      <c r="E747" s="10" t="s">
        <v>401</v>
      </c>
      <c r="F747" s="10" t="s">
        <v>168</v>
      </c>
      <c r="G747" s="10"/>
      <c r="H747" s="11" t="s">
        <v>33</v>
      </c>
      <c r="I747" s="12" t="str">
        <f aca="false">IF(OR(H747="Passed",H747="Accepted Exception"),"GREEN",IF(OR(H747="Not Started",H747="Failed"),"RED","AMBER"))</f>
        <v>RED</v>
      </c>
      <c r="J747" s="13" t="s">
        <v>34</v>
      </c>
      <c r="K747" s="14" t="str">
        <f aca="false">IF(OR(J747="Réussi",J747="Exception acceptée"),"GREEN",IF(OR(J747="Non commencé",J747="Échec"),"RED","AMBER"))</f>
        <v>RED</v>
      </c>
      <c r="L747" s="10"/>
      <c r="M747" s="10"/>
      <c r="N747" s="15" t="str">
        <f aca="true">IF(G747&lt;&gt;"",TODAY()-G747,"")</f>
        <v/>
      </c>
    </row>
    <row r="748" customFormat="false" ht="18" hidden="false" customHeight="true" outlineLevel="0" collapsed="false">
      <c r="A748" s="16" t="s">
        <v>64</v>
      </c>
      <c r="B748" s="17" t="s">
        <v>65</v>
      </c>
      <c r="C748" s="17" t="s">
        <v>400</v>
      </c>
      <c r="D748" s="16" t="s">
        <v>66</v>
      </c>
      <c r="E748" s="17" t="s">
        <v>401</v>
      </c>
      <c r="F748" s="17" t="s">
        <v>67</v>
      </c>
      <c r="G748" s="17"/>
      <c r="H748" s="18" t="s">
        <v>33</v>
      </c>
      <c r="I748" s="12" t="str">
        <f aca="false">IF(OR(H748="Passed",H748="Accepted Exception"),"GREEN",IF(OR(H748="Not Started",H748="Failed"),"RED","AMBER"))</f>
        <v>RED</v>
      </c>
      <c r="J748" s="19" t="s">
        <v>34</v>
      </c>
      <c r="K748" s="14" t="str">
        <f aca="false">IF(OR(J748="Réussi",J748="Exception acceptée"),"GREEN",IF(OR(J748="Non commencé",J748="Échec"),"RED","AMBER"))</f>
        <v>RED</v>
      </c>
      <c r="L748" s="17"/>
      <c r="M748" s="17"/>
      <c r="N748" s="15" t="str">
        <f aca="true">IF(G748&lt;&gt;"",TODAY()-G748,"")</f>
        <v/>
      </c>
    </row>
    <row r="749" customFormat="false" ht="18" hidden="false" customHeight="true" outlineLevel="0" collapsed="false">
      <c r="A749" s="9" t="s">
        <v>68</v>
      </c>
      <c r="B749" s="10" t="s">
        <v>69</v>
      </c>
      <c r="C749" s="10" t="s">
        <v>400</v>
      </c>
      <c r="D749" s="9" t="s">
        <v>66</v>
      </c>
      <c r="E749" s="10" t="s">
        <v>401</v>
      </c>
      <c r="F749" s="10" t="s">
        <v>68</v>
      </c>
      <c r="G749" s="10"/>
      <c r="H749" s="11" t="s">
        <v>33</v>
      </c>
      <c r="I749" s="12" t="str">
        <f aca="false">IF(OR(H749="Passed",H749="Accepted Exception"),"GREEN",IF(OR(H749="Not Started",H749="Failed"),"RED","AMBER"))</f>
        <v>RED</v>
      </c>
      <c r="J749" s="13" t="s">
        <v>34</v>
      </c>
      <c r="K749" s="14" t="str">
        <f aca="false">IF(OR(J749="Réussi",J749="Exception acceptée"),"GREEN",IF(OR(J749="Non commencé",J749="Échec"),"RED","AMBER"))</f>
        <v>RED</v>
      </c>
      <c r="L749" s="10"/>
      <c r="M749" s="10"/>
      <c r="N749" s="15" t="str">
        <f aca="true">IF(G749&lt;&gt;"",TODAY()-G749,"")</f>
        <v/>
      </c>
    </row>
  </sheetData>
  <autoFilter ref="A2:N2"/>
  <mergeCells count="1">
    <mergeCell ref="A1:M1"/>
  </mergeCells>
  <conditionalFormatting sqref="I3:I749">
    <cfRule type="expression" priority="2" aboveAverage="0" equalAverage="0" bottom="0" percent="0" rank="0" text="" dxfId="5">
      <formula>I3="GREEN"</formula>
    </cfRule>
    <cfRule type="expression" priority="3" aboveAverage="0" equalAverage="0" bottom="0" percent="0" rank="0" text="" dxfId="6">
      <formula>I3="AMBER"</formula>
    </cfRule>
    <cfRule type="expression" priority="4" aboveAverage="0" equalAverage="0" bottom="0" percent="0" rank="0" text="" dxfId="7">
      <formula>I3="RED"</formula>
    </cfRule>
  </conditionalFormatting>
  <conditionalFormatting sqref="K3:K749">
    <cfRule type="expression" priority="5" aboveAverage="0" equalAverage="0" bottom="0" percent="0" rank="0" text="" dxfId="5">
      <formula>K3="GREEN"</formula>
    </cfRule>
    <cfRule type="expression" priority="6" aboveAverage="0" equalAverage="0" bottom="0" percent="0" rank="0" text="" dxfId="6">
      <formula>K3="AMBER"</formula>
    </cfRule>
    <cfRule type="expression" priority="7" aboveAverage="0" equalAverage="0" bottom="0" percent="0" rank="0" text="" dxfId="7">
      <formula>K3="RED"</formula>
    </cfRule>
  </conditionalFormatting>
  <conditionalFormatting sqref="H3:H749">
    <cfRule type="expression" priority="8" aboveAverage="0" equalAverage="0" bottom="0" percent="0" rank="0" text="" dxfId="5">
      <formula>OR(H3="Passed",H3="Accepted Exception")</formula>
    </cfRule>
    <cfRule type="expression" priority="9" aboveAverage="0" equalAverage="0" bottom="0" percent="0" rank="0" text="" dxfId="7">
      <formula>H3="Failed"</formula>
    </cfRule>
    <cfRule type="expression" priority="10" aboveAverage="0" equalAverage="0" bottom="0" percent="0" rank="0" text="" dxfId="6">
      <formula>OR(H3="In Progress",H3="Evidence Provided",H3="Under Review")</formula>
    </cfRule>
  </conditionalFormatting>
  <conditionalFormatting sqref="J3:J749">
    <cfRule type="expression" priority="11" aboveAverage="0" equalAverage="0" bottom="0" percent="0" rank="0" text="" dxfId="5">
      <formula>OR(J3="Réussi",J3="Exception acceptée")</formula>
    </cfRule>
    <cfRule type="expression" priority="12" aboveAverage="0" equalAverage="0" bottom="0" percent="0" rank="0" text="" dxfId="7">
      <formula>J3="Échec"</formula>
    </cfRule>
    <cfRule type="expression" priority="13" aboveAverage="0" equalAverage="0" bottom="0" percent="0" rank="0" text="" dxfId="6">
      <formula>OR(J3="En cours",J3="Preuve fournie",J3="En révision")</formula>
    </cfRule>
  </conditionalFormatting>
  <dataValidations count="2">
    <dataValidation allowBlank="true" errorStyle="stop" operator="between" showDropDown="false" showErrorMessage="false" showInputMessage="false" sqref="H3:H749" type="list">
      <formula1>"Not Started,In Progress,Evidence Provided,Under Review,Passed,Failed,Accepted Exception"</formula1>
      <formula2>0</formula2>
    </dataValidation>
    <dataValidation allowBlank="true" errorStyle="stop" operator="between" showDropDown="false" showErrorMessage="false" showInputMessage="false" sqref="J3:J749" type="list">
      <formula1>"Non commencé,En cours,Preuve fournie,En révision,Réussi,Échec,Exception acceptée"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27.75" hidden="false" customHeight="true" outlineLevel="0" collapsed="false">
      <c r="A1" s="4" t="s">
        <v>402</v>
      </c>
      <c r="B1" s="4"/>
      <c r="C1" s="4"/>
      <c r="D1" s="4"/>
      <c r="E1" s="4"/>
    </row>
    <row r="2" customFormat="false" ht="30" hidden="false" customHeight="true" outlineLevel="0" collapsed="false">
      <c r="A2" s="6" t="s">
        <v>403</v>
      </c>
      <c r="B2" s="20" t="s">
        <v>404</v>
      </c>
      <c r="C2" s="20" t="s">
        <v>405</v>
      </c>
      <c r="D2" s="21" t="s">
        <v>406</v>
      </c>
      <c r="E2" s="21" t="s">
        <v>407</v>
      </c>
    </row>
    <row r="3" customFormat="false" ht="21.75" hidden="false" customHeight="true" outlineLevel="0" collapsed="false">
      <c r="A3" s="22" t="s">
        <v>408</v>
      </c>
      <c r="B3" s="22"/>
      <c r="C3" s="22"/>
      <c r="D3" s="22"/>
      <c r="E3" s="22"/>
    </row>
    <row r="4" customFormat="false" ht="19.5" hidden="false" customHeight="true" outlineLevel="0" collapsed="false">
      <c r="A4" s="23" t="s">
        <v>409</v>
      </c>
      <c r="B4" s="24" t="n">
        <f aca="false">747</f>
        <v>747</v>
      </c>
      <c r="C4" s="25" t="str">
        <f aca="false">""</f>
        <v/>
      </c>
      <c r="D4" s="24" t="n">
        <f aca="false">747</f>
        <v>747</v>
      </c>
      <c r="E4" s="25" t="str">
        <f aca="false">""</f>
        <v/>
      </c>
    </row>
    <row r="5" customFormat="false" ht="19.5" hidden="false" customHeight="true" outlineLevel="0" collapsed="false">
      <c r="A5" s="23" t="s">
        <v>33</v>
      </c>
      <c r="B5" s="24" t="n">
        <f aca="false">COUNTIF(TRACKER!H3:H749,"Not Started")</f>
        <v>747</v>
      </c>
      <c r="C5" s="25" t="n">
        <f aca="false">IFERROR(COUNTIF(TRACKER!H3:H749,"Not Started")/747,0)</f>
        <v>1</v>
      </c>
      <c r="D5" s="24" t="n">
        <f aca="false">COUNTIF(TRACKER!J3:J749,"Non commencé")</f>
        <v>747</v>
      </c>
      <c r="E5" s="25" t="n">
        <f aca="false">IFERROR(COUNTIF(TRACKER!J3:J749,"Non commencé")/747,0)</f>
        <v>1</v>
      </c>
    </row>
    <row r="6" customFormat="false" ht="19.5" hidden="false" customHeight="true" outlineLevel="0" collapsed="false">
      <c r="A6" s="23" t="s">
        <v>410</v>
      </c>
      <c r="B6" s="24" t="n">
        <f aca="false">COUNTIF(TRACKER!H3:H749,"In Progress")</f>
        <v>0</v>
      </c>
      <c r="C6" s="25" t="n">
        <f aca="false">IFERROR(COUNTIF(TRACKER!H3:H749,"In Progress")/747,0)</f>
        <v>0</v>
      </c>
      <c r="D6" s="24" t="n">
        <f aca="false">COUNTIF(TRACKER!J3:J749,"En cours")</f>
        <v>0</v>
      </c>
      <c r="E6" s="25" t="n">
        <f aca="false">IFERROR(COUNTIF(TRACKER!J3:J749,"En cours")/747,0)</f>
        <v>0</v>
      </c>
    </row>
    <row r="7" customFormat="false" ht="19.5" hidden="false" customHeight="true" outlineLevel="0" collapsed="false">
      <c r="A7" s="23" t="s">
        <v>411</v>
      </c>
      <c r="B7" s="24" t="n">
        <f aca="false">COUNTIF(TRACKER!H3:H749,"Evidence Provided")</f>
        <v>0</v>
      </c>
      <c r="C7" s="25" t="n">
        <f aca="false">IFERROR(COUNTIF(TRACKER!H3:H749,"Evidence Provided")/747,0)</f>
        <v>0</v>
      </c>
      <c r="D7" s="24" t="n">
        <f aca="false">COUNTIF(TRACKER!J3:J749,"Preuve fournie")</f>
        <v>0</v>
      </c>
      <c r="E7" s="25" t="n">
        <f aca="false">IFERROR(COUNTIF(TRACKER!J3:J749,"Preuve fournie")/747,0)</f>
        <v>0</v>
      </c>
    </row>
    <row r="8" customFormat="false" ht="19.5" hidden="false" customHeight="true" outlineLevel="0" collapsed="false">
      <c r="A8" s="23" t="s">
        <v>412</v>
      </c>
      <c r="B8" s="24" t="n">
        <f aca="false">COUNTIF(TRACKER!H3:H749,"Under Review")</f>
        <v>0</v>
      </c>
      <c r="C8" s="25" t="n">
        <f aca="false">IFERROR(COUNTIF(TRACKER!H3:H749,"Under Review")/747,0)</f>
        <v>0</v>
      </c>
      <c r="D8" s="24" t="n">
        <f aca="false">COUNTIF(TRACKER!J3:J749,"En révision")</f>
        <v>0</v>
      </c>
      <c r="E8" s="25" t="n">
        <f aca="false">IFERROR(COUNTIF(TRACKER!J3:J749,"En révision")/747,0)</f>
        <v>0</v>
      </c>
    </row>
    <row r="9" customFormat="false" ht="19.5" hidden="false" customHeight="true" outlineLevel="0" collapsed="false">
      <c r="A9" s="23" t="s">
        <v>413</v>
      </c>
      <c r="B9" s="24" t="n">
        <f aca="false">COUNTIF(TRACKER!H3:H749,"Passed")</f>
        <v>0</v>
      </c>
      <c r="C9" s="25" t="n">
        <f aca="false">IFERROR(COUNTIF(TRACKER!H3:H749,"Passed")/747,0)</f>
        <v>0</v>
      </c>
      <c r="D9" s="24" t="n">
        <f aca="false">COUNTIF(TRACKER!J3:J749,"Réussi")</f>
        <v>0</v>
      </c>
      <c r="E9" s="25" t="n">
        <f aca="false">IFERROR(COUNTIF(TRACKER!J3:J749,"Réussi")/747,0)</f>
        <v>0</v>
      </c>
    </row>
    <row r="10" customFormat="false" ht="19.5" hidden="false" customHeight="true" outlineLevel="0" collapsed="false">
      <c r="A10" s="23" t="s">
        <v>414</v>
      </c>
      <c r="B10" s="24" t="n">
        <f aca="false">COUNTIF(TRACKER!H3:H749,"Failed")</f>
        <v>0</v>
      </c>
      <c r="C10" s="25" t="n">
        <f aca="false">IFERROR(COUNTIF(TRACKER!H3:H749,"Failed")/747,0)</f>
        <v>0</v>
      </c>
      <c r="D10" s="24" t="n">
        <f aca="false">COUNTIF(TRACKER!J3:J749,"Échec")</f>
        <v>0</v>
      </c>
      <c r="E10" s="25" t="n">
        <f aca="false">IFERROR(COUNTIF(TRACKER!J3:J749,"Échec")/747,0)</f>
        <v>0</v>
      </c>
    </row>
    <row r="11" customFormat="false" ht="19.5" hidden="false" customHeight="true" outlineLevel="0" collapsed="false">
      <c r="A11" s="23" t="s">
        <v>415</v>
      </c>
      <c r="B11" s="24" t="n">
        <f aca="false">COUNTIF(TRACKER!H3:H749,"Accepted Exception")</f>
        <v>0</v>
      </c>
      <c r="C11" s="25" t="n">
        <f aca="false">IFERROR(COUNTIF(TRACKER!H3:H749,"Accepted Exception")/747,0)</f>
        <v>0</v>
      </c>
      <c r="D11" s="24" t="n">
        <f aca="false">COUNTIF(TRACKER!J3:J749,"Exception acceptée")</f>
        <v>0</v>
      </c>
      <c r="E11" s="25" t="n">
        <f aca="false">IFERROR(COUNTIF(TRACKER!J3:J749,"Exception acceptée")/747,0)</f>
        <v>0</v>
      </c>
    </row>
    <row r="13" customFormat="false" ht="21.75" hidden="false" customHeight="true" outlineLevel="0" collapsed="false">
      <c r="A13" s="22" t="s">
        <v>416</v>
      </c>
      <c r="B13" s="22"/>
      <c r="C13" s="22"/>
      <c r="D13" s="22"/>
      <c r="E13" s="22"/>
    </row>
    <row r="14" customFormat="false" ht="19.5" hidden="false" customHeight="true" outlineLevel="0" collapsed="false">
      <c r="A14" s="23" t="s">
        <v>30</v>
      </c>
      <c r="B14" s="24" t="n">
        <f aca="false">COUNTIF(TRACKER!C3:C749,"AI + Machine Learning")</f>
        <v>15</v>
      </c>
      <c r="C14" s="25" t="n">
        <f aca="false">IFERROR(COUNTIF(TRACKER!C3:C749,"AI + Machine Learning")/747,0)</f>
        <v>0.0200803212851406</v>
      </c>
      <c r="D14" s="24" t="n">
        <f aca="false">COUNTIF(TRACKER!C3:C749,"AI + Machine Learning")</f>
        <v>15</v>
      </c>
      <c r="E14" s="25" t="n">
        <f aca="false">IFERROR(COUNTIF(TRACKER!C3:C749,"AI + Machine Learning")/747,0)</f>
        <v>0.0200803212851406</v>
      </c>
    </row>
    <row r="15" customFormat="false" ht="19.5" hidden="false" customHeight="true" outlineLevel="0" collapsed="false">
      <c r="A15" s="23" t="s">
        <v>70</v>
      </c>
      <c r="B15" s="24" t="n">
        <f aca="false">COUNTIF(TRACKER!C3:C749,"Analytics")</f>
        <v>28</v>
      </c>
      <c r="C15" s="25" t="n">
        <f aca="false">IFERROR(COUNTIF(TRACKER!C3:C749,"Analytics")/747,0)</f>
        <v>0.0374832663989291</v>
      </c>
      <c r="D15" s="24" t="n">
        <f aca="false">COUNTIF(TRACKER!C3:C749,"Analytics")</f>
        <v>28</v>
      </c>
      <c r="E15" s="25" t="n">
        <f aca="false">IFERROR(COUNTIF(TRACKER!C3:C749,"Analytics")/747,0)</f>
        <v>0.0374832663989291</v>
      </c>
    </row>
    <row r="16" customFormat="false" ht="19.5" hidden="false" customHeight="true" outlineLevel="0" collapsed="false">
      <c r="A16" s="23" t="s">
        <v>103</v>
      </c>
      <c r="B16" s="24" t="n">
        <f aca="false">COUNTIF(TRACKER!C3:C749,"Compute")</f>
        <v>60</v>
      </c>
      <c r="C16" s="25" t="n">
        <f aca="false">IFERROR(COUNTIF(TRACKER!C3:C749,"Compute")/747,0)</f>
        <v>0.0803212851405623</v>
      </c>
      <c r="D16" s="24" t="n">
        <f aca="false">COUNTIF(TRACKER!C3:C749,"Compute")</f>
        <v>60</v>
      </c>
      <c r="E16" s="25" t="n">
        <f aca="false">IFERROR(COUNTIF(TRACKER!C3:C749,"Compute")/747,0)</f>
        <v>0.0803212851405623</v>
      </c>
    </row>
    <row r="17" customFormat="false" ht="19.5" hidden="false" customHeight="true" outlineLevel="0" collapsed="false">
      <c r="A17" s="23" t="s">
        <v>183</v>
      </c>
      <c r="B17" s="24" t="n">
        <f aca="false">COUNTIF(TRACKER!C3:C749,"Containers")</f>
        <v>46</v>
      </c>
      <c r="C17" s="25" t="n">
        <f aca="false">IFERROR(COUNTIF(TRACKER!C3:C749,"Containers")/747,0)</f>
        <v>0.0615796519410977</v>
      </c>
      <c r="D17" s="24" t="n">
        <f aca="false">COUNTIF(TRACKER!C3:C749,"Containers")</f>
        <v>46</v>
      </c>
      <c r="E17" s="25" t="n">
        <f aca="false">IFERROR(COUNTIF(TRACKER!C3:C749,"Containers")/747,0)</f>
        <v>0.0615796519410977</v>
      </c>
    </row>
    <row r="18" customFormat="false" ht="19.5" hidden="false" customHeight="true" outlineLevel="0" collapsed="false">
      <c r="A18" s="23" t="s">
        <v>189</v>
      </c>
      <c r="B18" s="24" t="n">
        <f aca="false">COUNTIF(TRACKER!C3:C749,"Database")</f>
        <v>25</v>
      </c>
      <c r="C18" s="25" t="n">
        <f aca="false">IFERROR(COUNTIF(TRACKER!C3:C749,"Database")/747,0)</f>
        <v>0.0334672021419009</v>
      </c>
      <c r="D18" s="24" t="n">
        <f aca="false">COUNTIF(TRACKER!C3:C749,"Database")</f>
        <v>25</v>
      </c>
      <c r="E18" s="25" t="n">
        <f aca="false">IFERROR(COUNTIF(TRACKER!C3:C749,"Database")/747,0)</f>
        <v>0.0334672021419009</v>
      </c>
    </row>
    <row r="19" customFormat="false" ht="19.5" hidden="false" customHeight="true" outlineLevel="0" collapsed="false">
      <c r="A19" s="23" t="s">
        <v>195</v>
      </c>
      <c r="B19" s="24" t="n">
        <f aca="false">COUNTIF(TRACKER!C3:C749,"DevOps")</f>
        <v>47</v>
      </c>
      <c r="C19" s="25" t="n">
        <f aca="false">IFERROR(COUNTIF(TRACKER!C3:C749,"DevOps")/747,0)</f>
        <v>0.0629183400267738</v>
      </c>
      <c r="D19" s="24" t="n">
        <f aca="false">COUNTIF(TRACKER!C3:C749,"DevOps")</f>
        <v>47</v>
      </c>
      <c r="E19" s="25" t="n">
        <f aca="false">IFERROR(COUNTIF(TRACKER!C3:C749,"DevOps")/747,0)</f>
        <v>0.0629183400267738</v>
      </c>
    </row>
    <row r="20" customFormat="false" ht="19.5" hidden="false" customHeight="true" outlineLevel="0" collapsed="false">
      <c r="A20" s="23" t="s">
        <v>244</v>
      </c>
      <c r="B20" s="24" t="n">
        <f aca="false">COUNTIF(TRACKER!C3:C749,"Developer Tools")</f>
        <v>19</v>
      </c>
      <c r="C20" s="25" t="n">
        <f aca="false">IFERROR(COUNTIF(TRACKER!C3:C749,"Developer Tools")/747,0)</f>
        <v>0.0254350736278447</v>
      </c>
      <c r="D20" s="24" t="n">
        <f aca="false">COUNTIF(TRACKER!C3:C749,"Developer Tools")</f>
        <v>19</v>
      </c>
      <c r="E20" s="25" t="n">
        <f aca="false">IFERROR(COUNTIF(TRACKER!C3:C749,"Developer Tools")/747,0)</f>
        <v>0.0254350736278447</v>
      </c>
    </row>
    <row r="21" customFormat="false" ht="19.5" hidden="false" customHeight="true" outlineLevel="0" collapsed="false">
      <c r="A21" s="23" t="s">
        <v>246</v>
      </c>
      <c r="B21" s="24" t="n">
        <f aca="false">COUNTIF(TRACKER!C3:C749,"Hybrid + Multicloud")</f>
        <v>70</v>
      </c>
      <c r="C21" s="25" t="n">
        <f aca="false">IFERROR(COUNTIF(TRACKER!C3:C749,"Hybrid + Multicloud")/747,0)</f>
        <v>0.0937081659973226</v>
      </c>
      <c r="D21" s="24" t="n">
        <f aca="false">COUNTIF(TRACKER!C3:C749,"Hybrid + Multicloud")</f>
        <v>70</v>
      </c>
      <c r="E21" s="25" t="n">
        <f aca="false">IFERROR(COUNTIF(TRACKER!C3:C749,"Hybrid + Multicloud")/747,0)</f>
        <v>0.0937081659973226</v>
      </c>
    </row>
    <row r="22" customFormat="false" ht="19.5" hidden="false" customHeight="true" outlineLevel="0" collapsed="false">
      <c r="A22" s="23" t="s">
        <v>278</v>
      </c>
      <c r="B22" s="24" t="n">
        <f aca="false">COUNTIF(TRACKER!C3:C749,"Identity")</f>
        <v>55</v>
      </c>
      <c r="C22" s="25" t="n">
        <f aca="false">IFERROR(COUNTIF(TRACKER!C3:C749,"Identity")/747,0)</f>
        <v>0.0736278447121821</v>
      </c>
      <c r="D22" s="24" t="n">
        <f aca="false">COUNTIF(TRACKER!C3:C749,"Identity")</f>
        <v>55</v>
      </c>
      <c r="E22" s="25" t="n">
        <f aca="false">IFERROR(COUNTIF(TRACKER!C3:C749,"Identity")/747,0)</f>
        <v>0.0736278447121821</v>
      </c>
    </row>
    <row r="23" customFormat="false" ht="19.5" hidden="false" customHeight="true" outlineLevel="0" collapsed="false">
      <c r="A23" s="23" t="s">
        <v>325</v>
      </c>
      <c r="B23" s="24" t="n">
        <f aca="false">COUNTIF(TRACKER!C3:C749,"Internet of Things")</f>
        <v>21</v>
      </c>
      <c r="C23" s="25" t="n">
        <f aca="false">IFERROR(COUNTIF(TRACKER!C3:C749,"Internet of Things")/747,0)</f>
        <v>0.0281124497991968</v>
      </c>
      <c r="D23" s="24" t="n">
        <f aca="false">COUNTIF(TRACKER!C3:C749,"Internet of Things")</f>
        <v>21</v>
      </c>
      <c r="E23" s="25" t="n">
        <f aca="false">IFERROR(COUNTIF(TRACKER!C3:C749,"Internet of Things")/747,0)</f>
        <v>0.0281124497991968</v>
      </c>
    </row>
    <row r="24" customFormat="false" ht="19.5" hidden="false" customHeight="true" outlineLevel="0" collapsed="false">
      <c r="A24" s="23" t="s">
        <v>327</v>
      </c>
      <c r="B24" s="24" t="n">
        <f aca="false">COUNTIF(TRACKER!C3:C749,"Management and Governance")</f>
        <v>74</v>
      </c>
      <c r="C24" s="25" t="n">
        <f aca="false">IFERROR(COUNTIF(TRACKER!C3:C749,"Management and Governance")/747,0)</f>
        <v>0.0990629183400268</v>
      </c>
      <c r="D24" s="24" t="n">
        <f aca="false">COUNTIF(TRACKER!C3:C749,"Management and Governance")</f>
        <v>74</v>
      </c>
      <c r="E24" s="25" t="n">
        <f aca="false">IFERROR(COUNTIF(TRACKER!C3:C749,"Management and Governance")/747,0)</f>
        <v>0.0990629183400268</v>
      </c>
    </row>
    <row r="25" customFormat="false" ht="19.5" hidden="false" customHeight="true" outlineLevel="0" collapsed="false">
      <c r="A25" s="23" t="s">
        <v>344</v>
      </c>
      <c r="B25" s="24" t="n">
        <f aca="false">COUNTIF(TRACKER!C3:C749,"Mobile")</f>
        <v>25</v>
      </c>
      <c r="C25" s="25" t="n">
        <f aca="false">IFERROR(COUNTIF(TRACKER!C3:C749,"Mobile")/747,0)</f>
        <v>0.0334672021419009</v>
      </c>
      <c r="D25" s="24" t="n">
        <f aca="false">COUNTIF(TRACKER!C3:C749,"Mobile")</f>
        <v>25</v>
      </c>
      <c r="E25" s="25" t="n">
        <f aca="false">IFERROR(COUNTIF(TRACKER!C3:C749,"Mobile")/747,0)</f>
        <v>0.0334672021419009</v>
      </c>
    </row>
    <row r="26" customFormat="false" ht="19.5" hidden="false" customHeight="true" outlineLevel="0" collapsed="false">
      <c r="A26" s="23" t="s">
        <v>348</v>
      </c>
      <c r="B26" s="24" t="n">
        <f aca="false">COUNTIF(TRACKER!C3:C749,"Networking")</f>
        <v>59</v>
      </c>
      <c r="C26" s="25" t="n">
        <f aca="false">IFERROR(COUNTIF(TRACKER!C3:C749,"Networking")/747,0)</f>
        <v>0.0789825970548862</v>
      </c>
      <c r="D26" s="24" t="n">
        <f aca="false">COUNTIF(TRACKER!C3:C749,"Networking")</f>
        <v>59</v>
      </c>
      <c r="E26" s="25" t="n">
        <f aca="false">IFERROR(COUNTIF(TRACKER!C3:C749,"Networking")/747,0)</f>
        <v>0.0789825970548862</v>
      </c>
    </row>
    <row r="27" customFormat="false" ht="19.5" hidden="false" customHeight="true" outlineLevel="0" collapsed="false">
      <c r="A27" s="23" t="s">
        <v>385</v>
      </c>
      <c r="B27" s="24" t="n">
        <f aca="false">COUNTIF(TRACKER!C3:C749,"Security")</f>
        <v>92</v>
      </c>
      <c r="C27" s="25" t="n">
        <f aca="false">IFERROR(COUNTIF(TRACKER!C3:C749,"Security")/747,0)</f>
        <v>0.123159303882195</v>
      </c>
      <c r="D27" s="24" t="n">
        <f aca="false">COUNTIF(TRACKER!C3:C749,"Security")</f>
        <v>92</v>
      </c>
      <c r="E27" s="25" t="n">
        <f aca="false">IFERROR(COUNTIF(TRACKER!C3:C749,"Security")/747,0)</f>
        <v>0.123159303882195</v>
      </c>
    </row>
    <row r="28" customFormat="false" ht="19.5" hidden="false" customHeight="true" outlineLevel="0" collapsed="false">
      <c r="A28" s="23" t="s">
        <v>394</v>
      </c>
      <c r="B28" s="24" t="n">
        <f aca="false">COUNTIF(TRACKER!C3:C749,"Storage")</f>
        <v>27</v>
      </c>
      <c r="C28" s="25" t="n">
        <f aca="false">IFERROR(COUNTIF(TRACKER!C3:C749,"Storage")/747,0)</f>
        <v>0.036144578313253</v>
      </c>
      <c r="D28" s="24" t="n">
        <f aca="false">COUNTIF(TRACKER!C3:C749,"Storage")</f>
        <v>27</v>
      </c>
      <c r="E28" s="25" t="n">
        <f aca="false">IFERROR(COUNTIF(TRACKER!C3:C749,"Storage")/747,0)</f>
        <v>0.036144578313253</v>
      </c>
    </row>
    <row r="29" customFormat="false" ht="19.5" hidden="false" customHeight="true" outlineLevel="0" collapsed="false">
      <c r="A29" s="23" t="s">
        <v>398</v>
      </c>
      <c r="B29" s="24" t="n">
        <f aca="false">COUNTIF(TRACKER!C3:C749,"Virtual Desktop Infrastructure")</f>
        <v>59</v>
      </c>
      <c r="C29" s="25" t="n">
        <f aca="false">IFERROR(COUNTIF(TRACKER!C3:C749,"Virtual Desktop Infrastructure")/747,0)</f>
        <v>0.0789825970548862</v>
      </c>
      <c r="D29" s="24" t="n">
        <f aca="false">COUNTIF(TRACKER!C3:C749,"Virtual Desktop Infrastructure")</f>
        <v>59</v>
      </c>
      <c r="E29" s="25" t="n">
        <f aca="false">IFERROR(COUNTIF(TRACKER!C3:C749,"Virtual Desktop Infrastructure")/747,0)</f>
        <v>0.0789825970548862</v>
      </c>
    </row>
    <row r="30" customFormat="false" ht="19.5" hidden="false" customHeight="true" outlineLevel="0" collapsed="false">
      <c r="A30" s="23" t="s">
        <v>400</v>
      </c>
      <c r="B30" s="24" t="n">
        <f aca="false">COUNTIF(TRACKER!C3:C749,"Web")</f>
        <v>25</v>
      </c>
      <c r="C30" s="25" t="n">
        <f aca="false">IFERROR(COUNTIF(TRACKER!C3:C749,"Web")/747,0)</f>
        <v>0.0334672021419009</v>
      </c>
      <c r="D30" s="24" t="n">
        <f aca="false">COUNTIF(TRACKER!C3:C749,"Web")</f>
        <v>25</v>
      </c>
      <c r="E30" s="25" t="n">
        <f aca="false">IFERROR(COUNTIF(TRACKER!C3:C749,"Web")/747,0)</f>
        <v>0.0334672021419009</v>
      </c>
    </row>
  </sheetData>
  <mergeCells count="3">
    <mergeCell ref="A1:E1"/>
    <mergeCell ref="A3:E3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2026-05-29T18:42:47Z</dcterms:created>
  <dc:creator>openpyxl</dc:creator>
  <dc:description/>
  <dc:language>en-US</dc:language>
  <cp:lastModifiedBy/>
  <dcterms:modified xsi:type="dcterms:W3CDTF">2026-05-29T18:42:49Z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