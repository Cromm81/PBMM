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U-2" sheetId="3" state="visible" r:id="rId5"/>
    <sheet name="AU-3" sheetId="4" state="visible" r:id="rId6"/>
    <sheet name="AU-3-1" sheetId="5" state="visible" r:id="rId7"/>
    <sheet name="AU-9-2" sheetId="6" state="visible" r:id="rId8"/>
    <sheet name="AU-12" sheetId="7" state="visible" r:id="rId9"/>
    <sheet name="CM-6" sheetId="8" state="visible" r:id="rId10"/>
    <sheet name="CM-7" sheetId="9" state="visible" r:id="rId11"/>
    <sheet name="CM-7-1" sheetId="10" state="visible" r:id="rId12"/>
    <sheet name="CP-6" sheetId="11" state="visible" r:id="rId13"/>
    <sheet name="CP-6-2" sheetId="12" state="visible" r:id="rId14"/>
    <sheet name="CP-7" sheetId="13" state="visible" r:id="rId15"/>
    <sheet name="CP-7-4" sheetId="14" state="visible" r:id="rId16"/>
    <sheet name="CP-9" sheetId="15" state="visible" r:id="rId17"/>
    <sheet name="CP-9-1" sheetId="16" state="visible" r:id="rId18"/>
    <sheet name="CP-9-2" sheetId="17" state="visible" r:id="rId19"/>
    <sheet name="CP-9-5" sheetId="18" state="visible" r:id="rId20"/>
    <sheet name="CP-10" sheetId="19" state="visible" r:id="rId21"/>
    <sheet name="CP-10-2" sheetId="20" state="visible" r:id="rId22"/>
    <sheet name="CP-10-4" sheetId="21" state="visible" r:id="rId23"/>
    <sheet name="SA-9-5" sheetId="22" state="visible" r:id="rId24"/>
    <sheet name="SC-13" sheetId="23" state="visible" r:id="rId25"/>
    <sheet name="SC-28" sheetId="24" state="visible" r:id="rId26"/>
    <sheet name="SC-28-1" sheetId="25" state="visible" r:id="rId27"/>
    <sheet name="SI-4-2" sheetId="26" state="visible" r:id="rId28"/>
    <sheet name="SI-6" sheetId="27" state="visible" r:id="rId2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<sst xmlns="http://schemas.openxmlformats.org/spreadsheetml/2006/main" count="1632" uniqueCount="311">
  <si>
    <t xml:space="preserve">DASHBOARD — PBMM Evidence: Database</t>
  </si>
  <si>
    <t xml:space="preserve">Control ID</t>
  </si>
  <si>
    <t xml:space="preserve">Control Name</t>
  </si>
  <si>
    <t xml:space="preserve">Primary Tool</t>
  </si>
  <si>
    <t xml:space="preserve">Tab</t>
  </si>
  <si>
    <t xml:space="preserve">Status</t>
  </si>
  <si>
    <t xml:space="preserve">AU-2</t>
  </si>
  <si>
    <t xml:space="preserve">Auditable Events</t>
  </si>
  <si>
    <t xml:space="preserve">AU-3</t>
  </si>
  <si>
    <t xml:space="preserve">Content of Audit Records</t>
  </si>
  <si>
    <t xml:space="preserve">AU-3(1)</t>
  </si>
  <si>
    <t xml:space="preserve">AU-3-1</t>
  </si>
  <si>
    <t xml:space="preserve">AU-9(2)</t>
  </si>
  <si>
    <t xml:space="preserve">Protection of Audit Information</t>
  </si>
  <si>
    <t xml:space="preserve">AU-9-2</t>
  </si>
  <si>
    <t xml:space="preserve">AU-12</t>
  </si>
  <si>
    <t xml:space="preserve">Audit Generation</t>
  </si>
  <si>
    <t xml:space="preserve">CM-6</t>
  </si>
  <si>
    <t xml:space="preserve">Configuration Settings</t>
  </si>
  <si>
    <t xml:space="preserve">CM-7</t>
  </si>
  <si>
    <t xml:space="preserve">Least Functionality</t>
  </si>
  <si>
    <t xml:space="preserve">CM-7(1)</t>
  </si>
  <si>
    <t xml:space="preserve">CM-7-1</t>
  </si>
  <si>
    <t xml:space="preserve">CP-6</t>
  </si>
  <si>
    <t xml:space="preserve">Alternate Storage Site</t>
  </si>
  <si>
    <t xml:space="preserve">CP-6(2)</t>
  </si>
  <si>
    <t xml:space="preserve">CP-6-2</t>
  </si>
  <si>
    <t xml:space="preserve">CP-7</t>
  </si>
  <si>
    <t xml:space="preserve">Alternate Processing Site</t>
  </si>
  <si>
    <t xml:space="preserve">CP-7(4)</t>
  </si>
  <si>
    <t xml:space="preserve">CP-7-4</t>
  </si>
  <si>
    <t xml:space="preserve">CP-9</t>
  </si>
  <si>
    <t xml:space="preserve">Information System Backup</t>
  </si>
  <si>
    <t xml:space="preserve">CP-9(1)</t>
  </si>
  <si>
    <t xml:space="preserve">CP-9-1</t>
  </si>
  <si>
    <t xml:space="preserve">CP-9(2)</t>
  </si>
  <si>
    <t xml:space="preserve">CP-9-2</t>
  </si>
  <si>
    <t xml:space="preserve">CP-9(5)</t>
  </si>
  <si>
    <t xml:space="preserve">CP-9-5</t>
  </si>
  <si>
    <t xml:space="preserve">CP-10</t>
  </si>
  <si>
    <t xml:space="preserve">Information System Recovery and Reconstitution</t>
  </si>
  <si>
    <t xml:space="preserve">CP-10(2)</t>
  </si>
  <si>
    <t xml:space="preserve">CP-10-2</t>
  </si>
  <si>
    <t xml:space="preserve">CP-10(4)</t>
  </si>
  <si>
    <t xml:space="preserve">CP-10-4</t>
  </si>
  <si>
    <t xml:space="preserve">SA-9(5)</t>
  </si>
  <si>
    <t xml:space="preserve">External Information System Services</t>
  </si>
  <si>
    <t xml:space="preserve">SA-9-5</t>
  </si>
  <si>
    <t xml:space="preserve">SC-13</t>
  </si>
  <si>
    <t xml:space="preserve">Cryptographic Protection</t>
  </si>
  <si>
    <t xml:space="preserve">SC-28</t>
  </si>
  <si>
    <t xml:space="preserve">Protection of Information At Rest</t>
  </si>
  <si>
    <t xml:space="preserve">SC-28(1)</t>
  </si>
  <si>
    <t xml:space="preserve">SC-28-1</t>
  </si>
  <si>
    <t xml:space="preserve">SI-4(2)</t>
  </si>
  <si>
    <t xml:space="preserve">Information System Monitoring</t>
  </si>
  <si>
    <t xml:space="preserve">SI-4-2</t>
  </si>
  <si>
    <t xml:space="preserve">SI-6</t>
  </si>
  <si>
    <t xml:space="preserve">Security Functional Verification</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</si>
  <si>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</si>
  <si>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</si>
  <si>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</si>
  <si>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</si>
  <si>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</si>
  <si>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</si>
  <si>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</si>
  <si>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</si>
  <si>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</si>
  <si>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</si>
  <si>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</si>
  <si>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Database</t>
  </si>
  <si>
    <t xml:space="preserve">ID Contrôle</t>
  </si>
  <si>
    <t xml:space="preserve">Nom du contrôle</t>
  </si>
  <si>
    <t xml:space="preserve">Outil principal</t>
  </si>
  <si>
    <t xml:space="preserve">Onglet</t>
  </si>
  <si>
    <t xml:space="preserve">Statut</t>
  </si>
  <si>
    <t xml:space="preserve">Événements vérifiables</t>
  </si>
  <si>
    <t xml:space="preserve">Contenu des enregistrements de vérification</t>
  </si>
  <si>
    <t xml:space="preserve">Protection des renseignements de vérification</t>
  </si>
  <si>
    <t xml:space="preserve">Génération des vérifications</t>
  </si>
  <si>
    <t xml:space="preserve">Paramètres de configuration</t>
  </si>
  <si>
    <t xml:space="preserve">Moindre fonctionnalité</t>
  </si>
  <si>
    <t xml:space="preserve">Site de stockage auxiliaire</t>
  </si>
  <si>
    <t xml:space="preserve">Site de traitement auxiliaire</t>
  </si>
  <si>
    <t xml:space="preserve">Sauvegarde du système d’information</t>
  </si>
  <si>
    <t xml:space="preserve">Reprise et reconstitution du système d’information</t>
  </si>
  <si>
    <t xml:space="preserve">Services de systèmes d’information externes</t>
  </si>
  <si>
    <t xml:space="preserve">Protection cryptographique</t>
  </si>
  <si>
    <t xml:space="preserve">Protection de l’information inactive</t>
  </si>
  <si>
    <t xml:space="preserve">Surveillance du système d’information</t>
  </si>
  <si>
    <t xml:space="preserve">Vérification fonctionnelle de la sécurité</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</si>
  <si>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</si>
  <si>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</si>
  <si>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</si>
  <si>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</si>
  <si>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</si>
  <si>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</si>
  <si>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</si>
  <si>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</si>
  <si>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</si>
  <si>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</si>
  <si>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</si>
  <si>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AU-2 — Evidence Tracking</t>
  </si>
  <si>
    <t xml:space="preserve">Contrôle AU-2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</si>
  <si>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</si>
  <si>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</si>
  <si>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</si>
  <si>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</si>
  <si>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</si>
  <si>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</si>
  <si>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</si>
  <si>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</si>
  <si>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</si>
  <si>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</si>
  <si>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</si>
  <si>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</si>
  <si>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</si>
  <si>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</si>
  <si>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</si>
  <si>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</si>
  <si>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Description du contrôle</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</si>
  <si>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</si>
  <si>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Supplemental Guidance</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</si>
  <si>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</si>
  <si>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Directives supplémentaires</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</si>
  <si>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</si>
  <si>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 Case</t>
  </si>
  <si>
    <t xml:space="preserve">Cas de test</t>
  </si>
  <si>
    <t xml:space="preserve">Test</t>
  </si>
  <si>
    <t xml:space="preserve">TEST-AU-2</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</si>
  <si>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</si>
  <si>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</si>
  <si>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</si>
  <si>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</si>
  <si>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</si>
  <si>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</si>
  <si>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</si>
  <si>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</si>
  <si>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</si>
  <si>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</si>
  <si>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</si>
  <si>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</si>
  <si>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</si>
  <si>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</si>
  <si>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</si>
  <si>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</si>
  <si>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</si>
  <si>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</si>
  <si>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</si>
  <si>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</si>
  <si>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</si>
  <si>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</si>
  <si>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</si>
  <si>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</si>
  <si>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</si>
  <si>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</si>
  <si>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</si>
  <si>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</si>
  <si>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</si>
  <si>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</si>
  <si>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</si>
  <si>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</si>
  <si>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</si>
  <si>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</si>
  <si>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</si>
  <si>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</si>
  <si>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</si>
  <si>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</si>
  <si>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</si>
  <si>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</si>
  <si>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</si>
  <si>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</si>
  <si>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</si>
  <si>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</si>
  <si>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</si>
  <si>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</si>
  <si>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</si>
  <si>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</si>
  <si>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</si>
  <si>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</si>
  <si>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</si>
  <si>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</si>
  <si>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</si>
  <si>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</si>
  <si>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</si>
  <si>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</si>
  <si>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</si>
  <si>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</si>
  <si>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</si>
  <si>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</si>
  <si>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</si>
  <si>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</si>
  <si>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</si>
  <si>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</si>
  <si>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</si>
  <si>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</si>
  <si>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CP-6 — Evidence Tracking</t>
  </si>
  <si>
    <t xml:space="preserve">Contrôle CP-6 — Suivi des preuves</t>
  </si>
  <si>
    <t xml:space="preserve">(A)
The organization establishes an alternate storage site including necessary agreements to permit the storage and retrieval of information system backup information.
(B)
The organization ensures that the alternate storage site provides information security safeguards equivalent to that of the primary site.</t>
  </si>
  <si>
    <t xml:space="preserve">(A) L’organisation établit un site de stockage auxiliaire, incluant les ententes nécessaires pour permettre le stockage et l’extraction de l’information de sauvegarde du système d’information.
(B) L’organisation veille à ce que le site de stockage auxiliaire offre des mesures de sécurité de l’information équivalentes à celles du site principal.</t>
  </si>
  <si>
    <t xml:space="preserve">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 Related controls: CP-2, CP-7, CP-9, CP-10, MP-4</t>
  </si>
  <si>
    <t xml:space="preserve">Les sites de stockage auxiliaires sont des sites qui sont géographiquement séparés des sites de stockage principaux. Un site de stockage auxiliaire conserve des copies de l’information et des données advenant la non-disponibilité du site de stockage principal. Les éléments couverts par les accords sur les sites de stockage auxiliaires comprennent, par exemple, les conditions environnementales aux sites auxiliaires, les règles d’accès, les exigences en matière de protection physique et environnementale, et la coordination de la livraison/récupération des supports de sauvegarde. Les sites de stockage auxiliaires reflètent les exigences des plans d’urgence afin que les organisations puissent maintenir les fonctions opérationnelles et de mission essentielles malgré la perturbation, la compromission ou la défaillance des systèmes d’information organisationnels. Contrôles connexes : CP-2, CP-7, CP-9, CP-10, MP-4</t>
  </si>
  <si>
    <t xml:space="preserve">TEST-CP-6</t>
  </si>
  <si>
    <t xml:space="preserve">Control CP-6(2) — Evidence Tracking</t>
  </si>
  <si>
    <t xml:space="preserve">Contrôle CP-6(2) — Suivi des preuves</t>
  </si>
  <si>
    <t xml:space="preserve">ALTERNATE STORAGE SITE | RECOVERY TIME / POINT OBJECTIVES
The organization configures the alternate storage site to facilitate recovery operations in accordance with recovery time and recovery point objectives.</t>
  </si>
  <si>
    <t xml:space="preserve">SITE DE STOCKAGE AUXILIAIRE | OBJECTIFS EN MATIÈRE DE DÉLAIS/POINTS DE REPRISE
L’organisation configure le site de stockage auxiliaire de manière à faciliter les opérations de reprise conformément aux objectifs en matière de délais et de points de reprise.</t>
  </si>
  <si>
    <t xml:space="preserve">TEST-CP-6(2)</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</si>
  <si>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</si>
  <si>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</si>
  <si>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</si>
  <si>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</si>
  <si>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</si>
  <si>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</si>
  <si>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</si>
  <si>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</si>
  <si>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</si>
  <si>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</si>
  <si>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</si>
  <si>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</si>
  <si>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</si>
  <si>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</si>
  <si>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CP-9 — Evidence Tracking</t>
  </si>
  <si>
    <t xml:space="preserve">Contrôle CP-9 — Suivi des preuves</t>
  </si>
  <si>
    <t xml:space="preserve">(A)
The organization conducts backups of user-level information contained in the information system daily incremental; weekly full.
(B)
The organization conducts backups of system-level information contained in the information system daily incremental; weekly full.
(C)
The organization conducts backups of information system documentation including security-related documentation daily incremental; weekly full.
(D)
The organization protects the confidentiality, integrity, and availability of backup information at storage locations.
(AA)
The organization determines retention periods for essential business information and archived backups.</t>
  </si>
  <si>
    <t xml:space="preserve">(A) L’organisation effectue des sauvegardes incrémentielles quotidiennes et des sauvegardes hebdomadaires complètes de l’information au niveau de l’utilisateur qui est contenue dans le système d’information.
(B) L’organisation effectue des sauvegardes incrémentielles quotidiennes et des sauvegardes hebdomadaires complètes de l’information au niveau du système contenue dans le système d’information.
(C) L’organisation effectue des sauvegardes incrémentielles quotidiennes et des sauvegardes hebdomadaires complètes de la documentation relative au système d’information, y compris la documentation liée à la sécurité.
(D) L’organisation protège la confidentialité, l’intégrité et la disponibilité de l’information de sauvegarde aux emplacements de stockage.
(AA) L’organisation détermine les périodes de conservation des renseignements opérationnels essentiels et des sauvegardes archivées.</t>
  </si>
  <si>
    <t xml:space="preserve">System-level information includes, for example, system-state information, operating system and application software, and licenses. User-level information includes any information other than system-level information. Mechanisms employed by organizations to protect the integrity of information system backups include, for example, digital signatures and cryptographic hashes. Protection of system backup information while in transit is beyond the scope of this control. Information system backups reflect the requirements in contingency plans as well as other organizational requirements for backing up information. Related controls: CP-2, CP-6, MP-4, MP-5, SC-13</t>
  </si>
  <si>
    <t xml:space="preserve">L’information au niveau du système comprend, par exemple, l’information sur l’état du système, le système d’exploitation, les logiciels d’application et les licences. L’information au niveau de l’utilisateur comprend toute information autre que l’information au niveau du système. Les mécanismes employés par les organisations pour protéger l’intégrité des sauvegardes du système d’information comprennent, par exemple, les signatures numériques et le hachage cryptographique. La protection de l’information de sauvegarde du système pendant le transport dépasse la portée de ce contrôle. Les sauvegardes du système d’information reflètent les exigences des plans d’urgence ainsi que d’autres exigences organisationnelles relatives à la sauvegarde de l’information. Contrôles connexes : CP-2, CP-6, MP-4, MP-5, SC-13</t>
  </si>
  <si>
    <t xml:space="preserve">TEST-CP-9</t>
  </si>
  <si>
    <t xml:space="preserve">Control CP-9(1) — Evidence Tracking</t>
  </si>
  <si>
    <t xml:space="preserve">Contrôle CP-9(1) — Suivi des preuves</t>
  </si>
  <si>
    <t xml:space="preserve">INFORMATION SYSTEM BACKUP | TESTING FOR RELIABILITY / INTEGRITY
The organization tests backup information at least annually to verify media reliability and information integrity.</t>
  </si>
  <si>
    <t xml:space="preserve">SAUVEGARDE DU SYSTÈME D’INFORMATION | VÉRIFICATION DE LA FIABILITÉ ET DE L’INTÉGRITÉ
L’organisation teste l’information de sauvegarde au moins une fois par année pour vérifier la fiabilité des supports et l’intégrité de l’information.</t>
  </si>
  <si>
    <t xml:space="preserve">Related control: CP-4.</t>
  </si>
  <si>
    <t xml:space="preserve">Contrôle connexe : CP-4.</t>
  </si>
  <si>
    <t xml:space="preserve">TEST-CP-9(1)</t>
  </si>
  <si>
    <t xml:space="preserve">Control CP-9(2) — Evidence Tracking</t>
  </si>
  <si>
    <t xml:space="preserve">Contrôle CP-9(2) — Suivi des preuves</t>
  </si>
  <si>
    <t xml:space="preserve">INFORMATION SYSTEM BACKUP | TEST RESTORATION USING SAMPLING
The organization uses a sample of backup information in the restoration of selected information system functions as part of contingency plan testing.</t>
  </si>
  <si>
    <t xml:space="preserve">SAUVEGARDE DU SYSTÈME D’INFORMATION | ESSAIS DE RESTAURATION AU MOYEN DE L’ÉCHANTILLONNAGE
L’organisation utilise un échantillon de l’information de sauvegarde pour restaurer certaines fonctions du système d’information dans le cadre de la mise à l’essai du plan d’urgence.</t>
  </si>
  <si>
    <t xml:space="preserve">TEST-CP-9(2)</t>
  </si>
  <si>
    <t xml:space="preserve">Control CP-9(5) — Evidence Tracking</t>
  </si>
  <si>
    <t xml:space="preserve">Contrôle CP-9(5) — Suivi des preuves</t>
  </si>
  <si>
    <t xml:space="preserve">INFORMATION SYSTEM BACKUP | TRANSFER TO ALTERNATE STORAGE SITE
The organization transfers information system backup information to the alternate storage site at organization-defined time period and transfer rate consistent with the recovery time and recovery point objectives.</t>
  </si>
  <si>
    <t xml:space="preserve">SAUVEGARDE DU SYSTÈME D’INFORMATION | TRANSFERT À UN SITE DE STOCKAGE AUXILIAIRE
L’organisation transfère l’information de sauvegarde du système d’information au site de stockage auxiliaire au moment et à la vitesse de transfert définis par l’organisation conformément aux objectifs en matière de délais et de points de reprise.</t>
  </si>
  <si>
    <t xml:space="preserve">Information system backup information can be transferred to alternate storage sites either electronically or by physical shipment of storage media.</t>
  </si>
  <si>
    <t xml:space="preserve">Les données de sauvegarde du système d’information peuvent être transférées à des sites de stockage auxiliaires par voie électronique ou par envoi physique de supports de stockage.</t>
  </si>
  <si>
    <t xml:space="preserve">TEST-CP-9(5)</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</si>
  <si>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</si>
  <si>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</si>
  <si>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</si>
  <si>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</si>
  <si>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</si>
  <si>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</si>
  <si>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</si>
  <si>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CP-10(2) — Evidence Tracking</t>
  </si>
  <si>
    <t xml:space="preserve">Contrôle CP-10(2) — Suivi des preuves</t>
  </si>
  <si>
    <t xml:space="preserve">INFORMATION SYSTEM RECOVERY AND RECONSTITUTION | TRANSACTION RECOVERY
The information system implements transaction recovery for systems that are transaction-based.</t>
  </si>
  <si>
    <t xml:space="preserve">REPRISE ET RECONSTITUTION DU SYSTÈME D’INFORMATION | RÉCUPÉRATION DES TRANSACTIONS
Le système d’information applique la récupération des transactions pour les systèmes transactionnels.</t>
  </si>
  <si>
    <t xml:space="preserve">Transaction-based information systems include, for example, database management systems and transaction processing systems. Mechanisms supporting transaction recovery include, for example, transaction rollback and transaction journaling.</t>
  </si>
  <si>
    <t xml:space="preserve">Les systèmes d’information transactionnels comprennent, par exemple, les systèmes de gestion des bases de données et les systèmes transactionnels. Les mécanismes prenant en charge la récupération des transactions comprennent, par exemple, le retour arrière programmé et la journalisation des transactions.</t>
  </si>
  <si>
    <t xml:space="preserve">TEST-CP-10(2)</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</si>
  <si>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</si>
  <si>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</si>
  <si>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</si>
  <si>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</si>
  <si>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</si>
  <si>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</si>
  <si>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</si>
  <si>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</si>
  <si>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</si>
  <si>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</si>
  <si>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</si>
  <si>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</si>
  <si>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</si>
  <si>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</si>
  <si>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</si>
  <si>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</si>
  <si>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</si>
  <si>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</si>
  <si>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</si>
  <si>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</si>
  <si>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</si>
  <si>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SC-28 — Evidence Tracking</t>
  </si>
  <si>
    <t xml:space="preserve">Contrôle SC-28 — Suivi des preuves</t>
  </si>
  <si>
    <t xml:space="preserve">(A)
The information system protects the confidentiality and integrity of all information not cleared for public release and all data with a higher than low integrity requirement.</t>
  </si>
  <si>
    <t xml:space="preserve">(A) Le système d’information protège la confidentialité et l’intégrité de tous les renseignements dont la diffusion publique n’est pas autorisée et de toutes les données pour lesquelles les exigences d’intégrité ne sont pas faibles.</t>
  </si>
  <si>
    <t xml:space="preserve">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</si>
  <si>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 xml:space="preserve">Ce contrôle porte sur la confidentialité et l’intégrité de l’information inactive et couvre l’information sur les utilisateurs et le système. L’information inactive fait référence à l’état de l’information lorsqu’elle se trouve sur des dispositifs de stockage en tant que composants particuliers des systèmes d’information. Les renseignements relatifs au système qui nécessitent une protection comprennent, par exemple, les configurations ou les ensembles de règles pour les pare-feu, les passerelles, les systèmes de détection et de prévention des intrusions, les routeurs de filtrage et le contenu des authentifiants. Les organisations peuvent utiliser différents mécanismes pour assurer la protection de la confidentialité et de l’intégrité, y compris les mécanismes cryptographiques et le balayage des fichiers partagés. La protection de l’intégrité peut être assurée, par exemple, en mettant en œuvre des technologies qui rendent les supports non réinscriptibles. Les organisations peuvent également utiliser d’autres contrôles de sécurité, y compris, par exemple, le stockage hors ligne sécurisé au lieu du stockage en ligne lorsque la protection de l’information inactive ne peut être assurée autrement, ou la surveillance continue pour repérer du code malveillant inactif. Contrôles connexes : AC-3, AC-6, CA-7, CM-3, CM-5, CM-6, PE-3, SC-8, SC-13, SI-3, SI-7</t>
  </si>
  <si>
    <t xml:space="preserve">TEST-SC-28</t>
  </si>
  <si>
    <t xml:space="preserve">Control SC-28(1) — Evidence Tracking</t>
  </si>
  <si>
    <t xml:space="preserve">Contrôle SC-28(1) — Suivi des preuves</t>
  </si>
  <si>
    <t xml:space="preserve">PROTECTION OF INFORMATION AT REST | CRYPTOGRAPHIC PROTECTION
The information system implements cryptographic mechanisms to prevent unauthorized disclosure and modification of all information not cleared for public release and all data with a higher than low integrity requirements.</t>
  </si>
  <si>
    <t xml:space="preserve">PROTECTION DE L’INFORMATION INACTIVE | PROTECTION CRYPTOGRAPHIQUE
Le système d’information met en œuvre des mécanismes cryptographiques pour prévenir la divulgation et la modification non autorisées de tous les renseignements dont la diffusion publique n’est pas autorisée et de toutes les données pour lesquelles les exigences d’intégrité ne sont pas faibles.</t>
  </si>
  <si>
    <t xml:space="preserve">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</si>
  <si>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 xml:space="preserve">Le choix des mécanismes cryptographiques est fonction du besoin de protection de la confidentialité et de l’intégrité de l’information de l’organisation. La force du mécanisme est proportionnelle à la catégorie de sécurité ou à la classification de l’information. Cette amélioration du contrôle s’applique aux concentrations importantes de supports numériques dans les zones de l’organisation qui sont désignées pour le stockage des supports, et également aux quantités limitées de supports généralement associés aux composants de systèmes d’information dans les environnements opérationnels (p. ex., dispositifs de stockage portatifs, appareils mobiles). Les organisations ont la possibilité de chiffrer toute l’information sur les dispositifs de stockage (c.-à-d. le chiffrement complet du disque) ou de chiffrer des structures de données particulières (p. ex., fichiers, enregistrements ou champs). Les organisations qui utilisent des mécanismes cryptographiques pour protéger l’information inactive envisagent également des solutions de gestion des clés cryptographiques. Contrôles connexes : AC-19, SC-12.</t>
  </si>
  <si>
    <t xml:space="preserve">TEST-SC-28(1)</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</si>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</sst>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6</v>
      </c>
      <c r="E3" s="3" t="str">
        <f aca="false">'AU-2'!B20</f>
        <v>Not Started</v>
      </c>
    </row>
    <row r="4" customFormat="false" ht="18" hidden="false" customHeight="true" outlineLevel="0" collapsed="false">
      <c r="A4" s="3" t="s">
        <v>8</v>
      </c>
      <c r="B4" s="4" t="s">
        <v>9</v>
      </c>
      <c r="C4" s="4"/>
      <c r="D4" s="3" t="s">
        <v>8</v>
      </c>
      <c r="E4" s="3" t="str">
        <f aca="false">'AU-3'!B20</f>
        <v>Not Started</v>
      </c>
    </row>
    <row r="5" customFormat="false" ht="18" hidden="false" customHeight="true" outlineLevel="0" collapsed="false">
      <c r="A5" s="3" t="s">
        <v>10</v>
      </c>
      <c r="B5" s="4" t="s">
        <v>9</v>
      </c>
      <c r="C5" s="4"/>
      <c r="D5" s="3" t="s">
        <v>11</v>
      </c>
      <c r="E5" s="3" t="str">
        <f aca="false">'AU-3-1'!B20</f>
        <v>Not Started</v>
      </c>
    </row>
    <row r="6" customFormat="false" ht="18" hidden="false" customHeight="true" outlineLevel="0" collapsed="false">
      <c r="A6" s="3" t="s">
        <v>12</v>
      </c>
      <c r="B6" s="4" t="s">
        <v>13</v>
      </c>
      <c r="C6" s="4"/>
      <c r="D6" s="3" t="s">
        <v>14</v>
      </c>
      <c r="E6" s="3" t="str">
        <f aca="false">'AU-9-2'!B20</f>
        <v>Not Started</v>
      </c>
    </row>
    <row r="7" customFormat="false" ht="18" hidden="false" customHeight="true" outlineLevel="0" collapsed="false">
      <c r="A7" s="3" t="s">
        <v>15</v>
      </c>
      <c r="B7" s="4" t="s">
        <v>16</v>
      </c>
      <c r="C7" s="4"/>
      <c r="D7" s="3" t="s">
        <v>15</v>
      </c>
      <c r="E7" s="3" t="str">
        <f aca="false">'AU-12'!B20</f>
        <v>Not Started</v>
      </c>
    </row>
    <row r="8" customFormat="false" ht="18" hidden="false" customHeight="true" outlineLevel="0" collapsed="false">
      <c r="A8" s="3" t="s">
        <v>17</v>
      </c>
      <c r="B8" s="4" t="s">
        <v>18</v>
      </c>
      <c r="C8" s="4"/>
      <c r="D8" s="3" t="s">
        <v>17</v>
      </c>
      <c r="E8" s="3" t="str">
        <f aca="false">'CM-6'!B20</f>
        <v>Not Started</v>
      </c>
    </row>
    <row r="9" customFormat="false" ht="18" hidden="false" customHeight="true" outlineLevel="0" collapsed="false">
      <c r="A9" s="3" t="s">
        <v>19</v>
      </c>
      <c r="B9" s="4" t="s">
        <v>20</v>
      </c>
      <c r="C9" s="4"/>
      <c r="D9" s="3" t="s">
        <v>19</v>
      </c>
      <c r="E9" s="3" t="str">
        <f aca="false">'CM-7'!B20</f>
        <v>Not Started</v>
      </c>
    </row>
    <row r="10" customFormat="false" ht="18" hidden="false" customHeight="true" outlineLevel="0" collapsed="false">
      <c r="A10" s="3" t="s">
        <v>21</v>
      </c>
      <c r="B10" s="4" t="s">
        <v>20</v>
      </c>
      <c r="C10" s="4"/>
      <c r="D10" s="3" t="s">
        <v>22</v>
      </c>
      <c r="E10" s="3" t="str">
        <f aca="false">'CM-7-1'!B20</f>
        <v>Not Started</v>
      </c>
    </row>
    <row r="11" customFormat="false" ht="18" hidden="false" customHeight="true" outlineLevel="0" collapsed="false">
      <c r="A11" s="3" t="s">
        <v>23</v>
      </c>
      <c r="B11" s="4" t="s">
        <v>24</v>
      </c>
      <c r="C11" s="4"/>
      <c r="D11" s="3" t="s">
        <v>23</v>
      </c>
      <c r="E11" s="3" t="str">
        <f aca="false">'CP-6'!B20</f>
        <v>Not Started</v>
      </c>
    </row>
    <row r="12" customFormat="false" ht="18" hidden="false" customHeight="true" outlineLevel="0" collapsed="false">
      <c r="A12" s="3" t="s">
        <v>25</v>
      </c>
      <c r="B12" s="4" t="s">
        <v>24</v>
      </c>
      <c r="C12" s="4"/>
      <c r="D12" s="3" t="s">
        <v>26</v>
      </c>
      <c r="E12" s="3" t="str">
        <f aca="false">'CP-6-2'!B20</f>
        <v>Not Started</v>
      </c>
    </row>
    <row r="13" customFormat="false" ht="18" hidden="false" customHeight="true" outlineLevel="0" collapsed="false">
      <c r="A13" s="3" t="s">
        <v>27</v>
      </c>
      <c r="B13" s="4" t="s">
        <v>28</v>
      </c>
      <c r="C13" s="4"/>
      <c r="D13" s="3" t="s">
        <v>27</v>
      </c>
      <c r="E13" s="3" t="str">
        <f aca="false">'CP-7'!B20</f>
        <v>Not Started</v>
      </c>
    </row>
    <row r="14" customFormat="false" ht="18" hidden="false" customHeight="true" outlineLevel="0" collapsed="false">
      <c r="A14" s="3" t="s">
        <v>29</v>
      </c>
      <c r="B14" s="4" t="s">
        <v>28</v>
      </c>
      <c r="C14" s="4"/>
      <c r="D14" s="3" t="s">
        <v>30</v>
      </c>
      <c r="E14" s="3" t="str">
        <f aca="false">'CP-7-4'!B20</f>
        <v>Not Started</v>
      </c>
    </row>
    <row r="15" customFormat="false" ht="18" hidden="false" customHeight="true" outlineLevel="0" collapsed="false">
      <c r="A15" s="3" t="s">
        <v>31</v>
      </c>
      <c r="B15" s="4" t="s">
        <v>32</v>
      </c>
      <c r="C15" s="4"/>
      <c r="D15" s="3" t="s">
        <v>31</v>
      </c>
      <c r="E15" s="3" t="str">
        <f aca="false">'CP-9'!B20</f>
        <v>Not Started</v>
      </c>
    </row>
    <row r="16" customFormat="false" ht="18" hidden="false" customHeight="true" outlineLevel="0" collapsed="false">
      <c r="A16" s="3" t="s">
        <v>33</v>
      </c>
      <c r="B16" s="4" t="s">
        <v>32</v>
      </c>
      <c r="C16" s="4"/>
      <c r="D16" s="3" t="s">
        <v>34</v>
      </c>
      <c r="E16" s="3" t="str">
        <f aca="false">'CP-9-1'!B20</f>
        <v>Not Started</v>
      </c>
    </row>
    <row r="17" customFormat="false" ht="18" hidden="false" customHeight="true" outlineLevel="0" collapsed="false">
      <c r="A17" s="3" t="s">
        <v>35</v>
      </c>
      <c r="B17" s="4" t="s">
        <v>32</v>
      </c>
      <c r="C17" s="4"/>
      <c r="D17" s="3" t="s">
        <v>36</v>
      </c>
      <c r="E17" s="3" t="str">
        <f aca="false">'CP-9-2'!B20</f>
        <v>Not Started</v>
      </c>
    </row>
    <row r="18" customFormat="false" ht="18" hidden="false" customHeight="true" outlineLevel="0" collapsed="false">
      <c r="A18" s="3" t="s">
        <v>37</v>
      </c>
      <c r="B18" s="4" t="s">
        <v>32</v>
      </c>
      <c r="C18" s="4"/>
      <c r="D18" s="3" t="s">
        <v>38</v>
      </c>
      <c r="E18" s="3" t="str">
        <f aca="false">'CP-9-5'!B20</f>
        <v>Not Started</v>
      </c>
    </row>
    <row r="19" customFormat="false" ht="18" hidden="false" customHeight="true" outlineLevel="0" collapsed="false">
      <c r="A19" s="3" t="s">
        <v>39</v>
      </c>
      <c r="B19" s="4" t="s">
        <v>40</v>
      </c>
      <c r="C19" s="4"/>
      <c r="D19" s="3" t="s">
        <v>39</v>
      </c>
      <c r="E19" s="3" t="str">
        <f aca="false">'CP-10'!B20</f>
        <v>Not Started</v>
      </c>
    </row>
    <row r="20" customFormat="false" ht="18" hidden="false" customHeight="true" outlineLevel="0" collapsed="false">
      <c r="A20" s="3" t="s">
        <v>41</v>
      </c>
      <c r="B20" s="4" t="s">
        <v>40</v>
      </c>
      <c r="C20" s="4"/>
      <c r="D20" s="3" t="s">
        <v>42</v>
      </c>
      <c r="E20" s="3" t="str">
        <f aca="false">'CP-10-2'!B20</f>
        <v>Not Started</v>
      </c>
    </row>
    <row r="21" customFormat="false" ht="18" hidden="false" customHeight="true" outlineLevel="0" collapsed="false">
      <c r="A21" s="3" t="s">
        <v>43</v>
      </c>
      <c r="B21" s="4" t="s">
        <v>40</v>
      </c>
      <c r="C21" s="4"/>
      <c r="D21" s="3" t="s">
        <v>44</v>
      </c>
      <c r="E21" s="3" t="str">
        <f aca="false">'CP-10-4'!B20</f>
        <v>Not Started</v>
      </c>
    </row>
    <row r="22" customFormat="false" ht="18" hidden="false" customHeight="true" outlineLevel="0" collapsed="false">
      <c r="A22" s="3" t="s">
        <v>45</v>
      </c>
      <c r="B22" s="4" t="s">
        <v>46</v>
      </c>
      <c r="C22" s="4"/>
      <c r="D22" s="3" t="s">
        <v>47</v>
      </c>
      <c r="E22" s="3" t="str">
        <f aca="false">'SA-9-5'!B20</f>
        <v>Not Started</v>
      </c>
    </row>
    <row r="23" customFormat="false" ht="18" hidden="false" customHeight="true" outlineLevel="0" collapsed="false">
      <c r="A23" s="3" t="s">
        <v>48</v>
      </c>
      <c r="B23" s="4" t="s">
        <v>49</v>
      </c>
      <c r="C23" s="4"/>
      <c r="D23" s="3" t="s">
        <v>48</v>
      </c>
      <c r="E23" s="3" t="str">
        <f aca="false">'SC-13'!B20</f>
        <v>Not Started</v>
      </c>
    </row>
    <row r="24" customFormat="false" ht="18" hidden="false" customHeight="true" outlineLevel="0" collapsed="false">
      <c r="A24" s="3" t="s">
        <v>50</v>
      </c>
      <c r="B24" s="4" t="s">
        <v>51</v>
      </c>
      <c r="C24" s="4"/>
      <c r="D24" s="3" t="s">
        <v>50</v>
      </c>
      <c r="E24" s="3" t="str">
        <f aca="false">'SC-28'!B20</f>
        <v>Not Started</v>
      </c>
    </row>
    <row r="25" customFormat="false" ht="18" hidden="false" customHeight="true" outlineLevel="0" collapsed="false">
      <c r="A25" s="3" t="s">
        <v>52</v>
      </c>
      <c r="B25" s="4" t="s">
        <v>51</v>
      </c>
      <c r="C25" s="4"/>
      <c r="D25" s="3" t="s">
        <v>53</v>
      </c>
      <c r="E25" s="3" t="str">
        <f aca="false">'SC-28-1'!B20</f>
        <v>Not Started</v>
      </c>
    </row>
    <row r="26" customFormat="false" ht="18" hidden="false" customHeight="true" outlineLevel="0" collapsed="false">
      <c r="A26" s="3" t="s">
        <v>54</v>
      </c>
      <c r="B26" s="4" t="s">
        <v>55</v>
      </c>
      <c r="C26" s="4"/>
      <c r="D26" s="3" t="s">
        <v>56</v>
      </c>
      <c r="E26" s="3" t="str">
        <f aca="false">'SI-4-2'!B20</f>
        <v>Not Started</v>
      </c>
    </row>
    <row r="27" customFormat="false" ht="18" hidden="false" customHeight="true" outlineLevel="0" collapsed="false">
      <c r="A27" s="3" t="s">
        <v>57</v>
      </c>
      <c r="B27" s="4" t="s">
        <v>58</v>
      </c>
      <c r="C27" s="4"/>
      <c r="D27" s="3" t="s">
        <v>57</v>
      </c>
      <c r="E27" s="3" t="str">
        <f aca="false">'SI-6'!B20</f>
        <v>Not Started</v>
      </c>
    </row>
    <row r="29" customFormat="false" ht="21.75" hidden="false" customHeight="true" outlineLevel="0" collapsed="false">
      <c r="A29" s="5" t="s">
        <v>59</v>
      </c>
      <c r="B29" s="5"/>
      <c r="C29" s="5"/>
      <c r="D29" s="5"/>
      <c r="E29" s="5"/>
    </row>
    <row r="30" customFormat="false" ht="19.5" hidden="false" customHeight="true" outlineLevel="0" collapsed="false">
      <c r="A30" s="6" t="s">
        <v>60</v>
      </c>
      <c r="B30" s="6"/>
      <c r="C30" s="6"/>
      <c r="D30" s="6"/>
      <c r="E30" s="7" t="n">
        <f aca="false">25</f>
        <v>25</v>
      </c>
    </row>
    <row r="31" customFormat="false" ht="19.5" hidden="false" customHeight="true" outlineLevel="0" collapsed="false">
      <c r="A31" s="6" t="s">
        <v>61</v>
      </c>
      <c r="B31" s="6"/>
      <c r="C31" s="6"/>
      <c r="D31" s="6"/>
      <c r="E31" s="7" t="n">
        <f aca="false">COUNTIF(E3:E27,"Not Started")</f>
        <v>25</v>
      </c>
    </row>
    <row r="32" customFormat="false" ht="19.5" hidden="false" customHeight="true" outlineLevel="0" collapsed="false">
      <c r="A32" s="6" t="s">
        <v>62</v>
      </c>
      <c r="B32" s="6"/>
      <c r="C32" s="6"/>
      <c r="D32" s="6"/>
      <c r="E32" s="7" t="n">
        <f aca="false">COUNTIF(E3:E27,"In Progress")</f>
        <v>0</v>
      </c>
    </row>
    <row r="33" customFormat="false" ht="19.5" hidden="false" customHeight="true" outlineLevel="0" collapsed="false">
      <c r="A33" s="6" t="s">
        <v>63</v>
      </c>
      <c r="B33" s="6"/>
      <c r="C33" s="6"/>
      <c r="D33" s="6"/>
      <c r="E33" s="7" t="n">
        <f aca="false">COUNTIF(E3:E27,"Evidence Provided")</f>
        <v>0</v>
      </c>
    </row>
    <row r="34" customFormat="false" ht="19.5" hidden="false" customHeight="true" outlineLevel="0" collapsed="false">
      <c r="A34" s="6" t="s">
        <v>64</v>
      </c>
      <c r="B34" s="6"/>
      <c r="C34" s="6"/>
      <c r="D34" s="6"/>
      <c r="E34" s="7" t="n">
        <f aca="false">COUNTIF(E3:E27,"Under Review")</f>
        <v>0</v>
      </c>
    </row>
    <row r="35" customFormat="false" ht="19.5" hidden="false" customHeight="true" outlineLevel="0" collapsed="false">
      <c r="A35" s="6" t="s">
        <v>65</v>
      </c>
      <c r="B35" s="6"/>
      <c r="C35" s="6"/>
      <c r="D35" s="6"/>
      <c r="E35" s="7" t="n">
        <f aca="false">COUNTIF(E3:E27,"Passed")</f>
        <v>0</v>
      </c>
    </row>
    <row r="36" customFormat="false" ht="19.5" hidden="false" customHeight="true" outlineLevel="0" collapsed="false">
      <c r="A36" s="6" t="s">
        <v>66</v>
      </c>
      <c r="B36" s="6"/>
      <c r="C36" s="6"/>
      <c r="D36" s="6"/>
      <c r="E36" s="7" t="n">
        <f aca="false">COUNTIF(E3:E27,"Failed")</f>
        <v>0</v>
      </c>
    </row>
    <row r="37" customFormat="false" ht="19.5" hidden="false" customHeight="true" outlineLevel="0" collapsed="false">
      <c r="A37" s="6" t="s">
        <v>67</v>
      </c>
      <c r="B37" s="6"/>
      <c r="C37" s="6"/>
      <c r="D37" s="6"/>
      <c r="E37" s="7" t="n">
        <f aca="false">COUNTIF(E3:E27,"Accepted Exception")</f>
        <v>0</v>
      </c>
    </row>
    <row r="38" customFormat="false" ht="19.5" hidden="false" customHeight="true" outlineLevel="0" collapsed="false">
      <c r="A38" s="6" t="s">
        <v>68</v>
      </c>
      <c r="B38" s="6"/>
      <c r="C38" s="6"/>
      <c r="D38" s="6"/>
      <c r="E38" s="8" t="n">
        <f aca="false">IFERROR(COUNTIF(E3:E27,"Passed")/25,0)</f>
        <v>0</v>
      </c>
    </row>
    <row r="39" customFormat="false" ht="19.5" hidden="false" customHeight="true" outlineLevel="0" collapsed="false">
      <c r="A39" s="6" t="s">
        <v>69</v>
      </c>
      <c r="B39" s="6"/>
      <c r="C39" s="6"/>
      <c r="D39" s="6"/>
      <c r="E39" s="8" t="n">
        <f aca="false">IFERROR(COUNTIF(E3:E27,"Not Started")/25,0)</f>
        <v>1</v>
      </c>
    </row>
  </sheetData>
  <mergeCells count="12">
    <mergeCell ref="A1:E1"/>
    <mergeCell ref="A29:E29"/>
    <mergeCell ref="A30:D30"/>
    <mergeCell ref="A31:D31"/>
    <mergeCell ref="A32:D32"/>
    <mergeCell ref="A33:D33"/>
    <mergeCell ref="A34:D34"/>
    <mergeCell ref="A35:D35"/>
    <mergeCell ref="A36:D36"/>
    <mergeCell ref="A37:D37"/>
    <mergeCell ref="A38:D38"/>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70</v>
      </c>
      <c r="B1" s="1"/>
      <c r="C1" s="1"/>
      <c r="D1" s="1"/>
      <c r="E1" s="1"/>
    </row>
    <row r="2" customFormat="false" ht="21.75" hidden="false" customHeight="true" outlineLevel="0" collapsed="false">
      <c r="A2" s="2" t="s">
        <v>71</v>
      </c>
      <c r="B2" s="2" t="s">
        <v>72</v>
      </c>
      <c r="C2" s="2" t="s">
        <v>73</v>
      </c>
      <c r="D2" s="2" t="s">
        <v>74</v>
      </c>
      <c r="E2" s="2" t="s">
        <v>75</v>
      </c>
    </row>
    <row r="3" customFormat="false" ht="18" hidden="false" customHeight="true" outlineLevel="0" collapsed="false">
      <c r="A3" s="3" t="s">
        <v>6</v>
      </c>
      <c r="B3" s="4" t="s">
        <v>76</v>
      </c>
      <c r="C3" s="4"/>
      <c r="D3" s="3" t="s">
        <v>6</v>
      </c>
      <c r="E3" s="3" t="str">
        <f aca="false">'AU-2'!E20</f>
        <v>Non commencé</v>
      </c>
    </row>
    <row r="4" customFormat="false" ht="18" hidden="false" customHeight="true" outlineLevel="0" collapsed="false">
      <c r="A4" s="3" t="s">
        <v>8</v>
      </c>
      <c r="B4" s="4" t="s">
        <v>77</v>
      </c>
      <c r="C4" s="4"/>
      <c r="D4" s="3" t="s">
        <v>8</v>
      </c>
      <c r="E4" s="3" t="str">
        <f aca="false">'AU-3'!E20</f>
        <v>Non commencé</v>
      </c>
    </row>
    <row r="5" customFormat="false" ht="18" hidden="false" customHeight="true" outlineLevel="0" collapsed="false">
      <c r="A5" s="3" t="s">
        <v>10</v>
      </c>
      <c r="B5" s="4" t="s">
        <v>77</v>
      </c>
      <c r="C5" s="4"/>
      <c r="D5" s="3" t="s">
        <v>11</v>
      </c>
      <c r="E5" s="3" t="str">
        <f aca="false">'AU-3-1'!E20</f>
        <v>Non commencé</v>
      </c>
    </row>
    <row r="6" customFormat="false" ht="18" hidden="false" customHeight="true" outlineLevel="0" collapsed="false">
      <c r="A6" s="3" t="s">
        <v>12</v>
      </c>
      <c r="B6" s="4" t="s">
        <v>78</v>
      </c>
      <c r="C6" s="4"/>
      <c r="D6" s="3" t="s">
        <v>14</v>
      </c>
      <c r="E6" s="3" t="str">
        <f aca="false">'AU-9-2'!E20</f>
        <v>Non commencé</v>
      </c>
    </row>
    <row r="7" customFormat="false" ht="18" hidden="false" customHeight="true" outlineLevel="0" collapsed="false">
      <c r="A7" s="3" t="s">
        <v>15</v>
      </c>
      <c r="B7" s="4" t="s">
        <v>79</v>
      </c>
      <c r="C7" s="4"/>
      <c r="D7" s="3" t="s">
        <v>15</v>
      </c>
      <c r="E7" s="3" t="str">
        <f aca="false">'AU-12'!E20</f>
        <v>Non commencé</v>
      </c>
    </row>
    <row r="8" customFormat="false" ht="18" hidden="false" customHeight="true" outlineLevel="0" collapsed="false">
      <c r="A8" s="3" t="s">
        <v>17</v>
      </c>
      <c r="B8" s="4" t="s">
        <v>80</v>
      </c>
      <c r="C8" s="4"/>
      <c r="D8" s="3" t="s">
        <v>17</v>
      </c>
      <c r="E8" s="3" t="str">
        <f aca="false">'CM-6'!E20</f>
        <v>Non commencé</v>
      </c>
    </row>
    <row r="9" customFormat="false" ht="18" hidden="false" customHeight="true" outlineLevel="0" collapsed="false">
      <c r="A9" s="3" t="s">
        <v>19</v>
      </c>
      <c r="B9" s="4" t="s">
        <v>81</v>
      </c>
      <c r="C9" s="4"/>
      <c r="D9" s="3" t="s">
        <v>19</v>
      </c>
      <c r="E9" s="3" t="str">
        <f aca="false">'CM-7'!E20</f>
        <v>Non commencé</v>
      </c>
    </row>
    <row r="10" customFormat="false" ht="18" hidden="false" customHeight="true" outlineLevel="0" collapsed="false">
      <c r="A10" s="3" t="s">
        <v>21</v>
      </c>
      <c r="B10" s="4" t="s">
        <v>81</v>
      </c>
      <c r="C10" s="4"/>
      <c r="D10" s="3" t="s">
        <v>22</v>
      </c>
      <c r="E10" s="3" t="str">
        <f aca="false">'CM-7-1'!E20</f>
        <v>Non commencé</v>
      </c>
    </row>
    <row r="11" customFormat="false" ht="18" hidden="false" customHeight="true" outlineLevel="0" collapsed="false">
      <c r="A11" s="3" t="s">
        <v>23</v>
      </c>
      <c r="B11" s="4" t="s">
        <v>82</v>
      </c>
      <c r="C11" s="4"/>
      <c r="D11" s="3" t="s">
        <v>23</v>
      </c>
      <c r="E11" s="3" t="str">
        <f aca="false">'CP-6'!E20</f>
        <v>Non commencé</v>
      </c>
    </row>
    <row r="12" customFormat="false" ht="18" hidden="false" customHeight="true" outlineLevel="0" collapsed="false">
      <c r="A12" s="3" t="s">
        <v>25</v>
      </c>
      <c r="B12" s="4" t="s">
        <v>82</v>
      </c>
      <c r="C12" s="4"/>
      <c r="D12" s="3" t="s">
        <v>26</v>
      </c>
      <c r="E12" s="3" t="str">
        <f aca="false">'CP-6-2'!E20</f>
        <v>Non commencé</v>
      </c>
    </row>
    <row r="13" customFormat="false" ht="18" hidden="false" customHeight="true" outlineLevel="0" collapsed="false">
      <c r="A13" s="3" t="s">
        <v>27</v>
      </c>
      <c r="B13" s="4" t="s">
        <v>83</v>
      </c>
      <c r="C13" s="4"/>
      <c r="D13" s="3" t="s">
        <v>27</v>
      </c>
      <c r="E13" s="3" t="str">
        <f aca="false">'CP-7'!E20</f>
        <v>Non commencé</v>
      </c>
    </row>
    <row r="14" customFormat="false" ht="18" hidden="false" customHeight="true" outlineLevel="0" collapsed="false">
      <c r="A14" s="3" t="s">
        <v>29</v>
      </c>
      <c r="B14" s="4" t="s">
        <v>83</v>
      </c>
      <c r="C14" s="4"/>
      <c r="D14" s="3" t="s">
        <v>30</v>
      </c>
      <c r="E14" s="3" t="str">
        <f aca="false">'CP-7-4'!E20</f>
        <v>Non commencé</v>
      </c>
    </row>
    <row r="15" customFormat="false" ht="18" hidden="false" customHeight="true" outlineLevel="0" collapsed="false">
      <c r="A15" s="3" t="s">
        <v>31</v>
      </c>
      <c r="B15" s="4" t="s">
        <v>84</v>
      </c>
      <c r="C15" s="4"/>
      <c r="D15" s="3" t="s">
        <v>31</v>
      </c>
      <c r="E15" s="3" t="str">
        <f aca="false">'CP-9'!E20</f>
        <v>Non commencé</v>
      </c>
    </row>
    <row r="16" customFormat="false" ht="18" hidden="false" customHeight="true" outlineLevel="0" collapsed="false">
      <c r="A16" s="3" t="s">
        <v>33</v>
      </c>
      <c r="B16" s="4" t="s">
        <v>84</v>
      </c>
      <c r="C16" s="4"/>
      <c r="D16" s="3" t="s">
        <v>34</v>
      </c>
      <c r="E16" s="3" t="str">
        <f aca="false">'CP-9-1'!E20</f>
        <v>Non commencé</v>
      </c>
    </row>
    <row r="17" customFormat="false" ht="18" hidden="false" customHeight="true" outlineLevel="0" collapsed="false">
      <c r="A17" s="3" t="s">
        <v>35</v>
      </c>
      <c r="B17" s="4" t="s">
        <v>84</v>
      </c>
      <c r="C17" s="4"/>
      <c r="D17" s="3" t="s">
        <v>36</v>
      </c>
      <c r="E17" s="3" t="str">
        <f aca="false">'CP-9-2'!E20</f>
        <v>Non commencé</v>
      </c>
    </row>
    <row r="18" customFormat="false" ht="18" hidden="false" customHeight="true" outlineLevel="0" collapsed="false">
      <c r="A18" s="3" t="s">
        <v>37</v>
      </c>
      <c r="B18" s="4" t="s">
        <v>84</v>
      </c>
      <c r="C18" s="4"/>
      <c r="D18" s="3" t="s">
        <v>38</v>
      </c>
      <c r="E18" s="3" t="str">
        <f aca="false">'CP-9-5'!E20</f>
        <v>Non commencé</v>
      </c>
    </row>
    <row r="19" customFormat="false" ht="18" hidden="false" customHeight="true" outlineLevel="0" collapsed="false">
      <c r="A19" s="3" t="s">
        <v>39</v>
      </c>
      <c r="B19" s="4" t="s">
        <v>85</v>
      </c>
      <c r="C19" s="4"/>
      <c r="D19" s="3" t="s">
        <v>39</v>
      </c>
      <c r="E19" s="3" t="str">
        <f aca="false">'CP-10'!E20</f>
        <v>Non commencé</v>
      </c>
    </row>
    <row r="20" customFormat="false" ht="18" hidden="false" customHeight="true" outlineLevel="0" collapsed="false">
      <c r="A20" s="3" t="s">
        <v>41</v>
      </c>
      <c r="B20" s="4" t="s">
        <v>85</v>
      </c>
      <c r="C20" s="4"/>
      <c r="D20" s="3" t="s">
        <v>42</v>
      </c>
      <c r="E20" s="3" t="str">
        <f aca="false">'CP-10-2'!E20</f>
        <v>Non commencé</v>
      </c>
    </row>
    <row r="21" customFormat="false" ht="18" hidden="false" customHeight="true" outlineLevel="0" collapsed="false">
      <c r="A21" s="3" t="s">
        <v>43</v>
      </c>
      <c r="B21" s="4" t="s">
        <v>85</v>
      </c>
      <c r="C21" s="4"/>
      <c r="D21" s="3" t="s">
        <v>44</v>
      </c>
      <c r="E21" s="3" t="str">
        <f aca="false">'CP-10-4'!E20</f>
        <v>Non commencé</v>
      </c>
    </row>
    <row r="22" customFormat="false" ht="18" hidden="false" customHeight="true" outlineLevel="0" collapsed="false">
      <c r="A22" s="3" t="s">
        <v>45</v>
      </c>
      <c r="B22" s="4" t="s">
        <v>86</v>
      </c>
      <c r="C22" s="4"/>
      <c r="D22" s="3" t="s">
        <v>47</v>
      </c>
      <c r="E22" s="3" t="str">
        <f aca="false">'SA-9-5'!E20</f>
        <v>Non commencé</v>
      </c>
    </row>
    <row r="23" customFormat="false" ht="18" hidden="false" customHeight="true" outlineLevel="0" collapsed="false">
      <c r="A23" s="3" t="s">
        <v>48</v>
      </c>
      <c r="B23" s="4" t="s">
        <v>87</v>
      </c>
      <c r="C23" s="4"/>
      <c r="D23" s="3" t="s">
        <v>48</v>
      </c>
      <c r="E23" s="3" t="str">
        <f aca="false">'SC-13'!E20</f>
        <v>Non commencé</v>
      </c>
    </row>
    <row r="24" customFormat="false" ht="18" hidden="false" customHeight="true" outlineLevel="0" collapsed="false">
      <c r="A24" s="3" t="s">
        <v>50</v>
      </c>
      <c r="B24" s="4" t="s">
        <v>88</v>
      </c>
      <c r="C24" s="4"/>
      <c r="D24" s="3" t="s">
        <v>50</v>
      </c>
      <c r="E24" s="3" t="str">
        <f aca="false">'SC-28'!E20</f>
        <v>Non commencé</v>
      </c>
    </row>
    <row r="25" customFormat="false" ht="18" hidden="false" customHeight="true" outlineLevel="0" collapsed="false">
      <c r="A25" s="3" t="s">
        <v>52</v>
      </c>
      <c r="B25" s="4" t="s">
        <v>88</v>
      </c>
      <c r="C25" s="4"/>
      <c r="D25" s="3" t="s">
        <v>53</v>
      </c>
      <c r="E25" s="3" t="str">
        <f aca="false">'SC-28-1'!E20</f>
        <v>Non commencé</v>
      </c>
    </row>
    <row r="26" customFormat="false" ht="18" hidden="false" customHeight="true" outlineLevel="0" collapsed="false">
      <c r="A26" s="3" t="s">
        <v>54</v>
      </c>
      <c r="B26" s="4" t="s">
        <v>89</v>
      </c>
      <c r="C26" s="4"/>
      <c r="D26" s="3" t="s">
        <v>56</v>
      </c>
      <c r="E26" s="3" t="str">
        <f aca="false">'SI-4-2'!E20</f>
        <v>Non commencé</v>
      </c>
    </row>
    <row r="27" customFormat="false" ht="18" hidden="false" customHeight="true" outlineLevel="0" collapsed="false">
      <c r="A27" s="3" t="s">
        <v>57</v>
      </c>
      <c r="B27" s="4" t="s">
        <v>90</v>
      </c>
      <c r="C27" s="4"/>
      <c r="D27" s="3" t="s">
        <v>57</v>
      </c>
      <c r="E27" s="3" t="str">
        <f aca="false">'SI-6'!E20</f>
        <v>Non commencé</v>
      </c>
    </row>
    <row r="29" customFormat="false" ht="21.75" hidden="false" customHeight="true" outlineLevel="0" collapsed="false">
      <c r="A29" s="5" t="s">
        <v>91</v>
      </c>
      <c r="B29" s="5"/>
      <c r="C29" s="5"/>
      <c r="D29" s="5"/>
      <c r="E29" s="5"/>
    </row>
    <row r="30" customFormat="false" ht="19.5" hidden="false" customHeight="true" outlineLevel="0" collapsed="false">
      <c r="A30" s="6" t="s">
        <v>92</v>
      </c>
      <c r="B30" s="6"/>
      <c r="C30" s="6"/>
      <c r="D30" s="6"/>
      <c r="E30" s="7" t="n">
        <f aca="false">25</f>
        <v>25</v>
      </c>
    </row>
    <row r="31" customFormat="false" ht="19.5" hidden="false" customHeight="true" outlineLevel="0" collapsed="false">
      <c r="A31" s="6" t="s">
        <v>93</v>
      </c>
      <c r="B31" s="6"/>
      <c r="C31" s="6"/>
      <c r="D31" s="6"/>
      <c r="E31" s="7" t="n">
        <f aca="false">COUNTIF(E3:E27,"Non commencé")</f>
        <v>25</v>
      </c>
    </row>
    <row r="32" customFormat="false" ht="19.5" hidden="false" customHeight="true" outlineLevel="0" collapsed="false">
      <c r="A32" s="6" t="s">
        <v>94</v>
      </c>
      <c r="B32" s="6"/>
      <c r="C32" s="6"/>
      <c r="D32" s="6"/>
      <c r="E32" s="7" t="n">
        <f aca="false">COUNTIF(E3:E27,"En cours")</f>
        <v>0</v>
      </c>
    </row>
    <row r="33" customFormat="false" ht="19.5" hidden="false" customHeight="true" outlineLevel="0" collapsed="false">
      <c r="A33" s="6" t="s">
        <v>95</v>
      </c>
      <c r="B33" s="6"/>
      <c r="C33" s="6"/>
      <c r="D33" s="6"/>
      <c r="E33" s="7" t="n">
        <f aca="false">COUNTIF(E3:E27,"Preuve fournie")</f>
        <v>0</v>
      </c>
    </row>
    <row r="34" customFormat="false" ht="19.5" hidden="false" customHeight="true" outlineLevel="0" collapsed="false">
      <c r="A34" s="6" t="s">
        <v>96</v>
      </c>
      <c r="B34" s="6"/>
      <c r="C34" s="6"/>
      <c r="D34" s="6"/>
      <c r="E34" s="7" t="n">
        <f aca="false">COUNTIF(E3:E27,"En révision")</f>
        <v>0</v>
      </c>
    </row>
    <row r="35" customFormat="false" ht="19.5" hidden="false" customHeight="true" outlineLevel="0" collapsed="false">
      <c r="A35" s="6" t="s">
        <v>97</v>
      </c>
      <c r="B35" s="6"/>
      <c r="C35" s="6"/>
      <c r="D35" s="6"/>
      <c r="E35" s="7" t="n">
        <f aca="false">COUNTIF(E3:E27,"Réussi")</f>
        <v>0</v>
      </c>
    </row>
    <row r="36" customFormat="false" ht="19.5" hidden="false" customHeight="true" outlineLevel="0" collapsed="false">
      <c r="A36" s="6" t="s">
        <v>98</v>
      </c>
      <c r="B36" s="6"/>
      <c r="C36" s="6"/>
      <c r="D36" s="6"/>
      <c r="E36" s="7" t="n">
        <f aca="false">COUNTIF(E3:E27,"Échec")</f>
        <v>0</v>
      </c>
    </row>
    <row r="37" customFormat="false" ht="19.5" hidden="false" customHeight="true" outlineLevel="0" collapsed="false">
      <c r="A37" s="6" t="s">
        <v>99</v>
      </c>
      <c r="B37" s="6"/>
      <c r="C37" s="6"/>
      <c r="D37" s="6"/>
      <c r="E37" s="7" t="n">
        <f aca="false">COUNTIF(E3:E27,"Exception acceptée")</f>
        <v>0</v>
      </c>
    </row>
    <row r="38" customFormat="false" ht="19.5" hidden="false" customHeight="true" outlineLevel="0" collapsed="false">
      <c r="A38" s="6" t="s">
        <v>100</v>
      </c>
      <c r="B38" s="6"/>
      <c r="C38" s="6"/>
      <c r="D38" s="6"/>
      <c r="E38" s="8" t="n">
        <f aca="false">IFERROR(COUNTIF(E3:E27,"Réussi")/25,0)</f>
        <v>0</v>
      </c>
    </row>
    <row r="39" customFormat="false" ht="19.5" hidden="false" customHeight="true" outlineLevel="0" collapsed="false">
      <c r="A39" s="6" t="s">
        <v>101</v>
      </c>
      <c r="B39" s="6"/>
      <c r="C39" s="6"/>
      <c r="D39" s="6"/>
      <c r="E39" s="8" t="n">
        <f aca="false">IFERROR(COUNTIF(E3:E27,"Non commencé")/25,0)</f>
        <v>1</v>
      </c>
    </row>
  </sheetData>
  <mergeCells count="12">
    <mergeCell ref="A1:E1"/>
    <mergeCell ref="A29:E29"/>
    <mergeCell ref="A30:D30"/>
    <mergeCell ref="A31:D31"/>
    <mergeCell ref="A32:D32"/>
    <mergeCell ref="A33:D33"/>
    <mergeCell ref="A34:D34"/>
    <mergeCell ref="A35:D35"/>
    <mergeCell ref="A36:D36"/>
    <mergeCell ref="A37:D37"/>
    <mergeCell ref="A38:D38"/>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102</v>
      </c>
      <c r="B1" s="9"/>
      <c r="D1" s="9" t="s">
        <v>103</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6</v>
      </c>
      <c r="D3" s="11" t="s">
        <v>107</v>
      </c>
      <c r="E3" s="12" t="s">
        <v>6</v>
      </c>
    </row>
    <row r="4" customFormat="false" ht="21.75" hidden="false" customHeight="true" outlineLevel="0" collapsed="false">
      <c r="A4" s="11" t="s">
        <v>108</v>
      </c>
      <c r="B4" s="12" t="s">
        <v>7</v>
      </c>
      <c r="D4" s="11" t="s">
        <v>109</v>
      </c>
      <c r="E4" s="12" t="s">
        <v>76</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234" hidden="false" customHeight="true" outlineLevel="0" collapsed="false">
      <c r="A8" s="11" t="s">
        <v>118</v>
      </c>
      <c r="B8" s="12" t="s">
        <v>119</v>
      </c>
      <c r="D8" s="11" t="s">
        <v>120</v>
      </c>
      <c r="E8" s="12" t="s">
        <v>121</v>
      </c>
    </row>
    <row r="9" customFormat="false" ht="300" hidden="false" customHeight="true" outlineLevel="0" collapsed="false">
      <c r="A9" s="11" t="s">
        <v>122</v>
      </c>
      <c r="B9" s="12" t="s">
        <v>123</v>
      </c>
      <c r="D9" s="11" t="s">
        <v>124</v>
      </c>
      <c r="E9" s="12" t="s">
        <v>125</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129</v>
      </c>
      <c r="D11" s="11" t="s">
        <v>128</v>
      </c>
      <c r="E11" s="12" t="s">
        <v>129</v>
      </c>
    </row>
    <row r="12" customFormat="false" ht="21.75" hidden="false" customHeight="true" outlineLevel="0" collapsed="false">
      <c r="A12" s="11" t="s">
        <v>130</v>
      </c>
      <c r="B12" s="12" t="s">
        <v>6</v>
      </c>
      <c r="D12" s="11" t="s">
        <v>131</v>
      </c>
      <c r="E12" s="12" t="s">
        <v>6</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147</v>
      </c>
      <c r="B1" s="9"/>
      <c r="D1" s="9" t="s">
        <v>148</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8</v>
      </c>
      <c r="D3" s="11" t="s">
        <v>107</v>
      </c>
      <c r="E3" s="12" t="s">
        <v>8</v>
      </c>
    </row>
    <row r="4" customFormat="false" ht="21.75" hidden="false" customHeight="true" outlineLevel="0" collapsed="false">
      <c r="A4" s="11" t="s">
        <v>108</v>
      </c>
      <c r="B4" s="12" t="s">
        <v>9</v>
      </c>
      <c r="D4" s="11" t="s">
        <v>109</v>
      </c>
      <c r="E4" s="12" t="s">
        <v>77</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64.5" hidden="false" customHeight="true" outlineLevel="0" collapsed="false">
      <c r="A8" s="11" t="s">
        <v>118</v>
      </c>
      <c r="B8" s="12" t="s">
        <v>149</v>
      </c>
      <c r="D8" s="11" t="s">
        <v>120</v>
      </c>
      <c r="E8" s="12" t="s">
        <v>150</v>
      </c>
    </row>
    <row r="9" customFormat="false" ht="129.75" hidden="false" customHeight="true" outlineLevel="0" collapsed="false">
      <c r="A9" s="11" t="s">
        <v>122</v>
      </c>
      <c r="B9" s="12" t="s">
        <v>151</v>
      </c>
      <c r="D9" s="11" t="s">
        <v>124</v>
      </c>
      <c r="E9" s="12" t="s">
        <v>152</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153</v>
      </c>
      <c r="D11" s="11" t="s">
        <v>128</v>
      </c>
      <c r="E11" s="12" t="s">
        <v>153</v>
      </c>
    </row>
    <row r="12" customFormat="false" ht="21.75" hidden="false" customHeight="true" outlineLevel="0" collapsed="false">
      <c r="A12" s="11" t="s">
        <v>130</v>
      </c>
      <c r="B12" s="12" t="s">
        <v>8</v>
      </c>
      <c r="D12" s="11" t="s">
        <v>131</v>
      </c>
      <c r="E12" s="12" t="s">
        <v>8</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154</v>
      </c>
      <c r="B1" s="9"/>
      <c r="D1" s="9" t="s">
        <v>155</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10</v>
      </c>
      <c r="D3" s="11" t="s">
        <v>107</v>
      </c>
      <c r="E3" s="12" t="s">
        <v>10</v>
      </c>
    </row>
    <row r="4" customFormat="false" ht="21.75" hidden="false" customHeight="true" outlineLevel="0" collapsed="false">
      <c r="A4" s="11" t="s">
        <v>108</v>
      </c>
      <c r="B4" s="12" t="s">
        <v>9</v>
      </c>
      <c r="D4" s="11" t="s">
        <v>109</v>
      </c>
      <c r="E4" s="12" t="s">
        <v>77</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103.5" hidden="false" customHeight="true" outlineLevel="0" collapsed="false">
      <c r="A8" s="11" t="s">
        <v>118</v>
      </c>
      <c r="B8" s="12" t="s">
        <v>156</v>
      </c>
      <c r="D8" s="11" t="s">
        <v>120</v>
      </c>
      <c r="E8" s="12" t="s">
        <v>157</v>
      </c>
    </row>
    <row r="9" customFormat="false" ht="181.5" hidden="false" customHeight="true" outlineLevel="0" collapsed="false">
      <c r="A9" s="11" t="s">
        <v>122</v>
      </c>
      <c r="B9" s="12" t="s">
        <v>158</v>
      </c>
      <c r="D9" s="11" t="s">
        <v>124</v>
      </c>
      <c r="E9" s="12" t="s">
        <v>159</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160</v>
      </c>
      <c r="D11" s="11" t="s">
        <v>128</v>
      </c>
      <c r="E11" s="12" t="s">
        <v>160</v>
      </c>
    </row>
    <row r="12" customFormat="false" ht="21.75" hidden="false" customHeight="true" outlineLevel="0" collapsed="false">
      <c r="A12" s="11" t="s">
        <v>130</v>
      </c>
      <c r="B12" s="12" t="s">
        <v>10</v>
      </c>
      <c r="D12" s="11" t="s">
        <v>131</v>
      </c>
      <c r="E12" s="12" t="s">
        <v>10</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161</v>
      </c>
      <c r="B1" s="9"/>
      <c r="D1" s="9" t="s">
        <v>162</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12</v>
      </c>
      <c r="D3" s="11" t="s">
        <v>107</v>
      </c>
      <c r="E3" s="12" t="s">
        <v>12</v>
      </c>
    </row>
    <row r="4" customFormat="false" ht="21.75" hidden="false" customHeight="true" outlineLevel="0" collapsed="false">
      <c r="A4" s="11" t="s">
        <v>108</v>
      </c>
      <c r="B4" s="12" t="s">
        <v>13</v>
      </c>
      <c r="D4" s="11" t="s">
        <v>109</v>
      </c>
      <c r="E4" s="12" t="s">
        <v>78</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64.5" hidden="false" customHeight="true" outlineLevel="0" collapsed="false">
      <c r="A8" s="11" t="s">
        <v>118</v>
      </c>
      <c r="B8" s="12" t="s">
        <v>163</v>
      </c>
      <c r="D8" s="11" t="s">
        <v>120</v>
      </c>
      <c r="E8" s="12" t="s">
        <v>164</v>
      </c>
    </row>
    <row r="9" customFormat="false" ht="51.75" hidden="false" customHeight="true" outlineLevel="0" collapsed="false">
      <c r="A9" s="11" t="s">
        <v>122</v>
      </c>
      <c r="B9" s="12" t="s">
        <v>165</v>
      </c>
      <c r="D9" s="11" t="s">
        <v>124</v>
      </c>
      <c r="E9" s="12" t="s">
        <v>166</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167</v>
      </c>
      <c r="D11" s="11" t="s">
        <v>128</v>
      </c>
      <c r="E11" s="12" t="s">
        <v>167</v>
      </c>
    </row>
    <row r="12" customFormat="false" ht="21.75" hidden="false" customHeight="true" outlineLevel="0" collapsed="false">
      <c r="A12" s="11" t="s">
        <v>130</v>
      </c>
      <c r="B12" s="12" t="s">
        <v>12</v>
      </c>
      <c r="D12" s="11" t="s">
        <v>131</v>
      </c>
      <c r="E12" s="12" t="s">
        <v>12</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168</v>
      </c>
      <c r="B1" s="9"/>
      <c r="D1" s="9" t="s">
        <v>169</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15</v>
      </c>
      <c r="D3" s="11" t="s">
        <v>107</v>
      </c>
      <c r="E3" s="12" t="s">
        <v>15</v>
      </c>
    </row>
    <row r="4" customFormat="false" ht="21.75" hidden="false" customHeight="true" outlineLevel="0" collapsed="false">
      <c r="A4" s="11" t="s">
        <v>108</v>
      </c>
      <c r="B4" s="12" t="s">
        <v>16</v>
      </c>
      <c r="D4" s="11" t="s">
        <v>109</v>
      </c>
      <c r="E4" s="12" t="s">
        <v>79</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117" hidden="false" customHeight="true" outlineLevel="0" collapsed="false">
      <c r="A8" s="11" t="s">
        <v>118</v>
      </c>
      <c r="B8" s="12" t="s">
        <v>170</v>
      </c>
      <c r="D8" s="11" t="s">
        <v>120</v>
      </c>
      <c r="E8" s="12" t="s">
        <v>171</v>
      </c>
    </row>
    <row r="9" customFormat="false" ht="90.75" hidden="false" customHeight="true" outlineLevel="0" collapsed="false">
      <c r="A9" s="11" t="s">
        <v>122</v>
      </c>
      <c r="B9" s="12" t="s">
        <v>172</v>
      </c>
      <c r="D9" s="11" t="s">
        <v>124</v>
      </c>
      <c r="E9" s="12" t="s">
        <v>173</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174</v>
      </c>
      <c r="D11" s="11" t="s">
        <v>128</v>
      </c>
      <c r="E11" s="12" t="s">
        <v>174</v>
      </c>
    </row>
    <row r="12" customFormat="false" ht="21.75" hidden="false" customHeight="true" outlineLevel="0" collapsed="false">
      <c r="A12" s="11" t="s">
        <v>130</v>
      </c>
      <c r="B12" s="12" t="s">
        <v>15</v>
      </c>
      <c r="D12" s="11" t="s">
        <v>131</v>
      </c>
      <c r="E12" s="12" t="s">
        <v>15</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175</v>
      </c>
      <c r="B1" s="9"/>
      <c r="D1" s="9" t="s">
        <v>176</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17</v>
      </c>
      <c r="D3" s="11" t="s">
        <v>107</v>
      </c>
      <c r="E3" s="12" t="s">
        <v>17</v>
      </c>
    </row>
    <row r="4" customFormat="false" ht="21.75" hidden="false" customHeight="true" outlineLevel="0" collapsed="false">
      <c r="A4" s="11" t="s">
        <v>108</v>
      </c>
      <c r="B4" s="12" t="s">
        <v>18</v>
      </c>
      <c r="D4" s="11" t="s">
        <v>109</v>
      </c>
      <c r="E4" s="12" t="s">
        <v>80</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168.75" hidden="false" customHeight="true" outlineLevel="0" collapsed="false">
      <c r="A8" s="11" t="s">
        <v>118</v>
      </c>
      <c r="B8" s="12" t="s">
        <v>177</v>
      </c>
      <c r="D8" s="11" t="s">
        <v>120</v>
      </c>
      <c r="E8" s="12" t="s">
        <v>178</v>
      </c>
    </row>
    <row r="9" customFormat="false" ht="300" hidden="false" customHeight="true" outlineLevel="0" collapsed="false">
      <c r="A9" s="11" t="s">
        <v>122</v>
      </c>
      <c r="B9" s="12" t="s">
        <v>179</v>
      </c>
      <c r="D9" s="11" t="s">
        <v>124</v>
      </c>
      <c r="E9" s="12" t="s">
        <v>180</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181</v>
      </c>
      <c r="D11" s="11" t="s">
        <v>128</v>
      </c>
      <c r="E11" s="12" t="s">
        <v>181</v>
      </c>
    </row>
    <row r="12" customFormat="false" ht="21.75" hidden="false" customHeight="true" outlineLevel="0" collapsed="false">
      <c r="A12" s="11" t="s">
        <v>130</v>
      </c>
      <c r="B12" s="12" t="s">
        <v>17</v>
      </c>
      <c r="D12" s="11" t="s">
        <v>131</v>
      </c>
      <c r="E12" s="12" t="s">
        <v>17</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182</v>
      </c>
      <c r="B1" s="9"/>
      <c r="D1" s="9" t="s">
        <v>183</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19</v>
      </c>
      <c r="D3" s="11" t="s">
        <v>107</v>
      </c>
      <c r="E3" s="12" t="s">
        <v>19</v>
      </c>
    </row>
    <row r="4" customFormat="false" ht="21.75" hidden="false" customHeight="true" outlineLevel="0" collapsed="false">
      <c r="A4" s="11" t="s">
        <v>108</v>
      </c>
      <c r="B4" s="12" t="s">
        <v>20</v>
      </c>
      <c r="D4" s="11" t="s">
        <v>109</v>
      </c>
      <c r="E4" s="12" t="s">
        <v>81</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78" hidden="false" customHeight="true" outlineLevel="0" collapsed="false">
      <c r="A8" s="11" t="s">
        <v>118</v>
      </c>
      <c r="B8" s="12" t="s">
        <v>184</v>
      </c>
      <c r="D8" s="11" t="s">
        <v>120</v>
      </c>
      <c r="E8" s="12" t="s">
        <v>185</v>
      </c>
    </row>
    <row r="9" customFormat="false" ht="300" hidden="false" customHeight="true" outlineLevel="0" collapsed="false">
      <c r="A9" s="11" t="s">
        <v>122</v>
      </c>
      <c r="B9" s="12" t="s">
        <v>186</v>
      </c>
      <c r="D9" s="11" t="s">
        <v>124</v>
      </c>
      <c r="E9" s="12" t="s">
        <v>187</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188</v>
      </c>
      <c r="D11" s="11" t="s">
        <v>128</v>
      </c>
      <c r="E11" s="12" t="s">
        <v>188</v>
      </c>
    </row>
    <row r="12" customFormat="false" ht="21.75" hidden="false" customHeight="true" outlineLevel="0" collapsed="false">
      <c r="A12" s="11" t="s">
        <v>130</v>
      </c>
      <c r="B12" s="12" t="s">
        <v>19</v>
      </c>
      <c r="D12" s="11" t="s">
        <v>131</v>
      </c>
      <c r="E12" s="12" t="s">
        <v>19</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189</v>
      </c>
      <c r="B1" s="9"/>
      <c r="D1" s="9" t="s">
        <v>190</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21</v>
      </c>
      <c r="D3" s="11" t="s">
        <v>107</v>
      </c>
      <c r="E3" s="12" t="s">
        <v>21</v>
      </c>
    </row>
    <row r="4" customFormat="false" ht="21.75" hidden="false" customHeight="true" outlineLevel="0" collapsed="false">
      <c r="A4" s="11" t="s">
        <v>108</v>
      </c>
      <c r="B4" s="12" t="s">
        <v>20</v>
      </c>
      <c r="D4" s="11" t="s">
        <v>109</v>
      </c>
      <c r="E4" s="12" t="s">
        <v>81</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78" hidden="false" customHeight="true" outlineLevel="0" collapsed="false">
      <c r="A8" s="11" t="s">
        <v>118</v>
      </c>
      <c r="B8" s="12" t="s">
        <v>191</v>
      </c>
      <c r="D8" s="11" t="s">
        <v>120</v>
      </c>
      <c r="E8" s="12" t="s">
        <v>192</v>
      </c>
    </row>
    <row r="9" customFormat="false" ht="64.5" hidden="false" customHeight="true" outlineLevel="0" collapsed="false">
      <c r="A9" s="11" t="s">
        <v>122</v>
      </c>
      <c r="B9" s="12" t="s">
        <v>193</v>
      </c>
      <c r="D9" s="11" t="s">
        <v>124</v>
      </c>
      <c r="E9" s="12" t="s">
        <v>194</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195</v>
      </c>
      <c r="D11" s="11" t="s">
        <v>128</v>
      </c>
      <c r="E11" s="12" t="s">
        <v>195</v>
      </c>
    </row>
    <row r="12" customFormat="false" ht="21.75" hidden="false" customHeight="true" outlineLevel="0" collapsed="false">
      <c r="A12" s="11" t="s">
        <v>130</v>
      </c>
      <c r="B12" s="12" t="s">
        <v>21</v>
      </c>
      <c r="D12" s="11" t="s">
        <v>131</v>
      </c>
      <c r="E12" s="12" t="s">
        <v>21</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196</v>
      </c>
      <c r="B1" s="9"/>
      <c r="D1" s="9" t="s">
        <v>197</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23</v>
      </c>
      <c r="D3" s="11" t="s">
        <v>107</v>
      </c>
      <c r="E3" s="12" t="s">
        <v>23</v>
      </c>
    </row>
    <row r="4" customFormat="false" ht="21.75" hidden="false" customHeight="true" outlineLevel="0" collapsed="false">
      <c r="A4" s="11" t="s">
        <v>108</v>
      </c>
      <c r="B4" s="12" t="s">
        <v>24</v>
      </c>
      <c r="D4" s="11" t="s">
        <v>109</v>
      </c>
      <c r="E4" s="12" t="s">
        <v>82</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64.5" hidden="false" customHeight="true" outlineLevel="0" collapsed="false">
      <c r="A8" s="11" t="s">
        <v>118</v>
      </c>
      <c r="B8" s="12" t="s">
        <v>198</v>
      </c>
      <c r="D8" s="11" t="s">
        <v>120</v>
      </c>
      <c r="E8" s="12" t="s">
        <v>199</v>
      </c>
    </row>
    <row r="9" customFormat="false" ht="168.75" hidden="false" customHeight="true" outlineLevel="0" collapsed="false">
      <c r="A9" s="11" t="s">
        <v>122</v>
      </c>
      <c r="B9" s="12" t="s">
        <v>200</v>
      </c>
      <c r="D9" s="11" t="s">
        <v>124</v>
      </c>
      <c r="E9" s="12" t="s">
        <v>201</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202</v>
      </c>
      <c r="D11" s="11" t="s">
        <v>128</v>
      </c>
      <c r="E11" s="12" t="s">
        <v>202</v>
      </c>
    </row>
    <row r="12" customFormat="false" ht="21.75" hidden="false" customHeight="true" outlineLevel="0" collapsed="false">
      <c r="A12" s="11" t="s">
        <v>130</v>
      </c>
      <c r="B12" s="12" t="s">
        <v>23</v>
      </c>
      <c r="D12" s="11" t="s">
        <v>131</v>
      </c>
      <c r="E12" s="12" t="s">
        <v>23</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203</v>
      </c>
      <c r="B1" s="9"/>
      <c r="D1" s="9" t="s">
        <v>204</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25</v>
      </c>
      <c r="D3" s="11" t="s">
        <v>107</v>
      </c>
      <c r="E3" s="12" t="s">
        <v>25</v>
      </c>
    </row>
    <row r="4" customFormat="false" ht="21.75" hidden="false" customHeight="true" outlineLevel="0" collapsed="false">
      <c r="A4" s="11" t="s">
        <v>108</v>
      </c>
      <c r="B4" s="12" t="s">
        <v>24</v>
      </c>
      <c r="D4" s="11" t="s">
        <v>109</v>
      </c>
      <c r="E4" s="12" t="s">
        <v>82</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51.75" hidden="false" customHeight="true" outlineLevel="0" collapsed="false">
      <c r="A8" s="11" t="s">
        <v>118</v>
      </c>
      <c r="B8" s="12" t="s">
        <v>205</v>
      </c>
      <c r="D8" s="11" t="s">
        <v>120</v>
      </c>
      <c r="E8" s="12" t="s">
        <v>206</v>
      </c>
    </row>
    <row r="9" customFormat="false" ht="45" hidden="false" customHeight="true" outlineLevel="0" collapsed="false">
      <c r="A9" s="11" t="s">
        <v>122</v>
      </c>
      <c r="B9" s="12"/>
      <c r="D9" s="11" t="s">
        <v>124</v>
      </c>
      <c r="E9" s="12"/>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207</v>
      </c>
      <c r="D11" s="11" t="s">
        <v>128</v>
      </c>
      <c r="E11" s="12" t="s">
        <v>207</v>
      </c>
    </row>
    <row r="12" customFormat="false" ht="21.75" hidden="false" customHeight="true" outlineLevel="0" collapsed="false">
      <c r="A12" s="11" t="s">
        <v>130</v>
      </c>
      <c r="B12" s="12" t="s">
        <v>25</v>
      </c>
      <c r="D12" s="11" t="s">
        <v>131</v>
      </c>
      <c r="E12" s="12" t="s">
        <v>25</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208</v>
      </c>
      <c r="B1" s="9"/>
      <c r="D1" s="9" t="s">
        <v>209</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27</v>
      </c>
      <c r="D3" s="11" t="s">
        <v>107</v>
      </c>
      <c r="E3" s="12" t="s">
        <v>27</v>
      </c>
    </row>
    <row r="4" customFormat="false" ht="21.75" hidden="false" customHeight="true" outlineLevel="0" collapsed="false">
      <c r="A4" s="11" t="s">
        <v>108</v>
      </c>
      <c r="B4" s="12" t="s">
        <v>28</v>
      </c>
      <c r="D4" s="11" t="s">
        <v>109</v>
      </c>
      <c r="E4" s="12" t="s">
        <v>83</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181.5" hidden="false" customHeight="true" outlineLevel="0" collapsed="false">
      <c r="A8" s="11" t="s">
        <v>118</v>
      </c>
      <c r="B8" s="12" t="s">
        <v>210</v>
      </c>
      <c r="D8" s="11" t="s">
        <v>120</v>
      </c>
      <c r="E8" s="12" t="s">
        <v>211</v>
      </c>
    </row>
    <row r="9" customFormat="false" ht="168.75" hidden="false" customHeight="true" outlineLevel="0" collapsed="false">
      <c r="A9" s="11" t="s">
        <v>122</v>
      </c>
      <c r="B9" s="12" t="s">
        <v>212</v>
      </c>
      <c r="D9" s="11" t="s">
        <v>124</v>
      </c>
      <c r="E9" s="12" t="s">
        <v>213</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214</v>
      </c>
      <c r="D11" s="11" t="s">
        <v>128</v>
      </c>
      <c r="E11" s="12" t="s">
        <v>214</v>
      </c>
    </row>
    <row r="12" customFormat="false" ht="21.75" hidden="false" customHeight="true" outlineLevel="0" collapsed="false">
      <c r="A12" s="11" t="s">
        <v>130</v>
      </c>
      <c r="B12" s="12" t="s">
        <v>27</v>
      </c>
      <c r="D12" s="11" t="s">
        <v>131</v>
      </c>
      <c r="E12" s="12" t="s">
        <v>27</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215</v>
      </c>
      <c r="B1" s="9"/>
      <c r="D1" s="9" t="s">
        <v>216</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29</v>
      </c>
      <c r="D3" s="11" t="s">
        <v>107</v>
      </c>
      <c r="E3" s="12" t="s">
        <v>29</v>
      </c>
    </row>
    <row r="4" customFormat="false" ht="21.75" hidden="false" customHeight="true" outlineLevel="0" collapsed="false">
      <c r="A4" s="11" t="s">
        <v>108</v>
      </c>
      <c r="B4" s="12" t="s">
        <v>28</v>
      </c>
      <c r="D4" s="11" t="s">
        <v>109</v>
      </c>
      <c r="E4" s="12" t="s">
        <v>83</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51.75" hidden="false" customHeight="true" outlineLevel="0" collapsed="false">
      <c r="A8" s="11" t="s">
        <v>118</v>
      </c>
      <c r="B8" s="12" t="s">
        <v>217</v>
      </c>
      <c r="D8" s="11" t="s">
        <v>120</v>
      </c>
      <c r="E8" s="12" t="s">
        <v>218</v>
      </c>
    </row>
    <row r="9" customFormat="false" ht="78" hidden="false" customHeight="true" outlineLevel="0" collapsed="false">
      <c r="A9" s="11" t="s">
        <v>122</v>
      </c>
      <c r="B9" s="12" t="s">
        <v>219</v>
      </c>
      <c r="D9" s="11" t="s">
        <v>124</v>
      </c>
      <c r="E9" s="12" t="s">
        <v>220</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221</v>
      </c>
      <c r="D11" s="11" t="s">
        <v>128</v>
      </c>
      <c r="E11" s="12" t="s">
        <v>221</v>
      </c>
    </row>
    <row r="12" customFormat="false" ht="21.75" hidden="false" customHeight="true" outlineLevel="0" collapsed="false">
      <c r="A12" s="11" t="s">
        <v>130</v>
      </c>
      <c r="B12" s="12" t="s">
        <v>29</v>
      </c>
      <c r="D12" s="11" t="s">
        <v>131</v>
      </c>
      <c r="E12" s="12" t="s">
        <v>29</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222</v>
      </c>
      <c r="B1" s="9"/>
      <c r="D1" s="9" t="s">
        <v>223</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31</v>
      </c>
      <c r="D3" s="11" t="s">
        <v>107</v>
      </c>
      <c r="E3" s="12" t="s">
        <v>31</v>
      </c>
    </row>
    <row r="4" customFormat="false" ht="21.75" hidden="false" customHeight="true" outlineLevel="0" collapsed="false">
      <c r="A4" s="11" t="s">
        <v>108</v>
      </c>
      <c r="B4" s="12" t="s">
        <v>32</v>
      </c>
      <c r="D4" s="11" t="s">
        <v>109</v>
      </c>
      <c r="E4" s="12" t="s">
        <v>84</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168.75" hidden="false" customHeight="true" outlineLevel="0" collapsed="false">
      <c r="A8" s="11" t="s">
        <v>118</v>
      </c>
      <c r="B8" s="12" t="s">
        <v>224</v>
      </c>
      <c r="D8" s="11" t="s">
        <v>120</v>
      </c>
      <c r="E8" s="12" t="s">
        <v>225</v>
      </c>
    </row>
    <row r="9" customFormat="false" ht="156" hidden="false" customHeight="true" outlineLevel="0" collapsed="false">
      <c r="A9" s="11" t="s">
        <v>122</v>
      </c>
      <c r="B9" s="12" t="s">
        <v>226</v>
      </c>
      <c r="D9" s="11" t="s">
        <v>124</v>
      </c>
      <c r="E9" s="12" t="s">
        <v>227</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228</v>
      </c>
      <c r="D11" s="11" t="s">
        <v>128</v>
      </c>
      <c r="E11" s="12" t="s">
        <v>228</v>
      </c>
    </row>
    <row r="12" customFormat="false" ht="21.75" hidden="false" customHeight="true" outlineLevel="0" collapsed="false">
      <c r="A12" s="11" t="s">
        <v>130</v>
      </c>
      <c r="B12" s="12" t="s">
        <v>31</v>
      </c>
      <c r="D12" s="11" t="s">
        <v>131</v>
      </c>
      <c r="E12" s="12" t="s">
        <v>31</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229</v>
      </c>
      <c r="B1" s="9"/>
      <c r="D1" s="9" t="s">
        <v>230</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33</v>
      </c>
      <c r="D3" s="11" t="s">
        <v>107</v>
      </c>
      <c r="E3" s="12" t="s">
        <v>33</v>
      </c>
    </row>
    <row r="4" customFormat="false" ht="21.75" hidden="false" customHeight="true" outlineLevel="0" collapsed="false">
      <c r="A4" s="11" t="s">
        <v>108</v>
      </c>
      <c r="B4" s="12" t="s">
        <v>32</v>
      </c>
      <c r="D4" s="11" t="s">
        <v>109</v>
      </c>
      <c r="E4" s="12" t="s">
        <v>84</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51.75" hidden="false" customHeight="true" outlineLevel="0" collapsed="false">
      <c r="A8" s="11" t="s">
        <v>118</v>
      </c>
      <c r="B8" s="12" t="s">
        <v>231</v>
      </c>
      <c r="D8" s="11" t="s">
        <v>120</v>
      </c>
      <c r="E8" s="12" t="s">
        <v>232</v>
      </c>
    </row>
    <row r="9" customFormat="false" ht="45" hidden="false" customHeight="true" outlineLevel="0" collapsed="false">
      <c r="A9" s="11" t="s">
        <v>122</v>
      </c>
      <c r="B9" s="12" t="s">
        <v>233</v>
      </c>
      <c r="D9" s="11" t="s">
        <v>124</v>
      </c>
      <c r="E9" s="12" t="s">
        <v>234</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235</v>
      </c>
      <c r="D11" s="11" t="s">
        <v>128</v>
      </c>
      <c r="E11" s="12" t="s">
        <v>235</v>
      </c>
    </row>
    <row r="12" customFormat="false" ht="21.75" hidden="false" customHeight="true" outlineLevel="0" collapsed="false">
      <c r="A12" s="11" t="s">
        <v>130</v>
      </c>
      <c r="B12" s="12" t="s">
        <v>33</v>
      </c>
      <c r="D12" s="11" t="s">
        <v>131</v>
      </c>
      <c r="E12" s="12" t="s">
        <v>33</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236</v>
      </c>
      <c r="B1" s="9"/>
      <c r="D1" s="9" t="s">
        <v>237</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35</v>
      </c>
      <c r="D3" s="11" t="s">
        <v>107</v>
      </c>
      <c r="E3" s="12" t="s">
        <v>35</v>
      </c>
    </row>
    <row r="4" customFormat="false" ht="21.75" hidden="false" customHeight="true" outlineLevel="0" collapsed="false">
      <c r="A4" s="11" t="s">
        <v>108</v>
      </c>
      <c r="B4" s="12" t="s">
        <v>32</v>
      </c>
      <c r="D4" s="11" t="s">
        <v>109</v>
      </c>
      <c r="E4" s="12" t="s">
        <v>84</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51.75" hidden="false" customHeight="true" outlineLevel="0" collapsed="false">
      <c r="A8" s="11" t="s">
        <v>118</v>
      </c>
      <c r="B8" s="12" t="s">
        <v>238</v>
      </c>
      <c r="D8" s="11" t="s">
        <v>120</v>
      </c>
      <c r="E8" s="12" t="s">
        <v>239</v>
      </c>
    </row>
    <row r="9" customFormat="false" ht="45" hidden="false" customHeight="true" outlineLevel="0" collapsed="false">
      <c r="A9" s="11" t="s">
        <v>122</v>
      </c>
      <c r="B9" s="12" t="s">
        <v>233</v>
      </c>
      <c r="D9" s="11" t="s">
        <v>124</v>
      </c>
      <c r="E9" s="12" t="s">
        <v>234</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240</v>
      </c>
      <c r="D11" s="11" t="s">
        <v>128</v>
      </c>
      <c r="E11" s="12" t="s">
        <v>240</v>
      </c>
    </row>
    <row r="12" customFormat="false" ht="21.75" hidden="false" customHeight="true" outlineLevel="0" collapsed="false">
      <c r="A12" s="11" t="s">
        <v>130</v>
      </c>
      <c r="B12" s="12" t="s">
        <v>35</v>
      </c>
      <c r="D12" s="11" t="s">
        <v>131</v>
      </c>
      <c r="E12" s="12" t="s">
        <v>35</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241</v>
      </c>
      <c r="B1" s="9"/>
      <c r="D1" s="9" t="s">
        <v>242</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37</v>
      </c>
      <c r="D3" s="11" t="s">
        <v>107</v>
      </c>
      <c r="E3" s="12" t="s">
        <v>37</v>
      </c>
    </row>
    <row r="4" customFormat="false" ht="21.75" hidden="false" customHeight="true" outlineLevel="0" collapsed="false">
      <c r="A4" s="11" t="s">
        <v>108</v>
      </c>
      <c r="B4" s="12" t="s">
        <v>32</v>
      </c>
      <c r="D4" s="11" t="s">
        <v>109</v>
      </c>
      <c r="E4" s="12" t="s">
        <v>84</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64.5" hidden="false" customHeight="true" outlineLevel="0" collapsed="false">
      <c r="A8" s="11" t="s">
        <v>118</v>
      </c>
      <c r="B8" s="12" t="s">
        <v>243</v>
      </c>
      <c r="D8" s="11" t="s">
        <v>120</v>
      </c>
      <c r="E8" s="12" t="s">
        <v>244</v>
      </c>
    </row>
    <row r="9" customFormat="false" ht="45" hidden="false" customHeight="true" outlineLevel="0" collapsed="false">
      <c r="A9" s="11" t="s">
        <v>122</v>
      </c>
      <c r="B9" s="12" t="s">
        <v>245</v>
      </c>
      <c r="D9" s="11" t="s">
        <v>124</v>
      </c>
      <c r="E9" s="12" t="s">
        <v>246</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247</v>
      </c>
      <c r="D11" s="11" t="s">
        <v>128</v>
      </c>
      <c r="E11" s="12" t="s">
        <v>247</v>
      </c>
    </row>
    <row r="12" customFormat="false" ht="21.75" hidden="false" customHeight="true" outlineLevel="0" collapsed="false">
      <c r="A12" s="11" t="s">
        <v>130</v>
      </c>
      <c r="B12" s="12" t="s">
        <v>37</v>
      </c>
      <c r="D12" s="11" t="s">
        <v>131</v>
      </c>
      <c r="E12" s="12" t="s">
        <v>37</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248</v>
      </c>
      <c r="B1" s="9"/>
      <c r="D1" s="9" t="s">
        <v>249</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39</v>
      </c>
      <c r="D3" s="11" t="s">
        <v>107</v>
      </c>
      <c r="E3" s="12" t="s">
        <v>39</v>
      </c>
    </row>
    <row r="4" customFormat="false" ht="21.75" hidden="false" customHeight="true" outlineLevel="0" collapsed="false">
      <c r="A4" s="11" t="s">
        <v>108</v>
      </c>
      <c r="B4" s="12" t="s">
        <v>40</v>
      </c>
      <c r="D4" s="11" t="s">
        <v>109</v>
      </c>
      <c r="E4" s="12" t="s">
        <v>85</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45" hidden="false" customHeight="true" outlineLevel="0" collapsed="false">
      <c r="A8" s="11" t="s">
        <v>118</v>
      </c>
      <c r="B8" s="12" t="s">
        <v>250</v>
      </c>
      <c r="D8" s="11" t="s">
        <v>120</v>
      </c>
      <c r="E8" s="12" t="s">
        <v>251</v>
      </c>
    </row>
    <row r="9" customFormat="false" ht="246.75" hidden="false" customHeight="true" outlineLevel="0" collapsed="false">
      <c r="A9" s="11" t="s">
        <v>122</v>
      </c>
      <c r="B9" s="12" t="s">
        <v>252</v>
      </c>
      <c r="D9" s="11" t="s">
        <v>124</v>
      </c>
      <c r="E9" s="12" t="s">
        <v>253</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254</v>
      </c>
      <c r="D11" s="11" t="s">
        <v>128</v>
      </c>
      <c r="E11" s="12" t="s">
        <v>254</v>
      </c>
    </row>
    <row r="12" customFormat="false" ht="21.75" hidden="false" customHeight="true" outlineLevel="0" collapsed="false">
      <c r="A12" s="11" t="s">
        <v>130</v>
      </c>
      <c r="B12" s="12" t="s">
        <v>39</v>
      </c>
      <c r="D12" s="11" t="s">
        <v>131</v>
      </c>
      <c r="E12" s="12" t="s">
        <v>39</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255</v>
      </c>
      <c r="B1" s="9"/>
      <c r="D1" s="9" t="s">
        <v>256</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41</v>
      </c>
      <c r="D3" s="11" t="s">
        <v>107</v>
      </c>
      <c r="E3" s="12" t="s">
        <v>41</v>
      </c>
    </row>
    <row r="4" customFormat="false" ht="21.75" hidden="false" customHeight="true" outlineLevel="0" collapsed="false">
      <c r="A4" s="11" t="s">
        <v>108</v>
      </c>
      <c r="B4" s="12" t="s">
        <v>40</v>
      </c>
      <c r="D4" s="11" t="s">
        <v>109</v>
      </c>
      <c r="E4" s="12" t="s">
        <v>85</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45" hidden="false" customHeight="true" outlineLevel="0" collapsed="false">
      <c r="A8" s="11" t="s">
        <v>118</v>
      </c>
      <c r="B8" s="12" t="s">
        <v>257</v>
      </c>
      <c r="D8" s="11" t="s">
        <v>120</v>
      </c>
      <c r="E8" s="12" t="s">
        <v>258</v>
      </c>
    </row>
    <row r="9" customFormat="false" ht="64.5" hidden="false" customHeight="true" outlineLevel="0" collapsed="false">
      <c r="A9" s="11" t="s">
        <v>122</v>
      </c>
      <c r="B9" s="12" t="s">
        <v>259</v>
      </c>
      <c r="D9" s="11" t="s">
        <v>124</v>
      </c>
      <c r="E9" s="12" t="s">
        <v>260</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261</v>
      </c>
      <c r="D11" s="11" t="s">
        <v>128</v>
      </c>
      <c r="E11" s="12" t="s">
        <v>261</v>
      </c>
    </row>
    <row r="12" customFormat="false" ht="21.75" hidden="false" customHeight="true" outlineLevel="0" collapsed="false">
      <c r="A12" s="11" t="s">
        <v>130</v>
      </c>
      <c r="B12" s="12" t="s">
        <v>41</v>
      </c>
      <c r="D12" s="11" t="s">
        <v>131</v>
      </c>
      <c r="E12" s="12" t="s">
        <v>41</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262</v>
      </c>
      <c r="B1" s="9"/>
      <c r="D1" s="9" t="s">
        <v>263</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43</v>
      </c>
      <c r="D3" s="11" t="s">
        <v>107</v>
      </c>
      <c r="E3" s="12" t="s">
        <v>43</v>
      </c>
    </row>
    <row r="4" customFormat="false" ht="21.75" hidden="false" customHeight="true" outlineLevel="0" collapsed="false">
      <c r="A4" s="11" t="s">
        <v>108</v>
      </c>
      <c r="B4" s="12" t="s">
        <v>40</v>
      </c>
      <c r="D4" s="11" t="s">
        <v>109</v>
      </c>
      <c r="E4" s="12" t="s">
        <v>85</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78" hidden="false" customHeight="true" outlineLevel="0" collapsed="false">
      <c r="A8" s="11" t="s">
        <v>118</v>
      </c>
      <c r="B8" s="12" t="s">
        <v>264</v>
      </c>
      <c r="D8" s="11" t="s">
        <v>120</v>
      </c>
      <c r="E8" s="12" t="s">
        <v>265</v>
      </c>
    </row>
    <row r="9" customFormat="false" ht="45" hidden="false" customHeight="true" outlineLevel="0" collapsed="false">
      <c r="A9" s="11" t="s">
        <v>122</v>
      </c>
      <c r="B9" s="12" t="s">
        <v>266</v>
      </c>
      <c r="D9" s="11" t="s">
        <v>124</v>
      </c>
      <c r="E9" s="12" t="s">
        <v>267</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268</v>
      </c>
      <c r="D11" s="11" t="s">
        <v>128</v>
      </c>
      <c r="E11" s="12" t="s">
        <v>268</v>
      </c>
    </row>
    <row r="12" customFormat="false" ht="21.75" hidden="false" customHeight="true" outlineLevel="0" collapsed="false">
      <c r="A12" s="11" t="s">
        <v>130</v>
      </c>
      <c r="B12" s="12" t="s">
        <v>43</v>
      </c>
      <c r="D12" s="11" t="s">
        <v>131</v>
      </c>
      <c r="E12" s="12" t="s">
        <v>43</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269</v>
      </c>
      <c r="B1" s="9"/>
      <c r="D1" s="9" t="s">
        <v>270</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45</v>
      </c>
      <c r="D3" s="11" t="s">
        <v>107</v>
      </c>
      <c r="E3" s="12" t="s">
        <v>45</v>
      </c>
    </row>
    <row r="4" customFormat="false" ht="21.75" hidden="false" customHeight="true" outlineLevel="0" collapsed="false">
      <c r="A4" s="11" t="s">
        <v>108</v>
      </c>
      <c r="B4" s="12" t="s">
        <v>46</v>
      </c>
      <c r="D4" s="11" t="s">
        <v>109</v>
      </c>
      <c r="E4" s="12" t="s">
        <v>86</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103.5" hidden="false" customHeight="true" outlineLevel="0" collapsed="false">
      <c r="A8" s="11" t="s">
        <v>118</v>
      </c>
      <c r="B8" s="12" t="s">
        <v>271</v>
      </c>
      <c r="D8" s="11" t="s">
        <v>120</v>
      </c>
      <c r="E8" s="12" t="s">
        <v>272</v>
      </c>
    </row>
    <row r="9" customFormat="false" ht="234" hidden="false" customHeight="true" outlineLevel="0" collapsed="false">
      <c r="A9" s="11" t="s">
        <v>122</v>
      </c>
      <c r="B9" s="12" t="s">
        <v>273</v>
      </c>
      <c r="D9" s="11" t="s">
        <v>124</v>
      </c>
      <c r="E9" s="12" t="s">
        <v>274</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275</v>
      </c>
      <c r="D11" s="11" t="s">
        <v>128</v>
      </c>
      <c r="E11" s="12" t="s">
        <v>275</v>
      </c>
    </row>
    <row r="12" customFormat="false" ht="21.75" hidden="false" customHeight="true" outlineLevel="0" collapsed="false">
      <c r="A12" s="11" t="s">
        <v>130</v>
      </c>
      <c r="B12" s="12" t="s">
        <v>45</v>
      </c>
      <c r="D12" s="11" t="s">
        <v>131</v>
      </c>
      <c r="E12" s="12" t="s">
        <v>45</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276</v>
      </c>
      <c r="B1" s="9"/>
      <c r="D1" s="9" t="s">
        <v>277</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48</v>
      </c>
      <c r="D3" s="11" t="s">
        <v>107</v>
      </c>
      <c r="E3" s="12" t="s">
        <v>48</v>
      </c>
    </row>
    <row r="4" customFormat="false" ht="21.75" hidden="false" customHeight="true" outlineLevel="0" collapsed="false">
      <c r="A4" s="11" t="s">
        <v>108</v>
      </c>
      <c r="B4" s="12" t="s">
        <v>49</v>
      </c>
      <c r="D4" s="11" t="s">
        <v>109</v>
      </c>
      <c r="E4" s="12" t="s">
        <v>87</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45" hidden="false" customHeight="true" outlineLevel="0" collapsed="false">
      <c r="A8" s="11" t="s">
        <v>118</v>
      </c>
      <c r="B8" s="12" t="s">
        <v>278</v>
      </c>
      <c r="D8" s="11" t="s">
        <v>120</v>
      </c>
      <c r="E8" s="12" t="s">
        <v>279</v>
      </c>
    </row>
    <row r="9" customFormat="false" ht="234" hidden="false" customHeight="true" outlineLevel="0" collapsed="false">
      <c r="A9" s="11" t="s">
        <v>122</v>
      </c>
      <c r="B9" s="12" t="s">
        <v>280</v>
      </c>
      <c r="D9" s="11" t="s">
        <v>124</v>
      </c>
      <c r="E9" s="12" t="s">
        <v>281</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282</v>
      </c>
      <c r="D11" s="11" t="s">
        <v>128</v>
      </c>
      <c r="E11" s="12" t="s">
        <v>282</v>
      </c>
    </row>
    <row r="12" customFormat="false" ht="21.75" hidden="false" customHeight="true" outlineLevel="0" collapsed="false">
      <c r="A12" s="11" t="s">
        <v>130</v>
      </c>
      <c r="B12" s="12" t="s">
        <v>48</v>
      </c>
      <c r="D12" s="11" t="s">
        <v>131</v>
      </c>
      <c r="E12" s="12" t="s">
        <v>48</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283</v>
      </c>
      <c r="B1" s="9"/>
      <c r="D1" s="9" t="s">
        <v>284</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50</v>
      </c>
      <c r="D3" s="11" t="s">
        <v>107</v>
      </c>
      <c r="E3" s="12" t="s">
        <v>50</v>
      </c>
    </row>
    <row r="4" customFormat="false" ht="21.75" hidden="false" customHeight="true" outlineLevel="0" collapsed="false">
      <c r="A4" s="11" t="s">
        <v>108</v>
      </c>
      <c r="B4" s="12" t="s">
        <v>51</v>
      </c>
      <c r="D4" s="11" t="s">
        <v>109</v>
      </c>
      <c r="E4" s="12" t="s">
        <v>88</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51.75" hidden="false" customHeight="true" outlineLevel="0" collapsed="false">
      <c r="A8" s="11" t="s">
        <v>118</v>
      </c>
      <c r="B8" s="12" t="s">
        <v>285</v>
      </c>
      <c r="D8" s="11" t="s">
        <v>120</v>
      </c>
      <c r="E8" s="12" t="s">
        <v>286</v>
      </c>
    </row>
    <row r="9" customFormat="false" ht="259.5" hidden="false" customHeight="true" outlineLevel="0" collapsed="false">
      <c r="A9" s="11" t="s">
        <v>122</v>
      </c>
      <c r="B9" s="12" t="s">
        <v>287</v>
      </c>
      <c r="D9" s="11" t="s">
        <v>124</v>
      </c>
      <c r="E9" s="12" t="s">
        <v>288</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289</v>
      </c>
      <c r="D11" s="11" t="s">
        <v>128</v>
      </c>
      <c r="E11" s="12" t="s">
        <v>289</v>
      </c>
    </row>
    <row r="12" customFormat="false" ht="21.75" hidden="false" customHeight="true" outlineLevel="0" collapsed="false">
      <c r="A12" s="11" t="s">
        <v>130</v>
      </c>
      <c r="B12" s="12" t="s">
        <v>50</v>
      </c>
      <c r="D12" s="11" t="s">
        <v>131</v>
      </c>
      <c r="E12" s="12" t="s">
        <v>50</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290</v>
      </c>
      <c r="B1" s="9"/>
      <c r="D1" s="9" t="s">
        <v>291</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52</v>
      </c>
      <c r="D3" s="11" t="s">
        <v>107</v>
      </c>
      <c r="E3" s="12" t="s">
        <v>52</v>
      </c>
    </row>
    <row r="4" customFormat="false" ht="21.75" hidden="false" customHeight="true" outlineLevel="0" collapsed="false">
      <c r="A4" s="11" t="s">
        <v>108</v>
      </c>
      <c r="B4" s="12" t="s">
        <v>51</v>
      </c>
      <c r="D4" s="11" t="s">
        <v>109</v>
      </c>
      <c r="E4" s="12" t="s">
        <v>88</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78" hidden="false" customHeight="true" outlineLevel="0" collapsed="false">
      <c r="A8" s="11" t="s">
        <v>118</v>
      </c>
      <c r="B8" s="12" t="s">
        <v>292</v>
      </c>
      <c r="D8" s="11" t="s">
        <v>120</v>
      </c>
      <c r="E8" s="12" t="s">
        <v>293</v>
      </c>
    </row>
    <row r="9" customFormat="false" ht="207.75" hidden="false" customHeight="true" outlineLevel="0" collapsed="false">
      <c r="A9" s="11" t="s">
        <v>122</v>
      </c>
      <c r="B9" s="12" t="s">
        <v>294</v>
      </c>
      <c r="D9" s="11" t="s">
        <v>124</v>
      </c>
      <c r="E9" s="12" t="s">
        <v>295</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296</v>
      </c>
      <c r="D11" s="11" t="s">
        <v>128</v>
      </c>
      <c r="E11" s="12" t="s">
        <v>296</v>
      </c>
    </row>
    <row r="12" customFormat="false" ht="21.75" hidden="false" customHeight="true" outlineLevel="0" collapsed="false">
      <c r="A12" s="11" t="s">
        <v>130</v>
      </c>
      <c r="B12" s="12" t="s">
        <v>52</v>
      </c>
      <c r="D12" s="11" t="s">
        <v>131</v>
      </c>
      <c r="E12" s="12" t="s">
        <v>52</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297</v>
      </c>
      <c r="B1" s="9"/>
      <c r="D1" s="9" t="s">
        <v>298</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54</v>
      </c>
      <c r="D3" s="11" t="s">
        <v>107</v>
      </c>
      <c r="E3" s="12" t="s">
        <v>54</v>
      </c>
    </row>
    <row r="4" customFormat="false" ht="21.75" hidden="false" customHeight="true" outlineLevel="0" collapsed="false">
      <c r="A4" s="11" t="s">
        <v>108</v>
      </c>
      <c r="B4" s="12" t="s">
        <v>55</v>
      </c>
      <c r="D4" s="11" t="s">
        <v>109</v>
      </c>
      <c r="E4" s="12" t="s">
        <v>89</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45" hidden="false" customHeight="true" outlineLevel="0" collapsed="false">
      <c r="A8" s="11" t="s">
        <v>118</v>
      </c>
      <c r="B8" s="12" t="s">
        <v>299</v>
      </c>
      <c r="D8" s="11" t="s">
        <v>120</v>
      </c>
      <c r="E8" s="12" t="s">
        <v>300</v>
      </c>
    </row>
    <row r="9" customFormat="false" ht="78" hidden="false" customHeight="true" outlineLevel="0" collapsed="false">
      <c r="A9" s="11" t="s">
        <v>122</v>
      </c>
      <c r="B9" s="12" t="s">
        <v>301</v>
      </c>
      <c r="D9" s="11" t="s">
        <v>124</v>
      </c>
      <c r="E9" s="12" t="s">
        <v>302</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303</v>
      </c>
      <c r="D11" s="11" t="s">
        <v>128</v>
      </c>
      <c r="E11" s="12" t="s">
        <v>303</v>
      </c>
    </row>
    <row r="12" customFormat="false" ht="21.75" hidden="false" customHeight="true" outlineLevel="0" collapsed="false">
      <c r="A12" s="11" t="s">
        <v>130</v>
      </c>
      <c r="B12" s="12" t="s">
        <v>54</v>
      </c>
      <c r="D12" s="11" t="s">
        <v>131</v>
      </c>
      <c r="E12" s="12" t="s">
        <v>54</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304</v>
      </c>
      <c r="B1" s="9"/>
      <c r="D1" s="9" t="s">
        <v>305</v>
      </c>
      <c r="E1" s="9"/>
    </row>
    <row r="2" customFormat="false" ht="19.5" hidden="false" customHeight="true" outlineLevel="0" collapsed="false">
      <c r="A2" s="10" t="s">
        <v>104</v>
      </c>
      <c r="B2" s="10"/>
      <c r="D2" s="10" t="s">
        <v>105</v>
      </c>
      <c r="E2" s="10"/>
    </row>
    <row r="3" customFormat="false" ht="21.75" hidden="false" customHeight="true" outlineLevel="0" collapsed="false">
      <c r="A3" s="11" t="s">
        <v>106</v>
      </c>
      <c r="B3" s="12" t="s">
        <v>57</v>
      </c>
      <c r="D3" s="11" t="s">
        <v>107</v>
      </c>
      <c r="E3" s="12" t="s">
        <v>57</v>
      </c>
    </row>
    <row r="4" customFormat="false" ht="21.75" hidden="false" customHeight="true" outlineLevel="0" collapsed="false">
      <c r="A4" s="11" t="s">
        <v>108</v>
      </c>
      <c r="B4" s="12" t="s">
        <v>58</v>
      </c>
      <c r="D4" s="11" t="s">
        <v>109</v>
      </c>
      <c r="E4" s="12" t="s">
        <v>90</v>
      </c>
    </row>
    <row r="5" customFormat="false" ht="21.75" hidden="false" customHeight="true" outlineLevel="0" collapsed="false">
      <c r="A5" s="11" t="s">
        <v>110</v>
      </c>
      <c r="B5" s="12" t="s">
        <v>111</v>
      </c>
      <c r="D5" s="11" t="s">
        <v>112</v>
      </c>
      <c r="E5" s="12" t="s">
        <v>113</v>
      </c>
    </row>
    <row r="6" customFormat="false" ht="21.75" hidden="false" customHeight="true" outlineLevel="0" collapsed="false">
      <c r="A6" s="11" t="s">
        <v>114</v>
      </c>
      <c r="B6" s="12"/>
      <c r="D6" s="11" t="s">
        <v>115</v>
      </c>
      <c r="E6" s="12"/>
    </row>
    <row r="7" customFormat="false" ht="21.75" hidden="false" customHeight="true" outlineLevel="0" collapsed="false">
      <c r="A7" s="11" t="s">
        <v>116</v>
      </c>
      <c r="B7" s="12"/>
      <c r="D7" s="11" t="s">
        <v>117</v>
      </c>
      <c r="E7" s="12"/>
    </row>
    <row r="8" customFormat="false" ht="142.5" hidden="false" customHeight="true" outlineLevel="0" collapsed="false">
      <c r="A8" s="11" t="s">
        <v>118</v>
      </c>
      <c r="B8" s="12" t="s">
        <v>306</v>
      </c>
      <c r="D8" s="11" t="s">
        <v>120</v>
      </c>
      <c r="E8" s="12" t="s">
        <v>307</v>
      </c>
    </row>
    <row r="9" customFormat="false" ht="90.75" hidden="false" customHeight="true" outlineLevel="0" collapsed="false">
      <c r="A9" s="11" t="s">
        <v>122</v>
      </c>
      <c r="B9" s="12" t="s">
        <v>308</v>
      </c>
      <c r="D9" s="11" t="s">
        <v>124</v>
      </c>
      <c r="E9" s="12" t="s">
        <v>309</v>
      </c>
    </row>
    <row r="10" customFormat="false" ht="19.5" hidden="false" customHeight="true" outlineLevel="0" collapsed="false">
      <c r="A10" s="10" t="s">
        <v>126</v>
      </c>
      <c r="B10" s="10"/>
      <c r="D10" s="10" t="s">
        <v>127</v>
      </c>
      <c r="E10" s="10"/>
    </row>
    <row r="11" customFormat="false" ht="21.75" hidden="false" customHeight="true" outlineLevel="0" collapsed="false">
      <c r="A11" s="11" t="s">
        <v>128</v>
      </c>
      <c r="B11" s="12" t="s">
        <v>310</v>
      </c>
      <c r="D11" s="11" t="s">
        <v>128</v>
      </c>
      <c r="E11" s="12" t="s">
        <v>310</v>
      </c>
    </row>
    <row r="12" customFormat="false" ht="21.75" hidden="false" customHeight="true" outlineLevel="0" collapsed="false">
      <c r="A12" s="11" t="s">
        <v>130</v>
      </c>
      <c r="B12" s="12" t="s">
        <v>57</v>
      </c>
      <c r="D12" s="11" t="s">
        <v>131</v>
      </c>
      <c r="E12" s="12" t="s">
        <v>57</v>
      </c>
    </row>
    <row r="13" customFormat="false" ht="21.75" hidden="false" customHeight="true" outlineLevel="0" collapsed="false">
      <c r="A13" s="11" t="s">
        <v>132</v>
      </c>
      <c r="B13" s="12"/>
      <c r="D13" s="11" t="s">
        <v>133</v>
      </c>
      <c r="E13" s="12"/>
    </row>
    <row r="14" customFormat="false" ht="54.75" hidden="false" customHeight="true" outlineLevel="0" collapsed="false">
      <c r="A14" s="11" t="s">
        <v>134</v>
      </c>
      <c r="B14" s="12"/>
      <c r="D14" s="11" t="s">
        <v>135</v>
      </c>
      <c r="E14" s="12"/>
    </row>
    <row r="15" customFormat="false" ht="54.75" hidden="false" customHeight="true" outlineLevel="0" collapsed="false">
      <c r="A15" s="11" t="s">
        <v>136</v>
      </c>
      <c r="B15" s="12"/>
      <c r="D15" s="11" t="s">
        <v>137</v>
      </c>
      <c r="E15" s="12"/>
    </row>
    <row r="16" customFormat="false" ht="54.75" hidden="false" customHeight="true" outlineLevel="0" collapsed="false">
      <c r="A16" s="11" t="s">
        <v>63</v>
      </c>
      <c r="B16" s="12"/>
      <c r="D16" s="11" t="s">
        <v>95</v>
      </c>
      <c r="E16" s="12"/>
    </row>
    <row r="17" customFormat="false" ht="24.75" hidden="false" customHeight="true" outlineLevel="0" collapsed="false">
      <c r="A17" s="11" t="s">
        <v>138</v>
      </c>
      <c r="B17" s="12"/>
      <c r="D17" s="11" t="s">
        <v>139</v>
      </c>
      <c r="E17" s="12"/>
    </row>
    <row r="18" customFormat="false" ht="24.75" hidden="false" customHeight="true" outlineLevel="0" collapsed="false">
      <c r="A18" s="11" t="s">
        <v>140</v>
      </c>
      <c r="B18" s="12"/>
      <c r="D18" s="11" t="s">
        <v>141</v>
      </c>
      <c r="E18" s="12"/>
    </row>
    <row r="19" customFormat="false" ht="24.75" hidden="false" customHeight="true" outlineLevel="0" collapsed="false">
      <c r="A19" s="11" t="s">
        <v>142</v>
      </c>
      <c r="B19" s="12"/>
      <c r="D19" s="11" t="s">
        <v>143</v>
      </c>
      <c r="E19" s="12"/>
    </row>
    <row r="20" customFormat="false" ht="21.75" hidden="false" customHeight="true" outlineLevel="0" collapsed="false">
      <c r="A20" s="11" t="s">
        <v>5</v>
      </c>
      <c r="B20" s="12" t="s">
        <v>61</v>
      </c>
      <c r="D20" s="11" t="s">
        <v>75</v>
      </c>
      <c r="E20" s="12" t="s">
        <v>144</v>
      </c>
    </row>
    <row r="21" customFormat="false" ht="54.75" hidden="false" customHeight="true" outlineLevel="0" collapsed="false">
      <c r="A21" s="11" t="s">
        <v>145</v>
      </c>
      <c r="B21" s="12"/>
      <c r="D21" s="11" t="s">
        <v>146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2026-05-29T18:33:52Z</dcterms:created>
  <dc:creator>openpyxl</dc:creator>
  <dc:description/>
  <dc:language>en-US</dc:language>
  <cp:lastModifiedBy/>
  <dcterms:modified xsi:type="dcterms:W3CDTF">2026-05-29T18:33:53Z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