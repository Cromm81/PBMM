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C-6" sheetId="3" state="visible" r:id="rId5"/>
    <sheet name="AC-6-1" sheetId="4" state="visible" r:id="rId6"/>
    <sheet name="AC-17-3" sheetId="5" state="visible" r:id="rId7"/>
    <sheet name="AU-2" sheetId="6" state="visible" r:id="rId8"/>
    <sheet name="AU-3" sheetId="7" state="visible" r:id="rId9"/>
    <sheet name="AU-3-1" sheetId="8" state="visible" r:id="rId10"/>
    <sheet name="AU-9-2" sheetId="9" state="visible" r:id="rId11"/>
    <sheet name="AU-12" sheetId="10" state="visible" r:id="rId12"/>
    <sheet name="CA-3-5" sheetId="11" state="visible" r:id="rId13"/>
    <sheet name="CA-9" sheetId="12" state="visible" r:id="rId14"/>
    <sheet name="CM-2-3" sheetId="13" state="visible" r:id="rId15"/>
    <sheet name="CM-5-6" sheetId="14" state="visible" r:id="rId16"/>
    <sheet name="CM-6" sheetId="15" state="visible" r:id="rId17"/>
    <sheet name="CM-7" sheetId="16" state="visible" r:id="rId18"/>
    <sheet name="CM-7-1" sheetId="17" state="visible" r:id="rId19"/>
    <sheet name="CM-7-5" sheetId="18" state="visible" r:id="rId20"/>
    <sheet name="CM-11" sheetId="19" state="visible" r:id="rId21"/>
    <sheet name="CP-6" sheetId="20" state="visible" r:id="rId22"/>
    <sheet name="CP-6-2" sheetId="21" state="visible" r:id="rId23"/>
    <sheet name="CP-7" sheetId="22" state="visible" r:id="rId24"/>
    <sheet name="CP-7-4" sheetId="23" state="visible" r:id="rId25"/>
    <sheet name="CP-9" sheetId="24" state="visible" r:id="rId26"/>
    <sheet name="CP-9-1" sheetId="25" state="visible" r:id="rId27"/>
    <sheet name="CP-9-2" sheetId="26" state="visible" r:id="rId28"/>
    <sheet name="CP-9-5" sheetId="27" state="visible" r:id="rId29"/>
    <sheet name="CP-10" sheetId="28" state="visible" r:id="rId30"/>
    <sheet name="CP-10-4" sheetId="29" state="visible" r:id="rId31"/>
    <sheet name="IA-5-7" sheetId="30" state="visible" r:id="rId32"/>
    <sheet name="SA-9-5" sheetId="31" state="visible" r:id="rId33"/>
    <sheet name="SC-4" sheetId="32" state="visible" r:id="rId34"/>
    <sheet name="SC-8" sheetId="33" state="visible" r:id="rId35"/>
    <sheet name="SC-8-1" sheetId="34" state="visible" r:id="rId36"/>
    <sheet name="SC-10" sheetId="35" state="visible" r:id="rId37"/>
    <sheet name="SC-13" sheetId="36" state="visible" r:id="rId38"/>
    <sheet name="SC-18" sheetId="37" state="visible" r:id="rId39"/>
    <sheet name="SC-18-3" sheetId="38" state="visible" r:id="rId40"/>
    <sheet name="SC-18-4" sheetId="39" state="visible" r:id="rId41"/>
    <sheet name="SC-23" sheetId="40" state="visible" r:id="rId42"/>
    <sheet name="SC-28" sheetId="41" state="visible" r:id="rId43"/>
    <sheet name="SC-28-1" sheetId="42" state="visible" r:id="rId44"/>
    <sheet name="SC-39" sheetId="43" state="visible" r:id="rId45"/>
    <sheet name="SI-4-2" sheetId="44" state="visible" r:id="rId46"/>
    <sheet name="SI-4-23" sheetId="45" state="visible" r:id="rId47"/>
    <sheet name="SI-6" sheetId="46" state="visible" r:id="rId48"/>
    <sheet name="SI-7" sheetId="47" state="visible" r:id="rId49"/>
    <sheet name="SI-7-1" sheetId="48" state="visible" r:id="rId5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<sst xmlns="http://schemas.openxmlformats.org/spreadsheetml/2006/main" count="2974" uniqueCount="518">
  <si>
    <t xml:space="preserve">DASHBOARD — PBMM Evidence: Containers</t>
  </si>
  <si>
    <t xml:space="preserve">Control ID</t>
  </si>
  <si>
    <t xml:space="preserve">Control Name</t>
  </si>
  <si>
    <t xml:space="preserve">Primary Tool</t>
  </si>
  <si>
    <t xml:space="preserve">Tab</t>
  </si>
  <si>
    <t xml:space="preserve">Status</t>
  </si>
  <si>
    <t xml:space="preserve">AC-6</t>
  </si>
  <si>
    <t xml:space="preserve">Least Privilege</t>
  </si>
  <si>
    <t xml:space="preserve">AC-6(1)</t>
  </si>
  <si>
    <t xml:space="preserve">AC-6-1</t>
  </si>
  <si>
    <t xml:space="preserve">AC-17(3)</t>
  </si>
  <si>
    <t xml:space="preserve">Remote Access</t>
  </si>
  <si>
    <t xml:space="preserve">AC-17-3</t>
  </si>
  <si>
    <t xml:space="preserve">AU-2</t>
  </si>
  <si>
    <t xml:space="preserve">Auditable Events</t>
  </si>
  <si>
    <t xml:space="preserve">AU-3</t>
  </si>
  <si>
    <t xml:space="preserve">Content of Audit Records</t>
  </si>
  <si>
    <t xml:space="preserve">AU-3(1)</t>
  </si>
  <si>
    <t xml:space="preserve">AU-3-1</t>
  </si>
  <si>
    <t xml:space="preserve">AU-9(2)</t>
  </si>
  <si>
    <t xml:space="preserve">Protection of Audit Information</t>
  </si>
  <si>
    <t xml:space="preserve">AU-9-2</t>
  </si>
  <si>
    <t xml:space="preserve">AU-12</t>
  </si>
  <si>
    <t xml:space="preserve">Audit Generation</t>
  </si>
  <si>
    <t xml:space="preserve">CA-3(5)</t>
  </si>
  <si>
    <t xml:space="preserve">Information System Connections</t>
  </si>
  <si>
    <t xml:space="preserve">CA-3-5</t>
  </si>
  <si>
    <t xml:space="preserve">CA-9</t>
  </si>
  <si>
    <t xml:space="preserve">Internal System Connections</t>
  </si>
  <si>
    <t xml:space="preserve">CM-2(3)</t>
  </si>
  <si>
    <t xml:space="preserve">Baseline Configuration</t>
  </si>
  <si>
    <t xml:space="preserve">CM-2-3</t>
  </si>
  <si>
    <t xml:space="preserve">CM-5(6)</t>
  </si>
  <si>
    <t xml:space="preserve">Access Restrictions for Change</t>
  </si>
  <si>
    <t xml:space="preserve">CM-5-6</t>
  </si>
  <si>
    <t xml:space="preserve">CM-6</t>
  </si>
  <si>
    <t xml:space="preserve">Configuration Settings</t>
  </si>
  <si>
    <t xml:space="preserve">CM-7</t>
  </si>
  <si>
    <t xml:space="preserve">Least Functionality</t>
  </si>
  <si>
    <t xml:space="preserve">CM-7(1)</t>
  </si>
  <si>
    <t xml:space="preserve">CM-7-1</t>
  </si>
  <si>
    <t xml:space="preserve">CM-7(5)</t>
  </si>
  <si>
    <t xml:space="preserve">CM-7-5</t>
  </si>
  <si>
    <t xml:space="preserve">CM-11</t>
  </si>
  <si>
    <t xml:space="preserve">User Installed Software</t>
  </si>
  <si>
    <t xml:space="preserve">CP-6</t>
  </si>
  <si>
    <t xml:space="preserve">Alternate Storage Site</t>
  </si>
  <si>
    <t xml:space="preserve">CP-6(2)</t>
  </si>
  <si>
    <t xml:space="preserve">CP-6-2</t>
  </si>
  <si>
    <t xml:space="preserve">CP-7</t>
  </si>
  <si>
    <t xml:space="preserve">Alternate Processing Site</t>
  </si>
  <si>
    <t xml:space="preserve">CP-7(4)</t>
  </si>
  <si>
    <t xml:space="preserve">CP-7-4</t>
  </si>
  <si>
    <t xml:space="preserve">CP-9</t>
  </si>
  <si>
    <t xml:space="preserve">Information System Backup</t>
  </si>
  <si>
    <t xml:space="preserve">CP-9(1)</t>
  </si>
  <si>
    <t xml:space="preserve">CP-9-1</t>
  </si>
  <si>
    <t xml:space="preserve">CP-9(2)</t>
  </si>
  <si>
    <t xml:space="preserve">CP-9-2</t>
  </si>
  <si>
    <t xml:space="preserve">CP-9(5)</t>
  </si>
  <si>
    <t xml:space="preserve">CP-9-5</t>
  </si>
  <si>
    <t xml:space="preserve">CP-10</t>
  </si>
  <si>
    <t xml:space="preserve">Information System Recovery and Reconstitution</t>
  </si>
  <si>
    <t xml:space="preserve">CP-10(4)</t>
  </si>
  <si>
    <t xml:space="preserve">CP-10-4</t>
  </si>
  <si>
    <t xml:space="preserve">IA-5(7)</t>
  </si>
  <si>
    <t xml:space="preserve">Authenticator Management</t>
  </si>
  <si>
    <t xml:space="preserve">IA-5-7</t>
  </si>
  <si>
    <t xml:space="preserve">SA-9(5)</t>
  </si>
  <si>
    <t xml:space="preserve">External Information System Services</t>
  </si>
  <si>
    <t xml:space="preserve">SA-9-5</t>
  </si>
  <si>
    <t xml:space="preserve">SC-4</t>
  </si>
  <si>
    <t xml:space="preserve">Information in Shared Resources</t>
  </si>
  <si>
    <t xml:space="preserve">SC-8</t>
  </si>
  <si>
    <t xml:space="preserve">Transmission Confidentiality and Integrity</t>
  </si>
  <si>
    <t xml:space="preserve">SC-8(1)</t>
  </si>
  <si>
    <t xml:space="preserve">SC-8-1</t>
  </si>
  <si>
    <t xml:space="preserve">SC-10</t>
  </si>
  <si>
    <t xml:space="preserve">Network Disconnect</t>
  </si>
  <si>
    <t xml:space="preserve">SC-13</t>
  </si>
  <si>
    <t xml:space="preserve">Cryptographic Protection</t>
  </si>
  <si>
    <t xml:space="preserve">SC-18</t>
  </si>
  <si>
    <t xml:space="preserve">Mobile Code</t>
  </si>
  <si>
    <t xml:space="preserve">SC-18(3)</t>
  </si>
  <si>
    <t xml:space="preserve">SC-18-3</t>
  </si>
  <si>
    <t xml:space="preserve">SC-18(4)</t>
  </si>
  <si>
    <t xml:space="preserve">SC-18-4</t>
  </si>
  <si>
    <t xml:space="preserve">SC-23</t>
  </si>
  <si>
    <t xml:space="preserve">Session Authenticity</t>
  </si>
  <si>
    <t xml:space="preserve">SC-28</t>
  </si>
  <si>
    <t xml:space="preserve">Protection of Information At Rest</t>
  </si>
  <si>
    <t xml:space="preserve">SC-28(1)</t>
  </si>
  <si>
    <t xml:space="preserve">SC-28-1</t>
  </si>
  <si>
    <t xml:space="preserve">SC-39</t>
  </si>
  <si>
    <t xml:space="preserve">Process Isolation</t>
  </si>
  <si>
    <t xml:space="preserve">SI-4(2)</t>
  </si>
  <si>
    <t xml:space="preserve">Information System Monitoring</t>
  </si>
  <si>
    <t xml:space="preserve">SI-4-2</t>
  </si>
  <si>
    <t xml:space="preserve">SI-4(23)</t>
  </si>
  <si>
    <t xml:space="preserve">SI-4-23</t>
  </si>
  <si>
    <t xml:space="preserve">SI-6</t>
  </si>
  <si>
    <t xml:space="preserve">Security Functional Verification</t>
  </si>
  <si>
    <t xml:space="preserve">SI-7</t>
  </si>
  <si>
    <t xml:space="preserve">Software, Firmware, and Information Integrity</t>
  </si>
  <si>
    <t xml:space="preserve">SI-7(1)</t>
  </si>
  <si>
    <t xml:space="preserve">SI-7-1</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</si>
  <si>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</si>
  <si>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</si>
  <si>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</si>
  <si>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</si>
  <si>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</si>
  <si>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</si>
  <si>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</si>
  <si>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</si>
  <si>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</si>
  <si>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</si>
  <si>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</si>
  <si>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Containers</t>
  </si>
  <si>
    <t xml:space="preserve">ID Contrôle</t>
  </si>
  <si>
    <t xml:space="preserve">Nom du contrôle</t>
  </si>
  <si>
    <t xml:space="preserve">Outil principal</t>
  </si>
  <si>
    <t xml:space="preserve">Onglet</t>
  </si>
  <si>
    <t xml:space="preserve">Statut</t>
  </si>
  <si>
    <t xml:space="preserve">Moindre privilège</t>
  </si>
  <si>
    <t xml:space="preserve">Accès à distance</t>
  </si>
  <si>
    <t xml:space="preserve">Événements vérifiables</t>
  </si>
  <si>
    <t xml:space="preserve">Contenu des enregistrements de vérification</t>
  </si>
  <si>
    <t xml:space="preserve">Protection des renseignements de vérification</t>
  </si>
  <si>
    <t xml:space="preserve">Génération des vérifications</t>
  </si>
  <si>
    <t xml:space="preserve">Connexions aux systèmes d’information</t>
  </si>
  <si>
    <t xml:space="preserve">Connexions internes au système</t>
  </si>
  <si>
    <t xml:space="preserve">Configuration de base</t>
  </si>
  <si>
    <t xml:space="preserve">Restrictions d’accès pour les changements</t>
  </si>
  <si>
    <t xml:space="preserve">Paramètres de configuration</t>
  </si>
  <si>
    <t xml:space="preserve">Moindre fonctionnalité</t>
  </si>
  <si>
    <t xml:space="preserve">Logiciel installé par l’utilisateur</t>
  </si>
  <si>
    <t xml:space="preserve">Site de stockage auxiliaire</t>
  </si>
  <si>
    <t xml:space="preserve">Site de traitement auxiliaire</t>
  </si>
  <si>
    <t xml:space="preserve">Sauvegarde du système d’information</t>
  </si>
  <si>
    <t xml:space="preserve">Reprise et reconstitution du système d’information</t>
  </si>
  <si>
    <t xml:space="preserve">Gestion des authentifiants</t>
  </si>
  <si>
    <t xml:space="preserve">Services de systèmes d’information externes</t>
  </si>
  <si>
    <t xml:space="preserve">Information dans les ressources partagées</t>
  </si>
  <si>
    <t xml:space="preserve">Confidentialité et intégrité des transmissions</t>
  </si>
  <si>
    <t xml:space="preserve">Débranchement du réseau</t>
  </si>
  <si>
    <t xml:space="preserve">Protection cryptographique</t>
  </si>
  <si>
    <t xml:space="preserve">Code mobile</t>
  </si>
  <si>
    <t xml:space="preserve">Authenticité des sessions</t>
  </si>
  <si>
    <t xml:space="preserve">Protection de l’information inactive</t>
  </si>
  <si>
    <t xml:space="preserve">Isolement des processus</t>
  </si>
  <si>
    <t xml:space="preserve">Surveillance du système d’information</t>
  </si>
  <si>
    <t xml:space="preserve">Vérification fonctionnelle de la sécurité</t>
  </si>
  <si>
    <t xml:space="preserve">Logiciels, micrologiciels et intégrité de l’information</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</si>
  <si>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</si>
  <si>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</si>
  <si>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</si>
  <si>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</si>
  <si>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</si>
  <si>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</si>
  <si>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</si>
  <si>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</si>
  <si>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</si>
  <si>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</si>
  <si>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</si>
  <si>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AC-6 — Evidence Tracking</t>
  </si>
  <si>
    <t xml:space="preserve">Contrôle AC-6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</si>
  <si>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</si>
  <si>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</si>
  <si>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</si>
  <si>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</si>
  <si>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</si>
  <si>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</si>
  <si>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</si>
  <si>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</si>
  <si>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</si>
  <si>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</si>
  <si>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</si>
  <si>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</si>
  <si>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</si>
  <si>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</si>
  <si>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</si>
  <si>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
The organization employs the principle of least privilege, allowing only authorized accesses for users (or processes acting on behalf of users) which are necessary to accomplish assigned tasks in accordance with organizational missions and business functions.</t>
  </si>
  <si>
    <t xml:space="preserve">Description du contrôle</t>
  </si>
  <si>
    <t xml:space="preserve">(A) L’organisation utilise le principe du moindre privilège, qui permet seulement les accès autorisés aux utilisateurs (ou aux processus qui agissent pour le compte des utilisateurs) qui sont nécessaires pour accomplir les tâches assignées conformément aux missions et aux fonctions opérationnelles de l’organisation.</t>
  </si>
  <si>
    <t xml:space="preserve">Supplemental Guidance</t>
  </si>
  <si>
    <t xml:space="preserve">Organizations employ least privilege for specific duties and information systems. The principle of least privilege is also applied to information system processes, ensuring that the processes operate at privilege levels no higher than necessary to accomplish required organizational missions/business functions. Organizations consider the creation of additional processes, roles, and information system accounts as necessary, to achieve least privilege. Organizations also apply least privilege to the development, implementation, and operation of organizational information systems. Related controls: AC-2, AC-3, AC-5, CM-6, CM-7, PL-2</t>
  </si>
  <si>
    <t xml:space="preserve">Directives supplémentaires</t>
  </si>
  <si>
    <t xml:space="preserve">Les organisations utilisent le moindre privilège pour certaines tâches et certains systèmes d’information. Le principe du moindre privilège s’applique également aux processus du système d’information, ce qui fait en sorte que les processus ne fonctionnent pas à des niveaux de privilège plus élevés que nécessaire pour accomplir les missions et les fonctions opérationnelles requises de l’organisation. Les organisations envisagent la création de processus, de rôles et de comptes de système d’information supplémentaires lorsque nécessaire, pour obtenir le moindre privilège. Les organisations appliquent également le moindre privilège au développement, à la mise en œuvre et à l’exploitation de leurs systèmes d’information. Contrôles connexes : AC-2, AC-3, AC-5, CM-6, CM-7, PL-2</t>
  </si>
  <si>
    <t xml:space="preserve">Test Case</t>
  </si>
  <si>
    <t xml:space="preserve">Cas de test</t>
  </si>
  <si>
    <t xml:space="preserve">Test</t>
  </si>
  <si>
    <t xml:space="preserve">TEST-AC-6</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</si>
  <si>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</si>
  <si>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</si>
  <si>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</si>
  <si>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</si>
  <si>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</si>
  <si>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</si>
  <si>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</si>
  <si>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</si>
  <si>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</si>
  <si>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</si>
  <si>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</si>
  <si>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</si>
  <si>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</si>
  <si>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</si>
  <si>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</si>
  <si>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</si>
  <si>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</si>
  <si>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AC-6(1) — Evidence Tracking</t>
  </si>
  <si>
    <t xml:space="preserve">Contrôle AC-6(1) — Suivi des preuves</t>
  </si>
  <si>
    <t xml:space="preserve">LEAST PRIVILEGE | AUTHORIZE ACCESS TO SECURITY FUNCTIONS
The organization explicitly authorizes access to all security functions not publicly accessible and all security-relevant information not publicly available.</t>
  </si>
  <si>
    <t xml:space="preserve">MOINDRE PRIVILÈGE | AUTORISATION D’ACCÈS AUX FONCTIONS DE SÉCURITÉ
L’organisation autorise explicitement l’accès à toutes les fonctions de sécurité qui ne sont pas accessibles au public et à toute l’information pertinente à la sécurité qui n’est pas accessible au public.</t>
  </si>
  <si>
    <t xml:space="preserve">Security functions include, for example, establishing system accounts, configuring access authorizations (i.e., permissions, privileges), setting events to be audited, and setting intrusion detection parameters. Security-relevant information includes, for example, filtering rules for routers/firewalls, cryptographic key management information, configuration parameters for security services, and access control lists. Explicitly authorized personnel include, for example, security administrators, system and network administrators, system security officers, system maintenance personnel, system programmers, and other privileged users. Related controls: AC-17, AC-18, AC-19.</t>
  </si>
  <si>
    <t xml:space="preserve">Les fonctions de sécurité comprennent, par exemple, l’établissement des comptes système, la configuration des autorisations d’accès (c.-à-d. les permissions, les privilèges), le réglage des événements à vérifier, et l’établissement des paramètres de détection des intrusions. Les renseignements pertinents pour la sécurité comprennent, par exemple, les règles de filtrage pour les routeurs/pare-feu, l’information de gestion des clés cryptographiques, les paramètres de configuration pour les services de sécurité et les listes de contrôle d’accès. Le personnel explicitement autorisé comprend, par exemple, les administrateurs de la sécurité, les administrateurs de systèmes et de réseaux, les agents de sécurité des systèmes, le personnel de maintenance des systèmes, les programmeurs de systèmes et d’autres utilisateurs privilégiés. Contrôles connexes : AC-17, AC-18, AC-19.</t>
  </si>
  <si>
    <t xml:space="preserve">TEST-AC-6(1)</t>
  </si>
  <si>
    <t xml:space="preserve">Control AC-17(3) — Evidence Tracking</t>
  </si>
  <si>
    <t xml:space="preserve">Contrôle AC-17(3) — Suivi des preuves</t>
  </si>
  <si>
    <t xml:space="preserve">REMOTE ACCESS | MANAGED ACCESS CONTROL POINTS
The information system routes all remote accesses through approved managed network access control points.</t>
  </si>
  <si>
    <t xml:space="preserve">ACCÈS À DISTANCE | POINTS DE CONTRÔLE D’ACCÈS GÉRÉS
Le système d’information achemine tous les accès à distance au moyen de points de contrôle d’accès au réseau gérés et approuvés.</t>
  </si>
  <si>
    <t xml:space="preserve">Limiting the number of access control points for remote accesses reduces the attack surface for organizations.  Related control: SC-7.</t>
  </si>
  <si>
    <t xml:space="preserve">Une limitation du nombre de points de contrôle d’accès à distance réduit la surface d’attaque pour les organisations.  Contrôle connexe : SC-7.</t>
  </si>
  <si>
    <t xml:space="preserve">TEST-AC-17(3)</t>
  </si>
  <si>
    <t xml:space="preserve">Control AU-2 — Evidence Tracking</t>
  </si>
  <si>
    <t xml:space="preserve">Contrôle AU-2 — Suivi des preuves</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</si>
  <si>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</si>
  <si>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</si>
  <si>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</si>
  <si>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</si>
  <si>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TEST-AU-2</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</si>
  <si>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</si>
  <si>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</si>
  <si>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</si>
  <si>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</si>
  <si>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</si>
  <si>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</si>
  <si>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</si>
  <si>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</si>
  <si>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</si>
  <si>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</si>
  <si>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</si>
  <si>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</si>
  <si>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</si>
  <si>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</si>
  <si>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</si>
  <si>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</si>
  <si>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</si>
  <si>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</si>
  <si>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</si>
  <si>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</si>
  <si>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</si>
  <si>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</si>
  <si>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</si>
  <si>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</si>
  <si>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</si>
  <si>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</si>
  <si>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</si>
  <si>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</si>
  <si>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CA-3(5) — Evidence Tracking</t>
  </si>
  <si>
    <t xml:space="preserve">Contrôle CA-3(5) — Suivi des preuves</t>
  </si>
  <si>
    <t xml:space="preserve">SYSTEM INTERCONNECTIONS | RESTRICTIONS ON EXTERNAL SYSTEM CONNECTIONS
The organization employs allow-all, deny-by-exception; deny-all policy for allowing any systems to connect to external information systems.</t>
  </si>
  <si>
    <t xml:space="preserve">INTERCONNEXIONS DES SYSTÈMES | RESTRICTIONS SUR LES CONNEXIONS AUX RÉSEAUX EXTERNES
L’organisation a recours à la méthode « permettre tout, refuser par exception, refuser tout » pour permettre aux systèmes de se connecter à des systèmes d’information externes.</t>
  </si>
  <si>
    <t xml:space="preserve">Organizations can constrain information system connectivity to external domains (e.g., websites) by employing one of two policies with regard to such connectivity: (i) allow-all, deny by exception, also known as blacklisting (the weaker of the two policies); or (ii) deny-all, allow by exception, also known as whitelisting (the stronger of the two policies). For either policy, organizations determine what exceptions, if any, are acceptable. Related control: CM-7.</t>
  </si>
  <si>
    <t xml:space="preserve">Les organisations peuvent limiter la connectivité des systèmes d’information à des domaines externes (p. ex., sites Web) en utilisant l’une des deux politiques relatives à cette connectivité : (i) permettre tout, refuser par exception, aussi appelée liste noire (la plus faible des deux politiques); ou (ii) refuser tout, permettre par exception, aussi appelée liste blanche (la plus forte des deux politiques). Pour l’une ou l’autre politique, les organisations déterminent les exceptions applicables, le cas échéant. Contrôle connexe : CM-7.</t>
  </si>
  <si>
    <t xml:space="preserve">TEST-CA-3(5)</t>
  </si>
  <si>
    <t xml:space="preserve">Control CA-9 — Evidence Tracking</t>
  </si>
  <si>
    <t xml:space="preserve">Contrôle CA-9 — Suivi des preuves</t>
  </si>
  <si>
    <t xml:space="preserve">(A)
The organization authorizes internal connections of information system components or classes of components to the information system.
(B)
The organization documents, for each internal connection, the interface characteristics, security requirements, and the nature of the information communicated.</t>
  </si>
  <si>
    <t xml:space="preserve">(A) L’organisation autorise les connexions internes de composants du système d’information ou de catégories de composants au système d’information.
(B) L’organisation documente, pour chaque connexion interne, les caractéristiques de l’interface, les exigences de sécurité et la nature de l’information communiquée.</t>
  </si>
  <si>
    <t xml:space="preserve">This control applies to connections between organizational information systems and (separate) constituent system components (i.e., intra-system connections) including, for example, system connections with mobile devices, notebook/desktop computers, printers, copiers, facsimile machines, scanners, sensors, and servers. Instead of authorizing each individual internal connection, organizations can authorize internal connections for a class of components with common characteristics and/or configurations, for example, all digital printers, scanners, and copiers with a specified processing, storage, and transmission capability or all smart phones with a specific baseline configuration. Related controls: AC-3, AC-4, AC-18, AC-19, AU-2, AU-12, CA-7, CM-2, IA-3, SC-7, SI-4</t>
  </si>
  <si>
    <t xml:space="preserve">Ce contrôle s’applique aux connexions entre les systèmes d’information organisationnels et les composants (distincts) des systèmes constituants (c.-à-d. les connexions intrasystème) y compris, par exemple, les connexions système avec les appareils mobiles, les ordinateurs portatifs/de bureau, les imprimantes, les photocopieurs, les télécopieurs, les numériseurs, les capteurs et les serveurs. Au lieu d’autoriser chaque connexion interne individuelle, les organisations peuvent autoriser les connexions internes pour une catégorie de composants ayant des caractéristiques ou des configurations communes, par exemple, toutes les imprimantes et tous les numériseurs et photocopieurs numériques ayant une capacité de traitement, de stockage et de transmission spécifiée ou tous les téléphones intelligents ayant une configuration de base spécifique. Contrôles connexes : AC-3, AC-4, AC-18, AC-19, AU-2, AU-12, CA-7, CM-2, IA-3, SC-7, SI-4</t>
  </si>
  <si>
    <t xml:space="preserve">TEST-CA-9</t>
  </si>
  <si>
    <t xml:space="preserve">Control CM-2(3) — Evidence Tracking</t>
  </si>
  <si>
    <t xml:space="preserve">Contrôle CM-2(3) — Suivi des preuves</t>
  </si>
  <si>
    <t xml:space="preserve">BASELINE CONFIGURATION | RETENTION OF PREVIOUS CONFIGURATIONS
The organization retains the two most recent precious versions of baseline configurations of the information system to support rollback.</t>
  </si>
  <si>
    <t xml:space="preserve">CONFIGURATION DE BASE | CONSERVATION DES CONFIGURATIONS PRÉCÉDENTES
L’organisation conserve les deux versions utiles les plus récentes des configurations de base du système d’information pour la prise en charge des reprises.</t>
  </si>
  <si>
    <t xml:space="preserve">Retaining previous versions of baseline configurations to support rollback may include, for example, hardware, software, firmware, configuration files, and configuration records.</t>
  </si>
  <si>
    <t xml:space="preserve">La conservation des versions antérieures des configurations de base pour la prise en charge des reprises peut comprendre, par exemple, le matériel, les logiciels, les micrologiciels, les fichiers de configuration et les enregistrements de configuration.</t>
  </si>
  <si>
    <t xml:space="preserve">TEST-CM-2(3)</t>
  </si>
  <si>
    <t xml:space="preserve">Control CM-5(6) — Evidence Tracking</t>
  </si>
  <si>
    <t xml:space="preserve">Contrôle CM-5(6) — Suivi des preuves</t>
  </si>
  <si>
    <t xml:space="preserve">ACCESS RESTRICTIONS FOR CHANGE | LIMIT LIBRARY PRIVILEGES
The organization limits privileges to change software resident within software libraries.</t>
  </si>
  <si>
    <t xml:space="preserve">RESTRICTIONS D’ACCÈS POUR LES CHANGEMENTS | LIMITER LES PRIVILÈGES RELATIFS AUX BIBLIOTHÈQUES
L’organisation limite les privilèges relatifs aux modifications du logiciel résidant dans les bibliothèques de logiciels.</t>
  </si>
  <si>
    <t xml:space="preserve">Software libraries include privileged programs. Related control: AC-2.</t>
  </si>
  <si>
    <t xml:space="preserve">Les bibliothèques de logiciels comprennent des programmes privilégiés. Contrôle connexe : AC-2.</t>
  </si>
  <si>
    <t xml:space="preserve">TEST-CM-5(6)</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</si>
  <si>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</si>
  <si>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</si>
  <si>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</si>
  <si>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</si>
  <si>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</si>
  <si>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</si>
  <si>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</si>
  <si>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</si>
  <si>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</si>
  <si>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</si>
  <si>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</si>
  <si>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</si>
  <si>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</si>
  <si>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</si>
  <si>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</si>
  <si>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</si>
  <si>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</si>
  <si>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</si>
  <si>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</si>
  <si>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</si>
  <si>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</si>
  <si>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CM-7(5) — Evidence Tracking</t>
  </si>
  <si>
    <t xml:space="preserve">Contrôle CM-7(5) — Suivi des preuves</t>
  </si>
  <si>
    <t xml:space="preserve">LEAST FUNCTIONALITY | AUTHORIZED SOFTWARE / WHITELISTING
(a)
The organization identifies authorized software programs in baseline configuration and information system component inventory;
(b)
The organization employs a deny-all, permit-by-exception policy to allow the execution of authorized software programs on the information system; and
(c)
The organization reviews and updates the list of authorized software programs at least annually or when there is a change.</t>
  </si>
  <si>
    <t xml:space="preserve">MOINDRE FONCTIONNALITÉ | LOGICIELS AUTORISÉS/LISTES BLANCHES
(a) L’organisation détermine les programmes logiciels autorisés dans la configuration de base et l’inventaire des composants du système d’information;
(b) L’organisation a recours à une politique « refuser tout, autoriser par exception » pour permettre l’exécution de programmes logiciels autorisés dans le système d’information;
(c) L’organisation revoit et met à jour la liste des logiciels autorisés au moins une fois par année ou lorsqu’il y a un changement.</t>
  </si>
  <si>
    <t xml:space="preserve">The process used to identify software programs that are authorized to execute on organizational information systems is commonly referred to as whitelisting. In addition to whitelisting, organizations consider verifying the integrity of white-listed software programs using, for example, cryptographic checksums, digital signatures, or hash functions. Verification of white-listed software can occur either prior to execution or at system start-up. Related controls: CM-2, CM-6, CM-8, SA-10, SC-34, SI-7</t>
  </si>
  <si>
    <t xml:space="preserve">Le processus utilisé pour déterminer les programmes logiciels dont l’exécution est autorisée sur les systèmes d’information organisationnels est communément appelé liste blanche. En plus de la liste blanche, les organisations envisagent de vérifier l’intégrité des logiciels qui figurent sur la liste blanche en utilisant, par exemple, des totaux de contrôle cryptographique, des signatures numériques ou des fonctions de hachage. La vérification des logiciels de la liste blanche peut avoir lieu avant l’exécution ou lors du démarrage du système. Contrôles connexes : CM-2, CM-6, CM-8, SA-10, SC-34, SI-7</t>
  </si>
  <si>
    <t xml:space="preserve">TEST-CM-7(5)</t>
  </si>
  <si>
    <t xml:space="preserve">Control CM-11 — Evidence Tracking</t>
  </si>
  <si>
    <t xml:space="preserve">Contrôle CM-11 — Suivi des preuves</t>
  </si>
  <si>
    <t xml:space="preserve">(A)
The organization establishes organization-defined policies governing the installation of software by users.
(B)
The organization enforces software installation policies through  organization-defined methods.
(C)
The organization monitors policy compliance continuously via 7(5).</t>
  </si>
  <si>
    <t xml:space="preserve">(A) L’organisation définit et établit des politiques régissant l’installation de logiciels par les utilisateurs.
(B) L’organisation applique les politiques d’installation de logiciels au moyen de méthodes définies par l’organisation.
(C) L’organisation surveille continuellement la conformité aux politiques au moyen du contrôle 7(5).</t>
  </si>
  <si>
    <t xml:space="preserve">If provided the necessary privileges, users have the ability to install software in organizational information systems. To maintain control over the types of software installed, organizations identify permitted and prohibited actions regarding software installation. Permitted software installations may include, for example, updates and security patches to existing software and downloading applications from organization-approved “app stores.” Prohibited software installations may include, for example, software with unknown or suspect pedigrees or software that organizations consider potentially malicious. The policies organizations select governing user-installed software may be organization-developed or provided by some external entity. Policy enforcement methods include procedural methods (e.g., periodic examination of user accounts), automated methods (e.g., configuration settings implemented on organizational information systems), or both. Related controls: AC-3, CM-2, CM-3, CM-5, CM-6, CM-7, PL-4</t>
  </si>
  <si>
    <t xml:space="preserve">Si on leur accorde les privilèges nécessaires, les utilisateurs peuvent installer des logiciels dans les systèmes d’information organisationnels. Pour garder le contrôle sur les types de logiciels installés, les organisations déterminent les actions permises et interdites relativement à l’installation de logiciels. Les installations logicielles autorisées peuvent comprendre, par exemple, des mises à jour et des correctifs de sécurité aux logiciels existants et le téléchargement d’applications à partir de « boutiques d’applications » approuvées par l’organisation. Les installations logicielles interdites peuvent comprendre, par exemple, les logiciels dont le contenu est inconnu ou suspect ou les logiciels que les organisations considèrent comme potentiellement malveillants. Les politiques choisies par les organisations pour régir les logiciels installés par les utilisateurs peuvent être élaborées par l’organisation même ou fournies par une entité externe. Les méthodes d’application des politiques comprennent les méthodes procédurales (p. ex., examen périodique des comptes des utilisateurs), les méthodes automatisées (p. ex., les paramètres de configuration mis en œuvre dans les systèmes d’information organisationnels), ou les deux. Contrôles connexes : AC-3, CM-2, CM-3, CM-5, CM-6, CM-7, PL-4</t>
  </si>
  <si>
    <t xml:space="preserve">TEST-CM-11</t>
  </si>
  <si>
    <t xml:space="preserve">Control CP-6 — Evidence Tracking</t>
  </si>
  <si>
    <t xml:space="preserve">Contrôle CP-6 — Suivi des preuves</t>
  </si>
  <si>
    <t xml:space="preserve">(A)
The organization establishes an alternate storage site including necessary agreements to permit the storage and retrieval of information system backup information.
(B)
The organization ensures that the alternate storage site provides information security safeguards equivalent to that of the primary site.</t>
  </si>
  <si>
    <t xml:space="preserve">(A) L’organisation établit un site de stockage auxiliaire, incluant les ententes nécessaires pour permettre le stockage et l’extraction de l’information de sauvegarde du système d’information.
(B) L’organisation veille à ce que le site de stockage auxiliaire offre des mesures de sécurité de l’information équivalentes à celles du site principal.</t>
  </si>
  <si>
    <t xml:space="preserve">Alternate storage sites are sites that are geographically distinct from primary storage sites. An alternate storage site maintains duplicate copies of information and data in the event that the primary storage site is not available. Items covered by alternate storage site agreements include, for example, environmental conditions at alternate sites, access rules, physical and environmental protection requirements, and coordination of delivery/retrieval of backup media. Alternate storage sites reflect the requirements in contingency plans so that organizations can maintain essential missions/business functions despite disruption, compromise, or failure in organizational information systems. Related controls: CP-2, CP-7, CP-9, CP-10, MP-4</t>
  </si>
  <si>
    <t xml:space="preserve">Les sites de stockage auxiliaires sont des sites qui sont géographiquement séparés des sites de stockage principaux. Un site de stockage auxiliaire conserve des copies de l’information et des données advenant la non-disponibilité du site de stockage principal. Les éléments couverts par les accords sur les sites de stockage auxiliaires comprennent, par exemple, les conditions environnementales aux sites auxiliaires, les règles d’accès, les exigences en matière de protection physique et environnementale, et la coordination de la livraison/récupération des supports de sauvegarde. Les sites de stockage auxiliaires reflètent les exigences des plans d’urgence afin que les organisations puissent maintenir les fonctions opérationnelles et de mission essentielles malgré la perturbation, la compromission ou la défaillance des systèmes d’information organisationnels. Contrôles connexes : CP-2, CP-7, CP-9, CP-10, MP-4</t>
  </si>
  <si>
    <t xml:space="preserve">TEST-CP-6</t>
  </si>
  <si>
    <t xml:space="preserve">Control CP-6(2) — Evidence Tracking</t>
  </si>
  <si>
    <t xml:space="preserve">Contrôle CP-6(2) — Suivi des preuves</t>
  </si>
  <si>
    <t xml:space="preserve">ALTERNATE STORAGE SITE | RECOVERY TIME / POINT OBJECTIVES
The organization configures the alternate storage site to facilitate recovery operations in accordance with recovery time and recovery point objectives.</t>
  </si>
  <si>
    <t xml:space="preserve">SITE DE STOCKAGE AUXILIAIRE | OBJECTIFS EN MATIÈRE DE DÉLAIS/POINTS DE REPRISE
L’organisation configure le site de stockage auxiliaire de manière à faciliter les opérations de reprise conformément aux objectifs en matière de délais et de points de reprise.</t>
  </si>
  <si>
    <t xml:space="preserve">TEST-CP-6(2)</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</si>
  <si>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</si>
  <si>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</si>
  <si>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</si>
  <si>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</si>
  <si>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</si>
  <si>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</si>
  <si>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</si>
  <si>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</si>
  <si>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</si>
  <si>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</si>
  <si>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</si>
  <si>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</si>
  <si>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</si>
  <si>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</si>
  <si>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CP-9 — Evidence Tracking</t>
  </si>
  <si>
    <t xml:space="preserve">Contrôle CP-9 — Suivi des preuves</t>
  </si>
  <si>
    <t xml:space="preserve">(A)
The organization conducts backups of user-level information contained in the information system daily incremental; weekly full.
(B)
The organization conducts backups of system-level information contained in the information system daily incremental; weekly full.
(C)
The organization conducts backups of information system documentation including security-related documentation daily incremental; weekly full.
(D)
The organization protects the confidentiality, integrity, and availability of backup information at storage locations.
(AA)
The organization determines retention periods for essential business information and archived backups.</t>
  </si>
  <si>
    <t xml:space="preserve">(A) L’organisation effectue des sauvegardes incrémentielles quotidiennes et des sauvegardes hebdomadaires complètes de l’information au niveau de l’utilisateur qui est contenue dans le système d’information.
(B) L’organisation effectue des sauvegardes incrémentielles quotidiennes et des sauvegardes hebdomadaires complètes de l’information au niveau du système contenue dans le système d’information.
(C) L’organisation effectue des sauvegardes incrémentielles quotidiennes et des sauvegardes hebdomadaires complètes de la documentation relative au système d’information, y compris la documentation liée à la sécurité.
(D) L’organisation protège la confidentialité, l’intégrité et la disponibilité de l’information de sauvegarde aux emplacements de stockage.
(AA) L’organisation détermine les périodes de conservation des renseignements opérationnels essentiels et des sauvegardes archivées.</t>
  </si>
  <si>
    <t xml:space="preserve">System-level information includes, for example, system-state information, operating system and application software, and licenses. User-level information includes any information other than system-level information. Mechanisms employed by organizations to protect the integrity of information system backups include, for example, digital signatures and cryptographic hashes. Protection of system backup information while in transit is beyond the scope of this control. Information system backups reflect the requirements in contingency plans as well as other organizational requirements for backing up information. Related controls: CP-2, CP-6, MP-4, MP-5, SC-13</t>
  </si>
  <si>
    <t xml:space="preserve">L’information au niveau du système comprend, par exemple, l’information sur l’état du système, le système d’exploitation, les logiciels d’application et les licences. L’information au niveau de l’utilisateur comprend toute information autre que l’information au niveau du système. Les mécanismes employés par les organisations pour protéger l’intégrité des sauvegardes du système d’information comprennent, par exemple, les signatures numériques et le hachage cryptographique. La protection de l’information de sauvegarde du système pendant le transport dépasse la portée de ce contrôle. Les sauvegardes du système d’information reflètent les exigences des plans d’urgence ainsi que d’autres exigences organisationnelles relatives à la sauvegarde de l’information. Contrôles connexes : CP-2, CP-6, MP-4, MP-5, SC-13</t>
  </si>
  <si>
    <t xml:space="preserve">TEST-CP-9</t>
  </si>
  <si>
    <t xml:space="preserve">Control CP-9(1) — Evidence Tracking</t>
  </si>
  <si>
    <t xml:space="preserve">Contrôle CP-9(1) — Suivi des preuves</t>
  </si>
  <si>
    <t xml:space="preserve">INFORMATION SYSTEM BACKUP | TESTING FOR RELIABILITY / INTEGRITY
The organization tests backup information at least annually to verify media reliability and information integrity.</t>
  </si>
  <si>
    <t xml:space="preserve">SAUVEGARDE DU SYSTÈME D’INFORMATION | VÉRIFICATION DE LA FIABILITÉ ET DE L’INTÉGRITÉ
L’organisation teste l’information de sauvegarde au moins une fois par année pour vérifier la fiabilité des supports et l’intégrité de l’information.</t>
  </si>
  <si>
    <t xml:space="preserve">Related control: CP-4.</t>
  </si>
  <si>
    <t xml:space="preserve">Contrôle connexe : CP-4.</t>
  </si>
  <si>
    <t xml:space="preserve">TEST-CP-9(1)</t>
  </si>
  <si>
    <t xml:space="preserve">Control CP-9(2) — Evidence Tracking</t>
  </si>
  <si>
    <t xml:space="preserve">Contrôle CP-9(2) — Suivi des preuves</t>
  </si>
  <si>
    <t xml:space="preserve">INFORMATION SYSTEM BACKUP | TEST RESTORATION USING SAMPLING
The organization uses a sample of backup information in the restoration of selected information system functions as part of contingency plan testing.</t>
  </si>
  <si>
    <t xml:space="preserve">SAUVEGARDE DU SYSTÈME D’INFORMATION | ESSAIS DE RESTAURATION AU MOYEN DE L’ÉCHANTILLONNAGE
L’organisation utilise un échantillon de l’information de sauvegarde pour restaurer certaines fonctions du système d’information dans le cadre de la mise à l’essai du plan d’urgence.</t>
  </si>
  <si>
    <t xml:space="preserve">TEST-CP-9(2)</t>
  </si>
  <si>
    <t xml:space="preserve">Control CP-9(5) — Evidence Tracking</t>
  </si>
  <si>
    <t xml:space="preserve">Contrôle CP-9(5) — Suivi des preuves</t>
  </si>
  <si>
    <t xml:space="preserve">INFORMATION SYSTEM BACKUP | TRANSFER TO ALTERNATE STORAGE SITE
The organization transfers information system backup information to the alternate storage site at organization-defined time period and transfer rate consistent with the recovery time and recovery point objectives.</t>
  </si>
  <si>
    <t xml:space="preserve">SAUVEGARDE DU SYSTÈME D’INFORMATION | TRANSFERT À UN SITE DE STOCKAGE AUXILIAIRE
L’organisation transfère l’information de sauvegarde du système d’information au site de stockage auxiliaire au moment et à la vitesse de transfert définis par l’organisation conformément aux objectifs en matière de délais et de points de reprise.</t>
  </si>
  <si>
    <t xml:space="preserve">Information system backup information can be transferred to alternate storage sites either electronically or by physical shipment of storage media.</t>
  </si>
  <si>
    <t xml:space="preserve">Les données de sauvegarde du système d’information peuvent être transférées à des sites de stockage auxiliaires par voie électronique ou par envoi physique de supports de stockage.</t>
  </si>
  <si>
    <t xml:space="preserve">TEST-CP-9(5)</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</si>
  <si>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</si>
  <si>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</si>
  <si>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</si>
  <si>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</si>
  <si>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</si>
  <si>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</si>
  <si>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</si>
  <si>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</si>
  <si>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</si>
  <si>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</si>
  <si>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</si>
  <si>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</si>
  <si>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</si>
  <si>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</si>
  <si>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IA-5(7) — Evidence Tracking</t>
  </si>
  <si>
    <t xml:space="preserve">Contrôle IA-5(7) — Suivi des preuves</t>
  </si>
  <si>
    <t xml:space="preserve">AUTHENTICATOR MANAGEMENT | NO EMBEDDED UNENCRYPTED STATIC AUTHENTICATORS
The organization ensures that unencrypted static authenticators are not embedded in applications or access scripts or stored on function keys.</t>
  </si>
  <si>
    <t xml:space="preserve">GESTION DES AUTHENTIFIANTS | AUCUN AUTHENTIFIANT STATIQUE INTÉGRÉ NON CHIFFRÉ
L’organisation veille à ce que les authentifiants statiques non chiffrés ne soient pas intégrés dans les applications ou les scripts d’accès ou stockés sur les clés de fonction.</t>
  </si>
  <si>
    <t xml:space="preserve">Organizations exercise caution in determining whether embedded or stored authenticators are in encrypted or unencrypted form. If authenticators are used in the manner stored, then those representations are considered unencrypted authenticators. This is irrespective of whether that representation is perhaps an encrypted version of something else (e.g., a password).</t>
  </si>
  <si>
    <t xml:space="preserve">Les organisations usent de prudence lorsqu’il s’agit de déterminer si les authentifiants intégrés ou stockés sont chiffrés ou non chiffrés. Si les authentifiants sont utilisés sous leur forme stockée, ces représentations sont alors considérées comme étant des authentifiants non chiffrés. Cela n’a rien à voir avec le fait que cette représentation puisse être une version chiffrée de quelque chose d’autre (p. ex., un mot de passe).</t>
  </si>
  <si>
    <t xml:space="preserve">TEST-IA-5(7)</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</si>
  <si>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</si>
  <si>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</si>
  <si>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</si>
  <si>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</si>
  <si>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</si>
  <si>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</si>
  <si>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</si>
  <si>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SC-4 — Evidence Tracking</t>
  </si>
  <si>
    <t xml:space="preserve">Contrôle SC-4 — Suivi des preuves</t>
  </si>
  <si>
    <t xml:space="preserve">(A)
The information system prevents unauthorized and unintended information transfer via shared system resources.</t>
  </si>
  <si>
    <t xml:space="preserve">(A) Le système d’information empêche le transfert non autorisé et non intentionnel d’information par le biais des ressources partagées du système.</t>
  </si>
  <si>
    <t xml:space="preserve">This control prevents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control does not address: (i) information remanence which refers to residual representation of data that has been nominally erased or removed; (ii) covert channels (including storage and/or timing channels) where shared resources are manipulated to violate information flow restrictions; or (iii) components within information systems for which there are only single users/roles. Related controls: AC-3, AC-4, MP-6</t>
  </si>
  <si>
    <t xml:space="preserve">Ce contrôle empêche l’information, y compris les représentations chiffrées de l’information, produites par les actions des utilisateurs/rôles antérieurs (ou les actions des processus agissant pour le compte des utilisateurs/rôles antérieurs) d’être accessible aux utilisateurs/rôles actuels (ou aux processus actuels) qui obtiennent l’accès aux ressources partagées du système (p. ex., registres, mémoire principale, disques durs) après que ces ressources ont été retournées aux systèmes d’information. Le contrôle de l’information dans les ressources partagées est aussi communément appelé réutilisation d’objets et protection de l’information résiduelle. Ce contrôle ne porte pas sur : (i) la rémanence de l’information qui désigne la représentation résiduelle des données qui ont été nominalement effacées ou supprimées; (ii) les canaux cachés (y compris les canaux de stockage ou de synchronisation) où les ressources partagées sont manipulées pour violer les restrictions de circulation de l’information; ou (iii) les composants des systèmes d’information pour lesquels il n’y a qu’un seul utilisateur/rôle. Contrôles connexes : AC-3, AC-4, MP-6</t>
  </si>
  <si>
    <t xml:space="preserve">TEST-SC-4</t>
  </si>
  <si>
    <t xml:space="preserve">Control SC-8 — Evidence Tracking</t>
  </si>
  <si>
    <t xml:space="preserve">Contrôle SC-8 — Suivi des preuves</t>
  </si>
  <si>
    <t xml:space="preserve">(A)
The information system protects the confidentiality and integrity of transmitted information.</t>
  </si>
  <si>
    <t xml:space="preserve">(A) Le système d’information protège la confidentialité et l’intégrité de l’information transmise.</t>
  </si>
  <si>
    <t xml:space="preserve">This control applies to both internal and external networks and all types of information system components from which information can be transmitted (e.g., servers, mobile devices, notebook computers, printers, copiers, scanners, facsimile machines). Communication paths outside the physical protection of a controlled boundary are exposed to the possibility of interception and modification. Protecting the confidentiality and/or integrity of organizational information can be accomplished by physical means (e.g., by employing protected distribution systems) or by logical means (e.g., employing encryption techniques). Organizations relying on commercial providers offering transmission services as commodity services rather than as fully dedicated services (i.e., services which can be highly specialized to individual customer needs), may find it difficult to obtain the necessary assurances regarding the implementation of needed security controls for transmission confidentiality/integrity. In such situations, organizations determine what types of confidentiality/integrity services are available in standard, commercial telecommunication service packages. If it is infeasible or impractical to obtain the necessary security controls and assurances of control effectiveness through appropriate contracting vehicles, organizations implement appropriate compensating security controls or explicitly accept the additional risk. Related controls: AC-17, PE-4</t>
  </si>
  <si>
    <t xml:space="preserve">Ce contrôle s’applique aux réseaux internes et externes et à tous les types de composants du système d’information à partir desquels de l’information peut être transmise (p. ex., serveurs, appareils mobiles, ordinateurs portatifs, imprimantes, photocopieurs, numériseurs, télécopieurs). Les voies de communication à l’extérieur de la protection physique d’une frontière contrôlée sont exposées à des risques d’interception et de modification. La protection de la confidentialité ou de l’intégrité de l’information organisationnelle peut se faire par des moyens physiques (p. ex., en utilisant des systèmes de distribution protégés) ou logiques (p. ex., en utilisant des techniques de chiffrement). Les organisations qui comptent sur des fournisseurs commerciaux offrant des services de transmission à titre de services de base plutôt que de services entièrement dédiés (c.-à-d. des services qui peuvent être hautement spécialisés pour répondre aux besoins de clients individuels), peuvent avoir de la difficulté à obtenir les assurances nécessaires concernant la mise en œuvre des contrôles de sécurité nécessaires pour la confidentialité et l’intégrité des transmissions. Dans de telles situations, les organisations déterminent les types de services de confidentialité et d’intégrité disponibles dans les forfaits de services de télécommunications commerciaux standard. S’il n’est pas pratique ou s’il est impossible d’obtenir les contrôles de sécurité nécessaires et l’assurance de l’efficacité des contrôles au moyen des mécanismes de passation de marchés appropriés, les organisations mettent en œuvre des contrôles de sécurité compensatoires appropriés ou acceptent explicitement le risque supplémentaire. Contrôles connexes : AC-17, PE-4</t>
  </si>
  <si>
    <t xml:space="preserve">TEST-SC-8</t>
  </si>
  <si>
    <t xml:space="preserve">Control SC-8(1) — Evidence Tracking</t>
  </si>
  <si>
    <t xml:space="preserve">Contrôle SC-8(1) — Suivi des preuves</t>
  </si>
  <si>
    <t xml:space="preserve">TRANSMISSION CONFIDENTIALITY AND INTEGRITY | CRYPTOGRAPHIC OR ALTERNATE PHYSICAL PROTECTION
The information system implements cryptographic mechanisms to prevent unauthorized disclosure of information and detect changes to information during transmission unless otherwise protected by physical security safeguards applied in applied in accordance with, or uses an adequate risk-based approach aligned with the practices specified in TBS and RCMP physical security standards and any related provisions of the Industrial Security Program. The cryptography must be compliant with the requirements of control SC-13.</t>
  </si>
  <si>
    <t xml:space="preserve">CONFIDENTIALITÉ ET INTÉGRITÉ DES TRANSMISSIONS | PROTECTION CRYPTOGRAPHIQUE OU AUTRE PROTECTION PHYSIQUE
Le système d’information déploie des mécanismes cryptographiques pour prévenir la divulgation non autorisée d’information et détecter les modifications de l’information durant la transmission, à moins d’être autrement protégé par des mesures de sécurité physiques appliquées selon une approche adéquate en fonction du risque qui s’harmonise avec les pratiques spécifiées dans les normes de sécurité physique du SCT et de la GRC et les dispositions connexes du Programme de sécurité industrielle. La cryptographie doit être conforme aux exigences du contrôle SC-13.</t>
  </si>
  <si>
    <t xml:space="preserve">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Alternative physical security safeguards include, for example, protected distribution systems. Related control: SC-13.</t>
  </si>
  <si>
    <t xml:space="preserve">Le chiffrement de l’information pour la transmission protège l’information contre la divulgation et la modification non autorisées. Les mécanismes cryptographiques mis en œuvre pour protéger l’intégrité de l’information comprennent, par exemple, les fonctions de hachage cryptographique qui ont une application commune dans les signatures numériques, les sommes de contrôle et les codes d’authentification des messages. Les autres mesures de sécurité physiques comprennent, par exemple, les réseaux de distribution protégés. Contrôle connexe : SC-13.</t>
  </si>
  <si>
    <t xml:space="preserve">TEST-SC-8(1)</t>
  </si>
  <si>
    <t xml:space="preserve">Control SC-10 — Evidence Tracking</t>
  </si>
  <si>
    <t xml:space="preserve">Contrôle SC-10 — Suivi des preuves</t>
  </si>
  <si>
    <t xml:space="preserve">(A)
The information system terminates the network connection associated with a communications session at the end of the session or after no longer than 30 minutes for RAS-based sessions or no longer than 60 minutes for non-interactive user sessions of inactivity.</t>
  </si>
  <si>
    <t xml:space="preserve">(A) Le système d’information met fin à la connexion réseau associée à une session de communication à la fin de la séance ou après un maximum de 30 minutes pour les sessions basées sur le service d’accès à distance (SAD) ou de 60 minutes d’inactivité pour les sessions d’utilisateur non interactives.</t>
  </si>
  <si>
    <t xml:space="preserve">This control applies to both internal and external networks. Terminating network connections associated with communications sessions include, for example, de-allocating associated TCP/IP address/port pairs at the operating system level, or de-allocating networking assignments at the application level if multiple application sessions are using a single, operating system-level network connection. Time periods of inactivity may be established by organizations and include, for example, time periods by type of network access or for specific network accesses</t>
  </si>
  <si>
    <t xml:space="preserve">Ce contrôle s’applique aux réseaux internes et externes. La fin des connexions réseau associées aux sessions de communication comprend, par exemple, la désattribution des paires d’adresses/ports TCP/IP associées au niveau du système d’exploitation, ou la désattribution des tâches de réseautique au niveau de l’application si plusieurs sessions d’application utilisent une seule connexion réseau au niveau du système d’exploitation. Des périodes d’inactivité peuvent être établies par les organisations et comprendre, par exemple, des périodes par type d’accès au réseau ou pour des accès réseau particuliers.</t>
  </si>
  <si>
    <t xml:space="preserve">TEST-SC-10</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</si>
  <si>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</si>
  <si>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</si>
  <si>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</si>
  <si>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</si>
  <si>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</si>
  <si>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</si>
  <si>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</si>
  <si>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SC-18 — Evidence Tracking</t>
  </si>
  <si>
    <t xml:space="preserve">Contrôle SC-18 — Suivi des preuves</t>
  </si>
  <si>
    <t xml:space="preserve">(A)
The organization defines acceptable and unacceptable mobile code and mobile code technologies.
(B)
The organization establishes usage restrictions and implementation guidance for acceptable mobile code and mobile code technologies.
(C)
The organization authorizes, monitors, and controls the use of mobile code within the information system.</t>
  </si>
  <si>
    <t xml:space="preserve">(A) L’organisation définit les codes mobiles et les technologies de codes mobiles acceptables et inacceptables.
(B) L’organisation établit des restrictions d’utilisation et des directives de mise en œuvre pour le code mobile et les technologies de code mobile acceptables.
(C) L’organisation autorise, surveille et contrôle l’utilisation du code mobile dans le système d’information.</t>
  </si>
  <si>
    <t xml:space="preserve">Decisions regarding the employment of mobile code within organizational information systems are based on the potential for the code to cause damage to the systems if used maliciously. Mobile code technologies include, for example, Java, JavaScript, ActiveX, Postscript, PDF, Shockwave movies, Flash animations, and VBScript. Usage restrictions and implementation guidance apply to both the selection and use of mobile code installed on servers and mobile code downloaded and executed on individual workstations and devices (e.g., smart phones). Mobile code policy and procedures address preventing the development, acquisition, or introduction of unacceptable mobile code within organizational information systems. Related controls: AU-2, AU-12, CM-2, CM-6, SI-3</t>
  </si>
  <si>
    <t xml:space="preserve">Les décisions concernant l’utilisation du code mobile dans les systèmes d’information de l’organisation sont basées sur le potentiel de dommages causés aux systèmes si le code est utilisé de façon malveillante. Les technologies de code mobile comprennent, par exemple, Java, JavaScript, ActiveX, Postcript, PDF, les films Shockwave, les animations Flash et VBScript. Les restrictions d’utilisation et les directives de mise en œuvre s’appliquent à la fois à la sélection et à l’utilisation du code mobile installé sur les serveurs et du code mobile téléchargé et exécuté sur des postes de travail et des appareils individuels (p. ex., téléphones intelligents). La politique et les procédures relatives au code mobile visent à prévenir l’élaboration, l’acquisition ou l’introduction de code mobile inacceptable dans les systèmes d’information de l’organisation. Contrôles connexes : AU-2, AU-12, CM-2, CM-6, SI-3</t>
  </si>
  <si>
    <t xml:space="preserve">TEST-SC-18</t>
  </si>
  <si>
    <t xml:space="preserve">Control SC-18(3) — Evidence Tracking</t>
  </si>
  <si>
    <t xml:space="preserve">Contrôle SC-18(3) — Suivi des preuves</t>
  </si>
  <si>
    <t xml:space="preserve">MOBILE CODE | PREVENT DOWNLOADING / EXECUTION
The information system prevents the download and execution of all unacceptable mobile code and mobile code technologies defined under SC-18.</t>
  </si>
  <si>
    <t xml:space="preserve">CODE MOBILE | EMPÊCHER LE TÉLÉCHARGEMENT ET L’EXÉCUTION
Le système d’information empêche le téléchargement et l’exécution de tout code mobile et de toute technologie de code mobile inacceptables définis dans SC-18.</t>
  </si>
  <si>
    <t xml:space="preserve">TEST-SC-18(3)</t>
  </si>
  <si>
    <t xml:space="preserve">Control SC-18(4) — Evidence Tracking</t>
  </si>
  <si>
    <t xml:space="preserve">Contrôle SC-18(4) — Suivi des preuves</t>
  </si>
  <si>
    <t xml:space="preserve">MOBILE CODE | PREVENT AUTOMATIC EXECUTION
The information system prevents the automatic execution of mobile code in software applications and such as but not limited to email, scriptable document/file editing applications that support documents with embedded code (e.g., MS Office applications/documents), etc. and prompts the user for permission. and enforces organization-defined actions prior to executing the code.</t>
  </si>
  <si>
    <t xml:space="preserve">CODE MOBILE | PRÉVENIR L’EXÉCUTION AUTOMATIQUE
Le système d’information empêche l’exécution automatique du code mobile dans les applications logicielles, par exemple, sans s’y limiter, le courriel, les applications de modification de documents ou de fichiers scriptibles qui prennent en charge les documents avec un code intégré (p. ex., applications/documents MS Office), etc., et demande l’autorisation de l’utilisateur, et applique les mesures définies par l’organisation avant d’exécuter le code.</t>
  </si>
  <si>
    <t xml:space="preserve">Actions enforced before executing mobile code, include, for example, prompting users prior to opening electronic mail attachments. Preventing automatic execution of mobile code includes, for example, disabling auto execute features on information system components employing portable storage devices such as Compact Disks (CDs), Digital Video Disks (DVDs), and Universal Serial Bus (USB) devices.</t>
  </si>
  <si>
    <t xml:space="preserve">Les mesures appliquées avant l’exécution du code mobile comprennent, par exemple, le fait d’inviter les utilisateurs à confirmer avant d’ouvrir les pièces jointes au courrier électronique. La prévention de l’exécution automatique du code mobile comprend, par exemple, la désactivation des fonctions d’exécution automatique sur les composants du système d’information utilisant des dispositifs de stockage portatifs comme les disques compacts (CD), les vidéodisques numériques (DVD) et les dispositifs de bus série universel (USB).</t>
  </si>
  <si>
    <t xml:space="preserve">TEST-SC-18(4)</t>
  </si>
  <si>
    <t xml:space="preserve">Control SC-23 — Evidence Tracking</t>
  </si>
  <si>
    <t xml:space="preserve">Contrôle SC-23 — Suivi des preuves</t>
  </si>
  <si>
    <t xml:space="preserve">(A)
The information system protects the authenticity of communications sessions.</t>
  </si>
  <si>
    <t xml:space="preserve">(A) Le système d’information protège l’authenticité des sessions de communication.</t>
  </si>
  <si>
    <t xml:space="preserve">This control addresses communications protection at the session, versus packet level (e.g., sessions in service-oriented architectures providing web-based services) and establishes grounds for confidence at both ends of communications sessions in ongoing identities of other parties and in the validity of information transmitted. Authenticity protection includes, for example, protecting against man-in-the-middle attacks/session hijacking and the insertion of false information into sessions. Related controls: SC-8, SC-10, SC-11</t>
  </si>
  <si>
    <t xml:space="preserve">Ce contrôle porte sur la protection des communications au niveau des sessions plutôt qu’au niveau des paquets (p. ex., les sessions dans les architectures orientées service fournissant des services Web) et établit des motifs de confiance, aux deux extrémités des sessions de communication, dans les identités continues des autres parties et dans la validité de l’information transmise. La protection de l’authenticité comprend, par exemple, la protection contre les attaques de l’intercepteur ou les détournements de sessions et l’insertion de faux renseignements dans les sessions. Contrôles connexes : SC-8, SC-10, SC-11</t>
  </si>
  <si>
    <t xml:space="preserve">TEST-SC-23</t>
  </si>
  <si>
    <t xml:space="preserve">Control SC-28 — Evidence Tracking</t>
  </si>
  <si>
    <t xml:space="preserve">Contrôle SC-28 — Suivi des preuves</t>
  </si>
  <si>
    <t xml:space="preserve">(A)
The information system protects the confidentiality and integrity of all information not cleared for public release and all data with a higher than low integrity requirement.</t>
  </si>
  <si>
    <t xml:space="preserve">(A) Le système d’information protège la confidentialité et l’intégrité de tous les renseignements dont la diffusion publique n’est pas autorisée et de toutes les données pour lesquelles les exigences d’intégrité ne sont pas faibles.</t>
  </si>
  <si>
    <t xml:space="preserve">This control addresses the confidentiality and integrity of information at rest and covers user information and system information. Information at rest refers to the state of information when it is located on storage devices as specific components of information systems. System-related information requiring protection includes, for example, configurations or rule sets for firewalls, gateways, intrusion detection/prevention systems, filtering routers, and authenticator content. Organizations may employ different mechanisms to achieve confidentiality and integrity protections, including the use of cryptographic mechanisms and file share scanning. Integrity protection can be achieved, for example, by implementing Write-Once-Read-Many (WORM) technologies. Organizations may also employ other security controls including, for example, secure off-line storage in lieu of online storage when adequate protection of information at rest cannot otherwise be achieved and/or continuous monitoring to identify malicious code at rest. Related controls: AC-3, AC-6, CA-7, CM-3, CM-5, CM-6, PE-3, SC-8, SC-13, SI-3, SI-7</t>
  </si>
  <si>
    <t xml:space="preserve">Ce contrôle porte sur la confidentialité et l’intégrité de l’information inactive et couvre l’information sur les utilisateurs et le système. L’information inactive fait référence à l’état de l’information lorsqu’elle se trouve sur des dispositifs de stockage en tant que composants particuliers des systèmes d’information. Les renseignements relatifs au système qui nécessitent une protection comprennent, par exemple, les configurations ou les ensembles de règles pour les pare-feu, les passerelles, les systèmes de détection et de prévention des intrusions, les routeurs de filtrage et le contenu des authentifiants. Les organisations peuvent utiliser différents mécanismes pour assurer la protection de la confidentialité et de l’intégrité, y compris les mécanismes cryptographiques et le balayage des fichiers partagés. La protection de l’intégrité peut être assurée, par exemple, en mettant en œuvre des technologies qui rendent les supports non réinscriptibles. Les organisations peuvent également utiliser d’autres contrôles de sécurité, y compris, par exemple, le stockage hors ligne sécurisé au lieu du stockage en ligne lorsque la protection de l’information inactive ne peut être assurée autrement, ou la surveillance continue pour repérer du code malveillant inactif. Contrôles connexes : AC-3, AC-6, CA-7, CM-3, CM-5, CM-6, PE-3, SC-8, SC-13, SI-3, SI-7</t>
  </si>
  <si>
    <t xml:space="preserve">TEST-SC-28</t>
  </si>
  <si>
    <t xml:space="preserve">Control SC-28(1) — Evidence Tracking</t>
  </si>
  <si>
    <t xml:space="preserve">Contrôle SC-28(1) — Suivi des preuves</t>
  </si>
  <si>
    <t xml:space="preserve">PROTECTION OF INFORMATION AT REST | CRYPTOGRAPHIC PROTECTION
The information system implements cryptographic mechanisms to prevent unauthorized disclosure and modification of all information not cleared for public release and all data with a higher than low integrity requirements.</t>
  </si>
  <si>
    <t xml:space="preserve">PROTECTION DE L’INFORMATION INACTIVE | PROTECTION CRYPTOGRAPHIQUE
Le système d’information met en œuvre des mécanismes cryptographiques pour prévenir la divulgation et la modification non autorisées de tous les renseignements dont la diffusion publique n’est pas autorisée et de toutes les données pour lesquelles les exigences d’intégrité ne sont pas faibles.</t>
  </si>
  <si>
    <t xml:space="preserve">Selection of cryptographic mechanisms is based on the need to protect the confidentiality and integrity of organizational information. The strength of mechanism is commensurate with the security category and/or classification of the information. This control enhancement applies to significant concentrations of digital media in organizational areas designated for media storage and also to limited quantities of media generally associated with information system components in operational environments (e.g., portable storage devices, mobile devices). Organizations have the flexibility to either encrypt all information on storage devices (i.e., full disk encryption) or encrypt specific data structures (e.g., files, records, or fields). Organizations employing cryptographic mechanisms to protect information at rest also consider cryptographic key management solutions. Related controls: AC-19, SC-12.</t>
  </si>
  <si>
    <t xml:space="preserve">Le choix des mécanismes cryptographiques est fonction du besoin de protection de la confidentialité et de l’intégrité de l’information de l’organisation. La force du mécanisme est proportionnelle à la catégorie de sécurité ou à la classification de l’information. Cette amélioration du contrôle s’applique aux concentrations importantes de supports numériques dans les zones de l’organisation qui sont désignées pour le stockage des supports, et également aux quantités limitées de supports généralement associés aux composants de systèmes d’information dans les environnements opérationnels (p. ex., dispositifs de stockage portatifs, appareils mobiles). Les organisations ont la possibilité de chiffrer toute l’information sur les dispositifs de stockage (c.-à-d. le chiffrement complet du disque) ou de chiffrer des structures de données particulières (p. ex., fichiers, enregistrements ou champs). Les organisations qui utilisent des mécanismes cryptographiques pour protéger l’information inactive envisagent également des solutions de gestion des clés cryptographiques. Contrôles connexes : AC-19, SC-12.</t>
  </si>
  <si>
    <t xml:space="preserve">TEST-SC-28(1)</t>
  </si>
  <si>
    <t xml:space="preserve">Control SC-39 — Evidence Tracking</t>
  </si>
  <si>
    <t xml:space="preserve">Contrôle SC-39 — Suivi des preuves</t>
  </si>
  <si>
    <t xml:space="preserve">(A)
The information system maintains a separate execution domain for each executing process.</t>
  </si>
  <si>
    <t xml:space="preserve">(A) Le système d’information maintient un domaine d’exécution séparé pour chaque processus d’exécution.</t>
  </si>
  <si>
    <t xml:space="preserve">Information systems can maintain separate execution domains for each executing process by assigning each process a separate address space. Each information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This capability is available in most commercial operating systems that employ multi-state processor technologies. Related controls: AC-3, AC-4, AC-6, SA-4, SA-5, SA-8, SC-2, SC-3</t>
  </si>
  <si>
    <t xml:space="preserve">Les systèmes d’information peuvent maintenir des domaines d’exécution séparés pour chaque processus d’exécution en attribuant à chaque processus un espace d’adresse séparé. Chaque processus du système d’information a un espace d’adresse distinct, de sorte que la communication entre les processus est effectuée d’une manière contrôlée par les fonctions de sécurité, et qu’un processus ne peut pas modifier le code d’exécution d’un autre processus. Le maintien de domaines d’exécution séparés pour l’exécution des processus peut être réalisé, par exemple, en mettant en œuvre des espaces d’adresse séparés. Cette capacité est disponible dans la plupart des systèmes d’exploitation commerciaux qui utilisent des technologies de processeurs multi-états. Contrôles connexes : AC-3, AC-4, AC-6, SA-4, SA-5, SA-8, SC-2, SC-3</t>
  </si>
  <si>
    <t xml:space="preserve">TEST-SC-39</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</si>
  <si>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</si>
  <si>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</si>
  <si>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</si>
  <si>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</si>
  <si>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</si>
  <si>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</si>
  <si>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</si>
  <si>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SI-4(23) — Evidence Tracking</t>
  </si>
  <si>
    <t xml:space="preserve">Contrôle SI-4(23) — Suivi des preuves</t>
  </si>
  <si>
    <t xml:space="preserve">INFORMATION SYSTEM MONITORING | HOST-BASED DEVICES
The organization implements system logging tools at components running general purpose operating systems.</t>
  </si>
  <si>
    <t xml:space="preserve">SURVEILLANCE DU SYSTÈME D’INFORMATION | DISPOSITIFS BASÉS SUR L’HÔTE
L’organisation met en œuvre des outils de journalisation du système aux composants qui exécutent des systèmes d’exploitation généraux.</t>
  </si>
  <si>
    <t xml:space="preserve">Information system components where host-based monitoring can be implemented include, for example, servers, workstations, and mobile devices. Organizations consider employing host-based monitoring mechanisms from multiple information technology product developers.</t>
  </si>
  <si>
    <t xml:space="preserve">Les composants du système d’information pour lesquels une surveillance basée sur l’hôte peut être mise en œuvre comprennent, par exemple, les serveurs, les postes de travail et les appareils mobiles. Les organisations envisagent le recours à des mécanismes de surveillance basés sur l’hôte provenant de multiples développeurs de produits de technologie de l’information.</t>
  </si>
  <si>
    <t xml:space="preserve">TEST-SI-4(23)</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</si>
  <si>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</si>
  <si>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</si>
  <si>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</si>
  <si>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</si>
  <si>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</si>
  <si>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</si>
  <si>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</si>
  <si>
    <t xml:space="preserve">Control SI-7 — Evidence Tracking</t>
  </si>
  <si>
    <t xml:space="preserve">Contrôle SI-7 — Suivi des preuves</t>
  </si>
  <si>
    <t xml:space="preserve">(A)
The organization employs integrity verification tools to detect unauthorized changes to software, firmware, and information on production systems as a minimum.</t>
  </si>
  <si>
    <t xml:space="preserve">(A) L’organisation utilise au minimum des outils de contrôle d’intégrité pour détecter les changements non autorisés aux logiciels, aux micrologiciels et à l’information sur les systèmes de production.</t>
  </si>
  <si>
    <t xml:space="preserve">Unauthorized changes to software, firmware, and information can occur due to errors or malicious activity (e.g., tampering). Software includes, for example, operating systems (with key internal components such as kernels, drivers), middleware, and applications. Firmware includes, for example, the Basic Input Output System (BIOS). Information includes metadata such as security attributes associated with information. State-of-the-practice integrity-checking mechanisms (e.g., parity checks, cyclical redundancy checks, cryptographic hashes) and associated tools can automatically monitor the integrity of information systems and hosted applications. Related controls: SA-12, SC-8, SC-13, SI-3</t>
  </si>
  <si>
    <t xml:space="preserve">Des changements non autorisés aux logiciels, aux micrologiciels et à l’information peuvent survenir en raison d’erreurs ou d’activités malveillantes (p. ex., altération). Les logiciels comprennent, par exemple, les systèmes d’exploitation (avec les composants internes clés comme les noyaux, les pilotes), les intergiciels et les applications. Les micrologiciels comprennent, par exemple, le système d’entrée-sortie de base (BIOS). L’information comprend des métadonnées comme les attributs de sécurité associés à l’information. Dans la pratique actuelle, les mécanismes de vérification de l’intégrité (p. ex., contrôles de parité, contrôles de redondance cycliques, hachages cryptographiques) et les outils connexes peuvent surveiller automatiquement l’intégrité des systèmes d’information et des applications hébergées. Contrôles connexes : SA-12, SC-8, SC-13, SI-3</t>
  </si>
  <si>
    <t xml:space="preserve">TEST-SI-7</t>
  </si>
  <si>
    <t xml:space="preserve">Control SI-7(1) — Evidence Tracking</t>
  </si>
  <si>
    <t xml:space="preserve">Contrôle SI-7(1) — Suivi des preuves</t>
  </si>
  <si>
    <t xml:space="preserve">SOFTWARE, FIRMWARE, AND INFORMATION INTEGRITY | INTEGRITY CHECKS
The information system performs an integrity check of organization-defined software, firmware, and information at start-up and at least every 30 days.</t>
  </si>
  <si>
    <t xml:space="preserve">LOGICIELS, MICROLOGICIELS ET INTÉGRITÉ DE L’INFORMATION | CONTRÔLES D’INTÉGRITÉ
Le système d’information effectue un contrôle d’intégrité des logiciels, des micrologiciels et des renseignements définis par l’organisation lors du démarrage et au moins tous les 30 jours.</t>
  </si>
  <si>
    <t xml:space="preserve">Security-relevant events include, for example, the identification of a new threat to which organizational information systems are susceptible, and the installation of new hardware, software, or firmware. Transitional states include, for example, system start-up, restart, shutdown, and abort.</t>
  </si>
  <si>
    <t xml:space="preserve">Les événements pertinents pour la sécurité comprennent, par exemple, l’identification d’une nouvelle menace à laquelle les systèmes d’information organisationnels sont vulnérables, et l’installation de nouveau matériel, logiciel ou micrologiciel. Les phases de transition comprennent, par exemple, le démarrage, le redémarrage, l’arrêt et l’interruption du système.</t>
  </si>
  <si>
    <t xml:space="preserve">TEST-SI-7(1)</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</si>
</sst>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6</v>
      </c>
      <c r="E3" s="3" t="str">
        <f aca="false">'AC-6'!B20</f>
        <v>Not Started</v>
      </c>
    </row>
    <row r="4" customFormat="false" ht="18" hidden="false" customHeight="true" outlineLevel="0" collapsed="false">
      <c r="A4" s="3" t="s">
        <v>8</v>
      </c>
      <c r="B4" s="4" t="s">
        <v>7</v>
      </c>
      <c r="C4" s="4"/>
      <c r="D4" s="3" t="s">
        <v>9</v>
      </c>
      <c r="E4" s="3" t="str">
        <f aca="false">'AC-6-1'!B20</f>
        <v>Not Started</v>
      </c>
    </row>
    <row r="5" customFormat="false" ht="18" hidden="false" customHeight="true" outlineLevel="0" collapsed="false">
      <c r="A5" s="3" t="s">
        <v>10</v>
      </c>
      <c r="B5" s="4" t="s">
        <v>11</v>
      </c>
      <c r="C5" s="4"/>
      <c r="D5" s="3" t="s">
        <v>12</v>
      </c>
      <c r="E5" s="3" t="str">
        <f aca="false">'AC-17-3'!B20</f>
        <v>Not Started</v>
      </c>
    </row>
    <row r="6" customFormat="false" ht="18" hidden="false" customHeight="true" outlineLevel="0" collapsed="false">
      <c r="A6" s="3" t="s">
        <v>13</v>
      </c>
      <c r="B6" s="4" t="s">
        <v>14</v>
      </c>
      <c r="C6" s="4"/>
      <c r="D6" s="3" t="s">
        <v>13</v>
      </c>
      <c r="E6" s="3" t="str">
        <f aca="false">'AU-2'!B20</f>
        <v>Not Started</v>
      </c>
    </row>
    <row r="7" customFormat="false" ht="18" hidden="false" customHeight="true" outlineLevel="0" collapsed="false">
      <c r="A7" s="3" t="s">
        <v>15</v>
      </c>
      <c r="B7" s="4" t="s">
        <v>16</v>
      </c>
      <c r="C7" s="4"/>
      <c r="D7" s="3" t="s">
        <v>15</v>
      </c>
      <c r="E7" s="3" t="str">
        <f aca="false">'AU-3'!B20</f>
        <v>Not Started</v>
      </c>
    </row>
    <row r="8" customFormat="false" ht="18" hidden="false" customHeight="true" outlineLevel="0" collapsed="false">
      <c r="A8" s="3" t="s">
        <v>17</v>
      </c>
      <c r="B8" s="4" t="s">
        <v>16</v>
      </c>
      <c r="C8" s="4"/>
      <c r="D8" s="3" t="s">
        <v>18</v>
      </c>
      <c r="E8" s="3" t="str">
        <f aca="false">'AU-3-1'!B20</f>
        <v>Not Started</v>
      </c>
    </row>
    <row r="9" customFormat="false" ht="18" hidden="false" customHeight="true" outlineLevel="0" collapsed="false">
      <c r="A9" s="3" t="s">
        <v>19</v>
      </c>
      <c r="B9" s="4" t="s">
        <v>20</v>
      </c>
      <c r="C9" s="4"/>
      <c r="D9" s="3" t="s">
        <v>21</v>
      </c>
      <c r="E9" s="3" t="str">
        <f aca="false">'AU-9-2'!B20</f>
        <v>Not Started</v>
      </c>
    </row>
    <row r="10" customFormat="false" ht="18" hidden="false" customHeight="true" outlineLevel="0" collapsed="false">
      <c r="A10" s="3" t="s">
        <v>22</v>
      </c>
      <c r="B10" s="4" t="s">
        <v>23</v>
      </c>
      <c r="C10" s="4"/>
      <c r="D10" s="3" t="s">
        <v>22</v>
      </c>
      <c r="E10" s="3" t="str">
        <f aca="false">'AU-12'!B20</f>
        <v>Not Started</v>
      </c>
    </row>
    <row r="11" customFormat="false" ht="18" hidden="false" customHeight="true" outlineLevel="0" collapsed="false">
      <c r="A11" s="3" t="s">
        <v>24</v>
      </c>
      <c r="B11" s="4" t="s">
        <v>25</v>
      </c>
      <c r="C11" s="4"/>
      <c r="D11" s="3" t="s">
        <v>26</v>
      </c>
      <c r="E11" s="3" t="str">
        <f aca="false">'CA-3-5'!B20</f>
        <v>Not Started</v>
      </c>
    </row>
    <row r="12" customFormat="false" ht="18" hidden="false" customHeight="true" outlineLevel="0" collapsed="false">
      <c r="A12" s="3" t="s">
        <v>27</v>
      </c>
      <c r="B12" s="4" t="s">
        <v>28</v>
      </c>
      <c r="C12" s="4"/>
      <c r="D12" s="3" t="s">
        <v>27</v>
      </c>
      <c r="E12" s="3" t="str">
        <f aca="false">'CA-9'!B20</f>
        <v>Not Started</v>
      </c>
    </row>
    <row r="13" customFormat="false" ht="18" hidden="false" customHeight="true" outlineLevel="0" collapsed="false">
      <c r="A13" s="3" t="s">
        <v>29</v>
      </c>
      <c r="B13" s="4" t="s">
        <v>30</v>
      </c>
      <c r="C13" s="4"/>
      <c r="D13" s="3" t="s">
        <v>31</v>
      </c>
      <c r="E13" s="3" t="str">
        <f aca="false">'CM-2-3'!B20</f>
        <v>Not Started</v>
      </c>
    </row>
    <row r="14" customFormat="false" ht="18" hidden="false" customHeight="true" outlineLevel="0" collapsed="false">
      <c r="A14" s="3" t="s">
        <v>32</v>
      </c>
      <c r="B14" s="4" t="s">
        <v>33</v>
      </c>
      <c r="C14" s="4"/>
      <c r="D14" s="3" t="s">
        <v>34</v>
      </c>
      <c r="E14" s="3" t="str">
        <f aca="false">'CM-5-6'!B20</f>
        <v>Not Started</v>
      </c>
    </row>
    <row r="15" customFormat="false" ht="18" hidden="false" customHeight="true" outlineLevel="0" collapsed="false">
      <c r="A15" s="3" t="s">
        <v>35</v>
      </c>
      <c r="B15" s="4" t="s">
        <v>36</v>
      </c>
      <c r="C15" s="4"/>
      <c r="D15" s="3" t="s">
        <v>35</v>
      </c>
      <c r="E15" s="3" t="str">
        <f aca="false">'CM-6'!B20</f>
        <v>Not Started</v>
      </c>
    </row>
    <row r="16" customFormat="false" ht="18" hidden="false" customHeight="true" outlineLevel="0" collapsed="false">
      <c r="A16" s="3" t="s">
        <v>37</v>
      </c>
      <c r="B16" s="4" t="s">
        <v>38</v>
      </c>
      <c r="C16" s="4"/>
      <c r="D16" s="3" t="s">
        <v>37</v>
      </c>
      <c r="E16" s="3" t="str">
        <f aca="false">'CM-7'!B20</f>
        <v>Not Started</v>
      </c>
    </row>
    <row r="17" customFormat="false" ht="18" hidden="false" customHeight="true" outlineLevel="0" collapsed="false">
      <c r="A17" s="3" t="s">
        <v>39</v>
      </c>
      <c r="B17" s="4" t="s">
        <v>38</v>
      </c>
      <c r="C17" s="4"/>
      <c r="D17" s="3" t="s">
        <v>40</v>
      </c>
      <c r="E17" s="3" t="str">
        <f aca="false">'CM-7-1'!B20</f>
        <v>Not Started</v>
      </c>
    </row>
    <row r="18" customFormat="false" ht="18" hidden="false" customHeight="true" outlineLevel="0" collapsed="false">
      <c r="A18" s="3" t="s">
        <v>41</v>
      </c>
      <c r="B18" s="4" t="s">
        <v>38</v>
      </c>
      <c r="C18" s="4"/>
      <c r="D18" s="3" t="s">
        <v>42</v>
      </c>
      <c r="E18" s="3" t="str">
        <f aca="false">'CM-7-5'!B20</f>
        <v>Not Started</v>
      </c>
    </row>
    <row r="19" customFormat="false" ht="18" hidden="false" customHeight="true" outlineLevel="0" collapsed="false">
      <c r="A19" s="3" t="s">
        <v>43</v>
      </c>
      <c r="B19" s="4" t="s">
        <v>44</v>
      </c>
      <c r="C19" s="4"/>
      <c r="D19" s="3" t="s">
        <v>43</v>
      </c>
      <c r="E19" s="3" t="str">
        <f aca="false">'CM-11'!B20</f>
        <v>Not Started</v>
      </c>
    </row>
    <row r="20" customFormat="false" ht="18" hidden="false" customHeight="true" outlineLevel="0" collapsed="false">
      <c r="A20" s="3" t="s">
        <v>45</v>
      </c>
      <c r="B20" s="4" t="s">
        <v>46</v>
      </c>
      <c r="C20" s="4"/>
      <c r="D20" s="3" t="s">
        <v>45</v>
      </c>
      <c r="E20" s="3" t="str">
        <f aca="false">'CP-6'!B20</f>
        <v>Not Started</v>
      </c>
    </row>
    <row r="21" customFormat="false" ht="18" hidden="false" customHeight="true" outlineLevel="0" collapsed="false">
      <c r="A21" s="3" t="s">
        <v>47</v>
      </c>
      <c r="B21" s="4" t="s">
        <v>46</v>
      </c>
      <c r="C21" s="4"/>
      <c r="D21" s="3" t="s">
        <v>48</v>
      </c>
      <c r="E21" s="3" t="str">
        <f aca="false">'CP-6-2'!B20</f>
        <v>Not Started</v>
      </c>
    </row>
    <row r="22" customFormat="false" ht="18" hidden="false" customHeight="true" outlineLevel="0" collapsed="false">
      <c r="A22" s="3" t="s">
        <v>49</v>
      </c>
      <c r="B22" s="4" t="s">
        <v>50</v>
      </c>
      <c r="C22" s="4"/>
      <c r="D22" s="3" t="s">
        <v>49</v>
      </c>
      <c r="E22" s="3" t="str">
        <f aca="false">'CP-7'!B20</f>
        <v>Not Started</v>
      </c>
    </row>
    <row r="23" customFormat="false" ht="18" hidden="false" customHeight="true" outlineLevel="0" collapsed="false">
      <c r="A23" s="3" t="s">
        <v>51</v>
      </c>
      <c r="B23" s="4" t="s">
        <v>50</v>
      </c>
      <c r="C23" s="4"/>
      <c r="D23" s="3" t="s">
        <v>52</v>
      </c>
      <c r="E23" s="3" t="str">
        <f aca="false">'CP-7-4'!B20</f>
        <v>Not Started</v>
      </c>
    </row>
    <row r="24" customFormat="false" ht="18" hidden="false" customHeight="true" outlineLevel="0" collapsed="false">
      <c r="A24" s="3" t="s">
        <v>53</v>
      </c>
      <c r="B24" s="4" t="s">
        <v>54</v>
      </c>
      <c r="C24" s="4"/>
      <c r="D24" s="3" t="s">
        <v>53</v>
      </c>
      <c r="E24" s="3" t="str">
        <f aca="false">'CP-9'!B20</f>
        <v>Not Started</v>
      </c>
    </row>
    <row r="25" customFormat="false" ht="18" hidden="false" customHeight="true" outlineLevel="0" collapsed="false">
      <c r="A25" s="3" t="s">
        <v>55</v>
      </c>
      <c r="B25" s="4" t="s">
        <v>54</v>
      </c>
      <c r="C25" s="4"/>
      <c r="D25" s="3" t="s">
        <v>56</v>
      </c>
      <c r="E25" s="3" t="str">
        <f aca="false">'CP-9-1'!B20</f>
        <v>Not Started</v>
      </c>
    </row>
    <row r="26" customFormat="false" ht="18" hidden="false" customHeight="true" outlineLevel="0" collapsed="false">
      <c r="A26" s="3" t="s">
        <v>57</v>
      </c>
      <c r="B26" s="4" t="s">
        <v>54</v>
      </c>
      <c r="C26" s="4"/>
      <c r="D26" s="3" t="s">
        <v>58</v>
      </c>
      <c r="E26" s="3" t="str">
        <f aca="false">'CP-9-2'!B20</f>
        <v>Not Started</v>
      </c>
    </row>
    <row r="27" customFormat="false" ht="18" hidden="false" customHeight="true" outlineLevel="0" collapsed="false">
      <c r="A27" s="3" t="s">
        <v>59</v>
      </c>
      <c r="B27" s="4" t="s">
        <v>54</v>
      </c>
      <c r="C27" s="4"/>
      <c r="D27" s="3" t="s">
        <v>60</v>
      </c>
      <c r="E27" s="3" t="str">
        <f aca="false">'CP-9-5'!B20</f>
        <v>Not Started</v>
      </c>
    </row>
    <row r="28" customFormat="false" ht="18" hidden="false" customHeight="true" outlineLevel="0" collapsed="false">
      <c r="A28" s="3" t="s">
        <v>61</v>
      </c>
      <c r="B28" s="4" t="s">
        <v>62</v>
      </c>
      <c r="C28" s="4"/>
      <c r="D28" s="3" t="s">
        <v>61</v>
      </c>
      <c r="E28" s="3" t="str">
        <f aca="false">'CP-10'!B20</f>
        <v>Not Started</v>
      </c>
    </row>
    <row r="29" customFormat="false" ht="18" hidden="false" customHeight="true" outlineLevel="0" collapsed="false">
      <c r="A29" s="3" t="s">
        <v>63</v>
      </c>
      <c r="B29" s="4" t="s">
        <v>62</v>
      </c>
      <c r="C29" s="4"/>
      <c r="D29" s="3" t="s">
        <v>64</v>
      </c>
      <c r="E29" s="3" t="str">
        <f aca="false">'CP-10-4'!B20</f>
        <v>Not Started</v>
      </c>
    </row>
    <row r="30" customFormat="false" ht="18" hidden="false" customHeight="true" outlineLevel="0" collapsed="false">
      <c r="A30" s="3" t="s">
        <v>65</v>
      </c>
      <c r="B30" s="4" t="s">
        <v>66</v>
      </c>
      <c r="C30" s="4"/>
      <c r="D30" s="3" t="s">
        <v>67</v>
      </c>
      <c r="E30" s="3" t="str">
        <f aca="false">'IA-5-7'!B20</f>
        <v>Not Started</v>
      </c>
    </row>
    <row r="31" customFormat="false" ht="18" hidden="false" customHeight="true" outlineLevel="0" collapsed="false">
      <c r="A31" s="3" t="s">
        <v>68</v>
      </c>
      <c r="B31" s="4" t="s">
        <v>69</v>
      </c>
      <c r="C31" s="4"/>
      <c r="D31" s="3" t="s">
        <v>70</v>
      </c>
      <c r="E31" s="3" t="str">
        <f aca="false">'SA-9-5'!B20</f>
        <v>Not Started</v>
      </c>
    </row>
    <row r="32" customFormat="false" ht="18" hidden="false" customHeight="true" outlineLevel="0" collapsed="false">
      <c r="A32" s="3" t="s">
        <v>71</v>
      </c>
      <c r="B32" s="4" t="s">
        <v>72</v>
      </c>
      <c r="C32" s="4"/>
      <c r="D32" s="3" t="s">
        <v>71</v>
      </c>
      <c r="E32" s="3" t="str">
        <f aca="false">'SC-4'!B20</f>
        <v>Not Started</v>
      </c>
    </row>
    <row r="33" customFormat="false" ht="18" hidden="false" customHeight="true" outlineLevel="0" collapsed="false">
      <c r="A33" s="3" t="s">
        <v>73</v>
      </c>
      <c r="B33" s="4" t="s">
        <v>74</v>
      </c>
      <c r="C33" s="4"/>
      <c r="D33" s="3" t="s">
        <v>73</v>
      </c>
      <c r="E33" s="3" t="str">
        <f aca="false">'SC-8'!B20</f>
        <v>Not Started</v>
      </c>
    </row>
    <row r="34" customFormat="false" ht="18" hidden="false" customHeight="true" outlineLevel="0" collapsed="false">
      <c r="A34" s="3" t="s">
        <v>75</v>
      </c>
      <c r="B34" s="4" t="s">
        <v>74</v>
      </c>
      <c r="C34" s="4"/>
      <c r="D34" s="3" t="s">
        <v>76</v>
      </c>
      <c r="E34" s="3" t="str">
        <f aca="false">'SC-8-1'!B20</f>
        <v>Not Started</v>
      </c>
    </row>
    <row r="35" customFormat="false" ht="18" hidden="false" customHeight="true" outlineLevel="0" collapsed="false">
      <c r="A35" s="3" t="s">
        <v>77</v>
      </c>
      <c r="B35" s="4" t="s">
        <v>78</v>
      </c>
      <c r="C35" s="4"/>
      <c r="D35" s="3" t="s">
        <v>77</v>
      </c>
      <c r="E35" s="3" t="str">
        <f aca="false">'SC-10'!B20</f>
        <v>Not Started</v>
      </c>
    </row>
    <row r="36" customFormat="false" ht="18" hidden="false" customHeight="true" outlineLevel="0" collapsed="false">
      <c r="A36" s="3" t="s">
        <v>79</v>
      </c>
      <c r="B36" s="4" t="s">
        <v>80</v>
      </c>
      <c r="C36" s="4"/>
      <c r="D36" s="3" t="s">
        <v>79</v>
      </c>
      <c r="E36" s="3" t="str">
        <f aca="false">'SC-13'!B20</f>
        <v>Not Started</v>
      </c>
    </row>
    <row r="37" customFormat="false" ht="18" hidden="false" customHeight="true" outlineLevel="0" collapsed="false">
      <c r="A37" s="3" t="s">
        <v>81</v>
      </c>
      <c r="B37" s="4" t="s">
        <v>82</v>
      </c>
      <c r="C37" s="4"/>
      <c r="D37" s="3" t="s">
        <v>81</v>
      </c>
      <c r="E37" s="3" t="str">
        <f aca="false">'SC-18'!B20</f>
        <v>Not Started</v>
      </c>
    </row>
    <row r="38" customFormat="false" ht="18" hidden="false" customHeight="true" outlineLevel="0" collapsed="false">
      <c r="A38" s="3" t="s">
        <v>83</v>
      </c>
      <c r="B38" s="4" t="s">
        <v>82</v>
      </c>
      <c r="C38" s="4"/>
      <c r="D38" s="3" t="s">
        <v>84</v>
      </c>
      <c r="E38" s="3" t="str">
        <f aca="false">'SC-18-3'!B20</f>
        <v>Not Started</v>
      </c>
    </row>
    <row r="39" customFormat="false" ht="18" hidden="false" customHeight="true" outlineLevel="0" collapsed="false">
      <c r="A39" s="3" t="s">
        <v>85</v>
      </c>
      <c r="B39" s="4" t="s">
        <v>82</v>
      </c>
      <c r="C39" s="4"/>
      <c r="D39" s="3" t="s">
        <v>86</v>
      </c>
      <c r="E39" s="3" t="str">
        <f aca="false">'SC-18-4'!B20</f>
        <v>Not Started</v>
      </c>
    </row>
    <row r="40" customFormat="false" ht="18" hidden="false" customHeight="true" outlineLevel="0" collapsed="false">
      <c r="A40" s="3" t="s">
        <v>87</v>
      </c>
      <c r="B40" s="4" t="s">
        <v>88</v>
      </c>
      <c r="C40" s="4"/>
      <c r="D40" s="3" t="s">
        <v>87</v>
      </c>
      <c r="E40" s="3" t="str">
        <f aca="false">'SC-23'!B20</f>
        <v>Not Started</v>
      </c>
    </row>
    <row r="41" customFormat="false" ht="18" hidden="false" customHeight="true" outlineLevel="0" collapsed="false">
      <c r="A41" s="3" t="s">
        <v>89</v>
      </c>
      <c r="B41" s="4" t="s">
        <v>90</v>
      </c>
      <c r="C41" s="4"/>
      <c r="D41" s="3" t="s">
        <v>89</v>
      </c>
      <c r="E41" s="3" t="str">
        <f aca="false">'SC-28'!B20</f>
        <v>Not Started</v>
      </c>
    </row>
    <row r="42" customFormat="false" ht="18" hidden="false" customHeight="true" outlineLevel="0" collapsed="false">
      <c r="A42" s="3" t="s">
        <v>91</v>
      </c>
      <c r="B42" s="4" t="s">
        <v>90</v>
      </c>
      <c r="C42" s="4"/>
      <c r="D42" s="3" t="s">
        <v>92</v>
      </c>
      <c r="E42" s="3" t="str">
        <f aca="false">'SC-28-1'!B20</f>
        <v>Not Started</v>
      </c>
    </row>
    <row r="43" customFormat="false" ht="18" hidden="false" customHeight="true" outlineLevel="0" collapsed="false">
      <c r="A43" s="3" t="s">
        <v>93</v>
      </c>
      <c r="B43" s="4" t="s">
        <v>94</v>
      </c>
      <c r="C43" s="4"/>
      <c r="D43" s="3" t="s">
        <v>93</v>
      </c>
      <c r="E43" s="3" t="str">
        <f aca="false">'SC-39'!B20</f>
        <v>Not Started</v>
      </c>
    </row>
    <row r="44" customFormat="false" ht="18" hidden="false" customHeight="true" outlineLevel="0" collapsed="false">
      <c r="A44" s="3" t="s">
        <v>95</v>
      </c>
      <c r="B44" s="4" t="s">
        <v>96</v>
      </c>
      <c r="C44" s="4"/>
      <c r="D44" s="3" t="s">
        <v>97</v>
      </c>
      <c r="E44" s="3" t="str">
        <f aca="false">'SI-4-2'!B20</f>
        <v>Not Started</v>
      </c>
    </row>
    <row r="45" customFormat="false" ht="18" hidden="false" customHeight="true" outlineLevel="0" collapsed="false">
      <c r="A45" s="3" t="s">
        <v>98</v>
      </c>
      <c r="B45" s="4" t="s">
        <v>96</v>
      </c>
      <c r="C45" s="4"/>
      <c r="D45" s="3" t="s">
        <v>99</v>
      </c>
      <c r="E45" s="3" t="str">
        <f aca="false">'SI-4-23'!B20</f>
        <v>Not Started</v>
      </c>
    </row>
    <row r="46" customFormat="false" ht="18" hidden="false" customHeight="true" outlineLevel="0" collapsed="false">
      <c r="A46" s="3" t="s">
        <v>100</v>
      </c>
      <c r="B46" s="4" t="s">
        <v>101</v>
      </c>
      <c r="C46" s="4"/>
      <c r="D46" s="3" t="s">
        <v>100</v>
      </c>
      <c r="E46" s="3" t="str">
        <f aca="false">'SI-6'!B20</f>
        <v>Not Started</v>
      </c>
    </row>
    <row r="47" customFormat="false" ht="18" hidden="false" customHeight="true" outlineLevel="0" collapsed="false">
      <c r="A47" s="3" t="s">
        <v>102</v>
      </c>
      <c r="B47" s="4" t="s">
        <v>103</v>
      </c>
      <c r="C47" s="4"/>
      <c r="D47" s="3" t="s">
        <v>102</v>
      </c>
      <c r="E47" s="3" t="str">
        <f aca="false">'SI-7'!B20</f>
        <v>Not Started</v>
      </c>
    </row>
    <row r="48" customFormat="false" ht="18" hidden="false" customHeight="true" outlineLevel="0" collapsed="false">
      <c r="A48" s="3" t="s">
        <v>104</v>
      </c>
      <c r="B48" s="4" t="s">
        <v>103</v>
      </c>
      <c r="C48" s="4"/>
      <c r="D48" s="3" t="s">
        <v>105</v>
      </c>
      <c r="E48" s="3" t="str">
        <f aca="false">'SI-7-1'!B20</f>
        <v>Not Started</v>
      </c>
    </row>
    <row r="50" customFormat="false" ht="21.75" hidden="false" customHeight="true" outlineLevel="0" collapsed="false">
      <c r="A50" s="5" t="s">
        <v>106</v>
      </c>
      <c r="B50" s="5"/>
      <c r="C50" s="5"/>
      <c r="D50" s="5"/>
      <c r="E50" s="5"/>
    </row>
    <row r="51" customFormat="false" ht="19.5" hidden="false" customHeight="true" outlineLevel="0" collapsed="false">
      <c r="A51" s="6" t="s">
        <v>107</v>
      </c>
      <c r="B51" s="6"/>
      <c r="C51" s="6"/>
      <c r="D51" s="6"/>
      <c r="E51" s="7" t="n">
        <f aca="false">46</f>
        <v>46</v>
      </c>
    </row>
    <row r="52" customFormat="false" ht="19.5" hidden="false" customHeight="true" outlineLevel="0" collapsed="false">
      <c r="A52" s="6" t="s">
        <v>108</v>
      </c>
      <c r="B52" s="6"/>
      <c r="C52" s="6"/>
      <c r="D52" s="6"/>
      <c r="E52" s="7" t="n">
        <f aca="false">COUNTIF(E3:E48,"Not Started")</f>
        <v>46</v>
      </c>
    </row>
    <row r="53" customFormat="false" ht="19.5" hidden="false" customHeight="true" outlineLevel="0" collapsed="false">
      <c r="A53" s="6" t="s">
        <v>109</v>
      </c>
      <c r="B53" s="6"/>
      <c r="C53" s="6"/>
      <c r="D53" s="6"/>
      <c r="E53" s="7" t="n">
        <f aca="false">COUNTIF(E3:E48,"In Progress")</f>
        <v>0</v>
      </c>
    </row>
    <row r="54" customFormat="false" ht="19.5" hidden="false" customHeight="true" outlineLevel="0" collapsed="false">
      <c r="A54" s="6" t="s">
        <v>110</v>
      </c>
      <c r="B54" s="6"/>
      <c r="C54" s="6"/>
      <c r="D54" s="6"/>
      <c r="E54" s="7" t="n">
        <f aca="false">COUNTIF(E3:E48,"Evidence Provided")</f>
        <v>0</v>
      </c>
    </row>
    <row r="55" customFormat="false" ht="19.5" hidden="false" customHeight="true" outlineLevel="0" collapsed="false">
      <c r="A55" s="6" t="s">
        <v>111</v>
      </c>
      <c r="B55" s="6"/>
      <c r="C55" s="6"/>
      <c r="D55" s="6"/>
      <c r="E55" s="7" t="n">
        <f aca="false">COUNTIF(E3:E48,"Under Review")</f>
        <v>0</v>
      </c>
    </row>
    <row r="56" customFormat="false" ht="19.5" hidden="false" customHeight="true" outlineLevel="0" collapsed="false">
      <c r="A56" s="6" t="s">
        <v>112</v>
      </c>
      <c r="B56" s="6"/>
      <c r="C56" s="6"/>
      <c r="D56" s="6"/>
      <c r="E56" s="7" t="n">
        <f aca="false">COUNTIF(E3:E48,"Passed")</f>
        <v>0</v>
      </c>
    </row>
    <row r="57" customFormat="false" ht="19.5" hidden="false" customHeight="true" outlineLevel="0" collapsed="false">
      <c r="A57" s="6" t="s">
        <v>113</v>
      </c>
      <c r="B57" s="6"/>
      <c r="C57" s="6"/>
      <c r="D57" s="6"/>
      <c r="E57" s="7" t="n">
        <f aca="false">COUNTIF(E3:E48,"Failed")</f>
        <v>0</v>
      </c>
    </row>
    <row r="58" customFormat="false" ht="19.5" hidden="false" customHeight="true" outlineLevel="0" collapsed="false">
      <c r="A58" s="6" t="s">
        <v>114</v>
      </c>
      <c r="B58" s="6"/>
      <c r="C58" s="6"/>
      <c r="D58" s="6"/>
      <c r="E58" s="7" t="n">
        <f aca="false">COUNTIF(E3:E48,"Accepted Exception")</f>
        <v>0</v>
      </c>
    </row>
    <row r="59" customFormat="false" ht="19.5" hidden="false" customHeight="true" outlineLevel="0" collapsed="false">
      <c r="A59" s="6" t="s">
        <v>115</v>
      </c>
      <c r="B59" s="6"/>
      <c r="C59" s="6"/>
      <c r="D59" s="6"/>
      <c r="E59" s="8" t="n">
        <f aca="false">IFERROR(COUNTIF(E3:E48,"Passed")/46,0)</f>
        <v>0</v>
      </c>
    </row>
    <row r="60" customFormat="false" ht="19.5" hidden="false" customHeight="true" outlineLevel="0" collapsed="false">
      <c r="A60" s="6" t="s">
        <v>116</v>
      </c>
      <c r="B60" s="6"/>
      <c r="C60" s="6"/>
      <c r="D60" s="6"/>
      <c r="E60" s="8" t="n">
        <f aca="false">IFERROR(COUNTIF(E3:E48,"Not Started")/46,0)</f>
        <v>1</v>
      </c>
    </row>
  </sheetData>
  <mergeCells count="12">
    <mergeCell ref="A1:E1"/>
    <mergeCell ref="A50:E50"/>
    <mergeCell ref="A51:D51"/>
    <mergeCell ref="A52:D52"/>
    <mergeCell ref="A53:D53"/>
    <mergeCell ref="A54:D54"/>
    <mergeCell ref="A55:D55"/>
    <mergeCell ref="A56:D56"/>
    <mergeCell ref="A57:D57"/>
    <mergeCell ref="A58:D58"/>
    <mergeCell ref="A59:D59"/>
    <mergeCell ref="A60:D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117</v>
      </c>
      <c r="B1" s="1"/>
      <c r="C1" s="1"/>
      <c r="D1" s="1"/>
      <c r="E1" s="1"/>
    </row>
    <row r="2" customFormat="false" ht="21.75" hidden="false" customHeight="true" outlineLevel="0" collapsed="false">
      <c r="A2" s="2" t="s">
        <v>118</v>
      </c>
      <c r="B2" s="2" t="s">
        <v>119</v>
      </c>
      <c r="C2" s="2" t="s">
        <v>120</v>
      </c>
      <c r="D2" s="2" t="s">
        <v>121</v>
      </c>
      <c r="E2" s="2" t="s">
        <v>122</v>
      </c>
    </row>
    <row r="3" customFormat="false" ht="18" hidden="false" customHeight="true" outlineLevel="0" collapsed="false">
      <c r="A3" s="3" t="s">
        <v>6</v>
      </c>
      <c r="B3" s="4" t="s">
        <v>123</v>
      </c>
      <c r="C3" s="4"/>
      <c r="D3" s="3" t="s">
        <v>6</v>
      </c>
      <c r="E3" s="3" t="str">
        <f aca="false">'AC-6'!E20</f>
        <v>Non commencé</v>
      </c>
    </row>
    <row r="4" customFormat="false" ht="18" hidden="false" customHeight="true" outlineLevel="0" collapsed="false">
      <c r="A4" s="3" t="s">
        <v>8</v>
      </c>
      <c r="B4" s="4" t="s">
        <v>123</v>
      </c>
      <c r="C4" s="4"/>
      <c r="D4" s="3" t="s">
        <v>9</v>
      </c>
      <c r="E4" s="3" t="str">
        <f aca="false">'AC-6-1'!E20</f>
        <v>Non commencé</v>
      </c>
    </row>
    <row r="5" customFormat="false" ht="18" hidden="false" customHeight="true" outlineLevel="0" collapsed="false">
      <c r="A5" s="3" t="s">
        <v>10</v>
      </c>
      <c r="B5" s="4" t="s">
        <v>124</v>
      </c>
      <c r="C5" s="4"/>
      <c r="D5" s="3" t="s">
        <v>12</v>
      </c>
      <c r="E5" s="3" t="str">
        <f aca="false">'AC-17-3'!E20</f>
        <v>Non commencé</v>
      </c>
    </row>
    <row r="6" customFormat="false" ht="18" hidden="false" customHeight="true" outlineLevel="0" collapsed="false">
      <c r="A6" s="3" t="s">
        <v>13</v>
      </c>
      <c r="B6" s="4" t="s">
        <v>125</v>
      </c>
      <c r="C6" s="4"/>
      <c r="D6" s="3" t="s">
        <v>13</v>
      </c>
      <c r="E6" s="3" t="str">
        <f aca="false">'AU-2'!E20</f>
        <v>Non commencé</v>
      </c>
    </row>
    <row r="7" customFormat="false" ht="18" hidden="false" customHeight="true" outlineLevel="0" collapsed="false">
      <c r="A7" s="3" t="s">
        <v>15</v>
      </c>
      <c r="B7" s="4" t="s">
        <v>126</v>
      </c>
      <c r="C7" s="4"/>
      <c r="D7" s="3" t="s">
        <v>15</v>
      </c>
      <c r="E7" s="3" t="str">
        <f aca="false">'AU-3'!E20</f>
        <v>Non commencé</v>
      </c>
    </row>
    <row r="8" customFormat="false" ht="18" hidden="false" customHeight="true" outlineLevel="0" collapsed="false">
      <c r="A8" s="3" t="s">
        <v>17</v>
      </c>
      <c r="B8" s="4" t="s">
        <v>126</v>
      </c>
      <c r="C8" s="4"/>
      <c r="D8" s="3" t="s">
        <v>18</v>
      </c>
      <c r="E8" s="3" t="str">
        <f aca="false">'AU-3-1'!E20</f>
        <v>Non commencé</v>
      </c>
    </row>
    <row r="9" customFormat="false" ht="18" hidden="false" customHeight="true" outlineLevel="0" collapsed="false">
      <c r="A9" s="3" t="s">
        <v>19</v>
      </c>
      <c r="B9" s="4" t="s">
        <v>127</v>
      </c>
      <c r="C9" s="4"/>
      <c r="D9" s="3" t="s">
        <v>21</v>
      </c>
      <c r="E9" s="3" t="str">
        <f aca="false">'AU-9-2'!E20</f>
        <v>Non commencé</v>
      </c>
    </row>
    <row r="10" customFormat="false" ht="18" hidden="false" customHeight="true" outlineLevel="0" collapsed="false">
      <c r="A10" s="3" t="s">
        <v>22</v>
      </c>
      <c r="B10" s="4" t="s">
        <v>128</v>
      </c>
      <c r="C10" s="4"/>
      <c r="D10" s="3" t="s">
        <v>22</v>
      </c>
      <c r="E10" s="3" t="str">
        <f aca="false">'AU-12'!E20</f>
        <v>Non commencé</v>
      </c>
    </row>
    <row r="11" customFormat="false" ht="18" hidden="false" customHeight="true" outlineLevel="0" collapsed="false">
      <c r="A11" s="3" t="s">
        <v>24</v>
      </c>
      <c r="B11" s="4" t="s">
        <v>129</v>
      </c>
      <c r="C11" s="4"/>
      <c r="D11" s="3" t="s">
        <v>26</v>
      </c>
      <c r="E11" s="3" t="str">
        <f aca="false">'CA-3-5'!E20</f>
        <v>Non commencé</v>
      </c>
    </row>
    <row r="12" customFormat="false" ht="18" hidden="false" customHeight="true" outlineLevel="0" collapsed="false">
      <c r="A12" s="3" t="s">
        <v>27</v>
      </c>
      <c r="B12" s="4" t="s">
        <v>130</v>
      </c>
      <c r="C12" s="4"/>
      <c r="D12" s="3" t="s">
        <v>27</v>
      </c>
      <c r="E12" s="3" t="str">
        <f aca="false">'CA-9'!E20</f>
        <v>Non commencé</v>
      </c>
    </row>
    <row r="13" customFormat="false" ht="18" hidden="false" customHeight="true" outlineLevel="0" collapsed="false">
      <c r="A13" s="3" t="s">
        <v>29</v>
      </c>
      <c r="B13" s="4" t="s">
        <v>131</v>
      </c>
      <c r="C13" s="4"/>
      <c r="D13" s="3" t="s">
        <v>31</v>
      </c>
      <c r="E13" s="3" t="str">
        <f aca="false">'CM-2-3'!E20</f>
        <v>Non commencé</v>
      </c>
    </row>
    <row r="14" customFormat="false" ht="18" hidden="false" customHeight="true" outlineLevel="0" collapsed="false">
      <c r="A14" s="3" t="s">
        <v>32</v>
      </c>
      <c r="B14" s="4" t="s">
        <v>132</v>
      </c>
      <c r="C14" s="4"/>
      <c r="D14" s="3" t="s">
        <v>34</v>
      </c>
      <c r="E14" s="3" t="str">
        <f aca="false">'CM-5-6'!E20</f>
        <v>Non commencé</v>
      </c>
    </row>
    <row r="15" customFormat="false" ht="18" hidden="false" customHeight="true" outlineLevel="0" collapsed="false">
      <c r="A15" s="3" t="s">
        <v>35</v>
      </c>
      <c r="B15" s="4" t="s">
        <v>133</v>
      </c>
      <c r="C15" s="4"/>
      <c r="D15" s="3" t="s">
        <v>35</v>
      </c>
      <c r="E15" s="3" t="str">
        <f aca="false">'CM-6'!E20</f>
        <v>Non commencé</v>
      </c>
    </row>
    <row r="16" customFormat="false" ht="18" hidden="false" customHeight="true" outlineLevel="0" collapsed="false">
      <c r="A16" s="3" t="s">
        <v>37</v>
      </c>
      <c r="B16" s="4" t="s">
        <v>134</v>
      </c>
      <c r="C16" s="4"/>
      <c r="D16" s="3" t="s">
        <v>37</v>
      </c>
      <c r="E16" s="3" t="str">
        <f aca="false">'CM-7'!E20</f>
        <v>Non commencé</v>
      </c>
    </row>
    <row r="17" customFormat="false" ht="18" hidden="false" customHeight="true" outlineLevel="0" collapsed="false">
      <c r="A17" s="3" t="s">
        <v>39</v>
      </c>
      <c r="B17" s="4" t="s">
        <v>134</v>
      </c>
      <c r="C17" s="4"/>
      <c r="D17" s="3" t="s">
        <v>40</v>
      </c>
      <c r="E17" s="3" t="str">
        <f aca="false">'CM-7-1'!E20</f>
        <v>Non commencé</v>
      </c>
    </row>
    <row r="18" customFormat="false" ht="18" hidden="false" customHeight="true" outlineLevel="0" collapsed="false">
      <c r="A18" s="3" t="s">
        <v>41</v>
      </c>
      <c r="B18" s="4" t="s">
        <v>134</v>
      </c>
      <c r="C18" s="4"/>
      <c r="D18" s="3" t="s">
        <v>42</v>
      </c>
      <c r="E18" s="3" t="str">
        <f aca="false">'CM-7-5'!E20</f>
        <v>Non commencé</v>
      </c>
    </row>
    <row r="19" customFormat="false" ht="18" hidden="false" customHeight="true" outlineLevel="0" collapsed="false">
      <c r="A19" s="3" t="s">
        <v>43</v>
      </c>
      <c r="B19" s="4" t="s">
        <v>135</v>
      </c>
      <c r="C19" s="4"/>
      <c r="D19" s="3" t="s">
        <v>43</v>
      </c>
      <c r="E19" s="3" t="str">
        <f aca="false">'CM-11'!E20</f>
        <v>Non commencé</v>
      </c>
    </row>
    <row r="20" customFormat="false" ht="18" hidden="false" customHeight="true" outlineLevel="0" collapsed="false">
      <c r="A20" s="3" t="s">
        <v>45</v>
      </c>
      <c r="B20" s="4" t="s">
        <v>136</v>
      </c>
      <c r="C20" s="4"/>
      <c r="D20" s="3" t="s">
        <v>45</v>
      </c>
      <c r="E20" s="3" t="str">
        <f aca="false">'CP-6'!E20</f>
        <v>Non commencé</v>
      </c>
    </row>
    <row r="21" customFormat="false" ht="18" hidden="false" customHeight="true" outlineLevel="0" collapsed="false">
      <c r="A21" s="3" t="s">
        <v>47</v>
      </c>
      <c r="B21" s="4" t="s">
        <v>136</v>
      </c>
      <c r="C21" s="4"/>
      <c r="D21" s="3" t="s">
        <v>48</v>
      </c>
      <c r="E21" s="3" t="str">
        <f aca="false">'CP-6-2'!E20</f>
        <v>Non commencé</v>
      </c>
    </row>
    <row r="22" customFormat="false" ht="18" hidden="false" customHeight="true" outlineLevel="0" collapsed="false">
      <c r="A22" s="3" t="s">
        <v>49</v>
      </c>
      <c r="B22" s="4" t="s">
        <v>137</v>
      </c>
      <c r="C22" s="4"/>
      <c r="D22" s="3" t="s">
        <v>49</v>
      </c>
      <c r="E22" s="3" t="str">
        <f aca="false">'CP-7'!E20</f>
        <v>Non commencé</v>
      </c>
    </row>
    <row r="23" customFormat="false" ht="18" hidden="false" customHeight="true" outlineLevel="0" collapsed="false">
      <c r="A23" s="3" t="s">
        <v>51</v>
      </c>
      <c r="B23" s="4" t="s">
        <v>137</v>
      </c>
      <c r="C23" s="4"/>
      <c r="D23" s="3" t="s">
        <v>52</v>
      </c>
      <c r="E23" s="3" t="str">
        <f aca="false">'CP-7-4'!E20</f>
        <v>Non commencé</v>
      </c>
    </row>
    <row r="24" customFormat="false" ht="18" hidden="false" customHeight="true" outlineLevel="0" collapsed="false">
      <c r="A24" s="3" t="s">
        <v>53</v>
      </c>
      <c r="B24" s="4" t="s">
        <v>138</v>
      </c>
      <c r="C24" s="4"/>
      <c r="D24" s="3" t="s">
        <v>53</v>
      </c>
      <c r="E24" s="3" t="str">
        <f aca="false">'CP-9'!E20</f>
        <v>Non commencé</v>
      </c>
    </row>
    <row r="25" customFormat="false" ht="18" hidden="false" customHeight="true" outlineLevel="0" collapsed="false">
      <c r="A25" s="3" t="s">
        <v>55</v>
      </c>
      <c r="B25" s="4" t="s">
        <v>138</v>
      </c>
      <c r="C25" s="4"/>
      <c r="D25" s="3" t="s">
        <v>56</v>
      </c>
      <c r="E25" s="3" t="str">
        <f aca="false">'CP-9-1'!E20</f>
        <v>Non commencé</v>
      </c>
    </row>
    <row r="26" customFormat="false" ht="18" hidden="false" customHeight="true" outlineLevel="0" collapsed="false">
      <c r="A26" s="3" t="s">
        <v>57</v>
      </c>
      <c r="B26" s="4" t="s">
        <v>138</v>
      </c>
      <c r="C26" s="4"/>
      <c r="D26" s="3" t="s">
        <v>58</v>
      </c>
      <c r="E26" s="3" t="str">
        <f aca="false">'CP-9-2'!E20</f>
        <v>Non commencé</v>
      </c>
    </row>
    <row r="27" customFormat="false" ht="18" hidden="false" customHeight="true" outlineLevel="0" collapsed="false">
      <c r="A27" s="3" t="s">
        <v>59</v>
      </c>
      <c r="B27" s="4" t="s">
        <v>138</v>
      </c>
      <c r="C27" s="4"/>
      <c r="D27" s="3" t="s">
        <v>60</v>
      </c>
      <c r="E27" s="3" t="str">
        <f aca="false">'CP-9-5'!E20</f>
        <v>Non commencé</v>
      </c>
    </row>
    <row r="28" customFormat="false" ht="18" hidden="false" customHeight="true" outlineLevel="0" collapsed="false">
      <c r="A28" s="3" t="s">
        <v>61</v>
      </c>
      <c r="B28" s="4" t="s">
        <v>139</v>
      </c>
      <c r="C28" s="4"/>
      <c r="D28" s="3" t="s">
        <v>61</v>
      </c>
      <c r="E28" s="3" t="str">
        <f aca="false">'CP-10'!E20</f>
        <v>Non commencé</v>
      </c>
    </row>
    <row r="29" customFormat="false" ht="18" hidden="false" customHeight="true" outlineLevel="0" collapsed="false">
      <c r="A29" s="3" t="s">
        <v>63</v>
      </c>
      <c r="B29" s="4" t="s">
        <v>139</v>
      </c>
      <c r="C29" s="4"/>
      <c r="D29" s="3" t="s">
        <v>64</v>
      </c>
      <c r="E29" s="3" t="str">
        <f aca="false">'CP-10-4'!E20</f>
        <v>Non commencé</v>
      </c>
    </row>
    <row r="30" customFormat="false" ht="18" hidden="false" customHeight="true" outlineLevel="0" collapsed="false">
      <c r="A30" s="3" t="s">
        <v>65</v>
      </c>
      <c r="B30" s="4" t="s">
        <v>140</v>
      </c>
      <c r="C30" s="4"/>
      <c r="D30" s="3" t="s">
        <v>67</v>
      </c>
      <c r="E30" s="3" t="str">
        <f aca="false">'IA-5-7'!E20</f>
        <v>Non commencé</v>
      </c>
    </row>
    <row r="31" customFormat="false" ht="18" hidden="false" customHeight="true" outlineLevel="0" collapsed="false">
      <c r="A31" s="3" t="s">
        <v>68</v>
      </c>
      <c r="B31" s="4" t="s">
        <v>141</v>
      </c>
      <c r="C31" s="4"/>
      <c r="D31" s="3" t="s">
        <v>70</v>
      </c>
      <c r="E31" s="3" t="str">
        <f aca="false">'SA-9-5'!E20</f>
        <v>Non commencé</v>
      </c>
    </row>
    <row r="32" customFormat="false" ht="18" hidden="false" customHeight="true" outlineLevel="0" collapsed="false">
      <c r="A32" s="3" t="s">
        <v>71</v>
      </c>
      <c r="B32" s="4" t="s">
        <v>142</v>
      </c>
      <c r="C32" s="4"/>
      <c r="D32" s="3" t="s">
        <v>71</v>
      </c>
      <c r="E32" s="3" t="str">
        <f aca="false">'SC-4'!E20</f>
        <v>Non commencé</v>
      </c>
    </row>
    <row r="33" customFormat="false" ht="18" hidden="false" customHeight="true" outlineLevel="0" collapsed="false">
      <c r="A33" s="3" t="s">
        <v>73</v>
      </c>
      <c r="B33" s="4" t="s">
        <v>143</v>
      </c>
      <c r="C33" s="4"/>
      <c r="D33" s="3" t="s">
        <v>73</v>
      </c>
      <c r="E33" s="3" t="str">
        <f aca="false">'SC-8'!E20</f>
        <v>Non commencé</v>
      </c>
    </row>
    <row r="34" customFormat="false" ht="18" hidden="false" customHeight="true" outlineLevel="0" collapsed="false">
      <c r="A34" s="3" t="s">
        <v>75</v>
      </c>
      <c r="B34" s="4" t="s">
        <v>143</v>
      </c>
      <c r="C34" s="4"/>
      <c r="D34" s="3" t="s">
        <v>76</v>
      </c>
      <c r="E34" s="3" t="str">
        <f aca="false">'SC-8-1'!E20</f>
        <v>Non commencé</v>
      </c>
    </row>
    <row r="35" customFormat="false" ht="18" hidden="false" customHeight="true" outlineLevel="0" collapsed="false">
      <c r="A35" s="3" t="s">
        <v>77</v>
      </c>
      <c r="B35" s="4" t="s">
        <v>144</v>
      </c>
      <c r="C35" s="4"/>
      <c r="D35" s="3" t="s">
        <v>77</v>
      </c>
      <c r="E35" s="3" t="str">
        <f aca="false">'SC-10'!E20</f>
        <v>Non commencé</v>
      </c>
    </row>
    <row r="36" customFormat="false" ht="18" hidden="false" customHeight="true" outlineLevel="0" collapsed="false">
      <c r="A36" s="3" t="s">
        <v>79</v>
      </c>
      <c r="B36" s="4" t="s">
        <v>145</v>
      </c>
      <c r="C36" s="4"/>
      <c r="D36" s="3" t="s">
        <v>79</v>
      </c>
      <c r="E36" s="3" t="str">
        <f aca="false">'SC-13'!E20</f>
        <v>Non commencé</v>
      </c>
    </row>
    <row r="37" customFormat="false" ht="18" hidden="false" customHeight="true" outlineLevel="0" collapsed="false">
      <c r="A37" s="3" t="s">
        <v>81</v>
      </c>
      <c r="B37" s="4" t="s">
        <v>146</v>
      </c>
      <c r="C37" s="4"/>
      <c r="D37" s="3" t="s">
        <v>81</v>
      </c>
      <c r="E37" s="3" t="str">
        <f aca="false">'SC-18'!E20</f>
        <v>Non commencé</v>
      </c>
    </row>
    <row r="38" customFormat="false" ht="18" hidden="false" customHeight="true" outlineLevel="0" collapsed="false">
      <c r="A38" s="3" t="s">
        <v>83</v>
      </c>
      <c r="B38" s="4" t="s">
        <v>146</v>
      </c>
      <c r="C38" s="4"/>
      <c r="D38" s="3" t="s">
        <v>84</v>
      </c>
      <c r="E38" s="3" t="str">
        <f aca="false">'SC-18-3'!E20</f>
        <v>Non commencé</v>
      </c>
    </row>
    <row r="39" customFormat="false" ht="18" hidden="false" customHeight="true" outlineLevel="0" collapsed="false">
      <c r="A39" s="3" t="s">
        <v>85</v>
      </c>
      <c r="B39" s="4" t="s">
        <v>146</v>
      </c>
      <c r="C39" s="4"/>
      <c r="D39" s="3" t="s">
        <v>86</v>
      </c>
      <c r="E39" s="3" t="str">
        <f aca="false">'SC-18-4'!E20</f>
        <v>Non commencé</v>
      </c>
    </row>
    <row r="40" customFormat="false" ht="18" hidden="false" customHeight="true" outlineLevel="0" collapsed="false">
      <c r="A40" s="3" t="s">
        <v>87</v>
      </c>
      <c r="B40" s="4" t="s">
        <v>147</v>
      </c>
      <c r="C40" s="4"/>
      <c r="D40" s="3" t="s">
        <v>87</v>
      </c>
      <c r="E40" s="3" t="str">
        <f aca="false">'SC-23'!E20</f>
        <v>Non commencé</v>
      </c>
    </row>
    <row r="41" customFormat="false" ht="18" hidden="false" customHeight="true" outlineLevel="0" collapsed="false">
      <c r="A41" s="3" t="s">
        <v>89</v>
      </c>
      <c r="B41" s="4" t="s">
        <v>148</v>
      </c>
      <c r="C41" s="4"/>
      <c r="D41" s="3" t="s">
        <v>89</v>
      </c>
      <c r="E41" s="3" t="str">
        <f aca="false">'SC-28'!E20</f>
        <v>Non commencé</v>
      </c>
    </row>
    <row r="42" customFormat="false" ht="18" hidden="false" customHeight="true" outlineLevel="0" collapsed="false">
      <c r="A42" s="3" t="s">
        <v>91</v>
      </c>
      <c r="B42" s="4" t="s">
        <v>148</v>
      </c>
      <c r="C42" s="4"/>
      <c r="D42" s="3" t="s">
        <v>92</v>
      </c>
      <c r="E42" s="3" t="str">
        <f aca="false">'SC-28-1'!E20</f>
        <v>Non commencé</v>
      </c>
    </row>
    <row r="43" customFormat="false" ht="18" hidden="false" customHeight="true" outlineLevel="0" collapsed="false">
      <c r="A43" s="3" t="s">
        <v>93</v>
      </c>
      <c r="B43" s="4" t="s">
        <v>149</v>
      </c>
      <c r="C43" s="4"/>
      <c r="D43" s="3" t="s">
        <v>93</v>
      </c>
      <c r="E43" s="3" t="str">
        <f aca="false">'SC-39'!E20</f>
        <v>Non commencé</v>
      </c>
    </row>
    <row r="44" customFormat="false" ht="18" hidden="false" customHeight="true" outlineLevel="0" collapsed="false">
      <c r="A44" s="3" t="s">
        <v>95</v>
      </c>
      <c r="B44" s="4" t="s">
        <v>150</v>
      </c>
      <c r="C44" s="4"/>
      <c r="D44" s="3" t="s">
        <v>97</v>
      </c>
      <c r="E44" s="3" t="str">
        <f aca="false">'SI-4-2'!E20</f>
        <v>Non commencé</v>
      </c>
    </row>
    <row r="45" customFormat="false" ht="18" hidden="false" customHeight="true" outlineLevel="0" collapsed="false">
      <c r="A45" s="3" t="s">
        <v>98</v>
      </c>
      <c r="B45" s="4" t="s">
        <v>150</v>
      </c>
      <c r="C45" s="4"/>
      <c r="D45" s="3" t="s">
        <v>99</v>
      </c>
      <c r="E45" s="3" t="str">
        <f aca="false">'SI-4-23'!E20</f>
        <v>Non commencé</v>
      </c>
    </row>
    <row r="46" customFormat="false" ht="18" hidden="false" customHeight="true" outlineLevel="0" collapsed="false">
      <c r="A46" s="3" t="s">
        <v>100</v>
      </c>
      <c r="B46" s="4" t="s">
        <v>151</v>
      </c>
      <c r="C46" s="4"/>
      <c r="D46" s="3" t="s">
        <v>100</v>
      </c>
      <c r="E46" s="3" t="str">
        <f aca="false">'SI-6'!E20</f>
        <v>Non commencé</v>
      </c>
    </row>
    <row r="47" customFormat="false" ht="18" hidden="false" customHeight="true" outlineLevel="0" collapsed="false">
      <c r="A47" s="3" t="s">
        <v>102</v>
      </c>
      <c r="B47" s="4" t="s">
        <v>152</v>
      </c>
      <c r="C47" s="4"/>
      <c r="D47" s="3" t="s">
        <v>102</v>
      </c>
      <c r="E47" s="3" t="str">
        <f aca="false">'SI-7'!E20</f>
        <v>Non commencé</v>
      </c>
    </row>
    <row r="48" customFormat="false" ht="18" hidden="false" customHeight="true" outlineLevel="0" collapsed="false">
      <c r="A48" s="3" t="s">
        <v>104</v>
      </c>
      <c r="B48" s="4" t="s">
        <v>152</v>
      </c>
      <c r="C48" s="4"/>
      <c r="D48" s="3" t="s">
        <v>105</v>
      </c>
      <c r="E48" s="3" t="str">
        <f aca="false">'SI-7-1'!E20</f>
        <v>Non commencé</v>
      </c>
    </row>
    <row r="50" customFormat="false" ht="21.75" hidden="false" customHeight="true" outlineLevel="0" collapsed="false">
      <c r="A50" s="5" t="s">
        <v>153</v>
      </c>
      <c r="B50" s="5"/>
      <c r="C50" s="5"/>
      <c r="D50" s="5"/>
      <c r="E50" s="5"/>
    </row>
    <row r="51" customFormat="false" ht="19.5" hidden="false" customHeight="true" outlineLevel="0" collapsed="false">
      <c r="A51" s="6" t="s">
        <v>154</v>
      </c>
      <c r="B51" s="6"/>
      <c r="C51" s="6"/>
      <c r="D51" s="6"/>
      <c r="E51" s="7" t="n">
        <f aca="false">46</f>
        <v>46</v>
      </c>
    </row>
    <row r="52" customFormat="false" ht="19.5" hidden="false" customHeight="true" outlineLevel="0" collapsed="false">
      <c r="A52" s="6" t="s">
        <v>155</v>
      </c>
      <c r="B52" s="6"/>
      <c r="C52" s="6"/>
      <c r="D52" s="6"/>
      <c r="E52" s="7" t="n">
        <f aca="false">COUNTIF(E3:E48,"Non commencé")</f>
        <v>46</v>
      </c>
    </row>
    <row r="53" customFormat="false" ht="19.5" hidden="false" customHeight="true" outlineLevel="0" collapsed="false">
      <c r="A53" s="6" t="s">
        <v>156</v>
      </c>
      <c r="B53" s="6"/>
      <c r="C53" s="6"/>
      <c r="D53" s="6"/>
      <c r="E53" s="7" t="n">
        <f aca="false">COUNTIF(E3:E48,"En cours")</f>
        <v>0</v>
      </c>
    </row>
    <row r="54" customFormat="false" ht="19.5" hidden="false" customHeight="true" outlineLevel="0" collapsed="false">
      <c r="A54" s="6" t="s">
        <v>157</v>
      </c>
      <c r="B54" s="6"/>
      <c r="C54" s="6"/>
      <c r="D54" s="6"/>
      <c r="E54" s="7" t="n">
        <f aca="false">COUNTIF(E3:E48,"Preuve fournie")</f>
        <v>0</v>
      </c>
    </row>
    <row r="55" customFormat="false" ht="19.5" hidden="false" customHeight="true" outlineLevel="0" collapsed="false">
      <c r="A55" s="6" t="s">
        <v>158</v>
      </c>
      <c r="B55" s="6"/>
      <c r="C55" s="6"/>
      <c r="D55" s="6"/>
      <c r="E55" s="7" t="n">
        <f aca="false">COUNTIF(E3:E48,"En révision")</f>
        <v>0</v>
      </c>
    </row>
    <row r="56" customFormat="false" ht="19.5" hidden="false" customHeight="true" outlineLevel="0" collapsed="false">
      <c r="A56" s="6" t="s">
        <v>159</v>
      </c>
      <c r="B56" s="6"/>
      <c r="C56" s="6"/>
      <c r="D56" s="6"/>
      <c r="E56" s="7" t="n">
        <f aca="false">COUNTIF(E3:E48,"Réussi")</f>
        <v>0</v>
      </c>
    </row>
    <row r="57" customFormat="false" ht="19.5" hidden="false" customHeight="true" outlineLevel="0" collapsed="false">
      <c r="A57" s="6" t="s">
        <v>160</v>
      </c>
      <c r="B57" s="6"/>
      <c r="C57" s="6"/>
      <c r="D57" s="6"/>
      <c r="E57" s="7" t="n">
        <f aca="false">COUNTIF(E3:E48,"Échec")</f>
        <v>0</v>
      </c>
    </row>
    <row r="58" customFormat="false" ht="19.5" hidden="false" customHeight="true" outlineLevel="0" collapsed="false">
      <c r="A58" s="6" t="s">
        <v>161</v>
      </c>
      <c r="B58" s="6"/>
      <c r="C58" s="6"/>
      <c r="D58" s="6"/>
      <c r="E58" s="7" t="n">
        <f aca="false">COUNTIF(E3:E48,"Exception acceptée")</f>
        <v>0</v>
      </c>
    </row>
    <row r="59" customFormat="false" ht="19.5" hidden="false" customHeight="true" outlineLevel="0" collapsed="false">
      <c r="A59" s="6" t="s">
        <v>162</v>
      </c>
      <c r="B59" s="6"/>
      <c r="C59" s="6"/>
      <c r="D59" s="6"/>
      <c r="E59" s="8" t="n">
        <f aca="false">IFERROR(COUNTIF(E3:E48,"Réussi")/46,0)</f>
        <v>0</v>
      </c>
    </row>
    <row r="60" customFormat="false" ht="19.5" hidden="false" customHeight="true" outlineLevel="0" collapsed="false">
      <c r="A60" s="6" t="s">
        <v>163</v>
      </c>
      <c r="B60" s="6"/>
      <c r="C60" s="6"/>
      <c r="D60" s="6"/>
      <c r="E60" s="8" t="n">
        <f aca="false">IFERROR(COUNTIF(E3:E48,"Non commencé")/46,0)</f>
        <v>1</v>
      </c>
    </row>
  </sheetData>
  <mergeCells count="12">
    <mergeCell ref="A1:E1"/>
    <mergeCell ref="A50:E50"/>
    <mergeCell ref="A51:D51"/>
    <mergeCell ref="A52:D52"/>
    <mergeCell ref="A53:D53"/>
    <mergeCell ref="A54:D54"/>
    <mergeCell ref="A55:D55"/>
    <mergeCell ref="A56:D56"/>
    <mergeCell ref="A57:D57"/>
    <mergeCell ref="A58:D58"/>
    <mergeCell ref="A59:D59"/>
    <mergeCell ref="A60:D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164</v>
      </c>
      <c r="B1" s="9"/>
      <c r="D1" s="9" t="s">
        <v>165</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6</v>
      </c>
      <c r="D3" s="11" t="s">
        <v>169</v>
      </c>
      <c r="E3" s="12" t="s">
        <v>6</v>
      </c>
    </row>
    <row r="4" customFormat="false" ht="21.75" hidden="false" customHeight="true" outlineLevel="0" collapsed="false">
      <c r="A4" s="11" t="s">
        <v>170</v>
      </c>
      <c r="B4" s="12" t="s">
        <v>7</v>
      </c>
      <c r="D4" s="11" t="s">
        <v>171</v>
      </c>
      <c r="E4" s="12" t="s">
        <v>123</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64.5" hidden="false" customHeight="true" outlineLevel="0" collapsed="false">
      <c r="A8" s="11" t="s">
        <v>180</v>
      </c>
      <c r="B8" s="12" t="s">
        <v>181</v>
      </c>
      <c r="D8" s="11" t="s">
        <v>182</v>
      </c>
      <c r="E8" s="12" t="s">
        <v>183</v>
      </c>
    </row>
    <row r="9" customFormat="false" ht="156" hidden="false" customHeight="true" outlineLevel="0" collapsed="false">
      <c r="A9" s="11" t="s">
        <v>184</v>
      </c>
      <c r="B9" s="12" t="s">
        <v>185</v>
      </c>
      <c r="D9" s="11" t="s">
        <v>186</v>
      </c>
      <c r="E9" s="12" t="s">
        <v>187</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191</v>
      </c>
      <c r="D11" s="11" t="s">
        <v>190</v>
      </c>
      <c r="E11" s="12" t="s">
        <v>191</v>
      </c>
    </row>
    <row r="12" customFormat="false" ht="21.75" hidden="false" customHeight="true" outlineLevel="0" collapsed="false">
      <c r="A12" s="11" t="s">
        <v>192</v>
      </c>
      <c r="B12" s="12" t="s">
        <v>6</v>
      </c>
      <c r="D12" s="11" t="s">
        <v>193</v>
      </c>
      <c r="E12" s="12" t="s">
        <v>6</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209</v>
      </c>
      <c r="B1" s="9"/>
      <c r="D1" s="9" t="s">
        <v>210</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8</v>
      </c>
      <c r="D3" s="11" t="s">
        <v>169</v>
      </c>
      <c r="E3" s="12" t="s">
        <v>8</v>
      </c>
    </row>
    <row r="4" customFormat="false" ht="21.75" hidden="false" customHeight="true" outlineLevel="0" collapsed="false">
      <c r="A4" s="11" t="s">
        <v>170</v>
      </c>
      <c r="B4" s="12" t="s">
        <v>7</v>
      </c>
      <c r="D4" s="11" t="s">
        <v>171</v>
      </c>
      <c r="E4" s="12" t="s">
        <v>123</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51.75" hidden="false" customHeight="true" outlineLevel="0" collapsed="false">
      <c r="A8" s="11" t="s">
        <v>180</v>
      </c>
      <c r="B8" s="12" t="s">
        <v>211</v>
      </c>
      <c r="D8" s="11" t="s">
        <v>182</v>
      </c>
      <c r="E8" s="12" t="s">
        <v>212</v>
      </c>
    </row>
    <row r="9" customFormat="false" ht="168.75" hidden="false" customHeight="true" outlineLevel="0" collapsed="false">
      <c r="A9" s="11" t="s">
        <v>184</v>
      </c>
      <c r="B9" s="12" t="s">
        <v>213</v>
      </c>
      <c r="D9" s="11" t="s">
        <v>186</v>
      </c>
      <c r="E9" s="12" t="s">
        <v>214</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215</v>
      </c>
      <c r="D11" s="11" t="s">
        <v>190</v>
      </c>
      <c r="E11" s="12" t="s">
        <v>215</v>
      </c>
    </row>
    <row r="12" customFormat="false" ht="21.75" hidden="false" customHeight="true" outlineLevel="0" collapsed="false">
      <c r="A12" s="11" t="s">
        <v>192</v>
      </c>
      <c r="B12" s="12" t="s">
        <v>8</v>
      </c>
      <c r="D12" s="11" t="s">
        <v>193</v>
      </c>
      <c r="E12" s="12" t="s">
        <v>8</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216</v>
      </c>
      <c r="B1" s="9"/>
      <c r="D1" s="9" t="s">
        <v>217</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10</v>
      </c>
      <c r="D3" s="11" t="s">
        <v>169</v>
      </c>
      <c r="E3" s="12" t="s">
        <v>10</v>
      </c>
    </row>
    <row r="4" customFormat="false" ht="21.75" hidden="false" customHeight="true" outlineLevel="0" collapsed="false">
      <c r="A4" s="11" t="s">
        <v>170</v>
      </c>
      <c r="B4" s="12" t="s">
        <v>11</v>
      </c>
      <c r="D4" s="11" t="s">
        <v>171</v>
      </c>
      <c r="E4" s="12" t="s">
        <v>124</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45" hidden="false" customHeight="true" outlineLevel="0" collapsed="false">
      <c r="A8" s="11" t="s">
        <v>180</v>
      </c>
      <c r="B8" s="12" t="s">
        <v>218</v>
      </c>
      <c r="D8" s="11" t="s">
        <v>182</v>
      </c>
      <c r="E8" s="12" t="s">
        <v>219</v>
      </c>
    </row>
    <row r="9" customFormat="false" ht="45" hidden="false" customHeight="true" outlineLevel="0" collapsed="false">
      <c r="A9" s="11" t="s">
        <v>184</v>
      </c>
      <c r="B9" s="12" t="s">
        <v>220</v>
      </c>
      <c r="D9" s="11" t="s">
        <v>186</v>
      </c>
      <c r="E9" s="12" t="s">
        <v>221</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222</v>
      </c>
      <c r="D11" s="11" t="s">
        <v>190</v>
      </c>
      <c r="E11" s="12" t="s">
        <v>222</v>
      </c>
    </row>
    <row r="12" customFormat="false" ht="21.75" hidden="false" customHeight="true" outlineLevel="0" collapsed="false">
      <c r="A12" s="11" t="s">
        <v>192</v>
      </c>
      <c r="B12" s="12" t="s">
        <v>10</v>
      </c>
      <c r="D12" s="11" t="s">
        <v>193</v>
      </c>
      <c r="E12" s="12" t="s">
        <v>10</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223</v>
      </c>
      <c r="B1" s="9"/>
      <c r="D1" s="9" t="s">
        <v>224</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13</v>
      </c>
      <c r="D3" s="11" t="s">
        <v>169</v>
      </c>
      <c r="E3" s="12" t="s">
        <v>13</v>
      </c>
    </row>
    <row r="4" customFormat="false" ht="21.75" hidden="false" customHeight="true" outlineLevel="0" collapsed="false">
      <c r="A4" s="11" t="s">
        <v>170</v>
      </c>
      <c r="B4" s="12" t="s">
        <v>14</v>
      </c>
      <c r="D4" s="11" t="s">
        <v>171</v>
      </c>
      <c r="E4" s="12" t="s">
        <v>125</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234" hidden="false" customHeight="true" outlineLevel="0" collapsed="false">
      <c r="A8" s="11" t="s">
        <v>180</v>
      </c>
      <c r="B8" s="12" t="s">
        <v>225</v>
      </c>
      <c r="D8" s="11" t="s">
        <v>182</v>
      </c>
      <c r="E8" s="12" t="s">
        <v>226</v>
      </c>
    </row>
    <row r="9" customFormat="false" ht="300" hidden="false" customHeight="true" outlineLevel="0" collapsed="false">
      <c r="A9" s="11" t="s">
        <v>184</v>
      </c>
      <c r="B9" s="12" t="s">
        <v>227</v>
      </c>
      <c r="D9" s="11" t="s">
        <v>186</v>
      </c>
      <c r="E9" s="12" t="s">
        <v>228</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229</v>
      </c>
      <c r="D11" s="11" t="s">
        <v>190</v>
      </c>
      <c r="E11" s="12" t="s">
        <v>229</v>
      </c>
    </row>
    <row r="12" customFormat="false" ht="21.75" hidden="false" customHeight="true" outlineLevel="0" collapsed="false">
      <c r="A12" s="11" t="s">
        <v>192</v>
      </c>
      <c r="B12" s="12" t="s">
        <v>13</v>
      </c>
      <c r="D12" s="11" t="s">
        <v>193</v>
      </c>
      <c r="E12" s="12" t="s">
        <v>13</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230</v>
      </c>
      <c r="B1" s="9"/>
      <c r="D1" s="9" t="s">
        <v>231</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15</v>
      </c>
      <c r="D3" s="11" t="s">
        <v>169</v>
      </c>
      <c r="E3" s="12" t="s">
        <v>15</v>
      </c>
    </row>
    <row r="4" customFormat="false" ht="21.75" hidden="false" customHeight="true" outlineLevel="0" collapsed="false">
      <c r="A4" s="11" t="s">
        <v>170</v>
      </c>
      <c r="B4" s="12" t="s">
        <v>16</v>
      </c>
      <c r="D4" s="11" t="s">
        <v>171</v>
      </c>
      <c r="E4" s="12" t="s">
        <v>126</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64.5" hidden="false" customHeight="true" outlineLevel="0" collapsed="false">
      <c r="A8" s="11" t="s">
        <v>180</v>
      </c>
      <c r="B8" s="12" t="s">
        <v>232</v>
      </c>
      <c r="D8" s="11" t="s">
        <v>182</v>
      </c>
      <c r="E8" s="12" t="s">
        <v>233</v>
      </c>
    </row>
    <row r="9" customFormat="false" ht="129.75" hidden="false" customHeight="true" outlineLevel="0" collapsed="false">
      <c r="A9" s="11" t="s">
        <v>184</v>
      </c>
      <c r="B9" s="12" t="s">
        <v>234</v>
      </c>
      <c r="D9" s="11" t="s">
        <v>186</v>
      </c>
      <c r="E9" s="12" t="s">
        <v>235</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236</v>
      </c>
      <c r="D11" s="11" t="s">
        <v>190</v>
      </c>
      <c r="E11" s="12" t="s">
        <v>236</v>
      </c>
    </row>
    <row r="12" customFormat="false" ht="21.75" hidden="false" customHeight="true" outlineLevel="0" collapsed="false">
      <c r="A12" s="11" t="s">
        <v>192</v>
      </c>
      <c r="B12" s="12" t="s">
        <v>15</v>
      </c>
      <c r="D12" s="11" t="s">
        <v>193</v>
      </c>
      <c r="E12" s="12" t="s">
        <v>15</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237</v>
      </c>
      <c r="B1" s="9"/>
      <c r="D1" s="9" t="s">
        <v>238</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17</v>
      </c>
      <c r="D3" s="11" t="s">
        <v>169</v>
      </c>
      <c r="E3" s="12" t="s">
        <v>17</v>
      </c>
    </row>
    <row r="4" customFormat="false" ht="21.75" hidden="false" customHeight="true" outlineLevel="0" collapsed="false">
      <c r="A4" s="11" t="s">
        <v>170</v>
      </c>
      <c r="B4" s="12" t="s">
        <v>16</v>
      </c>
      <c r="D4" s="11" t="s">
        <v>171</v>
      </c>
      <c r="E4" s="12" t="s">
        <v>126</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103.5" hidden="false" customHeight="true" outlineLevel="0" collapsed="false">
      <c r="A8" s="11" t="s">
        <v>180</v>
      </c>
      <c r="B8" s="12" t="s">
        <v>239</v>
      </c>
      <c r="D8" s="11" t="s">
        <v>182</v>
      </c>
      <c r="E8" s="12" t="s">
        <v>240</v>
      </c>
    </row>
    <row r="9" customFormat="false" ht="181.5" hidden="false" customHeight="true" outlineLevel="0" collapsed="false">
      <c r="A9" s="11" t="s">
        <v>184</v>
      </c>
      <c r="B9" s="12" t="s">
        <v>241</v>
      </c>
      <c r="D9" s="11" t="s">
        <v>186</v>
      </c>
      <c r="E9" s="12" t="s">
        <v>242</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243</v>
      </c>
      <c r="D11" s="11" t="s">
        <v>190</v>
      </c>
      <c r="E11" s="12" t="s">
        <v>243</v>
      </c>
    </row>
    <row r="12" customFormat="false" ht="21.75" hidden="false" customHeight="true" outlineLevel="0" collapsed="false">
      <c r="A12" s="11" t="s">
        <v>192</v>
      </c>
      <c r="B12" s="12" t="s">
        <v>17</v>
      </c>
      <c r="D12" s="11" t="s">
        <v>193</v>
      </c>
      <c r="E12" s="12" t="s">
        <v>17</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244</v>
      </c>
      <c r="B1" s="9"/>
      <c r="D1" s="9" t="s">
        <v>245</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19</v>
      </c>
      <c r="D3" s="11" t="s">
        <v>169</v>
      </c>
      <c r="E3" s="12" t="s">
        <v>19</v>
      </c>
    </row>
    <row r="4" customFormat="false" ht="21.75" hidden="false" customHeight="true" outlineLevel="0" collapsed="false">
      <c r="A4" s="11" t="s">
        <v>170</v>
      </c>
      <c r="B4" s="12" t="s">
        <v>20</v>
      </c>
      <c r="D4" s="11" t="s">
        <v>171</v>
      </c>
      <c r="E4" s="12" t="s">
        <v>127</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64.5" hidden="false" customHeight="true" outlineLevel="0" collapsed="false">
      <c r="A8" s="11" t="s">
        <v>180</v>
      </c>
      <c r="B8" s="12" t="s">
        <v>246</v>
      </c>
      <c r="D8" s="11" t="s">
        <v>182</v>
      </c>
      <c r="E8" s="12" t="s">
        <v>247</v>
      </c>
    </row>
    <row r="9" customFormat="false" ht="51.75" hidden="false" customHeight="true" outlineLevel="0" collapsed="false">
      <c r="A9" s="11" t="s">
        <v>184</v>
      </c>
      <c r="B9" s="12" t="s">
        <v>248</v>
      </c>
      <c r="D9" s="11" t="s">
        <v>186</v>
      </c>
      <c r="E9" s="12" t="s">
        <v>249</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250</v>
      </c>
      <c r="D11" s="11" t="s">
        <v>190</v>
      </c>
      <c r="E11" s="12" t="s">
        <v>250</v>
      </c>
    </row>
    <row r="12" customFormat="false" ht="21.75" hidden="false" customHeight="true" outlineLevel="0" collapsed="false">
      <c r="A12" s="11" t="s">
        <v>192</v>
      </c>
      <c r="B12" s="12" t="s">
        <v>19</v>
      </c>
      <c r="D12" s="11" t="s">
        <v>193</v>
      </c>
      <c r="E12" s="12" t="s">
        <v>19</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251</v>
      </c>
      <c r="B1" s="9"/>
      <c r="D1" s="9" t="s">
        <v>252</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22</v>
      </c>
      <c r="D3" s="11" t="s">
        <v>169</v>
      </c>
      <c r="E3" s="12" t="s">
        <v>22</v>
      </c>
    </row>
    <row r="4" customFormat="false" ht="21.75" hidden="false" customHeight="true" outlineLevel="0" collapsed="false">
      <c r="A4" s="11" t="s">
        <v>170</v>
      </c>
      <c r="B4" s="12" t="s">
        <v>23</v>
      </c>
      <c r="D4" s="11" t="s">
        <v>171</v>
      </c>
      <c r="E4" s="12" t="s">
        <v>128</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117" hidden="false" customHeight="true" outlineLevel="0" collapsed="false">
      <c r="A8" s="11" t="s">
        <v>180</v>
      </c>
      <c r="B8" s="12" t="s">
        <v>253</v>
      </c>
      <c r="D8" s="11" t="s">
        <v>182</v>
      </c>
      <c r="E8" s="12" t="s">
        <v>254</v>
      </c>
    </row>
    <row r="9" customFormat="false" ht="90.75" hidden="false" customHeight="true" outlineLevel="0" collapsed="false">
      <c r="A9" s="11" t="s">
        <v>184</v>
      </c>
      <c r="B9" s="12" t="s">
        <v>255</v>
      </c>
      <c r="D9" s="11" t="s">
        <v>186</v>
      </c>
      <c r="E9" s="12" t="s">
        <v>256</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257</v>
      </c>
      <c r="D11" s="11" t="s">
        <v>190</v>
      </c>
      <c r="E11" s="12" t="s">
        <v>257</v>
      </c>
    </row>
    <row r="12" customFormat="false" ht="21.75" hidden="false" customHeight="true" outlineLevel="0" collapsed="false">
      <c r="A12" s="11" t="s">
        <v>192</v>
      </c>
      <c r="B12" s="12" t="s">
        <v>22</v>
      </c>
      <c r="D12" s="11" t="s">
        <v>193</v>
      </c>
      <c r="E12" s="12" t="s">
        <v>22</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258</v>
      </c>
      <c r="B1" s="9"/>
      <c r="D1" s="9" t="s">
        <v>259</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24</v>
      </c>
      <c r="D3" s="11" t="s">
        <v>169</v>
      </c>
      <c r="E3" s="12" t="s">
        <v>24</v>
      </c>
    </row>
    <row r="4" customFormat="false" ht="21.75" hidden="false" customHeight="true" outlineLevel="0" collapsed="false">
      <c r="A4" s="11" t="s">
        <v>170</v>
      </c>
      <c r="B4" s="12" t="s">
        <v>25</v>
      </c>
      <c r="D4" s="11" t="s">
        <v>171</v>
      </c>
      <c r="E4" s="12" t="s">
        <v>129</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51.75" hidden="false" customHeight="true" outlineLevel="0" collapsed="false">
      <c r="A8" s="11" t="s">
        <v>180</v>
      </c>
      <c r="B8" s="12" t="s">
        <v>260</v>
      </c>
      <c r="D8" s="11" t="s">
        <v>182</v>
      </c>
      <c r="E8" s="12" t="s">
        <v>261</v>
      </c>
    </row>
    <row r="9" customFormat="false" ht="103.5" hidden="false" customHeight="true" outlineLevel="0" collapsed="false">
      <c r="A9" s="11" t="s">
        <v>184</v>
      </c>
      <c r="B9" s="12" t="s">
        <v>262</v>
      </c>
      <c r="D9" s="11" t="s">
        <v>186</v>
      </c>
      <c r="E9" s="12" t="s">
        <v>263</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264</v>
      </c>
      <c r="D11" s="11" t="s">
        <v>190</v>
      </c>
      <c r="E11" s="12" t="s">
        <v>264</v>
      </c>
    </row>
    <row r="12" customFormat="false" ht="21.75" hidden="false" customHeight="true" outlineLevel="0" collapsed="false">
      <c r="A12" s="11" t="s">
        <v>192</v>
      </c>
      <c r="B12" s="12" t="s">
        <v>24</v>
      </c>
      <c r="D12" s="11" t="s">
        <v>193</v>
      </c>
      <c r="E12" s="12" t="s">
        <v>24</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265</v>
      </c>
      <c r="B1" s="9"/>
      <c r="D1" s="9" t="s">
        <v>266</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27</v>
      </c>
      <c r="D3" s="11" t="s">
        <v>169</v>
      </c>
      <c r="E3" s="12" t="s">
        <v>27</v>
      </c>
    </row>
    <row r="4" customFormat="false" ht="21.75" hidden="false" customHeight="true" outlineLevel="0" collapsed="false">
      <c r="A4" s="11" t="s">
        <v>170</v>
      </c>
      <c r="B4" s="12" t="s">
        <v>28</v>
      </c>
      <c r="D4" s="11" t="s">
        <v>171</v>
      </c>
      <c r="E4" s="12" t="s">
        <v>130</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64.5" hidden="false" customHeight="true" outlineLevel="0" collapsed="false">
      <c r="A8" s="11" t="s">
        <v>180</v>
      </c>
      <c r="B8" s="12" t="s">
        <v>267</v>
      </c>
      <c r="D8" s="11" t="s">
        <v>182</v>
      </c>
      <c r="E8" s="12" t="s">
        <v>268</v>
      </c>
    </row>
    <row r="9" customFormat="false" ht="181.5" hidden="false" customHeight="true" outlineLevel="0" collapsed="false">
      <c r="A9" s="11" t="s">
        <v>184</v>
      </c>
      <c r="B9" s="12" t="s">
        <v>269</v>
      </c>
      <c r="D9" s="11" t="s">
        <v>186</v>
      </c>
      <c r="E9" s="12" t="s">
        <v>270</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271</v>
      </c>
      <c r="D11" s="11" t="s">
        <v>190</v>
      </c>
      <c r="E11" s="12" t="s">
        <v>271</v>
      </c>
    </row>
    <row r="12" customFormat="false" ht="21.75" hidden="false" customHeight="true" outlineLevel="0" collapsed="false">
      <c r="A12" s="11" t="s">
        <v>192</v>
      </c>
      <c r="B12" s="12" t="s">
        <v>27</v>
      </c>
      <c r="D12" s="11" t="s">
        <v>193</v>
      </c>
      <c r="E12" s="12" t="s">
        <v>27</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272</v>
      </c>
      <c r="B1" s="9"/>
      <c r="D1" s="9" t="s">
        <v>273</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29</v>
      </c>
      <c r="D3" s="11" t="s">
        <v>169</v>
      </c>
      <c r="E3" s="12" t="s">
        <v>29</v>
      </c>
    </row>
    <row r="4" customFormat="false" ht="21.75" hidden="false" customHeight="true" outlineLevel="0" collapsed="false">
      <c r="A4" s="11" t="s">
        <v>170</v>
      </c>
      <c r="B4" s="12" t="s">
        <v>30</v>
      </c>
      <c r="D4" s="11" t="s">
        <v>171</v>
      </c>
      <c r="E4" s="12" t="s">
        <v>131</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51.75" hidden="false" customHeight="true" outlineLevel="0" collapsed="false">
      <c r="A8" s="11" t="s">
        <v>180</v>
      </c>
      <c r="B8" s="12" t="s">
        <v>274</v>
      </c>
      <c r="D8" s="11" t="s">
        <v>182</v>
      </c>
      <c r="E8" s="12" t="s">
        <v>275</v>
      </c>
    </row>
    <row r="9" customFormat="false" ht="51.75" hidden="false" customHeight="true" outlineLevel="0" collapsed="false">
      <c r="A9" s="11" t="s">
        <v>184</v>
      </c>
      <c r="B9" s="12" t="s">
        <v>276</v>
      </c>
      <c r="D9" s="11" t="s">
        <v>186</v>
      </c>
      <c r="E9" s="12" t="s">
        <v>277</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278</v>
      </c>
      <c r="D11" s="11" t="s">
        <v>190</v>
      </c>
      <c r="E11" s="12" t="s">
        <v>278</v>
      </c>
    </row>
    <row r="12" customFormat="false" ht="21.75" hidden="false" customHeight="true" outlineLevel="0" collapsed="false">
      <c r="A12" s="11" t="s">
        <v>192</v>
      </c>
      <c r="B12" s="12" t="s">
        <v>29</v>
      </c>
      <c r="D12" s="11" t="s">
        <v>193</v>
      </c>
      <c r="E12" s="12" t="s">
        <v>29</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279</v>
      </c>
      <c r="B1" s="9"/>
      <c r="D1" s="9" t="s">
        <v>280</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32</v>
      </c>
      <c r="D3" s="11" t="s">
        <v>169</v>
      </c>
      <c r="E3" s="12" t="s">
        <v>32</v>
      </c>
    </row>
    <row r="4" customFormat="false" ht="21.75" hidden="false" customHeight="true" outlineLevel="0" collapsed="false">
      <c r="A4" s="11" t="s">
        <v>170</v>
      </c>
      <c r="B4" s="12" t="s">
        <v>33</v>
      </c>
      <c r="D4" s="11" t="s">
        <v>171</v>
      </c>
      <c r="E4" s="12" t="s">
        <v>132</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51.75" hidden="false" customHeight="true" outlineLevel="0" collapsed="false">
      <c r="A8" s="11" t="s">
        <v>180</v>
      </c>
      <c r="B8" s="12" t="s">
        <v>281</v>
      </c>
      <c r="D8" s="11" t="s">
        <v>182</v>
      </c>
      <c r="E8" s="12" t="s">
        <v>282</v>
      </c>
    </row>
    <row r="9" customFormat="false" ht="45" hidden="false" customHeight="true" outlineLevel="0" collapsed="false">
      <c r="A9" s="11" t="s">
        <v>184</v>
      </c>
      <c r="B9" s="12" t="s">
        <v>283</v>
      </c>
      <c r="D9" s="11" t="s">
        <v>186</v>
      </c>
      <c r="E9" s="12" t="s">
        <v>284</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285</v>
      </c>
      <c r="D11" s="11" t="s">
        <v>190</v>
      </c>
      <c r="E11" s="12" t="s">
        <v>285</v>
      </c>
    </row>
    <row r="12" customFormat="false" ht="21.75" hidden="false" customHeight="true" outlineLevel="0" collapsed="false">
      <c r="A12" s="11" t="s">
        <v>192</v>
      </c>
      <c r="B12" s="12" t="s">
        <v>32</v>
      </c>
      <c r="D12" s="11" t="s">
        <v>193</v>
      </c>
      <c r="E12" s="12" t="s">
        <v>32</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286</v>
      </c>
      <c r="B1" s="9"/>
      <c r="D1" s="9" t="s">
        <v>287</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35</v>
      </c>
      <c r="D3" s="11" t="s">
        <v>169</v>
      </c>
      <c r="E3" s="12" t="s">
        <v>35</v>
      </c>
    </row>
    <row r="4" customFormat="false" ht="21.75" hidden="false" customHeight="true" outlineLevel="0" collapsed="false">
      <c r="A4" s="11" t="s">
        <v>170</v>
      </c>
      <c r="B4" s="12" t="s">
        <v>36</v>
      </c>
      <c r="D4" s="11" t="s">
        <v>171</v>
      </c>
      <c r="E4" s="12" t="s">
        <v>133</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168.75" hidden="false" customHeight="true" outlineLevel="0" collapsed="false">
      <c r="A8" s="11" t="s">
        <v>180</v>
      </c>
      <c r="B8" s="12" t="s">
        <v>288</v>
      </c>
      <c r="D8" s="11" t="s">
        <v>182</v>
      </c>
      <c r="E8" s="12" t="s">
        <v>289</v>
      </c>
    </row>
    <row r="9" customFormat="false" ht="300" hidden="false" customHeight="true" outlineLevel="0" collapsed="false">
      <c r="A9" s="11" t="s">
        <v>184</v>
      </c>
      <c r="B9" s="12" t="s">
        <v>290</v>
      </c>
      <c r="D9" s="11" t="s">
        <v>186</v>
      </c>
      <c r="E9" s="12" t="s">
        <v>291</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292</v>
      </c>
      <c r="D11" s="11" t="s">
        <v>190</v>
      </c>
      <c r="E11" s="12" t="s">
        <v>292</v>
      </c>
    </row>
    <row r="12" customFormat="false" ht="21.75" hidden="false" customHeight="true" outlineLevel="0" collapsed="false">
      <c r="A12" s="11" t="s">
        <v>192</v>
      </c>
      <c r="B12" s="12" t="s">
        <v>35</v>
      </c>
      <c r="D12" s="11" t="s">
        <v>193</v>
      </c>
      <c r="E12" s="12" t="s">
        <v>35</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293</v>
      </c>
      <c r="B1" s="9"/>
      <c r="D1" s="9" t="s">
        <v>294</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37</v>
      </c>
      <c r="D3" s="11" t="s">
        <v>169</v>
      </c>
      <c r="E3" s="12" t="s">
        <v>37</v>
      </c>
    </row>
    <row r="4" customFormat="false" ht="21.75" hidden="false" customHeight="true" outlineLevel="0" collapsed="false">
      <c r="A4" s="11" t="s">
        <v>170</v>
      </c>
      <c r="B4" s="12" t="s">
        <v>38</v>
      </c>
      <c r="D4" s="11" t="s">
        <v>171</v>
      </c>
      <c r="E4" s="12" t="s">
        <v>134</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78" hidden="false" customHeight="true" outlineLevel="0" collapsed="false">
      <c r="A8" s="11" t="s">
        <v>180</v>
      </c>
      <c r="B8" s="12" t="s">
        <v>295</v>
      </c>
      <c r="D8" s="11" t="s">
        <v>182</v>
      </c>
      <c r="E8" s="12" t="s">
        <v>296</v>
      </c>
    </row>
    <row r="9" customFormat="false" ht="300" hidden="false" customHeight="true" outlineLevel="0" collapsed="false">
      <c r="A9" s="11" t="s">
        <v>184</v>
      </c>
      <c r="B9" s="12" t="s">
        <v>297</v>
      </c>
      <c r="D9" s="11" t="s">
        <v>186</v>
      </c>
      <c r="E9" s="12" t="s">
        <v>298</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299</v>
      </c>
      <c r="D11" s="11" t="s">
        <v>190</v>
      </c>
      <c r="E11" s="12" t="s">
        <v>299</v>
      </c>
    </row>
    <row r="12" customFormat="false" ht="21.75" hidden="false" customHeight="true" outlineLevel="0" collapsed="false">
      <c r="A12" s="11" t="s">
        <v>192</v>
      </c>
      <c r="B12" s="12" t="s">
        <v>37</v>
      </c>
      <c r="D12" s="11" t="s">
        <v>193</v>
      </c>
      <c r="E12" s="12" t="s">
        <v>37</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300</v>
      </c>
      <c r="B1" s="9"/>
      <c r="D1" s="9" t="s">
        <v>301</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39</v>
      </c>
      <c r="D3" s="11" t="s">
        <v>169</v>
      </c>
      <c r="E3" s="12" t="s">
        <v>39</v>
      </c>
    </row>
    <row r="4" customFormat="false" ht="21.75" hidden="false" customHeight="true" outlineLevel="0" collapsed="false">
      <c r="A4" s="11" t="s">
        <v>170</v>
      </c>
      <c r="B4" s="12" t="s">
        <v>38</v>
      </c>
      <c r="D4" s="11" t="s">
        <v>171</v>
      </c>
      <c r="E4" s="12" t="s">
        <v>134</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78" hidden="false" customHeight="true" outlineLevel="0" collapsed="false">
      <c r="A8" s="11" t="s">
        <v>180</v>
      </c>
      <c r="B8" s="12" t="s">
        <v>302</v>
      </c>
      <c r="D8" s="11" t="s">
        <v>182</v>
      </c>
      <c r="E8" s="12" t="s">
        <v>303</v>
      </c>
    </row>
    <row r="9" customFormat="false" ht="64.5" hidden="false" customHeight="true" outlineLevel="0" collapsed="false">
      <c r="A9" s="11" t="s">
        <v>184</v>
      </c>
      <c r="B9" s="12" t="s">
        <v>304</v>
      </c>
      <c r="D9" s="11" t="s">
        <v>186</v>
      </c>
      <c r="E9" s="12" t="s">
        <v>305</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306</v>
      </c>
      <c r="D11" s="11" t="s">
        <v>190</v>
      </c>
      <c r="E11" s="12" t="s">
        <v>306</v>
      </c>
    </row>
    <row r="12" customFormat="false" ht="21.75" hidden="false" customHeight="true" outlineLevel="0" collapsed="false">
      <c r="A12" s="11" t="s">
        <v>192</v>
      </c>
      <c r="B12" s="12" t="s">
        <v>39</v>
      </c>
      <c r="D12" s="11" t="s">
        <v>193</v>
      </c>
      <c r="E12" s="12" t="s">
        <v>39</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307</v>
      </c>
      <c r="B1" s="9"/>
      <c r="D1" s="9" t="s">
        <v>308</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41</v>
      </c>
      <c r="D3" s="11" t="s">
        <v>169</v>
      </c>
      <c r="E3" s="12" t="s">
        <v>41</v>
      </c>
    </row>
    <row r="4" customFormat="false" ht="21.75" hidden="false" customHeight="true" outlineLevel="0" collapsed="false">
      <c r="A4" s="11" t="s">
        <v>170</v>
      </c>
      <c r="B4" s="12" t="s">
        <v>38</v>
      </c>
      <c r="D4" s="11" t="s">
        <v>171</v>
      </c>
      <c r="E4" s="12" t="s">
        <v>134</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103.5" hidden="false" customHeight="true" outlineLevel="0" collapsed="false">
      <c r="A8" s="11" t="s">
        <v>180</v>
      </c>
      <c r="B8" s="12" t="s">
        <v>309</v>
      </c>
      <c r="D8" s="11" t="s">
        <v>182</v>
      </c>
      <c r="E8" s="12" t="s">
        <v>310</v>
      </c>
    </row>
    <row r="9" customFormat="false" ht="117" hidden="false" customHeight="true" outlineLevel="0" collapsed="false">
      <c r="A9" s="11" t="s">
        <v>184</v>
      </c>
      <c r="B9" s="12" t="s">
        <v>311</v>
      </c>
      <c r="D9" s="11" t="s">
        <v>186</v>
      </c>
      <c r="E9" s="12" t="s">
        <v>312</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313</v>
      </c>
      <c r="D11" s="11" t="s">
        <v>190</v>
      </c>
      <c r="E11" s="12" t="s">
        <v>313</v>
      </c>
    </row>
    <row r="12" customFormat="false" ht="21.75" hidden="false" customHeight="true" outlineLevel="0" collapsed="false">
      <c r="A12" s="11" t="s">
        <v>192</v>
      </c>
      <c r="B12" s="12" t="s">
        <v>41</v>
      </c>
      <c r="D12" s="11" t="s">
        <v>193</v>
      </c>
      <c r="E12" s="12" t="s">
        <v>41</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314</v>
      </c>
      <c r="B1" s="9"/>
      <c r="D1" s="9" t="s">
        <v>315</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43</v>
      </c>
      <c r="D3" s="11" t="s">
        <v>169</v>
      </c>
      <c r="E3" s="12" t="s">
        <v>43</v>
      </c>
    </row>
    <row r="4" customFormat="false" ht="21.75" hidden="false" customHeight="true" outlineLevel="0" collapsed="false">
      <c r="A4" s="11" t="s">
        <v>170</v>
      </c>
      <c r="B4" s="12" t="s">
        <v>44</v>
      </c>
      <c r="D4" s="11" t="s">
        <v>171</v>
      </c>
      <c r="E4" s="12" t="s">
        <v>135</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78" hidden="false" customHeight="true" outlineLevel="0" collapsed="false">
      <c r="A8" s="11" t="s">
        <v>180</v>
      </c>
      <c r="B8" s="12" t="s">
        <v>316</v>
      </c>
      <c r="D8" s="11" t="s">
        <v>182</v>
      </c>
      <c r="E8" s="12" t="s">
        <v>317</v>
      </c>
    </row>
    <row r="9" customFormat="false" ht="246.75" hidden="false" customHeight="true" outlineLevel="0" collapsed="false">
      <c r="A9" s="11" t="s">
        <v>184</v>
      </c>
      <c r="B9" s="12" t="s">
        <v>318</v>
      </c>
      <c r="D9" s="11" t="s">
        <v>186</v>
      </c>
      <c r="E9" s="12" t="s">
        <v>319</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320</v>
      </c>
      <c r="D11" s="11" t="s">
        <v>190</v>
      </c>
      <c r="E11" s="12" t="s">
        <v>320</v>
      </c>
    </row>
    <row r="12" customFormat="false" ht="21.75" hidden="false" customHeight="true" outlineLevel="0" collapsed="false">
      <c r="A12" s="11" t="s">
        <v>192</v>
      </c>
      <c r="B12" s="12" t="s">
        <v>43</v>
      </c>
      <c r="D12" s="11" t="s">
        <v>193</v>
      </c>
      <c r="E12" s="12" t="s">
        <v>43</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321</v>
      </c>
      <c r="B1" s="9"/>
      <c r="D1" s="9" t="s">
        <v>322</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45</v>
      </c>
      <c r="D3" s="11" t="s">
        <v>169</v>
      </c>
      <c r="E3" s="12" t="s">
        <v>45</v>
      </c>
    </row>
    <row r="4" customFormat="false" ht="21.75" hidden="false" customHeight="true" outlineLevel="0" collapsed="false">
      <c r="A4" s="11" t="s">
        <v>170</v>
      </c>
      <c r="B4" s="12" t="s">
        <v>46</v>
      </c>
      <c r="D4" s="11" t="s">
        <v>171</v>
      </c>
      <c r="E4" s="12" t="s">
        <v>136</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64.5" hidden="false" customHeight="true" outlineLevel="0" collapsed="false">
      <c r="A8" s="11" t="s">
        <v>180</v>
      </c>
      <c r="B8" s="12" t="s">
        <v>323</v>
      </c>
      <c r="D8" s="11" t="s">
        <v>182</v>
      </c>
      <c r="E8" s="12" t="s">
        <v>324</v>
      </c>
    </row>
    <row r="9" customFormat="false" ht="168.75" hidden="false" customHeight="true" outlineLevel="0" collapsed="false">
      <c r="A9" s="11" t="s">
        <v>184</v>
      </c>
      <c r="B9" s="12" t="s">
        <v>325</v>
      </c>
      <c r="D9" s="11" t="s">
        <v>186</v>
      </c>
      <c r="E9" s="12" t="s">
        <v>326</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327</v>
      </c>
      <c r="D11" s="11" t="s">
        <v>190</v>
      </c>
      <c r="E11" s="12" t="s">
        <v>327</v>
      </c>
    </row>
    <row r="12" customFormat="false" ht="21.75" hidden="false" customHeight="true" outlineLevel="0" collapsed="false">
      <c r="A12" s="11" t="s">
        <v>192</v>
      </c>
      <c r="B12" s="12" t="s">
        <v>45</v>
      </c>
      <c r="D12" s="11" t="s">
        <v>193</v>
      </c>
      <c r="E12" s="12" t="s">
        <v>45</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328</v>
      </c>
      <c r="B1" s="9"/>
      <c r="D1" s="9" t="s">
        <v>329</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47</v>
      </c>
      <c r="D3" s="11" t="s">
        <v>169</v>
      </c>
      <c r="E3" s="12" t="s">
        <v>47</v>
      </c>
    </row>
    <row r="4" customFormat="false" ht="21.75" hidden="false" customHeight="true" outlineLevel="0" collapsed="false">
      <c r="A4" s="11" t="s">
        <v>170</v>
      </c>
      <c r="B4" s="12" t="s">
        <v>46</v>
      </c>
      <c r="D4" s="11" t="s">
        <v>171</v>
      </c>
      <c r="E4" s="12" t="s">
        <v>136</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51.75" hidden="false" customHeight="true" outlineLevel="0" collapsed="false">
      <c r="A8" s="11" t="s">
        <v>180</v>
      </c>
      <c r="B8" s="12" t="s">
        <v>330</v>
      </c>
      <c r="D8" s="11" t="s">
        <v>182</v>
      </c>
      <c r="E8" s="12" t="s">
        <v>331</v>
      </c>
    </row>
    <row r="9" customFormat="false" ht="45" hidden="false" customHeight="true" outlineLevel="0" collapsed="false">
      <c r="A9" s="11" t="s">
        <v>184</v>
      </c>
      <c r="B9" s="12"/>
      <c r="D9" s="11" t="s">
        <v>186</v>
      </c>
      <c r="E9" s="12"/>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332</v>
      </c>
      <c r="D11" s="11" t="s">
        <v>190</v>
      </c>
      <c r="E11" s="12" t="s">
        <v>332</v>
      </c>
    </row>
    <row r="12" customFormat="false" ht="21.75" hidden="false" customHeight="true" outlineLevel="0" collapsed="false">
      <c r="A12" s="11" t="s">
        <v>192</v>
      </c>
      <c r="B12" s="12" t="s">
        <v>47</v>
      </c>
      <c r="D12" s="11" t="s">
        <v>193</v>
      </c>
      <c r="E12" s="12" t="s">
        <v>47</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333</v>
      </c>
      <c r="B1" s="9"/>
      <c r="D1" s="9" t="s">
        <v>334</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49</v>
      </c>
      <c r="D3" s="11" t="s">
        <v>169</v>
      </c>
      <c r="E3" s="12" t="s">
        <v>49</v>
      </c>
    </row>
    <row r="4" customFormat="false" ht="21.75" hidden="false" customHeight="true" outlineLevel="0" collapsed="false">
      <c r="A4" s="11" t="s">
        <v>170</v>
      </c>
      <c r="B4" s="12" t="s">
        <v>50</v>
      </c>
      <c r="D4" s="11" t="s">
        <v>171</v>
      </c>
      <c r="E4" s="12" t="s">
        <v>137</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181.5" hidden="false" customHeight="true" outlineLevel="0" collapsed="false">
      <c r="A8" s="11" t="s">
        <v>180</v>
      </c>
      <c r="B8" s="12" t="s">
        <v>335</v>
      </c>
      <c r="D8" s="11" t="s">
        <v>182</v>
      </c>
      <c r="E8" s="12" t="s">
        <v>336</v>
      </c>
    </row>
    <row r="9" customFormat="false" ht="168.75" hidden="false" customHeight="true" outlineLevel="0" collapsed="false">
      <c r="A9" s="11" t="s">
        <v>184</v>
      </c>
      <c r="B9" s="12" t="s">
        <v>337</v>
      </c>
      <c r="D9" s="11" t="s">
        <v>186</v>
      </c>
      <c r="E9" s="12" t="s">
        <v>338</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339</v>
      </c>
      <c r="D11" s="11" t="s">
        <v>190</v>
      </c>
      <c r="E11" s="12" t="s">
        <v>339</v>
      </c>
    </row>
    <row r="12" customFormat="false" ht="21.75" hidden="false" customHeight="true" outlineLevel="0" collapsed="false">
      <c r="A12" s="11" t="s">
        <v>192</v>
      </c>
      <c r="B12" s="12" t="s">
        <v>49</v>
      </c>
      <c r="D12" s="11" t="s">
        <v>193</v>
      </c>
      <c r="E12" s="12" t="s">
        <v>49</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340</v>
      </c>
      <c r="B1" s="9"/>
      <c r="D1" s="9" t="s">
        <v>341</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51</v>
      </c>
      <c r="D3" s="11" t="s">
        <v>169</v>
      </c>
      <c r="E3" s="12" t="s">
        <v>51</v>
      </c>
    </row>
    <row r="4" customFormat="false" ht="21.75" hidden="false" customHeight="true" outlineLevel="0" collapsed="false">
      <c r="A4" s="11" t="s">
        <v>170</v>
      </c>
      <c r="B4" s="12" t="s">
        <v>50</v>
      </c>
      <c r="D4" s="11" t="s">
        <v>171</v>
      </c>
      <c r="E4" s="12" t="s">
        <v>137</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51.75" hidden="false" customHeight="true" outlineLevel="0" collapsed="false">
      <c r="A8" s="11" t="s">
        <v>180</v>
      </c>
      <c r="B8" s="12" t="s">
        <v>342</v>
      </c>
      <c r="D8" s="11" t="s">
        <v>182</v>
      </c>
      <c r="E8" s="12" t="s">
        <v>343</v>
      </c>
    </row>
    <row r="9" customFormat="false" ht="78" hidden="false" customHeight="true" outlineLevel="0" collapsed="false">
      <c r="A9" s="11" t="s">
        <v>184</v>
      </c>
      <c r="B9" s="12" t="s">
        <v>344</v>
      </c>
      <c r="D9" s="11" t="s">
        <v>186</v>
      </c>
      <c r="E9" s="12" t="s">
        <v>345</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346</v>
      </c>
      <c r="D11" s="11" t="s">
        <v>190</v>
      </c>
      <c r="E11" s="12" t="s">
        <v>346</v>
      </c>
    </row>
    <row r="12" customFormat="false" ht="21.75" hidden="false" customHeight="true" outlineLevel="0" collapsed="false">
      <c r="A12" s="11" t="s">
        <v>192</v>
      </c>
      <c r="B12" s="12" t="s">
        <v>51</v>
      </c>
      <c r="D12" s="11" t="s">
        <v>193</v>
      </c>
      <c r="E12" s="12" t="s">
        <v>51</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347</v>
      </c>
      <c r="B1" s="9"/>
      <c r="D1" s="9" t="s">
        <v>348</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53</v>
      </c>
      <c r="D3" s="11" t="s">
        <v>169</v>
      </c>
      <c r="E3" s="12" t="s">
        <v>53</v>
      </c>
    </row>
    <row r="4" customFormat="false" ht="21.75" hidden="false" customHeight="true" outlineLevel="0" collapsed="false">
      <c r="A4" s="11" t="s">
        <v>170</v>
      </c>
      <c r="B4" s="12" t="s">
        <v>54</v>
      </c>
      <c r="D4" s="11" t="s">
        <v>171</v>
      </c>
      <c r="E4" s="12" t="s">
        <v>138</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168.75" hidden="false" customHeight="true" outlineLevel="0" collapsed="false">
      <c r="A8" s="11" t="s">
        <v>180</v>
      </c>
      <c r="B8" s="12" t="s">
        <v>349</v>
      </c>
      <c r="D8" s="11" t="s">
        <v>182</v>
      </c>
      <c r="E8" s="12" t="s">
        <v>350</v>
      </c>
    </row>
    <row r="9" customFormat="false" ht="156" hidden="false" customHeight="true" outlineLevel="0" collapsed="false">
      <c r="A9" s="11" t="s">
        <v>184</v>
      </c>
      <c r="B9" s="12" t="s">
        <v>351</v>
      </c>
      <c r="D9" s="11" t="s">
        <v>186</v>
      </c>
      <c r="E9" s="12" t="s">
        <v>352</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353</v>
      </c>
      <c r="D11" s="11" t="s">
        <v>190</v>
      </c>
      <c r="E11" s="12" t="s">
        <v>353</v>
      </c>
    </row>
    <row r="12" customFormat="false" ht="21.75" hidden="false" customHeight="true" outlineLevel="0" collapsed="false">
      <c r="A12" s="11" t="s">
        <v>192</v>
      </c>
      <c r="B12" s="12" t="s">
        <v>53</v>
      </c>
      <c r="D12" s="11" t="s">
        <v>193</v>
      </c>
      <c r="E12" s="12" t="s">
        <v>53</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354</v>
      </c>
      <c r="B1" s="9"/>
      <c r="D1" s="9" t="s">
        <v>355</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55</v>
      </c>
      <c r="D3" s="11" t="s">
        <v>169</v>
      </c>
      <c r="E3" s="12" t="s">
        <v>55</v>
      </c>
    </row>
    <row r="4" customFormat="false" ht="21.75" hidden="false" customHeight="true" outlineLevel="0" collapsed="false">
      <c r="A4" s="11" t="s">
        <v>170</v>
      </c>
      <c r="B4" s="12" t="s">
        <v>54</v>
      </c>
      <c r="D4" s="11" t="s">
        <v>171</v>
      </c>
      <c r="E4" s="12" t="s">
        <v>138</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51.75" hidden="false" customHeight="true" outlineLevel="0" collapsed="false">
      <c r="A8" s="11" t="s">
        <v>180</v>
      </c>
      <c r="B8" s="12" t="s">
        <v>356</v>
      </c>
      <c r="D8" s="11" t="s">
        <v>182</v>
      </c>
      <c r="E8" s="12" t="s">
        <v>357</v>
      </c>
    </row>
    <row r="9" customFormat="false" ht="45" hidden="false" customHeight="true" outlineLevel="0" collapsed="false">
      <c r="A9" s="11" t="s">
        <v>184</v>
      </c>
      <c r="B9" s="12" t="s">
        <v>358</v>
      </c>
      <c r="D9" s="11" t="s">
        <v>186</v>
      </c>
      <c r="E9" s="12" t="s">
        <v>359</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360</v>
      </c>
      <c r="D11" s="11" t="s">
        <v>190</v>
      </c>
      <c r="E11" s="12" t="s">
        <v>360</v>
      </c>
    </row>
    <row r="12" customFormat="false" ht="21.75" hidden="false" customHeight="true" outlineLevel="0" collapsed="false">
      <c r="A12" s="11" t="s">
        <v>192</v>
      </c>
      <c r="B12" s="12" t="s">
        <v>55</v>
      </c>
      <c r="D12" s="11" t="s">
        <v>193</v>
      </c>
      <c r="E12" s="12" t="s">
        <v>55</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361</v>
      </c>
      <c r="B1" s="9"/>
      <c r="D1" s="9" t="s">
        <v>362</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57</v>
      </c>
      <c r="D3" s="11" t="s">
        <v>169</v>
      </c>
      <c r="E3" s="12" t="s">
        <v>57</v>
      </c>
    </row>
    <row r="4" customFormat="false" ht="21.75" hidden="false" customHeight="true" outlineLevel="0" collapsed="false">
      <c r="A4" s="11" t="s">
        <v>170</v>
      </c>
      <c r="B4" s="12" t="s">
        <v>54</v>
      </c>
      <c r="D4" s="11" t="s">
        <v>171</v>
      </c>
      <c r="E4" s="12" t="s">
        <v>138</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51.75" hidden="false" customHeight="true" outlineLevel="0" collapsed="false">
      <c r="A8" s="11" t="s">
        <v>180</v>
      </c>
      <c r="B8" s="12" t="s">
        <v>363</v>
      </c>
      <c r="D8" s="11" t="s">
        <v>182</v>
      </c>
      <c r="E8" s="12" t="s">
        <v>364</v>
      </c>
    </row>
    <row r="9" customFormat="false" ht="45" hidden="false" customHeight="true" outlineLevel="0" collapsed="false">
      <c r="A9" s="11" t="s">
        <v>184</v>
      </c>
      <c r="B9" s="12" t="s">
        <v>358</v>
      </c>
      <c r="D9" s="11" t="s">
        <v>186</v>
      </c>
      <c r="E9" s="12" t="s">
        <v>359</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365</v>
      </c>
      <c r="D11" s="11" t="s">
        <v>190</v>
      </c>
      <c r="E11" s="12" t="s">
        <v>365</v>
      </c>
    </row>
    <row r="12" customFormat="false" ht="21.75" hidden="false" customHeight="true" outlineLevel="0" collapsed="false">
      <c r="A12" s="11" t="s">
        <v>192</v>
      </c>
      <c r="B12" s="12" t="s">
        <v>57</v>
      </c>
      <c r="D12" s="11" t="s">
        <v>193</v>
      </c>
      <c r="E12" s="12" t="s">
        <v>57</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366</v>
      </c>
      <c r="B1" s="9"/>
      <c r="D1" s="9" t="s">
        <v>367</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59</v>
      </c>
      <c r="D3" s="11" t="s">
        <v>169</v>
      </c>
      <c r="E3" s="12" t="s">
        <v>59</v>
      </c>
    </row>
    <row r="4" customFormat="false" ht="21.75" hidden="false" customHeight="true" outlineLevel="0" collapsed="false">
      <c r="A4" s="11" t="s">
        <v>170</v>
      </c>
      <c r="B4" s="12" t="s">
        <v>54</v>
      </c>
      <c r="D4" s="11" t="s">
        <v>171</v>
      </c>
      <c r="E4" s="12" t="s">
        <v>138</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64.5" hidden="false" customHeight="true" outlineLevel="0" collapsed="false">
      <c r="A8" s="11" t="s">
        <v>180</v>
      </c>
      <c r="B8" s="12" t="s">
        <v>368</v>
      </c>
      <c r="D8" s="11" t="s">
        <v>182</v>
      </c>
      <c r="E8" s="12" t="s">
        <v>369</v>
      </c>
    </row>
    <row r="9" customFormat="false" ht="45" hidden="false" customHeight="true" outlineLevel="0" collapsed="false">
      <c r="A9" s="11" t="s">
        <v>184</v>
      </c>
      <c r="B9" s="12" t="s">
        <v>370</v>
      </c>
      <c r="D9" s="11" t="s">
        <v>186</v>
      </c>
      <c r="E9" s="12" t="s">
        <v>371</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372</v>
      </c>
      <c r="D11" s="11" t="s">
        <v>190</v>
      </c>
      <c r="E11" s="12" t="s">
        <v>372</v>
      </c>
    </row>
    <row r="12" customFormat="false" ht="21.75" hidden="false" customHeight="true" outlineLevel="0" collapsed="false">
      <c r="A12" s="11" t="s">
        <v>192</v>
      </c>
      <c r="B12" s="12" t="s">
        <v>59</v>
      </c>
      <c r="D12" s="11" t="s">
        <v>193</v>
      </c>
      <c r="E12" s="12" t="s">
        <v>59</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373</v>
      </c>
      <c r="B1" s="9"/>
      <c r="D1" s="9" t="s">
        <v>374</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61</v>
      </c>
      <c r="D3" s="11" t="s">
        <v>169</v>
      </c>
      <c r="E3" s="12" t="s">
        <v>61</v>
      </c>
    </row>
    <row r="4" customFormat="false" ht="21.75" hidden="false" customHeight="true" outlineLevel="0" collapsed="false">
      <c r="A4" s="11" t="s">
        <v>170</v>
      </c>
      <c r="B4" s="12" t="s">
        <v>62</v>
      </c>
      <c r="D4" s="11" t="s">
        <v>171</v>
      </c>
      <c r="E4" s="12" t="s">
        <v>139</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45" hidden="false" customHeight="true" outlineLevel="0" collapsed="false">
      <c r="A8" s="11" t="s">
        <v>180</v>
      </c>
      <c r="B8" s="12" t="s">
        <v>375</v>
      </c>
      <c r="D8" s="11" t="s">
        <v>182</v>
      </c>
      <c r="E8" s="12" t="s">
        <v>376</v>
      </c>
    </row>
    <row r="9" customFormat="false" ht="246.75" hidden="false" customHeight="true" outlineLevel="0" collapsed="false">
      <c r="A9" s="11" t="s">
        <v>184</v>
      </c>
      <c r="B9" s="12" t="s">
        <v>377</v>
      </c>
      <c r="D9" s="11" t="s">
        <v>186</v>
      </c>
      <c r="E9" s="12" t="s">
        <v>378</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379</v>
      </c>
      <c r="D11" s="11" t="s">
        <v>190</v>
      </c>
      <c r="E11" s="12" t="s">
        <v>379</v>
      </c>
    </row>
    <row r="12" customFormat="false" ht="21.75" hidden="false" customHeight="true" outlineLevel="0" collapsed="false">
      <c r="A12" s="11" t="s">
        <v>192</v>
      </c>
      <c r="B12" s="12" t="s">
        <v>61</v>
      </c>
      <c r="D12" s="11" t="s">
        <v>193</v>
      </c>
      <c r="E12" s="12" t="s">
        <v>61</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380</v>
      </c>
      <c r="B1" s="9"/>
      <c r="D1" s="9" t="s">
        <v>381</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63</v>
      </c>
      <c r="D3" s="11" t="s">
        <v>169</v>
      </c>
      <c r="E3" s="12" t="s">
        <v>63</v>
      </c>
    </row>
    <row r="4" customFormat="false" ht="21.75" hidden="false" customHeight="true" outlineLevel="0" collapsed="false">
      <c r="A4" s="11" t="s">
        <v>170</v>
      </c>
      <c r="B4" s="12" t="s">
        <v>62</v>
      </c>
      <c r="D4" s="11" t="s">
        <v>171</v>
      </c>
      <c r="E4" s="12" t="s">
        <v>139</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78" hidden="false" customHeight="true" outlineLevel="0" collapsed="false">
      <c r="A8" s="11" t="s">
        <v>180</v>
      </c>
      <c r="B8" s="12" t="s">
        <v>382</v>
      </c>
      <c r="D8" s="11" t="s">
        <v>182</v>
      </c>
      <c r="E8" s="12" t="s">
        <v>383</v>
      </c>
    </row>
    <row r="9" customFormat="false" ht="45" hidden="false" customHeight="true" outlineLevel="0" collapsed="false">
      <c r="A9" s="11" t="s">
        <v>184</v>
      </c>
      <c r="B9" s="12" t="s">
        <v>384</v>
      </c>
      <c r="D9" s="11" t="s">
        <v>186</v>
      </c>
      <c r="E9" s="12" t="s">
        <v>385</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386</v>
      </c>
      <c r="D11" s="11" t="s">
        <v>190</v>
      </c>
      <c r="E11" s="12" t="s">
        <v>386</v>
      </c>
    </row>
    <row r="12" customFormat="false" ht="21.75" hidden="false" customHeight="true" outlineLevel="0" collapsed="false">
      <c r="A12" s="11" t="s">
        <v>192</v>
      </c>
      <c r="B12" s="12" t="s">
        <v>63</v>
      </c>
      <c r="D12" s="11" t="s">
        <v>193</v>
      </c>
      <c r="E12" s="12" t="s">
        <v>63</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387</v>
      </c>
      <c r="B1" s="9"/>
      <c r="D1" s="9" t="s">
        <v>388</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65</v>
      </c>
      <c r="D3" s="11" t="s">
        <v>169</v>
      </c>
      <c r="E3" s="12" t="s">
        <v>65</v>
      </c>
    </row>
    <row r="4" customFormat="false" ht="21.75" hidden="false" customHeight="true" outlineLevel="0" collapsed="false">
      <c r="A4" s="11" t="s">
        <v>170</v>
      </c>
      <c r="B4" s="12" t="s">
        <v>66</v>
      </c>
      <c r="D4" s="11" t="s">
        <v>171</v>
      </c>
      <c r="E4" s="12" t="s">
        <v>140</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51.75" hidden="false" customHeight="true" outlineLevel="0" collapsed="false">
      <c r="A8" s="11" t="s">
        <v>180</v>
      </c>
      <c r="B8" s="12" t="s">
        <v>389</v>
      </c>
      <c r="D8" s="11" t="s">
        <v>182</v>
      </c>
      <c r="E8" s="12" t="s">
        <v>390</v>
      </c>
    </row>
    <row r="9" customFormat="false" ht="90.75" hidden="false" customHeight="true" outlineLevel="0" collapsed="false">
      <c r="A9" s="11" t="s">
        <v>184</v>
      </c>
      <c r="B9" s="12" t="s">
        <v>391</v>
      </c>
      <c r="D9" s="11" t="s">
        <v>186</v>
      </c>
      <c r="E9" s="12" t="s">
        <v>392</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393</v>
      </c>
      <c r="D11" s="11" t="s">
        <v>190</v>
      </c>
      <c r="E11" s="12" t="s">
        <v>393</v>
      </c>
    </row>
    <row r="12" customFormat="false" ht="21.75" hidden="false" customHeight="true" outlineLevel="0" collapsed="false">
      <c r="A12" s="11" t="s">
        <v>192</v>
      </c>
      <c r="B12" s="12" t="s">
        <v>65</v>
      </c>
      <c r="D12" s="11" t="s">
        <v>193</v>
      </c>
      <c r="E12" s="12" t="s">
        <v>65</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394</v>
      </c>
      <c r="B1" s="9"/>
      <c r="D1" s="9" t="s">
        <v>395</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68</v>
      </c>
      <c r="D3" s="11" t="s">
        <v>169</v>
      </c>
      <c r="E3" s="12" t="s">
        <v>68</v>
      </c>
    </row>
    <row r="4" customFormat="false" ht="21.75" hidden="false" customHeight="true" outlineLevel="0" collapsed="false">
      <c r="A4" s="11" t="s">
        <v>170</v>
      </c>
      <c r="B4" s="12" t="s">
        <v>69</v>
      </c>
      <c r="D4" s="11" t="s">
        <v>171</v>
      </c>
      <c r="E4" s="12" t="s">
        <v>141</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103.5" hidden="false" customHeight="true" outlineLevel="0" collapsed="false">
      <c r="A8" s="11" t="s">
        <v>180</v>
      </c>
      <c r="B8" s="12" t="s">
        <v>396</v>
      </c>
      <c r="D8" s="11" t="s">
        <v>182</v>
      </c>
      <c r="E8" s="12" t="s">
        <v>397</v>
      </c>
    </row>
    <row r="9" customFormat="false" ht="234" hidden="false" customHeight="true" outlineLevel="0" collapsed="false">
      <c r="A9" s="11" t="s">
        <v>184</v>
      </c>
      <c r="B9" s="12" t="s">
        <v>398</v>
      </c>
      <c r="D9" s="11" t="s">
        <v>186</v>
      </c>
      <c r="E9" s="12" t="s">
        <v>399</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400</v>
      </c>
      <c r="D11" s="11" t="s">
        <v>190</v>
      </c>
      <c r="E11" s="12" t="s">
        <v>400</v>
      </c>
    </row>
    <row r="12" customFormat="false" ht="21.75" hidden="false" customHeight="true" outlineLevel="0" collapsed="false">
      <c r="A12" s="11" t="s">
        <v>192</v>
      </c>
      <c r="B12" s="12" t="s">
        <v>68</v>
      </c>
      <c r="D12" s="11" t="s">
        <v>193</v>
      </c>
      <c r="E12" s="12" t="s">
        <v>68</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401</v>
      </c>
      <c r="B1" s="9"/>
      <c r="D1" s="9" t="s">
        <v>402</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71</v>
      </c>
      <c r="D3" s="11" t="s">
        <v>169</v>
      </c>
      <c r="E3" s="12" t="s">
        <v>71</v>
      </c>
    </row>
    <row r="4" customFormat="false" ht="21.75" hidden="false" customHeight="true" outlineLevel="0" collapsed="false">
      <c r="A4" s="11" t="s">
        <v>170</v>
      </c>
      <c r="B4" s="12" t="s">
        <v>72</v>
      </c>
      <c r="D4" s="11" t="s">
        <v>171</v>
      </c>
      <c r="E4" s="12" t="s">
        <v>142</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45" hidden="false" customHeight="true" outlineLevel="0" collapsed="false">
      <c r="A8" s="11" t="s">
        <v>180</v>
      </c>
      <c r="B8" s="12" t="s">
        <v>403</v>
      </c>
      <c r="D8" s="11" t="s">
        <v>182</v>
      </c>
      <c r="E8" s="12" t="s">
        <v>404</v>
      </c>
    </row>
    <row r="9" customFormat="false" ht="220.5" hidden="false" customHeight="true" outlineLevel="0" collapsed="false">
      <c r="A9" s="11" t="s">
        <v>184</v>
      </c>
      <c r="B9" s="12" t="s">
        <v>405</v>
      </c>
      <c r="D9" s="11" t="s">
        <v>186</v>
      </c>
      <c r="E9" s="12" t="s">
        <v>406</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407</v>
      </c>
      <c r="D11" s="11" t="s">
        <v>190</v>
      </c>
      <c r="E11" s="12" t="s">
        <v>407</v>
      </c>
    </row>
    <row r="12" customFormat="false" ht="21.75" hidden="false" customHeight="true" outlineLevel="0" collapsed="false">
      <c r="A12" s="11" t="s">
        <v>192</v>
      </c>
      <c r="B12" s="12" t="s">
        <v>71</v>
      </c>
      <c r="D12" s="11" t="s">
        <v>193</v>
      </c>
      <c r="E12" s="12" t="s">
        <v>71</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408</v>
      </c>
      <c r="B1" s="9"/>
      <c r="D1" s="9" t="s">
        <v>409</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73</v>
      </c>
      <c r="D3" s="11" t="s">
        <v>169</v>
      </c>
      <c r="E3" s="12" t="s">
        <v>73</v>
      </c>
    </row>
    <row r="4" customFormat="false" ht="21.75" hidden="false" customHeight="true" outlineLevel="0" collapsed="false">
      <c r="A4" s="11" t="s">
        <v>170</v>
      </c>
      <c r="B4" s="12" t="s">
        <v>74</v>
      </c>
      <c r="D4" s="11" t="s">
        <v>171</v>
      </c>
      <c r="E4" s="12" t="s">
        <v>143</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45" hidden="false" customHeight="true" outlineLevel="0" collapsed="false">
      <c r="A8" s="11" t="s">
        <v>180</v>
      </c>
      <c r="B8" s="12" t="s">
        <v>410</v>
      </c>
      <c r="D8" s="11" t="s">
        <v>182</v>
      </c>
      <c r="E8" s="12" t="s">
        <v>411</v>
      </c>
    </row>
    <row r="9" customFormat="false" ht="300" hidden="false" customHeight="true" outlineLevel="0" collapsed="false">
      <c r="A9" s="11" t="s">
        <v>184</v>
      </c>
      <c r="B9" s="12" t="s">
        <v>412</v>
      </c>
      <c r="D9" s="11" t="s">
        <v>186</v>
      </c>
      <c r="E9" s="12" t="s">
        <v>413</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414</v>
      </c>
      <c r="D11" s="11" t="s">
        <v>190</v>
      </c>
      <c r="E11" s="12" t="s">
        <v>414</v>
      </c>
    </row>
    <row r="12" customFormat="false" ht="21.75" hidden="false" customHeight="true" outlineLevel="0" collapsed="false">
      <c r="A12" s="11" t="s">
        <v>192</v>
      </c>
      <c r="B12" s="12" t="s">
        <v>73</v>
      </c>
      <c r="D12" s="11" t="s">
        <v>193</v>
      </c>
      <c r="E12" s="12" t="s">
        <v>73</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415</v>
      </c>
      <c r="B1" s="9"/>
      <c r="D1" s="9" t="s">
        <v>416</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75</v>
      </c>
      <c r="D3" s="11" t="s">
        <v>169</v>
      </c>
      <c r="E3" s="12" t="s">
        <v>75</v>
      </c>
    </row>
    <row r="4" customFormat="false" ht="21.75" hidden="false" customHeight="true" outlineLevel="0" collapsed="false">
      <c r="A4" s="11" t="s">
        <v>170</v>
      </c>
      <c r="B4" s="12" t="s">
        <v>74</v>
      </c>
      <c r="D4" s="11" t="s">
        <v>171</v>
      </c>
      <c r="E4" s="12" t="s">
        <v>143</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129.75" hidden="false" customHeight="true" outlineLevel="0" collapsed="false">
      <c r="A8" s="11" t="s">
        <v>180</v>
      </c>
      <c r="B8" s="12" t="s">
        <v>417</v>
      </c>
      <c r="D8" s="11" t="s">
        <v>182</v>
      </c>
      <c r="E8" s="12" t="s">
        <v>418</v>
      </c>
    </row>
    <row r="9" customFormat="false" ht="103.5" hidden="false" customHeight="true" outlineLevel="0" collapsed="false">
      <c r="A9" s="11" t="s">
        <v>184</v>
      </c>
      <c r="B9" s="12" t="s">
        <v>419</v>
      </c>
      <c r="D9" s="11" t="s">
        <v>186</v>
      </c>
      <c r="E9" s="12" t="s">
        <v>420</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421</v>
      </c>
      <c r="D11" s="11" t="s">
        <v>190</v>
      </c>
      <c r="E11" s="12" t="s">
        <v>421</v>
      </c>
    </row>
    <row r="12" customFormat="false" ht="21.75" hidden="false" customHeight="true" outlineLevel="0" collapsed="false">
      <c r="A12" s="11" t="s">
        <v>192</v>
      </c>
      <c r="B12" s="12" t="s">
        <v>75</v>
      </c>
      <c r="D12" s="11" t="s">
        <v>193</v>
      </c>
      <c r="E12" s="12" t="s">
        <v>75</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422</v>
      </c>
      <c r="B1" s="9"/>
      <c r="D1" s="9" t="s">
        <v>423</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77</v>
      </c>
      <c r="D3" s="11" t="s">
        <v>169</v>
      </c>
      <c r="E3" s="12" t="s">
        <v>77</v>
      </c>
    </row>
    <row r="4" customFormat="false" ht="21.75" hidden="false" customHeight="true" outlineLevel="0" collapsed="false">
      <c r="A4" s="11" t="s">
        <v>170</v>
      </c>
      <c r="B4" s="12" t="s">
        <v>78</v>
      </c>
      <c r="D4" s="11" t="s">
        <v>171</v>
      </c>
      <c r="E4" s="12" t="s">
        <v>144</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64.5" hidden="false" customHeight="true" outlineLevel="0" collapsed="false">
      <c r="A8" s="11" t="s">
        <v>180</v>
      </c>
      <c r="B8" s="12" t="s">
        <v>424</v>
      </c>
      <c r="D8" s="11" t="s">
        <v>182</v>
      </c>
      <c r="E8" s="12" t="s">
        <v>425</v>
      </c>
    </row>
    <row r="9" customFormat="false" ht="117" hidden="false" customHeight="true" outlineLevel="0" collapsed="false">
      <c r="A9" s="11" t="s">
        <v>184</v>
      </c>
      <c r="B9" s="12" t="s">
        <v>426</v>
      </c>
      <c r="D9" s="11" t="s">
        <v>186</v>
      </c>
      <c r="E9" s="12" t="s">
        <v>427</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428</v>
      </c>
      <c r="D11" s="11" t="s">
        <v>190</v>
      </c>
      <c r="E11" s="12" t="s">
        <v>428</v>
      </c>
    </row>
    <row r="12" customFormat="false" ht="21.75" hidden="false" customHeight="true" outlineLevel="0" collapsed="false">
      <c r="A12" s="11" t="s">
        <v>192</v>
      </c>
      <c r="B12" s="12" t="s">
        <v>77</v>
      </c>
      <c r="D12" s="11" t="s">
        <v>193</v>
      </c>
      <c r="E12" s="12" t="s">
        <v>77</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429</v>
      </c>
      <c r="B1" s="9"/>
      <c r="D1" s="9" t="s">
        <v>430</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79</v>
      </c>
      <c r="D3" s="11" t="s">
        <v>169</v>
      </c>
      <c r="E3" s="12" t="s">
        <v>79</v>
      </c>
    </row>
    <row r="4" customFormat="false" ht="21.75" hidden="false" customHeight="true" outlineLevel="0" collapsed="false">
      <c r="A4" s="11" t="s">
        <v>170</v>
      </c>
      <c r="B4" s="12" t="s">
        <v>80</v>
      </c>
      <c r="D4" s="11" t="s">
        <v>171</v>
      </c>
      <c r="E4" s="12" t="s">
        <v>145</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45" hidden="false" customHeight="true" outlineLevel="0" collapsed="false">
      <c r="A8" s="11" t="s">
        <v>180</v>
      </c>
      <c r="B8" s="12" t="s">
        <v>431</v>
      </c>
      <c r="D8" s="11" t="s">
        <v>182</v>
      </c>
      <c r="E8" s="12" t="s">
        <v>432</v>
      </c>
    </row>
    <row r="9" customFormat="false" ht="234" hidden="false" customHeight="true" outlineLevel="0" collapsed="false">
      <c r="A9" s="11" t="s">
        <v>184</v>
      </c>
      <c r="B9" s="12" t="s">
        <v>433</v>
      </c>
      <c r="D9" s="11" t="s">
        <v>186</v>
      </c>
      <c r="E9" s="12" t="s">
        <v>434</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435</v>
      </c>
      <c r="D11" s="11" t="s">
        <v>190</v>
      </c>
      <c r="E11" s="12" t="s">
        <v>435</v>
      </c>
    </row>
    <row r="12" customFormat="false" ht="21.75" hidden="false" customHeight="true" outlineLevel="0" collapsed="false">
      <c r="A12" s="11" t="s">
        <v>192</v>
      </c>
      <c r="B12" s="12" t="s">
        <v>79</v>
      </c>
      <c r="D12" s="11" t="s">
        <v>193</v>
      </c>
      <c r="E12" s="12" t="s">
        <v>79</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436</v>
      </c>
      <c r="B1" s="9"/>
      <c r="D1" s="9" t="s">
        <v>437</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81</v>
      </c>
      <c r="D3" s="11" t="s">
        <v>169</v>
      </c>
      <c r="E3" s="12" t="s">
        <v>81</v>
      </c>
    </row>
    <row r="4" customFormat="false" ht="21.75" hidden="false" customHeight="true" outlineLevel="0" collapsed="false">
      <c r="A4" s="11" t="s">
        <v>170</v>
      </c>
      <c r="B4" s="12" t="s">
        <v>82</v>
      </c>
      <c r="D4" s="11" t="s">
        <v>171</v>
      </c>
      <c r="E4" s="12" t="s">
        <v>146</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78" hidden="false" customHeight="true" outlineLevel="0" collapsed="false">
      <c r="A8" s="11" t="s">
        <v>180</v>
      </c>
      <c r="B8" s="12" t="s">
        <v>438</v>
      </c>
      <c r="D8" s="11" t="s">
        <v>182</v>
      </c>
      <c r="E8" s="12" t="s">
        <v>439</v>
      </c>
    </row>
    <row r="9" customFormat="false" ht="168.75" hidden="false" customHeight="true" outlineLevel="0" collapsed="false">
      <c r="A9" s="11" t="s">
        <v>184</v>
      </c>
      <c r="B9" s="12" t="s">
        <v>440</v>
      </c>
      <c r="D9" s="11" t="s">
        <v>186</v>
      </c>
      <c r="E9" s="12" t="s">
        <v>441</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442</v>
      </c>
      <c r="D11" s="11" t="s">
        <v>190</v>
      </c>
      <c r="E11" s="12" t="s">
        <v>442</v>
      </c>
    </row>
    <row r="12" customFormat="false" ht="21.75" hidden="false" customHeight="true" outlineLevel="0" collapsed="false">
      <c r="A12" s="11" t="s">
        <v>192</v>
      </c>
      <c r="B12" s="12" t="s">
        <v>81</v>
      </c>
      <c r="D12" s="11" t="s">
        <v>193</v>
      </c>
      <c r="E12" s="12" t="s">
        <v>81</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443</v>
      </c>
      <c r="B1" s="9"/>
      <c r="D1" s="9" t="s">
        <v>444</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83</v>
      </c>
      <c r="D3" s="11" t="s">
        <v>169</v>
      </c>
      <c r="E3" s="12" t="s">
        <v>83</v>
      </c>
    </row>
    <row r="4" customFormat="false" ht="21.75" hidden="false" customHeight="true" outlineLevel="0" collapsed="false">
      <c r="A4" s="11" t="s">
        <v>170</v>
      </c>
      <c r="B4" s="12" t="s">
        <v>82</v>
      </c>
      <c r="D4" s="11" t="s">
        <v>171</v>
      </c>
      <c r="E4" s="12" t="s">
        <v>146</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51.75" hidden="false" customHeight="true" outlineLevel="0" collapsed="false">
      <c r="A8" s="11" t="s">
        <v>180</v>
      </c>
      <c r="B8" s="12" t="s">
        <v>445</v>
      </c>
      <c r="D8" s="11" t="s">
        <v>182</v>
      </c>
      <c r="E8" s="12" t="s">
        <v>446</v>
      </c>
    </row>
    <row r="9" customFormat="false" ht="45" hidden="false" customHeight="true" outlineLevel="0" collapsed="false">
      <c r="A9" s="11" t="s">
        <v>184</v>
      </c>
      <c r="B9" s="12"/>
      <c r="D9" s="11" t="s">
        <v>186</v>
      </c>
      <c r="E9" s="12"/>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447</v>
      </c>
      <c r="D11" s="11" t="s">
        <v>190</v>
      </c>
      <c r="E11" s="12" t="s">
        <v>447</v>
      </c>
    </row>
    <row r="12" customFormat="false" ht="21.75" hidden="false" customHeight="true" outlineLevel="0" collapsed="false">
      <c r="A12" s="11" t="s">
        <v>192</v>
      </c>
      <c r="B12" s="12" t="s">
        <v>83</v>
      </c>
      <c r="D12" s="11" t="s">
        <v>193</v>
      </c>
      <c r="E12" s="12" t="s">
        <v>83</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448</v>
      </c>
      <c r="B1" s="9"/>
      <c r="D1" s="9" t="s">
        <v>449</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85</v>
      </c>
      <c r="D3" s="11" t="s">
        <v>169</v>
      </c>
      <c r="E3" s="12" t="s">
        <v>85</v>
      </c>
    </row>
    <row r="4" customFormat="false" ht="21.75" hidden="false" customHeight="true" outlineLevel="0" collapsed="false">
      <c r="A4" s="11" t="s">
        <v>170</v>
      </c>
      <c r="B4" s="12" t="s">
        <v>82</v>
      </c>
      <c r="D4" s="11" t="s">
        <v>171</v>
      </c>
      <c r="E4" s="12" t="s">
        <v>146</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103.5" hidden="false" customHeight="true" outlineLevel="0" collapsed="false">
      <c r="A8" s="11" t="s">
        <v>180</v>
      </c>
      <c r="B8" s="12" t="s">
        <v>450</v>
      </c>
      <c r="D8" s="11" t="s">
        <v>182</v>
      </c>
      <c r="E8" s="12" t="s">
        <v>451</v>
      </c>
    </row>
    <row r="9" customFormat="false" ht="103.5" hidden="false" customHeight="true" outlineLevel="0" collapsed="false">
      <c r="A9" s="11" t="s">
        <v>184</v>
      </c>
      <c r="B9" s="12" t="s">
        <v>452</v>
      </c>
      <c r="D9" s="11" t="s">
        <v>186</v>
      </c>
      <c r="E9" s="12" t="s">
        <v>453</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454</v>
      </c>
      <c r="D11" s="11" t="s">
        <v>190</v>
      </c>
      <c r="E11" s="12" t="s">
        <v>454</v>
      </c>
    </row>
    <row r="12" customFormat="false" ht="21.75" hidden="false" customHeight="true" outlineLevel="0" collapsed="false">
      <c r="A12" s="11" t="s">
        <v>192</v>
      </c>
      <c r="B12" s="12" t="s">
        <v>85</v>
      </c>
      <c r="D12" s="11" t="s">
        <v>193</v>
      </c>
      <c r="E12" s="12" t="s">
        <v>85</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455</v>
      </c>
      <c r="B1" s="9"/>
      <c r="D1" s="9" t="s">
        <v>456</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87</v>
      </c>
      <c r="D3" s="11" t="s">
        <v>169</v>
      </c>
      <c r="E3" s="12" t="s">
        <v>87</v>
      </c>
    </row>
    <row r="4" customFormat="false" ht="21.75" hidden="false" customHeight="true" outlineLevel="0" collapsed="false">
      <c r="A4" s="11" t="s">
        <v>170</v>
      </c>
      <c r="B4" s="12" t="s">
        <v>88</v>
      </c>
      <c r="D4" s="11" t="s">
        <v>171</v>
      </c>
      <c r="E4" s="12" t="s">
        <v>147</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45" hidden="false" customHeight="true" outlineLevel="0" collapsed="false">
      <c r="A8" s="11" t="s">
        <v>180</v>
      </c>
      <c r="B8" s="12" t="s">
        <v>457</v>
      </c>
      <c r="D8" s="11" t="s">
        <v>182</v>
      </c>
      <c r="E8" s="12" t="s">
        <v>458</v>
      </c>
    </row>
    <row r="9" customFormat="false" ht="117" hidden="false" customHeight="true" outlineLevel="0" collapsed="false">
      <c r="A9" s="11" t="s">
        <v>184</v>
      </c>
      <c r="B9" s="12" t="s">
        <v>459</v>
      </c>
      <c r="D9" s="11" t="s">
        <v>186</v>
      </c>
      <c r="E9" s="12" t="s">
        <v>460</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461</v>
      </c>
      <c r="D11" s="11" t="s">
        <v>190</v>
      </c>
      <c r="E11" s="12" t="s">
        <v>461</v>
      </c>
    </row>
    <row r="12" customFormat="false" ht="21.75" hidden="false" customHeight="true" outlineLevel="0" collapsed="false">
      <c r="A12" s="11" t="s">
        <v>192</v>
      </c>
      <c r="B12" s="12" t="s">
        <v>87</v>
      </c>
      <c r="D12" s="11" t="s">
        <v>193</v>
      </c>
      <c r="E12" s="12" t="s">
        <v>87</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462</v>
      </c>
      <c r="B1" s="9"/>
      <c r="D1" s="9" t="s">
        <v>463</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89</v>
      </c>
      <c r="D3" s="11" t="s">
        <v>169</v>
      </c>
      <c r="E3" s="12" t="s">
        <v>89</v>
      </c>
    </row>
    <row r="4" customFormat="false" ht="21.75" hidden="false" customHeight="true" outlineLevel="0" collapsed="false">
      <c r="A4" s="11" t="s">
        <v>170</v>
      </c>
      <c r="B4" s="12" t="s">
        <v>90</v>
      </c>
      <c r="D4" s="11" t="s">
        <v>171</v>
      </c>
      <c r="E4" s="12" t="s">
        <v>148</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51.75" hidden="false" customHeight="true" outlineLevel="0" collapsed="false">
      <c r="A8" s="11" t="s">
        <v>180</v>
      </c>
      <c r="B8" s="12" t="s">
        <v>464</v>
      </c>
      <c r="D8" s="11" t="s">
        <v>182</v>
      </c>
      <c r="E8" s="12" t="s">
        <v>465</v>
      </c>
    </row>
    <row r="9" customFormat="false" ht="259.5" hidden="false" customHeight="true" outlineLevel="0" collapsed="false">
      <c r="A9" s="11" t="s">
        <v>184</v>
      </c>
      <c r="B9" s="12" t="s">
        <v>466</v>
      </c>
      <c r="D9" s="11" t="s">
        <v>186</v>
      </c>
      <c r="E9" s="12" t="s">
        <v>467</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468</v>
      </c>
      <c r="D11" s="11" t="s">
        <v>190</v>
      </c>
      <c r="E11" s="12" t="s">
        <v>468</v>
      </c>
    </row>
    <row r="12" customFormat="false" ht="21.75" hidden="false" customHeight="true" outlineLevel="0" collapsed="false">
      <c r="A12" s="11" t="s">
        <v>192</v>
      </c>
      <c r="B12" s="12" t="s">
        <v>89</v>
      </c>
      <c r="D12" s="11" t="s">
        <v>193</v>
      </c>
      <c r="E12" s="12" t="s">
        <v>89</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469</v>
      </c>
      <c r="B1" s="9"/>
      <c r="D1" s="9" t="s">
        <v>470</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91</v>
      </c>
      <c r="D3" s="11" t="s">
        <v>169</v>
      </c>
      <c r="E3" s="12" t="s">
        <v>91</v>
      </c>
    </row>
    <row r="4" customFormat="false" ht="21.75" hidden="false" customHeight="true" outlineLevel="0" collapsed="false">
      <c r="A4" s="11" t="s">
        <v>170</v>
      </c>
      <c r="B4" s="12" t="s">
        <v>90</v>
      </c>
      <c r="D4" s="11" t="s">
        <v>171</v>
      </c>
      <c r="E4" s="12" t="s">
        <v>148</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78" hidden="false" customHeight="true" outlineLevel="0" collapsed="false">
      <c r="A8" s="11" t="s">
        <v>180</v>
      </c>
      <c r="B8" s="12" t="s">
        <v>471</v>
      </c>
      <c r="D8" s="11" t="s">
        <v>182</v>
      </c>
      <c r="E8" s="12" t="s">
        <v>472</v>
      </c>
    </row>
    <row r="9" customFormat="false" ht="207.75" hidden="false" customHeight="true" outlineLevel="0" collapsed="false">
      <c r="A9" s="11" t="s">
        <v>184</v>
      </c>
      <c r="B9" s="12" t="s">
        <v>473</v>
      </c>
      <c r="D9" s="11" t="s">
        <v>186</v>
      </c>
      <c r="E9" s="12" t="s">
        <v>474</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475</v>
      </c>
      <c r="D11" s="11" t="s">
        <v>190</v>
      </c>
      <c r="E11" s="12" t="s">
        <v>475</v>
      </c>
    </row>
    <row r="12" customFormat="false" ht="21.75" hidden="false" customHeight="true" outlineLevel="0" collapsed="false">
      <c r="A12" s="11" t="s">
        <v>192</v>
      </c>
      <c r="B12" s="12" t="s">
        <v>91</v>
      </c>
      <c r="D12" s="11" t="s">
        <v>193</v>
      </c>
      <c r="E12" s="12" t="s">
        <v>91</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476</v>
      </c>
      <c r="B1" s="9"/>
      <c r="D1" s="9" t="s">
        <v>477</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93</v>
      </c>
      <c r="D3" s="11" t="s">
        <v>169</v>
      </c>
      <c r="E3" s="12" t="s">
        <v>93</v>
      </c>
    </row>
    <row r="4" customFormat="false" ht="21.75" hidden="false" customHeight="true" outlineLevel="0" collapsed="false">
      <c r="A4" s="11" t="s">
        <v>170</v>
      </c>
      <c r="B4" s="12" t="s">
        <v>94</v>
      </c>
      <c r="D4" s="11" t="s">
        <v>171</v>
      </c>
      <c r="E4" s="12" t="s">
        <v>149</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45" hidden="false" customHeight="true" outlineLevel="0" collapsed="false">
      <c r="A8" s="11" t="s">
        <v>180</v>
      </c>
      <c r="B8" s="12" t="s">
        <v>478</v>
      </c>
      <c r="D8" s="11" t="s">
        <v>182</v>
      </c>
      <c r="E8" s="12" t="s">
        <v>479</v>
      </c>
    </row>
    <row r="9" customFormat="false" ht="156" hidden="false" customHeight="true" outlineLevel="0" collapsed="false">
      <c r="A9" s="11" t="s">
        <v>184</v>
      </c>
      <c r="B9" s="12" t="s">
        <v>480</v>
      </c>
      <c r="D9" s="11" t="s">
        <v>186</v>
      </c>
      <c r="E9" s="12" t="s">
        <v>481</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482</v>
      </c>
      <c r="D11" s="11" t="s">
        <v>190</v>
      </c>
      <c r="E11" s="12" t="s">
        <v>482</v>
      </c>
    </row>
    <row r="12" customFormat="false" ht="21.75" hidden="false" customHeight="true" outlineLevel="0" collapsed="false">
      <c r="A12" s="11" t="s">
        <v>192</v>
      </c>
      <c r="B12" s="12" t="s">
        <v>93</v>
      </c>
      <c r="D12" s="11" t="s">
        <v>193</v>
      </c>
      <c r="E12" s="12" t="s">
        <v>93</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483</v>
      </c>
      <c r="B1" s="9"/>
      <c r="D1" s="9" t="s">
        <v>484</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95</v>
      </c>
      <c r="D3" s="11" t="s">
        <v>169</v>
      </c>
      <c r="E3" s="12" t="s">
        <v>95</v>
      </c>
    </row>
    <row r="4" customFormat="false" ht="21.75" hidden="false" customHeight="true" outlineLevel="0" collapsed="false">
      <c r="A4" s="11" t="s">
        <v>170</v>
      </c>
      <c r="B4" s="12" t="s">
        <v>96</v>
      </c>
      <c r="D4" s="11" t="s">
        <v>171</v>
      </c>
      <c r="E4" s="12" t="s">
        <v>150</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45" hidden="false" customHeight="true" outlineLevel="0" collapsed="false">
      <c r="A8" s="11" t="s">
        <v>180</v>
      </c>
      <c r="B8" s="12" t="s">
        <v>485</v>
      </c>
      <c r="D8" s="11" t="s">
        <v>182</v>
      </c>
      <c r="E8" s="12" t="s">
        <v>486</v>
      </c>
    </row>
    <row r="9" customFormat="false" ht="78" hidden="false" customHeight="true" outlineLevel="0" collapsed="false">
      <c r="A9" s="11" t="s">
        <v>184</v>
      </c>
      <c r="B9" s="12" t="s">
        <v>487</v>
      </c>
      <c r="D9" s="11" t="s">
        <v>186</v>
      </c>
      <c r="E9" s="12" t="s">
        <v>488</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489</v>
      </c>
      <c r="D11" s="11" t="s">
        <v>190</v>
      </c>
      <c r="E11" s="12" t="s">
        <v>489</v>
      </c>
    </row>
    <row r="12" customFormat="false" ht="21.75" hidden="false" customHeight="true" outlineLevel="0" collapsed="false">
      <c r="A12" s="11" t="s">
        <v>192</v>
      </c>
      <c r="B12" s="12" t="s">
        <v>95</v>
      </c>
      <c r="D12" s="11" t="s">
        <v>193</v>
      </c>
      <c r="E12" s="12" t="s">
        <v>95</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490</v>
      </c>
      <c r="B1" s="9"/>
      <c r="D1" s="9" t="s">
        <v>491</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98</v>
      </c>
      <c r="D3" s="11" t="s">
        <v>169</v>
      </c>
      <c r="E3" s="12" t="s">
        <v>98</v>
      </c>
    </row>
    <row r="4" customFormat="false" ht="21.75" hidden="false" customHeight="true" outlineLevel="0" collapsed="false">
      <c r="A4" s="11" t="s">
        <v>170</v>
      </c>
      <c r="B4" s="12" t="s">
        <v>96</v>
      </c>
      <c r="D4" s="11" t="s">
        <v>171</v>
      </c>
      <c r="E4" s="12" t="s">
        <v>150</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45" hidden="false" customHeight="true" outlineLevel="0" collapsed="false">
      <c r="A8" s="11" t="s">
        <v>180</v>
      </c>
      <c r="B8" s="12" t="s">
        <v>492</v>
      </c>
      <c r="D8" s="11" t="s">
        <v>182</v>
      </c>
      <c r="E8" s="12" t="s">
        <v>493</v>
      </c>
    </row>
    <row r="9" customFormat="false" ht="78" hidden="false" customHeight="true" outlineLevel="0" collapsed="false">
      <c r="A9" s="11" t="s">
        <v>184</v>
      </c>
      <c r="B9" s="12" t="s">
        <v>494</v>
      </c>
      <c r="D9" s="11" t="s">
        <v>186</v>
      </c>
      <c r="E9" s="12" t="s">
        <v>495</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496</v>
      </c>
      <c r="D11" s="11" t="s">
        <v>190</v>
      </c>
      <c r="E11" s="12" t="s">
        <v>496</v>
      </c>
    </row>
    <row r="12" customFormat="false" ht="21.75" hidden="false" customHeight="true" outlineLevel="0" collapsed="false">
      <c r="A12" s="11" t="s">
        <v>192</v>
      </c>
      <c r="B12" s="12" t="s">
        <v>98</v>
      </c>
      <c r="D12" s="11" t="s">
        <v>193</v>
      </c>
      <c r="E12" s="12" t="s">
        <v>98</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497</v>
      </c>
      <c r="B1" s="9"/>
      <c r="D1" s="9" t="s">
        <v>498</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100</v>
      </c>
      <c r="D3" s="11" t="s">
        <v>169</v>
      </c>
      <c r="E3" s="12" t="s">
        <v>100</v>
      </c>
    </row>
    <row r="4" customFormat="false" ht="21.75" hidden="false" customHeight="true" outlineLevel="0" collapsed="false">
      <c r="A4" s="11" t="s">
        <v>170</v>
      </c>
      <c r="B4" s="12" t="s">
        <v>101</v>
      </c>
      <c r="D4" s="11" t="s">
        <v>171</v>
      </c>
      <c r="E4" s="12" t="s">
        <v>151</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142.5" hidden="false" customHeight="true" outlineLevel="0" collapsed="false">
      <c r="A8" s="11" t="s">
        <v>180</v>
      </c>
      <c r="B8" s="12" t="s">
        <v>499</v>
      </c>
      <c r="D8" s="11" t="s">
        <v>182</v>
      </c>
      <c r="E8" s="12" t="s">
        <v>500</v>
      </c>
    </row>
    <row r="9" customFormat="false" ht="90.75" hidden="false" customHeight="true" outlineLevel="0" collapsed="false">
      <c r="A9" s="11" t="s">
        <v>184</v>
      </c>
      <c r="B9" s="12" t="s">
        <v>501</v>
      </c>
      <c r="D9" s="11" t="s">
        <v>186</v>
      </c>
      <c r="E9" s="12" t="s">
        <v>502</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503</v>
      </c>
      <c r="D11" s="11" t="s">
        <v>190</v>
      </c>
      <c r="E11" s="12" t="s">
        <v>503</v>
      </c>
    </row>
    <row r="12" customFormat="false" ht="21.75" hidden="false" customHeight="true" outlineLevel="0" collapsed="false">
      <c r="A12" s="11" t="s">
        <v>192</v>
      </c>
      <c r="B12" s="12" t="s">
        <v>100</v>
      </c>
      <c r="D12" s="11" t="s">
        <v>193</v>
      </c>
      <c r="E12" s="12" t="s">
        <v>100</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504</v>
      </c>
      <c r="B1" s="9"/>
      <c r="D1" s="9" t="s">
        <v>505</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102</v>
      </c>
      <c r="D3" s="11" t="s">
        <v>169</v>
      </c>
      <c r="E3" s="12" t="s">
        <v>102</v>
      </c>
    </row>
    <row r="4" customFormat="false" ht="21.75" hidden="false" customHeight="true" outlineLevel="0" collapsed="false">
      <c r="A4" s="11" t="s">
        <v>170</v>
      </c>
      <c r="B4" s="12" t="s">
        <v>103</v>
      </c>
      <c r="D4" s="11" t="s">
        <v>171</v>
      </c>
      <c r="E4" s="12" t="s">
        <v>152</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45" hidden="false" customHeight="true" outlineLevel="0" collapsed="false">
      <c r="A8" s="11" t="s">
        <v>180</v>
      </c>
      <c r="B8" s="12" t="s">
        <v>506</v>
      </c>
      <c r="D8" s="11" t="s">
        <v>182</v>
      </c>
      <c r="E8" s="12" t="s">
        <v>507</v>
      </c>
    </row>
    <row r="9" customFormat="false" ht="168.75" hidden="false" customHeight="true" outlineLevel="0" collapsed="false">
      <c r="A9" s="11" t="s">
        <v>184</v>
      </c>
      <c r="B9" s="12" t="s">
        <v>508</v>
      </c>
      <c r="D9" s="11" t="s">
        <v>186</v>
      </c>
      <c r="E9" s="12" t="s">
        <v>509</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510</v>
      </c>
      <c r="D11" s="11" t="s">
        <v>190</v>
      </c>
      <c r="E11" s="12" t="s">
        <v>510</v>
      </c>
    </row>
    <row r="12" customFormat="false" ht="21.75" hidden="false" customHeight="true" outlineLevel="0" collapsed="false">
      <c r="A12" s="11" t="s">
        <v>192</v>
      </c>
      <c r="B12" s="12" t="s">
        <v>102</v>
      </c>
      <c r="D12" s="11" t="s">
        <v>193</v>
      </c>
      <c r="E12" s="12" t="s">
        <v>102</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511</v>
      </c>
      <c r="B1" s="9"/>
      <c r="D1" s="9" t="s">
        <v>512</v>
      </c>
      <c r="E1" s="9"/>
    </row>
    <row r="2" customFormat="false" ht="19.5" hidden="false" customHeight="true" outlineLevel="0" collapsed="false">
      <c r="A2" s="10" t="s">
        <v>166</v>
      </c>
      <c r="B2" s="10"/>
      <c r="D2" s="10" t="s">
        <v>167</v>
      </c>
      <c r="E2" s="10"/>
    </row>
    <row r="3" customFormat="false" ht="21.75" hidden="false" customHeight="true" outlineLevel="0" collapsed="false">
      <c r="A3" s="11" t="s">
        <v>168</v>
      </c>
      <c r="B3" s="12" t="s">
        <v>104</v>
      </c>
      <c r="D3" s="11" t="s">
        <v>169</v>
      </c>
      <c r="E3" s="12" t="s">
        <v>104</v>
      </c>
    </row>
    <row r="4" customFormat="false" ht="21.75" hidden="false" customHeight="true" outlineLevel="0" collapsed="false">
      <c r="A4" s="11" t="s">
        <v>170</v>
      </c>
      <c r="B4" s="12" t="s">
        <v>103</v>
      </c>
      <c r="D4" s="11" t="s">
        <v>171</v>
      </c>
      <c r="E4" s="12" t="s">
        <v>152</v>
      </c>
    </row>
    <row r="5" customFormat="false" ht="21.75" hidden="false" customHeight="true" outlineLevel="0" collapsed="false">
      <c r="A5" s="11" t="s">
        <v>172</v>
      </c>
      <c r="B5" s="12" t="s">
        <v>173</v>
      </c>
      <c r="D5" s="11" t="s">
        <v>174</v>
      </c>
      <c r="E5" s="12" t="s">
        <v>175</v>
      </c>
    </row>
    <row r="6" customFormat="false" ht="21.75" hidden="false" customHeight="true" outlineLevel="0" collapsed="false">
      <c r="A6" s="11" t="s">
        <v>176</v>
      </c>
      <c r="B6" s="12"/>
      <c r="D6" s="11" t="s">
        <v>177</v>
      </c>
      <c r="E6" s="12"/>
    </row>
    <row r="7" customFormat="false" ht="21.75" hidden="false" customHeight="true" outlineLevel="0" collapsed="false">
      <c r="A7" s="11" t="s">
        <v>178</v>
      </c>
      <c r="B7" s="12"/>
      <c r="D7" s="11" t="s">
        <v>179</v>
      </c>
      <c r="E7" s="12"/>
    </row>
    <row r="8" customFormat="false" ht="51.75" hidden="false" customHeight="true" outlineLevel="0" collapsed="false">
      <c r="A8" s="11" t="s">
        <v>180</v>
      </c>
      <c r="B8" s="12" t="s">
        <v>513</v>
      </c>
      <c r="D8" s="11" t="s">
        <v>182</v>
      </c>
      <c r="E8" s="12" t="s">
        <v>514</v>
      </c>
    </row>
    <row r="9" customFormat="false" ht="78" hidden="false" customHeight="true" outlineLevel="0" collapsed="false">
      <c r="A9" s="11" t="s">
        <v>184</v>
      </c>
      <c r="B9" s="12" t="s">
        <v>515</v>
      </c>
      <c r="D9" s="11" t="s">
        <v>186</v>
      </c>
      <c r="E9" s="12" t="s">
        <v>516</v>
      </c>
    </row>
    <row r="10" customFormat="false" ht="19.5" hidden="false" customHeight="true" outlineLevel="0" collapsed="false">
      <c r="A10" s="10" t="s">
        <v>188</v>
      </c>
      <c r="B10" s="10"/>
      <c r="D10" s="10" t="s">
        <v>189</v>
      </c>
      <c r="E10" s="10"/>
    </row>
    <row r="11" customFormat="false" ht="21.75" hidden="false" customHeight="true" outlineLevel="0" collapsed="false">
      <c r="A11" s="11" t="s">
        <v>190</v>
      </c>
      <c r="B11" s="12" t="s">
        <v>517</v>
      </c>
      <c r="D11" s="11" t="s">
        <v>190</v>
      </c>
      <c r="E11" s="12" t="s">
        <v>517</v>
      </c>
    </row>
    <row r="12" customFormat="false" ht="21.75" hidden="false" customHeight="true" outlineLevel="0" collapsed="false">
      <c r="A12" s="11" t="s">
        <v>192</v>
      </c>
      <c r="B12" s="12" t="s">
        <v>104</v>
      </c>
      <c r="D12" s="11" t="s">
        <v>193</v>
      </c>
      <c r="E12" s="12" t="s">
        <v>104</v>
      </c>
    </row>
    <row r="13" customFormat="false" ht="21.75" hidden="false" customHeight="true" outlineLevel="0" collapsed="false">
      <c r="A13" s="11" t="s">
        <v>194</v>
      </c>
      <c r="B13" s="12"/>
      <c r="D13" s="11" t="s">
        <v>195</v>
      </c>
      <c r="E13" s="12"/>
    </row>
    <row r="14" customFormat="false" ht="54.75" hidden="false" customHeight="true" outlineLevel="0" collapsed="false">
      <c r="A14" s="11" t="s">
        <v>196</v>
      </c>
      <c r="B14" s="12"/>
      <c r="D14" s="11" t="s">
        <v>197</v>
      </c>
      <c r="E14" s="12"/>
    </row>
    <row r="15" customFormat="false" ht="54.75" hidden="false" customHeight="true" outlineLevel="0" collapsed="false">
      <c r="A15" s="11" t="s">
        <v>198</v>
      </c>
      <c r="B15" s="12"/>
      <c r="D15" s="11" t="s">
        <v>199</v>
      </c>
      <c r="E15" s="12"/>
    </row>
    <row r="16" customFormat="false" ht="54.75" hidden="false" customHeight="true" outlineLevel="0" collapsed="false">
      <c r="A16" s="11" t="s">
        <v>110</v>
      </c>
      <c r="B16" s="12"/>
      <c r="D16" s="11" t="s">
        <v>157</v>
      </c>
      <c r="E16" s="12"/>
    </row>
    <row r="17" customFormat="false" ht="24.75" hidden="false" customHeight="true" outlineLevel="0" collapsed="false">
      <c r="A17" s="11" t="s">
        <v>200</v>
      </c>
      <c r="B17" s="12"/>
      <c r="D17" s="11" t="s">
        <v>201</v>
      </c>
      <c r="E17" s="12"/>
    </row>
    <row r="18" customFormat="false" ht="24.75" hidden="false" customHeight="true" outlineLevel="0" collapsed="false">
      <c r="A18" s="11" t="s">
        <v>202</v>
      </c>
      <c r="B18" s="12"/>
      <c r="D18" s="11" t="s">
        <v>203</v>
      </c>
      <c r="E18" s="12"/>
    </row>
    <row r="19" customFormat="false" ht="24.75" hidden="false" customHeight="true" outlineLevel="0" collapsed="false">
      <c r="A19" s="11" t="s">
        <v>204</v>
      </c>
      <c r="B19" s="12"/>
      <c r="D19" s="11" t="s">
        <v>205</v>
      </c>
      <c r="E19" s="12"/>
    </row>
    <row r="20" customFormat="false" ht="21.75" hidden="false" customHeight="true" outlineLevel="0" collapsed="false">
      <c r="A20" s="11" t="s">
        <v>5</v>
      </c>
      <c r="B20" s="12" t="s">
        <v>108</v>
      </c>
      <c r="D20" s="11" t="s">
        <v>122</v>
      </c>
      <c r="E20" s="12" t="s">
        <v>206</v>
      </c>
    </row>
    <row r="21" customFormat="false" ht="54.75" hidden="false" customHeight="true" outlineLevel="0" collapsed="false">
      <c r="A21" s="11" t="s">
        <v>207</v>
      </c>
      <c r="B21" s="12"/>
      <c r="D21" s="11" t="s">
        <v>208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2026-05-29T18:33:51Z</dcterms:created>
  <dc:creator>openpyxl</dc:creator>
  <dc:description/>
  <dc:language>en-US</dc:language>
  <cp:lastModifiedBy/>
  <dcterms:modified xsi:type="dcterms:W3CDTF">2026-05-29T18:33:52Z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