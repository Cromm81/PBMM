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TRACKER" sheetId="2" state="visible" r:id="rId2"/>
    <sheet xmlns:r="http://schemas.openxmlformats.org/officeDocument/2006/relationships" name="SUMMARY" sheetId="3" state="visible" r:id="rId3"/>
    <sheet xmlns:r="http://schemas.openxmlformats.org/officeDocument/2006/relationships" name="EXECUTIVE DASHBOARD" sheetId="4" state="visible" r:id="rId4"/>
    <sheet xmlns:r="http://schemas.openxmlformats.org/officeDocument/2006/relationships" name="GAPS BY FAMILY" sheetId="5" state="visible" r:id="rId5"/>
    <sheet xmlns:r="http://schemas.openxmlformats.org/officeDocument/2006/relationships" name="REMEDIATION PLAN" sheetId="6" state="visible" r:id="rId6"/>
    <sheet xmlns:r="http://schemas.openxmlformats.org/officeDocument/2006/relationships" name="REMEDIATION SUMMARY" sheetId="7" state="visible" r:id="rId7"/>
  </sheets>
  <definedNames>
    <definedName name="_xlnm._FilterDatabase" localSheetId="1" hidden="1">'TRACKER'!$A$2:$M$2</definedName>
    <definedName name="_xlnm._FilterDatabase" localSheetId="5" hidden="1">'REMEDIATION PLAN'!$A$2:$L$2</definedName>
  </definedNames>
  <calcPr calcId="124519" fullCalcOnLoad="1"/>
</workbook>
</file>

<file path=xl/styles.xml><?xml version="1.0" encoding="utf-8"?>
<styleSheet xmlns="http://schemas.openxmlformats.org/spreadsheetml/2006/main">
  <numFmts count="2">
    <numFmt numFmtId="164" formatCode="YYYY-MM-DD"/>
    <numFmt numFmtId="165" formatCode="0.0%"/>
  </numFmts>
  <fonts count="19">
    <font>
      <name val="Calibri"/>
      <family val="2"/>
      <color theme="1"/>
      <sz val="11"/>
      <scheme val="minor"/>
    </font>
    <font>
      <name val="Arial"/>
      <b val="1"/>
      <color rgb="00FFFFFF"/>
      <sz val="14"/>
    </font>
    <font>
      <name val="Arial"/>
      <b val="1"/>
      <color rgb="001F3864"/>
      <sz val="10"/>
    </font>
    <font>
      <name val="Arial"/>
      <color rgb="001A1A1A"/>
      <sz val="10"/>
    </font>
    <font>
      <name val="Arial"/>
      <b val="1"/>
      <color rgb="00FFFFFF"/>
      <sz val="13"/>
    </font>
    <font>
      <name val="Arial"/>
      <color rgb="00FFFFFF"/>
      <sz val="9"/>
    </font>
    <font>
      <name val="Arial"/>
      <b val="1"/>
      <color rgb="00FFFFFF"/>
      <sz val="10"/>
    </font>
    <font>
      <name val="Arial"/>
      <color rgb="00000000"/>
      <sz val="9"/>
    </font>
    <font>
      <name val="Arial"/>
      <sz val="9"/>
    </font>
    <font>
      <name val="Arial"/>
      <b val="1"/>
      <sz val="9"/>
    </font>
    <font>
      <name val="Arial"/>
      <b val="1"/>
      <sz val="10"/>
    </font>
    <font>
      <name val="Arial"/>
      <sz val="10"/>
    </font>
    <font>
      <name val="Arial"/>
      <color rgb="00000000"/>
      <sz val="10"/>
    </font>
    <font>
      <name val="Arial"/>
      <b val="1"/>
      <color rgb="00000000"/>
      <sz val="10"/>
    </font>
    <font>
      <name val="Arial"/>
      <b val="1"/>
      <color rgb="009C0006"/>
      <sz val="10"/>
    </font>
    <font>
      <name val="Arial"/>
      <b val="1"/>
      <color rgb="009C5700"/>
      <sz val="10"/>
    </font>
    <font>
      <name val="Arial"/>
      <b val="1"/>
      <color rgb="00276221"/>
      <sz val="10"/>
    </font>
    <font>
      <name val="Arial"/>
      <b val="1"/>
      <color rgb="00FFFFFF"/>
      <sz val="9"/>
    </font>
    <font>
      <name val="Arial"/>
      <b val="1"/>
      <color rgb="001F3864"/>
      <sz val="9"/>
    </font>
  </fonts>
  <fills count="14">
    <fill>
      <patternFill/>
    </fill>
    <fill>
      <patternFill patternType="gray125"/>
    </fill>
    <fill>
      <patternFill patternType="solid">
        <fgColor rgb="001F3864"/>
      </patternFill>
    </fill>
    <fill>
      <patternFill patternType="solid">
        <fgColor rgb="00D6E4F7"/>
      </patternFill>
    </fill>
    <fill>
      <patternFill patternType="solid">
        <fgColor rgb="00F7F9FC"/>
      </patternFill>
    </fill>
    <fill>
      <patternFill patternType="solid">
        <fgColor rgb="002E6DA4"/>
      </patternFill>
    </fill>
    <fill>
      <patternFill patternType="solid">
        <fgColor rgb="001565C0"/>
      </patternFill>
    </fill>
    <fill>
      <patternFill patternType="solid">
        <fgColor rgb="002E7D32"/>
      </patternFill>
    </fill>
    <fill>
      <patternFill patternType="solid">
        <fgColor rgb="00F2F2F2"/>
      </patternFill>
    </fill>
    <fill>
      <patternFill patternType="solid">
        <fgColor rgb="00FFFFFF"/>
      </patternFill>
    </fill>
    <fill>
      <patternFill patternType="solid">
        <fgColor rgb="00EBF3FB"/>
      </patternFill>
    </fill>
    <fill>
      <patternFill patternType="solid">
        <fgColor rgb="00FFC7CE"/>
      </patternFill>
    </fill>
    <fill>
      <patternFill patternType="solid">
        <fgColor rgb="00FFEB9C"/>
      </patternFill>
    </fill>
    <fill>
      <patternFill patternType="solid">
        <fgColor rgb="00C6EFCE"/>
      </patternFill>
    </fill>
  </fills>
  <borders count="8">
    <border>
      <left/>
      <right/>
      <top/>
      <bottom/>
      <diagonal/>
    </border>
    <border>
      <left style="thin">
        <color rgb="00B0B8C1"/>
      </left>
      <right style="thin">
        <color rgb="00B0B8C1"/>
      </right>
      <top style="thin">
        <color rgb="00B0B8C1"/>
      </top>
      <bottom style="thin">
        <color rgb="00B0B8C1"/>
      </bottom>
    </border>
    <border>
      <left/>
      <right/>
      <top style="thin">
        <color rgb="00B0B8C1"/>
      </top>
      <bottom/>
      <diagonal/>
    </border>
    <border>
      <left/>
      <right style="thin">
        <color rgb="00B0B8C1"/>
      </right>
      <top style="thin">
        <color rgb="00B0B8C1"/>
      </top>
      <bottom/>
      <diagonal/>
    </border>
    <border>
      <left/>
      <right style="thin">
        <color rgb="00B0B8C1"/>
      </right>
      <top style="thin">
        <color rgb="00B0B8C1"/>
      </top>
      <bottom style="thin">
        <color rgb="00B0B8C1"/>
      </bottom>
      <diagonal/>
    </border>
    <border>
      <left/>
      <right/>
      <top style="thin">
        <color rgb="00B0B8C1"/>
      </top>
      <bottom style="thin">
        <color rgb="00B0B8C1"/>
      </bottom>
      <diagonal/>
    </border>
    <border>
      <left style="medium">
        <color rgb="001565C0"/>
      </left>
      <right style="medium">
        <color rgb="001565C0"/>
      </right>
      <top style="medium">
        <color rgb="001565C0"/>
      </top>
      <bottom style="medium">
        <color rgb="001565C0"/>
      </bottom>
    </border>
    <border>
      <left style="medium">
        <color rgb="002E7D32"/>
      </left>
      <right style="medium">
        <color rgb="002E7D32"/>
      </right>
      <top style="medium">
        <color rgb="002E7D32"/>
      </top>
      <bottom style="medium">
        <color rgb="002E7D32"/>
      </bottom>
    </border>
  </borders>
  <cellStyleXfs count="1">
    <xf numFmtId="0" fontId="0" fillId="0" borderId="0"/>
  </cellStyleXfs>
  <cellXfs count="54">
    <xf numFmtId="0" fontId="0" fillId="0" borderId="0" pivotButton="0" quotePrefix="0" xfId="0"/>
    <xf numFmtId="0" fontId="1" fillId="2" borderId="1" applyAlignment="1" pivotButton="0" quotePrefix="0" xfId="0">
      <alignment horizontal="left" vertical="center"/>
    </xf>
    <xf numFmtId="0" fontId="0" fillId="0" borderId="4" pivotButton="0" quotePrefix="0" xfId="0"/>
    <xf numFmtId="0" fontId="2" fillId="3" borderId="1" applyAlignment="1" pivotButton="0" quotePrefix="0" xfId="0">
      <alignment vertical="top" wrapText="1"/>
    </xf>
    <xf numFmtId="0" fontId="3" fillId="4" borderId="1" applyAlignment="1" pivotButton="0" quotePrefix="0" xfId="0">
      <alignment vertical="top" wrapText="1"/>
    </xf>
    <xf numFmtId="0" fontId="4" fillId="2" borderId="1" applyAlignment="1" pivotButton="0" quotePrefix="0" xfId="0">
      <alignment horizontal="left" vertical="center"/>
    </xf>
    <xf numFmtId="0" fontId="0" fillId="0" borderId="5" pivotButton="0" quotePrefix="0" xfId="0"/>
    <xf numFmtId="164" fontId="5" fillId="2" borderId="1" applyAlignment="1" pivotButton="0" quotePrefix="0" xfId="0">
      <alignment horizontal="right" vertical="center"/>
    </xf>
    <xf numFmtId="0" fontId="6" fillId="5" borderId="1" applyAlignment="1" pivotButton="0" quotePrefix="0" xfId="0">
      <alignment horizontal="center" vertical="center" wrapText="1"/>
    </xf>
    <xf numFmtId="0" fontId="6" fillId="6" borderId="6" applyAlignment="1" pivotButton="0" quotePrefix="0" xfId="0">
      <alignment horizontal="center" vertical="center" wrapText="1"/>
    </xf>
    <xf numFmtId="0" fontId="6" fillId="7" borderId="7" applyAlignment="1" pivotButton="0" quotePrefix="0" xfId="0">
      <alignment horizontal="center" vertical="center" wrapText="1"/>
    </xf>
    <xf numFmtId="0" fontId="7" fillId="8" borderId="1" applyAlignment="1" pivotButton="0" quotePrefix="0" xfId="0">
      <alignment horizontal="center" vertical="center" wrapText="1"/>
    </xf>
    <xf numFmtId="0" fontId="7" fillId="8" borderId="1" applyAlignment="1" pivotButton="0" quotePrefix="0" xfId="0">
      <alignment horizontal="left" vertical="center" wrapText="1"/>
    </xf>
    <xf numFmtId="0" fontId="8" fillId="8" borderId="6" applyAlignment="1" pivotButton="0" quotePrefix="0" xfId="0">
      <alignment horizontal="center" vertical="center"/>
    </xf>
    <xf numFmtId="0" fontId="9" fillId="0" borderId="6" applyAlignment="1" pivotButton="0" quotePrefix="0" xfId="0">
      <alignment horizontal="center" vertical="center"/>
    </xf>
    <xf numFmtId="0" fontId="8" fillId="8" borderId="7" applyAlignment="1" pivotButton="0" quotePrefix="0" xfId="0">
      <alignment horizontal="center" vertical="center"/>
    </xf>
    <xf numFmtId="0" fontId="9" fillId="0" borderId="7" applyAlignment="1" pivotButton="0" quotePrefix="0" xfId="0">
      <alignment horizontal="center" vertical="center"/>
    </xf>
    <xf numFmtId="164" fontId="7" fillId="8" borderId="1" applyAlignment="1" pivotButton="0" quotePrefix="0" xfId="0">
      <alignment horizontal="left" vertical="center" wrapText="1"/>
    </xf>
    <xf numFmtId="0" fontId="7" fillId="9" borderId="1" applyAlignment="1" pivotButton="0" quotePrefix="0" xfId="0">
      <alignment horizontal="center" vertical="center" wrapText="1"/>
    </xf>
    <xf numFmtId="0" fontId="7" fillId="9" borderId="1" applyAlignment="1" pivotButton="0" quotePrefix="0" xfId="0">
      <alignment horizontal="left" vertical="center" wrapText="1"/>
    </xf>
    <xf numFmtId="0" fontId="8" fillId="9" borderId="6" applyAlignment="1" pivotButton="0" quotePrefix="0" xfId="0">
      <alignment horizontal="center" vertical="center"/>
    </xf>
    <xf numFmtId="0" fontId="8" fillId="9" borderId="7" applyAlignment="1" pivotButton="0" quotePrefix="0" xfId="0">
      <alignment horizontal="center" vertical="center"/>
    </xf>
    <xf numFmtId="164" fontId="7" fillId="9" borderId="1" applyAlignment="1" pivotButton="0" quotePrefix="0" xfId="0">
      <alignment horizontal="left" vertical="center" wrapText="1"/>
    </xf>
    <xf numFmtId="0" fontId="6" fillId="6" borderId="1" applyAlignment="1" pivotButton="0" quotePrefix="0" xfId="0">
      <alignment horizontal="center" vertical="center"/>
    </xf>
    <xf numFmtId="0" fontId="6" fillId="7" borderId="1" applyAlignment="1" pivotButton="0" quotePrefix="0" xfId="0">
      <alignment horizontal="center" vertical="center"/>
    </xf>
    <xf numFmtId="0" fontId="6" fillId="2" borderId="1" pivotButton="0" quotePrefix="0" xfId="0"/>
    <xf numFmtId="0" fontId="2" fillId="3" borderId="1" pivotButton="0" quotePrefix="0" xfId="0"/>
    <xf numFmtId="0" fontId="10" fillId="10" borderId="1" applyAlignment="1" pivotButton="0" quotePrefix="0" xfId="0">
      <alignment horizontal="center"/>
    </xf>
    <xf numFmtId="165" fontId="11" fillId="10" borderId="1" applyAlignment="1" pivotButton="0" quotePrefix="0" xfId="0">
      <alignment horizontal="center"/>
    </xf>
    <xf numFmtId="0" fontId="2" fillId="8" borderId="1" applyAlignment="1" pivotButton="0" quotePrefix="0" xfId="0">
      <alignment horizontal="left" vertical="center" wrapText="1"/>
    </xf>
    <xf numFmtId="0" fontId="12" fillId="8" borderId="1" applyAlignment="1" pivotButton="0" quotePrefix="0" xfId="0">
      <alignment horizontal="center" vertical="center" wrapText="1"/>
    </xf>
    <xf numFmtId="165" fontId="12" fillId="8" borderId="1" applyAlignment="1" pivotButton="0" quotePrefix="0" xfId="0">
      <alignment horizontal="center" vertical="center" wrapText="1"/>
    </xf>
    <xf numFmtId="0" fontId="13" fillId="8" borderId="1" applyAlignment="1" pivotButton="0" quotePrefix="0" xfId="0">
      <alignment horizontal="center" vertical="center" wrapText="1"/>
    </xf>
    <xf numFmtId="0" fontId="2" fillId="9" borderId="1" applyAlignment="1" pivotButton="0" quotePrefix="0" xfId="0">
      <alignment horizontal="left" vertical="center" wrapText="1"/>
    </xf>
    <xf numFmtId="0" fontId="12" fillId="9" borderId="1" applyAlignment="1" pivotButton="0" quotePrefix="0" xfId="0">
      <alignment horizontal="center" vertical="center" wrapText="1"/>
    </xf>
    <xf numFmtId="165" fontId="12" fillId="9" borderId="1" applyAlignment="1" pivotButton="0" quotePrefix="0" xfId="0">
      <alignment horizontal="center" vertical="center" wrapText="1"/>
    </xf>
    <xf numFmtId="0" fontId="13" fillId="9" borderId="1" applyAlignment="1" pivotButton="0" quotePrefix="0" xfId="0">
      <alignment horizontal="center" vertical="center" wrapText="1"/>
    </xf>
    <xf numFmtId="0" fontId="6" fillId="2" borderId="1" applyAlignment="1" pivotButton="0" quotePrefix="0" xfId="0">
      <alignment horizontal="left" vertical="center" wrapText="1"/>
    </xf>
    <xf numFmtId="0" fontId="12" fillId="2" borderId="1" applyAlignment="1" pivotButton="0" quotePrefix="0" xfId="0">
      <alignment horizontal="left" vertical="center" wrapText="1"/>
    </xf>
    <xf numFmtId="0" fontId="2" fillId="3" borderId="1" applyAlignment="1" pivotButton="0" quotePrefix="0" xfId="0">
      <alignment horizontal="left" vertical="center" wrapText="1"/>
    </xf>
    <xf numFmtId="0" fontId="13" fillId="10" borderId="1" applyAlignment="1" pivotButton="0" quotePrefix="0" xfId="0">
      <alignment horizontal="center" vertical="center" wrapText="1"/>
    </xf>
    <xf numFmtId="165" fontId="13" fillId="10" borderId="1" applyAlignment="1" pivotButton="0" quotePrefix="0" xfId="0">
      <alignment horizontal="center" vertical="center" wrapText="1"/>
    </xf>
    <xf numFmtId="0" fontId="14" fillId="11" borderId="1" applyAlignment="1" pivotButton="0" quotePrefix="0" xfId="0">
      <alignment horizontal="center" vertical="center" wrapText="1"/>
    </xf>
    <xf numFmtId="0" fontId="15" fillId="12" borderId="1" applyAlignment="1" pivotButton="0" quotePrefix="0" xfId="0">
      <alignment horizontal="center" vertical="center" wrapText="1"/>
    </xf>
    <xf numFmtId="0" fontId="16" fillId="13" borderId="1" applyAlignment="1" pivotButton="0" quotePrefix="0" xfId="0">
      <alignment horizontal="center" vertical="center" wrapText="1"/>
    </xf>
    <xf numFmtId="0" fontId="17" fillId="5" borderId="1" applyAlignment="1" pivotButton="0" quotePrefix="0" xfId="0">
      <alignment horizontal="center" vertical="center" textRotation="90"/>
    </xf>
    <xf numFmtId="0" fontId="18" fillId="8" borderId="1" applyAlignment="1" pivotButton="0" quotePrefix="0" xfId="0">
      <alignment horizontal="left" vertical="center" wrapText="1"/>
    </xf>
    <xf numFmtId="9" fontId="7" fillId="8" borderId="1" applyAlignment="1" pivotButton="0" quotePrefix="0" xfId="0">
      <alignment horizontal="center" vertical="center" wrapText="1"/>
    </xf>
    <xf numFmtId="0" fontId="18" fillId="9" borderId="1" applyAlignment="1" pivotButton="0" quotePrefix="0" xfId="0">
      <alignment horizontal="left" vertical="center" wrapText="1"/>
    </xf>
    <xf numFmtId="9" fontId="7" fillId="9" borderId="1" applyAlignment="1" pivotButton="0" quotePrefix="0" xfId="0">
      <alignment horizontal="center" vertical="center" wrapText="1"/>
    </xf>
    <xf numFmtId="0" fontId="18" fillId="8" borderId="1" applyAlignment="1" pivotButton="0" quotePrefix="0" xfId="0">
      <alignment horizontal="center" vertical="center" wrapText="1"/>
    </xf>
    <xf numFmtId="0" fontId="7" fillId="8" borderId="1" applyAlignment="1" pivotButton="0" quotePrefix="0" xfId="0">
      <alignment horizontal="left" vertical="top" wrapText="1"/>
    </xf>
    <xf numFmtId="0" fontId="18" fillId="9" borderId="1" applyAlignment="1" pivotButton="0" quotePrefix="0" xfId="0">
      <alignment horizontal="center" vertical="center" wrapText="1"/>
    </xf>
    <xf numFmtId="0" fontId="7" fillId="9" borderId="1" applyAlignment="1" pivotButton="0" quotePrefix="0" xfId="0">
      <alignment horizontal="left" vertical="top" wrapText="1"/>
    </xf>
  </cellXfs>
  <cellStyles count="1">
    <cellStyle name="Normal" xfId="0" builtinId="0" hidden="0"/>
  </cellStyles>
  <dxfs count="10">
    <dxf>
      <font>
        <name val="Arial"/>
        <b val="1"/>
        <color rgb="00276221"/>
        <sz val="9"/>
      </font>
      <fill>
        <patternFill patternType="solid">
          <fgColor rgb="00C6EFCE"/>
          <bgColor rgb="00C6EFCE"/>
        </patternFill>
      </fill>
    </dxf>
    <dxf>
      <font>
        <name val="Arial"/>
        <b val="1"/>
        <color rgb="009C5700"/>
        <sz val="9"/>
      </font>
      <fill>
        <patternFill patternType="solid">
          <fgColor rgb="00FFEB9C"/>
          <bgColor rgb="00FFEB9C"/>
        </patternFill>
      </fill>
    </dxf>
    <dxf>
      <font>
        <name val="Arial"/>
        <b val="1"/>
        <color rgb="009C0006"/>
        <sz val="9"/>
      </font>
      <fill>
        <patternFill patternType="solid">
          <fgColor rgb="00FFC7CE"/>
          <bgColor rgb="00FFC7CE"/>
        </patternFill>
      </fill>
    </dxf>
    <dxf>
      <font>
        <name val="Arial"/>
        <b val="1"/>
        <color rgb="00276221"/>
        <sz val="10"/>
      </font>
      <fill>
        <patternFill patternType="solid">
          <fgColor rgb="00C6EFCE"/>
          <bgColor rgb="00C6EFCE"/>
        </patternFill>
      </fill>
    </dxf>
    <dxf>
      <font>
        <name val="Arial"/>
        <b val="1"/>
        <color rgb="009C5700"/>
        <sz val="10"/>
      </font>
      <fill>
        <patternFill patternType="solid">
          <fgColor rgb="00FFEB9C"/>
          <bgColor rgb="00FFEB9C"/>
        </patternFill>
      </fill>
    </dxf>
    <dxf>
      <font>
        <name val="Arial"/>
        <b val="1"/>
        <color rgb="009C0006"/>
        <sz val="10"/>
      </font>
      <fill>
        <patternFill patternType="solid">
          <fgColor rgb="00FFC7CE"/>
          <bgColor rgb="00FFC7CE"/>
        </patternFill>
      </fill>
    </dxf>
    <dxf>
      <font>
        <name val="Arial"/>
        <b val="1"/>
        <color rgb="00C0392B"/>
        <sz val="10"/>
      </font>
      <fill>
        <patternFill patternType="solid">
          <fgColor rgb="00FDE8E8"/>
          <bgColor rgb="00FDE8E8"/>
        </patternFill>
      </fill>
    </dxf>
    <dxf>
      <font>
        <name val="Arial"/>
        <b val="1"/>
        <color rgb="003F51B5"/>
        <sz val="10"/>
      </font>
      <fill>
        <patternFill patternType="solid">
          <fgColor rgb="00E8EAF6"/>
          <bgColor rgb="00E8EAF6"/>
        </patternFill>
      </fill>
    </dxf>
    <dxf>
      <font>
        <b val="1"/>
        <color rgb="009C0006"/>
      </font>
      <fill>
        <patternFill patternType="solid">
          <fgColor rgb="00FFC7CE"/>
          <bgColor rgb="00FFC7CE"/>
        </patternFill>
      </fill>
    </dxf>
    <dxf>
      <font>
        <b val="1"/>
        <color rgb="00C0392B"/>
      </font>
      <fill>
        <patternFill patternType="solid">
          <fgColor rgb="00FDE8E8"/>
          <bgColor rgb="00FDE8E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B5"/>
  <sheetViews>
    <sheetView workbookViewId="0">
      <selection activeCell="A1" sqref="A1"/>
    </sheetView>
  </sheetViews>
  <sheetFormatPr baseColWidth="8" defaultRowHeight="15"/>
  <cols>
    <col width="28" customWidth="1" min="1" max="1"/>
    <col width="90" customWidth="1" min="2" max="2"/>
  </cols>
  <sheetData>
    <row r="1" ht="30" customHeight="1">
      <c r="A1" s="1" t="inlineStr">
        <is>
          <t>PBMM Evidence Master Tracker — User Guide</t>
        </is>
      </c>
      <c r="B1" s="2" t="n"/>
    </row>
    <row r="2" ht="30" customHeight="1">
      <c r="A2" s="3" t="inlineStr">
        <is>
          <t>How It Works</t>
        </is>
      </c>
      <c r="B2" s="4" t="inlineStr">
        <is>
          <t>Status (EN) and Status (FR) columns pull LIVE from each technology workbook. Update a status dropdown in any workbook and the tracker reflects it automatically.</t>
        </is>
      </c>
    </row>
    <row r="3" ht="45" customHeight="1">
      <c r="A3" s="3" t="inlineStr">
        <is>
          <t>SharePoint Setup</t>
        </is>
      </c>
      <c r="B3" s="4" t="inlineStr">
        <is>
          <t>Upload ALL workbook files AND this tracker to the SAME SharePoint document library. Do NOT save locally first — upload directly. Open this tracker FROM SharePoint and Excel will resolve the links to co-located workbooks automatically.</t>
        </is>
      </c>
    </row>
    <row r="4" ht="65" customHeight="1">
      <c r="A4" s="3" t="inlineStr">
        <is>
          <t>If Links Show #REF!</t>
        </is>
      </c>
      <c r="B4" s="4" t="inlineStr">
        <is>
          <t>1. Open in Excel Desktop (not Excel Online)
2. Data tab &gt; Edit Links
3. Change Source for any broken link
4. Navigate to the SharePoint library
5. Select the correct workbook
6. Click Update Values</t>
        </is>
      </c>
    </row>
    <row r="5" ht="40" customHeight="1">
      <c r="A5" s="3" t="inlineStr">
        <is>
          <t>Workbooks Tracked</t>
        </is>
      </c>
      <c r="B5" s="4" t="inlineStr">
        <is>
          <t>Analytics.xlsx, Compute.xlsx, Containers.xlsx, Database.xlsx, DevOps.xlsx, Developer_Tools.xlsx, Documentation.xlsx, Hybrid_and_Multicloud.xlsx, Identity.xlsx, Management_and_Governance.xlsx, Microsoft_Descoped.xlsx, Networking.xlsx, Palo_Alto_Firewalls.xlsx, Panorama.xlsx, Security.xlsx, ServiceNow.xlsx, Storage.xlsx, Tenable_Nessus.xlsx, Tenable_Security_Centre_Plus.xlsx, Virtual_Desktop_Infrastructure.xlsx, Web.xlsx</t>
        </is>
      </c>
    </row>
  </sheetData>
  <mergeCells count="1">
    <mergeCell ref="A1:B1"/>
  </mergeCells>
  <pageMargins left="0.75" right="0.75" top="1" bottom="1" header="0.5" footer="0.5"/>
</worksheet>
</file>

<file path=xl/worksheets/sheet2.xml><?xml version="1.0" encoding="utf-8"?>
<worksheet xmlns="http://schemas.openxmlformats.org/spreadsheetml/2006/main">
  <sheetPr>
    <tabColor rgb="002E6DA4"/>
    <outlinePr summaryBelow="1" summaryRight="1"/>
    <pageSetUpPr/>
  </sheetPr>
  <dimension ref="A1:M1275"/>
  <sheetViews>
    <sheetView workbookViewId="0">
      <pane ySplit="2" topLeftCell="A3" activePane="bottomLeft" state="frozen"/>
      <selection pane="bottomLeft" activeCell="A1" sqref="A1"/>
    </sheetView>
  </sheetViews>
  <sheetFormatPr baseColWidth="8" defaultRowHeight="15"/>
  <cols>
    <col width="10" customWidth="1" min="1" max="1"/>
    <col width="38" customWidth="1" min="2" max="2"/>
    <col width="28" customWidth="1" min="3" max="3"/>
    <col width="10" customWidth="1" min="4" max="4"/>
    <col width="30" customWidth="1" min="5" max="5"/>
    <col width="16" customWidth="1" min="6" max="6"/>
    <col width="20" customWidth="1" min="7" max="7"/>
    <col width="8" customWidth="1" min="8" max="8"/>
    <col width="20" customWidth="1" min="9" max="9"/>
    <col width="8" customWidth="1" min="10" max="10"/>
    <col width="16" customWidth="1" min="11" max="11"/>
    <col width="16" customWidth="1" min="12" max="12"/>
    <col width="12" customWidth="1" min="13" max="13"/>
  </cols>
  <sheetData>
    <row r="1" ht="28" customHeight="1">
      <c r="A1" s="5" t="inlineStr">
        <is>
          <t>PBMM / CCCS Medium — Master Evidence Tracker (LIVE) — 21 Workbooks</t>
        </is>
      </c>
      <c r="B1" s="6" t="n"/>
      <c r="C1" s="6" t="n"/>
      <c r="D1" s="6" t="n"/>
      <c r="E1" s="6" t="n"/>
      <c r="F1" s="6" t="n"/>
      <c r="G1" s="6" t="n"/>
      <c r="H1" s="6" t="n"/>
      <c r="I1" s="6" t="n"/>
      <c r="J1" s="6" t="n"/>
      <c r="K1" s="6" t="n"/>
      <c r="L1" s="2" t="n"/>
      <c r="M1" s="7">
        <f>TODAY()</f>
        <v/>
      </c>
    </row>
    <row r="2" ht="40" customHeight="1">
      <c r="A2" s="8" t="inlineStr">
        <is>
          <t>Control ID</t>
        </is>
      </c>
      <c r="B2" s="8" t="inlineStr">
        <is>
          <t>Control Name</t>
        </is>
      </c>
      <c r="C2" s="8" t="inlineStr">
        <is>
          <t>Technology</t>
        </is>
      </c>
      <c r="D2" s="8" t="inlineStr">
        <is>
          <t>Family</t>
        </is>
      </c>
      <c r="E2" s="8" t="inlineStr">
        <is>
          <t>Source Workbook</t>
        </is>
      </c>
      <c r="F2" s="8" t="inlineStr">
        <is>
          <t>Tab</t>
        </is>
      </c>
      <c r="G2" s="9" t="inlineStr">
        <is>
          <t>Status (EN)</t>
        </is>
      </c>
      <c r="H2" s="9" t="inlineStr">
        <is>
          <t>RAG (EN)</t>
        </is>
      </c>
      <c r="I2" s="10" t="inlineStr">
        <is>
          <t>Status (FR)</t>
        </is>
      </c>
      <c r="J2" s="10" t="inlineStr">
        <is>
          <t>RAG (FR)</t>
        </is>
      </c>
      <c r="K2" s="8" t="inlineStr">
        <is>
          <t>Preparer</t>
        </is>
      </c>
      <c r="L2" s="8" t="inlineStr">
        <is>
          <t>Owner</t>
        </is>
      </c>
      <c r="M2" s="8" t="inlineStr">
        <is>
          <t>Updated</t>
        </is>
      </c>
    </row>
    <row r="3" ht="18" customHeight="1">
      <c r="A3" s="11" t="inlineStr">
        <is>
          <t>AU-2</t>
        </is>
      </c>
      <c r="B3" s="12" t="inlineStr">
        <is>
          <t>Auditable Events</t>
        </is>
      </c>
      <c r="C3" s="12" t="inlineStr">
        <is>
          <t>Analytics</t>
        </is>
      </c>
      <c r="D3" s="11" t="inlineStr">
        <is>
          <t>AU</t>
        </is>
      </c>
      <c r="E3" s="12" t="inlineStr">
        <is>
          <t>Analytics</t>
        </is>
      </c>
      <c r="F3" s="12" t="inlineStr">
        <is>
          <t>AU-2</t>
        </is>
      </c>
      <c r="G3" s="13">
        <f>IFERROR('[Analytics.xlsx]AU-2'!B20,"Not Started")</f>
        <v/>
      </c>
      <c r="H3" s="14">
        <f>IF(OR(G3="Passed",G3="Accepted Exception"),"GREEN",IF(OR(G3="Not Started",G3="Failed"),"RED","AMBER"))</f>
        <v/>
      </c>
      <c r="I3" s="15">
        <f>IFERROR('[Analytics.xlsx]AU-2'!E20,"Non commencé")</f>
        <v/>
      </c>
      <c r="J3" s="16">
        <f>IF(OR(I3="Réussi",I3="Exception acceptée"),"GREEN",IF(OR(I3="Non commencé",I3="Échec"),"RED","AMBER"))</f>
        <v/>
      </c>
      <c r="K3" s="12" t="inlineStr"/>
      <c r="L3" s="12" t="inlineStr"/>
      <c r="M3" s="17" t="inlineStr"/>
    </row>
    <row r="4" ht="18" customHeight="1">
      <c r="A4" s="18" t="inlineStr">
        <is>
          <t>AU-3</t>
        </is>
      </c>
      <c r="B4" s="19" t="inlineStr">
        <is>
          <t>Content of Audit Records</t>
        </is>
      </c>
      <c r="C4" s="19" t="inlineStr">
        <is>
          <t>Analytics</t>
        </is>
      </c>
      <c r="D4" s="18" t="inlineStr">
        <is>
          <t>AU</t>
        </is>
      </c>
      <c r="E4" s="19" t="inlineStr">
        <is>
          <t>Analytics</t>
        </is>
      </c>
      <c r="F4" s="19" t="inlineStr">
        <is>
          <t>AU-3</t>
        </is>
      </c>
      <c r="G4" s="20">
        <f>IFERROR('[Analytics.xlsx]AU-3'!B20,"Not Started")</f>
        <v/>
      </c>
      <c r="H4" s="14">
        <f>IF(OR(G4="Passed",G4="Accepted Exception"),"GREEN",IF(OR(G4="Not Started",G4="Failed"),"RED","AMBER"))</f>
        <v/>
      </c>
      <c r="I4" s="21">
        <f>IFERROR('[Analytics.xlsx]AU-3'!E20,"Non commencé")</f>
        <v/>
      </c>
      <c r="J4" s="16">
        <f>IF(OR(I4="Réussi",I4="Exception acceptée"),"GREEN",IF(OR(I4="Non commencé",I4="Échec"),"RED","AMBER"))</f>
        <v/>
      </c>
      <c r="K4" s="19" t="inlineStr"/>
      <c r="L4" s="19" t="inlineStr"/>
      <c r="M4" s="22" t="inlineStr"/>
    </row>
    <row r="5" ht="18" customHeight="1">
      <c r="A5" s="11" t="inlineStr">
        <is>
          <t>AU-3(1)</t>
        </is>
      </c>
      <c r="B5" s="12" t="inlineStr">
        <is>
          <t>Content of Audit Records</t>
        </is>
      </c>
      <c r="C5" s="12" t="inlineStr">
        <is>
          <t>Analytics</t>
        </is>
      </c>
      <c r="D5" s="11" t="inlineStr">
        <is>
          <t>AU</t>
        </is>
      </c>
      <c r="E5" s="12" t="inlineStr">
        <is>
          <t>Analytics</t>
        </is>
      </c>
      <c r="F5" s="12" t="inlineStr">
        <is>
          <t>AU-3-1</t>
        </is>
      </c>
      <c r="G5" s="13">
        <f>IFERROR('[Analytics.xlsx]AU-3-1'!B20,"Not Started")</f>
        <v/>
      </c>
      <c r="H5" s="14">
        <f>IF(OR(G5="Passed",G5="Accepted Exception"),"GREEN",IF(OR(G5="Not Started",G5="Failed"),"RED","AMBER"))</f>
        <v/>
      </c>
      <c r="I5" s="15">
        <f>IFERROR('[Analytics.xlsx]AU-3-1'!E20,"Non commencé")</f>
        <v/>
      </c>
      <c r="J5" s="16">
        <f>IF(OR(I5="Réussi",I5="Exception acceptée"),"GREEN",IF(OR(I5="Non commencé",I5="Échec"),"RED","AMBER"))</f>
        <v/>
      </c>
      <c r="K5" s="12" t="inlineStr"/>
      <c r="L5" s="12" t="inlineStr"/>
      <c r="M5" s="17" t="inlineStr"/>
    </row>
    <row r="6" ht="18" customHeight="1">
      <c r="A6" s="18" t="inlineStr">
        <is>
          <t>AU-5</t>
        </is>
      </c>
      <c r="B6" s="19" t="inlineStr">
        <is>
          <t>Response To Audit Processing Failures</t>
        </is>
      </c>
      <c r="C6" s="19" t="inlineStr">
        <is>
          <t>Analytics</t>
        </is>
      </c>
      <c r="D6" s="18" t="inlineStr">
        <is>
          <t>AU</t>
        </is>
      </c>
      <c r="E6" s="19" t="inlineStr">
        <is>
          <t>Analytics</t>
        </is>
      </c>
      <c r="F6" s="19" t="inlineStr">
        <is>
          <t>AU-5</t>
        </is>
      </c>
      <c r="G6" s="20">
        <f>IFERROR('[Analytics.xlsx]AU-5'!B20,"Not Started")</f>
        <v/>
      </c>
      <c r="H6" s="14">
        <f>IF(OR(G6="Passed",G6="Accepted Exception"),"GREEN",IF(OR(G6="Not Started",G6="Failed"),"RED","AMBER"))</f>
        <v/>
      </c>
      <c r="I6" s="21">
        <f>IFERROR('[Analytics.xlsx]AU-5'!E20,"Non commencé")</f>
        <v/>
      </c>
      <c r="J6" s="16">
        <f>IF(OR(I6="Réussi",I6="Exception acceptée"),"GREEN",IF(OR(I6="Non commencé",I6="Échec"),"RED","AMBER"))</f>
        <v/>
      </c>
      <c r="K6" s="19" t="inlineStr"/>
      <c r="L6" s="19" t="inlineStr"/>
      <c r="M6" s="22" t="inlineStr"/>
    </row>
    <row r="7" ht="18" customHeight="1">
      <c r="A7" s="11" t="inlineStr">
        <is>
          <t>AU-9(2)</t>
        </is>
      </c>
      <c r="B7" s="12" t="inlineStr">
        <is>
          <t>Protection of Audit Information</t>
        </is>
      </c>
      <c r="C7" s="12" t="inlineStr">
        <is>
          <t>Analytics</t>
        </is>
      </c>
      <c r="D7" s="11" t="inlineStr">
        <is>
          <t>AU</t>
        </is>
      </c>
      <c r="E7" s="12" t="inlineStr">
        <is>
          <t>Analytics</t>
        </is>
      </c>
      <c r="F7" s="12" t="inlineStr">
        <is>
          <t>AU-9-2</t>
        </is>
      </c>
      <c r="G7" s="13">
        <f>IFERROR('[Analytics.xlsx]AU-9-2'!B20,"Not Started")</f>
        <v/>
      </c>
      <c r="H7" s="14">
        <f>IF(OR(G7="Passed",G7="Accepted Exception"),"GREEN",IF(OR(G7="Not Started",G7="Failed"),"RED","AMBER"))</f>
        <v/>
      </c>
      <c r="I7" s="15">
        <f>IFERROR('[Analytics.xlsx]AU-9-2'!E20,"Non commencé")</f>
        <v/>
      </c>
      <c r="J7" s="16">
        <f>IF(OR(I7="Réussi",I7="Exception acceptée"),"GREEN",IF(OR(I7="Non commencé",I7="Échec"),"RED","AMBER"))</f>
        <v/>
      </c>
      <c r="K7" s="12" t="inlineStr"/>
      <c r="L7" s="12" t="inlineStr"/>
      <c r="M7" s="17" t="inlineStr"/>
    </row>
    <row r="8" ht="18" customHeight="1">
      <c r="A8" s="18" t="inlineStr">
        <is>
          <t>AU-12</t>
        </is>
      </c>
      <c r="B8" s="19" t="inlineStr">
        <is>
          <t>Audit Generation</t>
        </is>
      </c>
      <c r="C8" s="19" t="inlineStr">
        <is>
          <t>Analytics</t>
        </is>
      </c>
      <c r="D8" s="18" t="inlineStr">
        <is>
          <t>AU</t>
        </is>
      </c>
      <c r="E8" s="19" t="inlineStr">
        <is>
          <t>Analytics</t>
        </is>
      </c>
      <c r="F8" s="19" t="inlineStr">
        <is>
          <t>AU-12</t>
        </is>
      </c>
      <c r="G8" s="20">
        <f>IFERROR('[Analytics.xlsx]AU-12'!B20,"Not Started")</f>
        <v/>
      </c>
      <c r="H8" s="14">
        <f>IF(OR(G8="Passed",G8="Accepted Exception"),"GREEN",IF(OR(G8="Not Started",G8="Failed"),"RED","AMBER"))</f>
        <v/>
      </c>
      <c r="I8" s="21">
        <f>IFERROR('[Analytics.xlsx]AU-12'!E20,"Non commencé")</f>
        <v/>
      </c>
      <c r="J8" s="16">
        <f>IF(OR(I8="Réussi",I8="Exception acceptée"),"GREEN",IF(OR(I8="Non commencé",I8="Échec"),"RED","AMBER"))</f>
        <v/>
      </c>
      <c r="K8" s="19" t="inlineStr"/>
      <c r="L8" s="19" t="inlineStr"/>
      <c r="M8" s="22" t="inlineStr"/>
    </row>
    <row r="9" ht="18" customHeight="1">
      <c r="A9" s="11" t="inlineStr">
        <is>
          <t>CM-2(3)</t>
        </is>
      </c>
      <c r="B9" s="12" t="inlineStr">
        <is>
          <t>Baseline Configuration</t>
        </is>
      </c>
      <c r="C9" s="12" t="inlineStr">
        <is>
          <t>Analytics</t>
        </is>
      </c>
      <c r="D9" s="11" t="inlineStr">
        <is>
          <t>CM</t>
        </is>
      </c>
      <c r="E9" s="12" t="inlineStr">
        <is>
          <t>Analytics</t>
        </is>
      </c>
      <c r="F9" s="12" t="inlineStr">
        <is>
          <t>CM-2-3</t>
        </is>
      </c>
      <c r="G9" s="13">
        <f>IFERROR('[Analytics.xlsx]CM-2-3'!B20,"Not Started")</f>
        <v/>
      </c>
      <c r="H9" s="14">
        <f>IF(OR(G9="Passed",G9="Accepted Exception"),"GREEN",IF(OR(G9="Not Started",G9="Failed"),"RED","AMBER"))</f>
        <v/>
      </c>
      <c r="I9" s="15">
        <f>IFERROR('[Analytics.xlsx]CM-2-3'!E20,"Non commencé")</f>
        <v/>
      </c>
      <c r="J9" s="16">
        <f>IF(OR(I9="Réussi",I9="Exception acceptée"),"GREEN",IF(OR(I9="Non commencé",I9="Échec"),"RED","AMBER"))</f>
        <v/>
      </c>
      <c r="K9" s="12" t="inlineStr"/>
      <c r="L9" s="12" t="inlineStr"/>
      <c r="M9" s="17" t="inlineStr"/>
    </row>
    <row r="10" ht="18" customHeight="1">
      <c r="A10" s="18" t="inlineStr">
        <is>
          <t>CM-5(1)</t>
        </is>
      </c>
      <c r="B10" s="19" t="inlineStr">
        <is>
          <t>Access Restrictions for Change</t>
        </is>
      </c>
      <c r="C10" s="19" t="inlineStr">
        <is>
          <t>Analytics</t>
        </is>
      </c>
      <c r="D10" s="18" t="inlineStr">
        <is>
          <t>CM</t>
        </is>
      </c>
      <c r="E10" s="19" t="inlineStr">
        <is>
          <t>Analytics</t>
        </is>
      </c>
      <c r="F10" s="19" t="inlineStr">
        <is>
          <t>CM-5-1</t>
        </is>
      </c>
      <c r="G10" s="20">
        <f>IFERROR('[Analytics.xlsx]CM-5-1'!B20,"Not Started")</f>
        <v/>
      </c>
      <c r="H10" s="14">
        <f>IF(OR(G10="Passed",G10="Accepted Exception"),"GREEN",IF(OR(G10="Not Started",G10="Failed"),"RED","AMBER"))</f>
        <v/>
      </c>
      <c r="I10" s="21">
        <f>IFERROR('[Analytics.xlsx]CM-5-1'!E20,"Non commencé")</f>
        <v/>
      </c>
      <c r="J10" s="16">
        <f>IF(OR(I10="Réussi",I10="Exception acceptée"),"GREEN",IF(OR(I10="Non commencé",I10="Échec"),"RED","AMBER"))</f>
        <v/>
      </c>
      <c r="K10" s="19" t="inlineStr"/>
      <c r="L10" s="19" t="inlineStr"/>
      <c r="M10" s="22" t="inlineStr"/>
    </row>
    <row r="11" ht="18" customHeight="1">
      <c r="A11" s="11" t="inlineStr">
        <is>
          <t>CM-6</t>
        </is>
      </c>
      <c r="B11" s="12" t="inlineStr">
        <is>
          <t>Configuration Settings</t>
        </is>
      </c>
      <c r="C11" s="12" t="inlineStr">
        <is>
          <t>Analytics</t>
        </is>
      </c>
      <c r="D11" s="11" t="inlineStr">
        <is>
          <t>CM</t>
        </is>
      </c>
      <c r="E11" s="12" t="inlineStr">
        <is>
          <t>Analytics</t>
        </is>
      </c>
      <c r="F11" s="12" t="inlineStr">
        <is>
          <t>CM-6</t>
        </is>
      </c>
      <c r="G11" s="13">
        <f>IFERROR('[Analytics.xlsx]CM-6'!B20,"Not Started")</f>
        <v/>
      </c>
      <c r="H11" s="14">
        <f>IF(OR(G11="Passed",G11="Accepted Exception"),"GREEN",IF(OR(G11="Not Started",G11="Failed"),"RED","AMBER"))</f>
        <v/>
      </c>
      <c r="I11" s="15">
        <f>IFERROR('[Analytics.xlsx]CM-6'!E20,"Non commencé")</f>
        <v/>
      </c>
      <c r="J11" s="16">
        <f>IF(OR(I11="Réussi",I11="Exception acceptée"),"GREEN",IF(OR(I11="Non commencé",I11="Échec"),"RED","AMBER"))</f>
        <v/>
      </c>
      <c r="K11" s="12" t="inlineStr"/>
      <c r="L11" s="12" t="inlineStr"/>
      <c r="M11" s="17" t="inlineStr"/>
    </row>
    <row r="12" ht="18" customHeight="1">
      <c r="A12" s="18" t="inlineStr">
        <is>
          <t>CM-7</t>
        </is>
      </c>
      <c r="B12" s="19" t="inlineStr">
        <is>
          <t>Least Functionality</t>
        </is>
      </c>
      <c r="C12" s="19" t="inlineStr">
        <is>
          <t>Analytics</t>
        </is>
      </c>
      <c r="D12" s="18" t="inlineStr">
        <is>
          <t>CM</t>
        </is>
      </c>
      <c r="E12" s="19" t="inlineStr">
        <is>
          <t>Analytics</t>
        </is>
      </c>
      <c r="F12" s="19" t="inlineStr">
        <is>
          <t>CM-7</t>
        </is>
      </c>
      <c r="G12" s="20">
        <f>IFERROR('[Analytics.xlsx]CM-7'!B20,"Not Started")</f>
        <v/>
      </c>
      <c r="H12" s="14">
        <f>IF(OR(G12="Passed",G12="Accepted Exception"),"GREEN",IF(OR(G12="Not Started",G12="Failed"),"RED","AMBER"))</f>
        <v/>
      </c>
      <c r="I12" s="21">
        <f>IFERROR('[Analytics.xlsx]CM-7'!E20,"Non commencé")</f>
        <v/>
      </c>
      <c r="J12" s="16">
        <f>IF(OR(I12="Réussi",I12="Exception acceptée"),"GREEN",IF(OR(I12="Non commencé",I12="Échec"),"RED","AMBER"))</f>
        <v/>
      </c>
      <c r="K12" s="19" t="inlineStr"/>
      <c r="L12" s="19" t="inlineStr"/>
      <c r="M12" s="22" t="inlineStr"/>
    </row>
    <row r="13" ht="18" customHeight="1">
      <c r="A13" s="11" t="inlineStr">
        <is>
          <t>CM-7(1)</t>
        </is>
      </c>
      <c r="B13" s="12" t="inlineStr">
        <is>
          <t>Least Functionality</t>
        </is>
      </c>
      <c r="C13" s="12" t="inlineStr">
        <is>
          <t>Analytics</t>
        </is>
      </c>
      <c r="D13" s="11" t="inlineStr">
        <is>
          <t>CM</t>
        </is>
      </c>
      <c r="E13" s="12" t="inlineStr">
        <is>
          <t>Analytics</t>
        </is>
      </c>
      <c r="F13" s="12" t="inlineStr">
        <is>
          <t>CM-7-1</t>
        </is>
      </c>
      <c r="G13" s="13">
        <f>IFERROR('[Analytics.xlsx]CM-7-1'!B20,"Not Started")</f>
        <v/>
      </c>
      <c r="H13" s="14">
        <f>IF(OR(G13="Passed",G13="Accepted Exception"),"GREEN",IF(OR(G13="Not Started",G13="Failed"),"RED","AMBER"))</f>
        <v/>
      </c>
      <c r="I13" s="15">
        <f>IFERROR('[Analytics.xlsx]CM-7-1'!E20,"Non commencé")</f>
        <v/>
      </c>
      <c r="J13" s="16">
        <f>IF(OR(I13="Réussi",I13="Exception acceptée"),"GREEN",IF(OR(I13="Non commencé",I13="Échec"),"RED","AMBER"))</f>
        <v/>
      </c>
      <c r="K13" s="12" t="inlineStr"/>
      <c r="L13" s="12" t="inlineStr"/>
      <c r="M13" s="17" t="inlineStr"/>
    </row>
    <row r="14" ht="18" customHeight="1">
      <c r="A14" s="18" t="inlineStr">
        <is>
          <t>CP-6</t>
        </is>
      </c>
      <c r="B14" s="19" t="inlineStr">
        <is>
          <t>Alternate Storage Site</t>
        </is>
      </c>
      <c r="C14" s="19" t="inlineStr">
        <is>
          <t>Analytics</t>
        </is>
      </c>
      <c r="D14" s="18" t="inlineStr">
        <is>
          <t>CP</t>
        </is>
      </c>
      <c r="E14" s="19" t="inlineStr">
        <is>
          <t>Analytics</t>
        </is>
      </c>
      <c r="F14" s="19" t="inlineStr">
        <is>
          <t>CP-6</t>
        </is>
      </c>
      <c r="G14" s="20">
        <f>IFERROR('[Analytics.xlsx]CP-6'!B20,"Not Started")</f>
        <v/>
      </c>
      <c r="H14" s="14">
        <f>IF(OR(G14="Passed",G14="Accepted Exception"),"GREEN",IF(OR(G14="Not Started",G14="Failed"),"RED","AMBER"))</f>
        <v/>
      </c>
      <c r="I14" s="21">
        <f>IFERROR('[Analytics.xlsx]CP-6'!E20,"Non commencé")</f>
        <v/>
      </c>
      <c r="J14" s="16">
        <f>IF(OR(I14="Réussi",I14="Exception acceptée"),"GREEN",IF(OR(I14="Non commencé",I14="Échec"),"RED","AMBER"))</f>
        <v/>
      </c>
      <c r="K14" s="19" t="inlineStr"/>
      <c r="L14" s="19" t="inlineStr"/>
      <c r="M14" s="22" t="inlineStr"/>
    </row>
    <row r="15" ht="18" customHeight="1">
      <c r="A15" s="11" t="inlineStr">
        <is>
          <t>CP-6(2)</t>
        </is>
      </c>
      <c r="B15" s="12" t="inlineStr">
        <is>
          <t>Alternate Storage Site</t>
        </is>
      </c>
      <c r="C15" s="12" t="inlineStr">
        <is>
          <t>Analytics</t>
        </is>
      </c>
      <c r="D15" s="11" t="inlineStr">
        <is>
          <t>CP</t>
        </is>
      </c>
      <c r="E15" s="12" t="inlineStr">
        <is>
          <t>Analytics</t>
        </is>
      </c>
      <c r="F15" s="12" t="inlineStr">
        <is>
          <t>CP-6-2</t>
        </is>
      </c>
      <c r="G15" s="13">
        <f>IFERROR('[Analytics.xlsx]CP-6-2'!B20,"Not Started")</f>
        <v/>
      </c>
      <c r="H15" s="14">
        <f>IF(OR(G15="Passed",G15="Accepted Exception"),"GREEN",IF(OR(G15="Not Started",G15="Failed"),"RED","AMBER"))</f>
        <v/>
      </c>
      <c r="I15" s="15">
        <f>IFERROR('[Analytics.xlsx]CP-6-2'!E20,"Non commencé")</f>
        <v/>
      </c>
      <c r="J15" s="16">
        <f>IF(OR(I15="Réussi",I15="Exception acceptée"),"GREEN",IF(OR(I15="Non commencé",I15="Échec"),"RED","AMBER"))</f>
        <v/>
      </c>
      <c r="K15" s="12" t="inlineStr"/>
      <c r="L15" s="12" t="inlineStr"/>
      <c r="M15" s="17" t="inlineStr"/>
    </row>
    <row r="16" ht="18" customHeight="1">
      <c r="A16" s="18" t="inlineStr">
        <is>
          <t>CP-7</t>
        </is>
      </c>
      <c r="B16" s="19" t="inlineStr">
        <is>
          <t>Alternate Processing Site</t>
        </is>
      </c>
      <c r="C16" s="19" t="inlineStr">
        <is>
          <t>Analytics</t>
        </is>
      </c>
      <c r="D16" s="18" t="inlineStr">
        <is>
          <t>CP</t>
        </is>
      </c>
      <c r="E16" s="19" t="inlineStr">
        <is>
          <t>Analytics</t>
        </is>
      </c>
      <c r="F16" s="19" t="inlineStr">
        <is>
          <t>CP-7</t>
        </is>
      </c>
      <c r="G16" s="20">
        <f>IFERROR('[Analytics.xlsx]CP-7'!B20,"Not Started")</f>
        <v/>
      </c>
      <c r="H16" s="14">
        <f>IF(OR(G16="Passed",G16="Accepted Exception"),"GREEN",IF(OR(G16="Not Started",G16="Failed"),"RED","AMBER"))</f>
        <v/>
      </c>
      <c r="I16" s="21">
        <f>IFERROR('[Analytics.xlsx]CP-7'!E20,"Non commencé")</f>
        <v/>
      </c>
      <c r="J16" s="16">
        <f>IF(OR(I16="Réussi",I16="Exception acceptée"),"GREEN",IF(OR(I16="Non commencé",I16="Échec"),"RED","AMBER"))</f>
        <v/>
      </c>
      <c r="K16" s="19" t="inlineStr"/>
      <c r="L16" s="19" t="inlineStr"/>
      <c r="M16" s="22" t="inlineStr"/>
    </row>
    <row r="17" ht="18" customHeight="1">
      <c r="A17" s="11" t="inlineStr">
        <is>
          <t>CP-7(4)</t>
        </is>
      </c>
      <c r="B17" s="12" t="inlineStr">
        <is>
          <t>Alternate Processing Site</t>
        </is>
      </c>
      <c r="C17" s="12" t="inlineStr">
        <is>
          <t>Analytics</t>
        </is>
      </c>
      <c r="D17" s="11" t="inlineStr">
        <is>
          <t>CP</t>
        </is>
      </c>
      <c r="E17" s="12" t="inlineStr">
        <is>
          <t>Analytics</t>
        </is>
      </c>
      <c r="F17" s="12" t="inlineStr">
        <is>
          <t>CP-7-4</t>
        </is>
      </c>
      <c r="G17" s="13">
        <f>IFERROR('[Analytics.xlsx]CP-7-4'!B20,"Not Started")</f>
        <v/>
      </c>
      <c r="H17" s="14">
        <f>IF(OR(G17="Passed",G17="Accepted Exception"),"GREEN",IF(OR(G17="Not Started",G17="Failed"),"RED","AMBER"))</f>
        <v/>
      </c>
      <c r="I17" s="15">
        <f>IFERROR('[Analytics.xlsx]CP-7-4'!E20,"Non commencé")</f>
        <v/>
      </c>
      <c r="J17" s="16">
        <f>IF(OR(I17="Réussi",I17="Exception acceptée"),"GREEN",IF(OR(I17="Non commencé",I17="Échec"),"RED","AMBER"))</f>
        <v/>
      </c>
      <c r="K17" s="12" t="inlineStr"/>
      <c r="L17" s="12" t="inlineStr"/>
      <c r="M17" s="17" t="inlineStr"/>
    </row>
    <row r="18" ht="18" customHeight="1">
      <c r="A18" s="18" t="inlineStr">
        <is>
          <t>CP-9</t>
        </is>
      </c>
      <c r="B18" s="19" t="inlineStr">
        <is>
          <t>Information System Backup</t>
        </is>
      </c>
      <c r="C18" s="19" t="inlineStr">
        <is>
          <t>Analytics</t>
        </is>
      </c>
      <c r="D18" s="18" t="inlineStr">
        <is>
          <t>CP</t>
        </is>
      </c>
      <c r="E18" s="19" t="inlineStr">
        <is>
          <t>Analytics</t>
        </is>
      </c>
      <c r="F18" s="19" t="inlineStr">
        <is>
          <t>CP-9</t>
        </is>
      </c>
      <c r="G18" s="20">
        <f>IFERROR('[Analytics.xlsx]CP-9'!B20,"Not Started")</f>
        <v/>
      </c>
      <c r="H18" s="14">
        <f>IF(OR(G18="Passed",G18="Accepted Exception"),"GREEN",IF(OR(G18="Not Started",G18="Failed"),"RED","AMBER"))</f>
        <v/>
      </c>
      <c r="I18" s="21">
        <f>IFERROR('[Analytics.xlsx]CP-9'!E20,"Non commencé")</f>
        <v/>
      </c>
      <c r="J18" s="16">
        <f>IF(OR(I18="Réussi",I18="Exception acceptée"),"GREEN",IF(OR(I18="Non commencé",I18="Échec"),"RED","AMBER"))</f>
        <v/>
      </c>
      <c r="K18" s="19" t="inlineStr"/>
      <c r="L18" s="19" t="inlineStr"/>
      <c r="M18" s="22" t="inlineStr"/>
    </row>
    <row r="19" ht="18" customHeight="1">
      <c r="A19" s="11" t="inlineStr">
        <is>
          <t>CP-9(1)</t>
        </is>
      </c>
      <c r="B19" s="12" t="inlineStr">
        <is>
          <t>Information System Backup</t>
        </is>
      </c>
      <c r="C19" s="12" t="inlineStr">
        <is>
          <t>Analytics</t>
        </is>
      </c>
      <c r="D19" s="11" t="inlineStr">
        <is>
          <t>CP</t>
        </is>
      </c>
      <c r="E19" s="12" t="inlineStr">
        <is>
          <t>Analytics</t>
        </is>
      </c>
      <c r="F19" s="12" t="inlineStr">
        <is>
          <t>CP-9-1</t>
        </is>
      </c>
      <c r="G19" s="13">
        <f>IFERROR('[Analytics.xlsx]CP-9-1'!B20,"Not Started")</f>
        <v/>
      </c>
      <c r="H19" s="14">
        <f>IF(OR(G19="Passed",G19="Accepted Exception"),"GREEN",IF(OR(G19="Not Started",G19="Failed"),"RED","AMBER"))</f>
        <v/>
      </c>
      <c r="I19" s="15">
        <f>IFERROR('[Analytics.xlsx]CP-9-1'!E20,"Non commencé")</f>
        <v/>
      </c>
      <c r="J19" s="16">
        <f>IF(OR(I19="Réussi",I19="Exception acceptée"),"GREEN",IF(OR(I19="Non commencé",I19="Échec"),"RED","AMBER"))</f>
        <v/>
      </c>
      <c r="K19" s="12" t="inlineStr"/>
      <c r="L19" s="12" t="inlineStr"/>
      <c r="M19" s="17" t="inlineStr"/>
    </row>
    <row r="20" ht="18" customHeight="1">
      <c r="A20" s="18" t="inlineStr">
        <is>
          <t>CP-9(2)</t>
        </is>
      </c>
      <c r="B20" s="19" t="inlineStr">
        <is>
          <t>Information System Backup</t>
        </is>
      </c>
      <c r="C20" s="19" t="inlineStr">
        <is>
          <t>Analytics</t>
        </is>
      </c>
      <c r="D20" s="18" t="inlineStr">
        <is>
          <t>CP</t>
        </is>
      </c>
      <c r="E20" s="19" t="inlineStr">
        <is>
          <t>Analytics</t>
        </is>
      </c>
      <c r="F20" s="19" t="inlineStr">
        <is>
          <t>CP-9-2</t>
        </is>
      </c>
      <c r="G20" s="20">
        <f>IFERROR('[Analytics.xlsx]CP-9-2'!B20,"Not Started")</f>
        <v/>
      </c>
      <c r="H20" s="14">
        <f>IF(OR(G20="Passed",G20="Accepted Exception"),"GREEN",IF(OR(G20="Not Started",G20="Failed"),"RED","AMBER"))</f>
        <v/>
      </c>
      <c r="I20" s="21">
        <f>IFERROR('[Analytics.xlsx]CP-9-2'!E20,"Non commencé")</f>
        <v/>
      </c>
      <c r="J20" s="16">
        <f>IF(OR(I20="Réussi",I20="Exception acceptée"),"GREEN",IF(OR(I20="Non commencé",I20="Échec"),"RED","AMBER"))</f>
        <v/>
      </c>
      <c r="K20" s="19" t="inlineStr"/>
      <c r="L20" s="19" t="inlineStr"/>
      <c r="M20" s="22" t="inlineStr"/>
    </row>
    <row r="21" ht="18" customHeight="1">
      <c r="A21" s="11" t="inlineStr">
        <is>
          <t>CP-9(5)</t>
        </is>
      </c>
      <c r="B21" s="12" t="inlineStr">
        <is>
          <t>Information System Backup</t>
        </is>
      </c>
      <c r="C21" s="12" t="inlineStr">
        <is>
          <t>Analytics</t>
        </is>
      </c>
      <c r="D21" s="11" t="inlineStr">
        <is>
          <t>CP</t>
        </is>
      </c>
      <c r="E21" s="12" t="inlineStr">
        <is>
          <t>Analytics</t>
        </is>
      </c>
      <c r="F21" s="12" t="inlineStr">
        <is>
          <t>CP-9-5</t>
        </is>
      </c>
      <c r="G21" s="13">
        <f>IFERROR('[Analytics.xlsx]CP-9-5'!B20,"Not Started")</f>
        <v/>
      </c>
      <c r="H21" s="14">
        <f>IF(OR(G21="Passed",G21="Accepted Exception"),"GREEN",IF(OR(G21="Not Started",G21="Failed"),"RED","AMBER"))</f>
        <v/>
      </c>
      <c r="I21" s="15">
        <f>IFERROR('[Analytics.xlsx]CP-9-5'!E20,"Non commencé")</f>
        <v/>
      </c>
      <c r="J21" s="16">
        <f>IF(OR(I21="Réussi",I21="Exception acceptée"),"GREEN",IF(OR(I21="Non commencé",I21="Échec"),"RED","AMBER"))</f>
        <v/>
      </c>
      <c r="K21" s="12" t="inlineStr"/>
      <c r="L21" s="12" t="inlineStr"/>
      <c r="M21" s="17" t="inlineStr"/>
    </row>
    <row r="22" ht="18" customHeight="1">
      <c r="A22" s="18" t="inlineStr">
        <is>
          <t>CP-10</t>
        </is>
      </c>
      <c r="B22" s="19" t="inlineStr">
        <is>
          <t>Information System Recovery and Reconstitution</t>
        </is>
      </c>
      <c r="C22" s="19" t="inlineStr">
        <is>
          <t>Analytics</t>
        </is>
      </c>
      <c r="D22" s="18" t="inlineStr">
        <is>
          <t>CP</t>
        </is>
      </c>
      <c r="E22" s="19" t="inlineStr">
        <is>
          <t>Analytics</t>
        </is>
      </c>
      <c r="F22" s="19" t="inlineStr">
        <is>
          <t>CP-10</t>
        </is>
      </c>
      <c r="G22" s="20">
        <f>IFERROR('[Analytics.xlsx]CP-10'!B20,"Not Started")</f>
        <v/>
      </c>
      <c r="H22" s="14">
        <f>IF(OR(G22="Passed",G22="Accepted Exception"),"GREEN",IF(OR(G22="Not Started",G22="Failed"),"RED","AMBER"))</f>
        <v/>
      </c>
      <c r="I22" s="21">
        <f>IFERROR('[Analytics.xlsx]CP-10'!E20,"Non commencé")</f>
        <v/>
      </c>
      <c r="J22" s="16">
        <f>IF(OR(I22="Réussi",I22="Exception acceptée"),"GREEN",IF(OR(I22="Non commencé",I22="Échec"),"RED","AMBER"))</f>
        <v/>
      </c>
      <c r="K22" s="19" t="inlineStr"/>
      <c r="L22" s="19" t="inlineStr"/>
      <c r="M22" s="22" t="inlineStr"/>
    </row>
    <row r="23" ht="18" customHeight="1">
      <c r="A23" s="11" t="inlineStr">
        <is>
          <t>CP-10(4)</t>
        </is>
      </c>
      <c r="B23" s="12" t="inlineStr">
        <is>
          <t>Information System Recovery and Reconstitution</t>
        </is>
      </c>
      <c r="C23" s="12" t="inlineStr">
        <is>
          <t>Analytics</t>
        </is>
      </c>
      <c r="D23" s="11" t="inlineStr">
        <is>
          <t>CP</t>
        </is>
      </c>
      <c r="E23" s="12" t="inlineStr">
        <is>
          <t>Analytics</t>
        </is>
      </c>
      <c r="F23" s="12" t="inlineStr">
        <is>
          <t>CP-10-4</t>
        </is>
      </c>
      <c r="G23" s="13">
        <f>IFERROR('[Analytics.xlsx]CP-10-4'!B20,"Not Started")</f>
        <v/>
      </c>
      <c r="H23" s="14">
        <f>IF(OR(G23="Passed",G23="Accepted Exception"),"GREEN",IF(OR(G23="Not Started",G23="Failed"),"RED","AMBER"))</f>
        <v/>
      </c>
      <c r="I23" s="15">
        <f>IFERROR('[Analytics.xlsx]CP-10-4'!E20,"Non commencé")</f>
        <v/>
      </c>
      <c r="J23" s="16">
        <f>IF(OR(I23="Réussi",I23="Exception acceptée"),"GREEN",IF(OR(I23="Non commencé",I23="Échec"),"RED","AMBER"))</f>
        <v/>
      </c>
      <c r="K23" s="12" t="inlineStr"/>
      <c r="L23" s="12" t="inlineStr"/>
      <c r="M23" s="17" t="inlineStr"/>
    </row>
    <row r="24" ht="18" customHeight="1">
      <c r="A24" s="18" t="inlineStr">
        <is>
          <t>SA-9(5)</t>
        </is>
      </c>
      <c r="B24" s="19" t="inlineStr">
        <is>
          <t>External Information System Services</t>
        </is>
      </c>
      <c r="C24" s="19" t="inlineStr">
        <is>
          <t>Analytics</t>
        </is>
      </c>
      <c r="D24" s="18" t="inlineStr">
        <is>
          <t>SA</t>
        </is>
      </c>
      <c r="E24" s="19" t="inlineStr">
        <is>
          <t>Analytics</t>
        </is>
      </c>
      <c r="F24" s="19" t="inlineStr">
        <is>
          <t>SA-9-5</t>
        </is>
      </c>
      <c r="G24" s="20">
        <f>IFERROR('[Analytics.xlsx]SA-9-5'!B20,"Not Started")</f>
        <v/>
      </c>
      <c r="H24" s="14">
        <f>IF(OR(G24="Passed",G24="Accepted Exception"),"GREEN",IF(OR(G24="Not Started",G24="Failed"),"RED","AMBER"))</f>
        <v/>
      </c>
      <c r="I24" s="21">
        <f>IFERROR('[Analytics.xlsx]SA-9-5'!E20,"Non commencé")</f>
        <v/>
      </c>
      <c r="J24" s="16">
        <f>IF(OR(I24="Réussi",I24="Exception acceptée"),"GREEN",IF(OR(I24="Non commencé",I24="Échec"),"RED","AMBER"))</f>
        <v/>
      </c>
      <c r="K24" s="19" t="inlineStr"/>
      <c r="L24" s="19" t="inlineStr"/>
      <c r="M24" s="22" t="inlineStr"/>
    </row>
    <row r="25" ht="18" customHeight="1">
      <c r="A25" s="11" t="inlineStr">
        <is>
          <t>SC-4</t>
        </is>
      </c>
      <c r="B25" s="12" t="inlineStr">
        <is>
          <t>Information in Shared Resources</t>
        </is>
      </c>
      <c r="C25" s="12" t="inlineStr">
        <is>
          <t>Analytics</t>
        </is>
      </c>
      <c r="D25" s="11" t="inlineStr">
        <is>
          <t>SC</t>
        </is>
      </c>
      <c r="E25" s="12" t="inlineStr">
        <is>
          <t>Analytics</t>
        </is>
      </c>
      <c r="F25" s="12" t="inlineStr">
        <is>
          <t>SC-4</t>
        </is>
      </c>
      <c r="G25" s="13">
        <f>IFERROR('[Analytics.xlsx]SC-4'!B20,"Not Started")</f>
        <v/>
      </c>
      <c r="H25" s="14">
        <f>IF(OR(G25="Passed",G25="Accepted Exception"),"GREEN",IF(OR(G25="Not Started",G25="Failed"),"RED","AMBER"))</f>
        <v/>
      </c>
      <c r="I25" s="15">
        <f>IFERROR('[Analytics.xlsx]SC-4'!E20,"Non commencé")</f>
        <v/>
      </c>
      <c r="J25" s="16">
        <f>IF(OR(I25="Réussi",I25="Exception acceptée"),"GREEN",IF(OR(I25="Non commencé",I25="Échec"),"RED","AMBER"))</f>
        <v/>
      </c>
      <c r="K25" s="12" t="inlineStr"/>
      <c r="L25" s="12" t="inlineStr"/>
      <c r="M25" s="17" t="inlineStr"/>
    </row>
    <row r="26" ht="18" customHeight="1">
      <c r="A26" s="18" t="inlineStr">
        <is>
          <t>SC-13</t>
        </is>
      </c>
      <c r="B26" s="19" t="inlineStr">
        <is>
          <t>Cryptographic Protection</t>
        </is>
      </c>
      <c r="C26" s="19" t="inlineStr">
        <is>
          <t>Analytics</t>
        </is>
      </c>
      <c r="D26" s="18" t="inlineStr">
        <is>
          <t>SC</t>
        </is>
      </c>
      <c r="E26" s="19" t="inlineStr">
        <is>
          <t>Analytics</t>
        </is>
      </c>
      <c r="F26" s="19" t="inlineStr">
        <is>
          <t>SC-13</t>
        </is>
      </c>
      <c r="G26" s="20">
        <f>IFERROR('[Analytics.xlsx]SC-13'!B20,"Not Started")</f>
        <v/>
      </c>
      <c r="H26" s="14">
        <f>IF(OR(G26="Passed",G26="Accepted Exception"),"GREEN",IF(OR(G26="Not Started",G26="Failed"),"RED","AMBER"))</f>
        <v/>
      </c>
      <c r="I26" s="21">
        <f>IFERROR('[Analytics.xlsx]SC-13'!E20,"Non commencé")</f>
        <v/>
      </c>
      <c r="J26" s="16">
        <f>IF(OR(I26="Réussi",I26="Exception acceptée"),"GREEN",IF(OR(I26="Non commencé",I26="Échec"),"RED","AMBER"))</f>
        <v/>
      </c>
      <c r="K26" s="19" t="inlineStr"/>
      <c r="L26" s="19" t="inlineStr"/>
      <c r="M26" s="22" t="inlineStr"/>
    </row>
    <row r="27" ht="18" customHeight="1">
      <c r="A27" s="11" t="inlineStr">
        <is>
          <t>SC-28</t>
        </is>
      </c>
      <c r="B27" s="12" t="inlineStr">
        <is>
          <t>Protection of Information At Rest</t>
        </is>
      </c>
      <c r="C27" s="12" t="inlineStr">
        <is>
          <t>Analytics</t>
        </is>
      </c>
      <c r="D27" s="11" t="inlineStr">
        <is>
          <t>SC</t>
        </is>
      </c>
      <c r="E27" s="12" t="inlineStr">
        <is>
          <t>Analytics</t>
        </is>
      </c>
      <c r="F27" s="12" t="inlineStr">
        <is>
          <t>SC-28</t>
        </is>
      </c>
      <c r="G27" s="13">
        <f>IFERROR('[Analytics.xlsx]SC-28'!B20,"Not Started")</f>
        <v/>
      </c>
      <c r="H27" s="14">
        <f>IF(OR(G27="Passed",G27="Accepted Exception"),"GREEN",IF(OR(G27="Not Started",G27="Failed"),"RED","AMBER"))</f>
        <v/>
      </c>
      <c r="I27" s="15">
        <f>IFERROR('[Analytics.xlsx]SC-28'!E20,"Non commencé")</f>
        <v/>
      </c>
      <c r="J27" s="16">
        <f>IF(OR(I27="Réussi",I27="Exception acceptée"),"GREEN",IF(OR(I27="Non commencé",I27="Échec"),"RED","AMBER"))</f>
        <v/>
      </c>
      <c r="K27" s="12" t="inlineStr"/>
      <c r="L27" s="12" t="inlineStr"/>
      <c r="M27" s="17" t="inlineStr"/>
    </row>
    <row r="28" ht="18" customHeight="1">
      <c r="A28" s="18" t="inlineStr">
        <is>
          <t>SC-28(1)</t>
        </is>
      </c>
      <c r="B28" s="19" t="inlineStr">
        <is>
          <t>Protection of Information At Rest</t>
        </is>
      </c>
      <c r="C28" s="19" t="inlineStr">
        <is>
          <t>Analytics</t>
        </is>
      </c>
      <c r="D28" s="18" t="inlineStr">
        <is>
          <t>SC</t>
        </is>
      </c>
      <c r="E28" s="19" t="inlineStr">
        <is>
          <t>Analytics</t>
        </is>
      </c>
      <c r="F28" s="19" t="inlineStr">
        <is>
          <t>SC-28-1</t>
        </is>
      </c>
      <c r="G28" s="20">
        <f>IFERROR('[Analytics.xlsx]SC-28-1'!B20,"Not Started")</f>
        <v/>
      </c>
      <c r="H28" s="14">
        <f>IF(OR(G28="Passed",G28="Accepted Exception"),"GREEN",IF(OR(G28="Not Started",G28="Failed"),"RED","AMBER"))</f>
        <v/>
      </c>
      <c r="I28" s="21">
        <f>IFERROR('[Analytics.xlsx]SC-28-1'!E20,"Non commencé")</f>
        <v/>
      </c>
      <c r="J28" s="16">
        <f>IF(OR(I28="Réussi",I28="Exception acceptée"),"GREEN",IF(OR(I28="Non commencé",I28="Échec"),"RED","AMBER"))</f>
        <v/>
      </c>
      <c r="K28" s="19" t="inlineStr"/>
      <c r="L28" s="19" t="inlineStr"/>
      <c r="M28" s="22" t="inlineStr"/>
    </row>
    <row r="29" ht="18" customHeight="1">
      <c r="A29" s="11" t="inlineStr">
        <is>
          <t>SI-4(2)</t>
        </is>
      </c>
      <c r="B29" s="12" t="inlineStr">
        <is>
          <t>Information System Monitoring</t>
        </is>
      </c>
      <c r="C29" s="12" t="inlineStr">
        <is>
          <t>Analytics</t>
        </is>
      </c>
      <c r="D29" s="11" t="inlineStr">
        <is>
          <t>SI</t>
        </is>
      </c>
      <c r="E29" s="12" t="inlineStr">
        <is>
          <t>Analytics</t>
        </is>
      </c>
      <c r="F29" s="12" t="inlineStr">
        <is>
          <t>SI-4-2</t>
        </is>
      </c>
      <c r="G29" s="13">
        <f>IFERROR('[Analytics.xlsx]SI-4-2'!B20,"Not Started")</f>
        <v/>
      </c>
      <c r="H29" s="14">
        <f>IF(OR(G29="Passed",G29="Accepted Exception"),"GREEN",IF(OR(G29="Not Started",G29="Failed"),"RED","AMBER"))</f>
        <v/>
      </c>
      <c r="I29" s="15">
        <f>IFERROR('[Analytics.xlsx]SI-4-2'!E20,"Non commencé")</f>
        <v/>
      </c>
      <c r="J29" s="16">
        <f>IF(OR(I29="Réussi",I29="Exception acceptée"),"GREEN",IF(OR(I29="Non commencé",I29="Échec"),"RED","AMBER"))</f>
        <v/>
      </c>
      <c r="K29" s="12" t="inlineStr"/>
      <c r="L29" s="12" t="inlineStr"/>
      <c r="M29" s="17" t="inlineStr"/>
    </row>
    <row r="30" ht="18" customHeight="1">
      <c r="A30" s="18" t="inlineStr">
        <is>
          <t>SI-6</t>
        </is>
      </c>
      <c r="B30" s="19" t="inlineStr">
        <is>
          <t>Security Functional Verification</t>
        </is>
      </c>
      <c r="C30" s="19" t="inlineStr">
        <is>
          <t>Analytics</t>
        </is>
      </c>
      <c r="D30" s="18" t="inlineStr">
        <is>
          <t>SI</t>
        </is>
      </c>
      <c r="E30" s="19" t="inlineStr">
        <is>
          <t>Analytics</t>
        </is>
      </c>
      <c r="F30" s="19" t="inlineStr">
        <is>
          <t>SI-6</t>
        </is>
      </c>
      <c r="G30" s="20">
        <f>IFERROR('[Analytics.xlsx]SI-6'!B20,"Not Started")</f>
        <v/>
      </c>
      <c r="H30" s="14">
        <f>IF(OR(G30="Passed",G30="Accepted Exception"),"GREEN",IF(OR(G30="Not Started",G30="Failed"),"RED","AMBER"))</f>
        <v/>
      </c>
      <c r="I30" s="21">
        <f>IFERROR('[Analytics.xlsx]SI-6'!E20,"Non commencé")</f>
        <v/>
      </c>
      <c r="J30" s="16">
        <f>IF(OR(I30="Réussi",I30="Exception acceptée"),"GREEN",IF(OR(I30="Non commencé",I30="Échec"),"RED","AMBER"))</f>
        <v/>
      </c>
      <c r="K30" s="19" t="inlineStr"/>
      <c r="L30" s="19" t="inlineStr"/>
      <c r="M30" s="22" t="inlineStr"/>
    </row>
    <row r="31" ht="18" customHeight="1">
      <c r="A31" s="11" t="inlineStr">
        <is>
          <t>AC-6</t>
        </is>
      </c>
      <c r="B31" s="12" t="inlineStr">
        <is>
          <t>Least Privilege</t>
        </is>
      </c>
      <c r="C31" s="12" t="inlineStr">
        <is>
          <t>Compute</t>
        </is>
      </c>
      <c r="D31" s="11" t="inlineStr">
        <is>
          <t>AC</t>
        </is>
      </c>
      <c r="E31" s="12" t="inlineStr">
        <is>
          <t>Compute</t>
        </is>
      </c>
      <c r="F31" s="12" t="inlineStr">
        <is>
          <t>AC-6</t>
        </is>
      </c>
      <c r="G31" s="13">
        <f>IFERROR('[Compute.xlsx]AC-6'!B20,"Not Started")</f>
        <v/>
      </c>
      <c r="H31" s="14">
        <f>IF(OR(G31="Passed",G31="Accepted Exception"),"GREEN",IF(OR(G31="Not Started",G31="Failed"),"RED","AMBER"))</f>
        <v/>
      </c>
      <c r="I31" s="15">
        <f>IFERROR('[Compute.xlsx]AC-6'!E20,"Non commencé")</f>
        <v/>
      </c>
      <c r="J31" s="16">
        <f>IF(OR(I31="Réussi",I31="Exception acceptée"),"GREEN",IF(OR(I31="Non commencé",I31="Échec"),"RED","AMBER"))</f>
        <v/>
      </c>
      <c r="K31" s="12" t="inlineStr"/>
      <c r="L31" s="12" t="inlineStr"/>
      <c r="M31" s="17" t="inlineStr"/>
    </row>
    <row r="32" ht="18" customHeight="1">
      <c r="A32" s="18" t="inlineStr">
        <is>
          <t>AC-6(1)</t>
        </is>
      </c>
      <c r="B32" s="19" t="inlineStr">
        <is>
          <t>Least Privilege</t>
        </is>
      </c>
      <c r="C32" s="19" t="inlineStr">
        <is>
          <t>Compute</t>
        </is>
      </c>
      <c r="D32" s="18" t="inlineStr">
        <is>
          <t>AC</t>
        </is>
      </c>
      <c r="E32" s="19" t="inlineStr">
        <is>
          <t>Compute</t>
        </is>
      </c>
      <c r="F32" s="19" t="inlineStr">
        <is>
          <t>AC-6-1</t>
        </is>
      </c>
      <c r="G32" s="20">
        <f>IFERROR('[Compute.xlsx]AC-6-1'!B20,"Not Started")</f>
        <v/>
      </c>
      <c r="H32" s="14">
        <f>IF(OR(G32="Passed",G32="Accepted Exception"),"GREEN",IF(OR(G32="Not Started",G32="Failed"),"RED","AMBER"))</f>
        <v/>
      </c>
      <c r="I32" s="21">
        <f>IFERROR('[Compute.xlsx]AC-6-1'!E20,"Non commencé")</f>
        <v/>
      </c>
      <c r="J32" s="16">
        <f>IF(OR(I32="Réussi",I32="Exception acceptée"),"GREEN",IF(OR(I32="Non commencé",I32="Échec"),"RED","AMBER"))</f>
        <v/>
      </c>
      <c r="K32" s="19" t="inlineStr"/>
      <c r="L32" s="19" t="inlineStr"/>
      <c r="M32" s="22" t="inlineStr"/>
    </row>
    <row r="33" ht="18" customHeight="1">
      <c r="A33" s="11" t="inlineStr">
        <is>
          <t>AC-7</t>
        </is>
      </c>
      <c r="B33" s="12" t="inlineStr">
        <is>
          <t>Unsuccessful Login Attempts</t>
        </is>
      </c>
      <c r="C33" s="12" t="inlineStr">
        <is>
          <t>Compute</t>
        </is>
      </c>
      <c r="D33" s="11" t="inlineStr">
        <is>
          <t>AC</t>
        </is>
      </c>
      <c r="E33" s="12" t="inlineStr">
        <is>
          <t>Compute</t>
        </is>
      </c>
      <c r="F33" s="12" t="inlineStr">
        <is>
          <t>AC-7</t>
        </is>
      </c>
      <c r="G33" s="13">
        <f>IFERROR('[Compute.xlsx]AC-7'!B20,"Not Started")</f>
        <v/>
      </c>
      <c r="H33" s="14">
        <f>IF(OR(G33="Passed",G33="Accepted Exception"),"GREEN",IF(OR(G33="Not Started",G33="Failed"),"RED","AMBER"))</f>
        <v/>
      </c>
      <c r="I33" s="15">
        <f>IFERROR('[Compute.xlsx]AC-7'!E20,"Non commencé")</f>
        <v/>
      </c>
      <c r="J33" s="16">
        <f>IF(OR(I33="Réussi",I33="Exception acceptée"),"GREEN",IF(OR(I33="Non commencé",I33="Échec"),"RED","AMBER"))</f>
        <v/>
      </c>
      <c r="K33" s="12" t="inlineStr"/>
      <c r="L33" s="12" t="inlineStr"/>
      <c r="M33" s="17" t="inlineStr"/>
    </row>
    <row r="34" ht="18" customHeight="1">
      <c r="A34" s="18" t="inlineStr">
        <is>
          <t>AC-8</t>
        </is>
      </c>
      <c r="B34" s="19" t="inlineStr">
        <is>
          <t>System Use Notification</t>
        </is>
      </c>
      <c r="C34" s="19" t="inlineStr">
        <is>
          <t>Compute</t>
        </is>
      </c>
      <c r="D34" s="18" t="inlineStr">
        <is>
          <t>AC</t>
        </is>
      </c>
      <c r="E34" s="19" t="inlineStr">
        <is>
          <t>Compute</t>
        </is>
      </c>
      <c r="F34" s="19" t="inlineStr">
        <is>
          <t>AC-8</t>
        </is>
      </c>
      <c r="G34" s="20">
        <f>IFERROR('[Compute.xlsx]AC-8'!B20,"Not Started")</f>
        <v/>
      </c>
      <c r="H34" s="14">
        <f>IF(OR(G34="Passed",G34="Accepted Exception"),"GREEN",IF(OR(G34="Not Started",G34="Failed"),"RED","AMBER"))</f>
        <v/>
      </c>
      <c r="I34" s="21">
        <f>IFERROR('[Compute.xlsx]AC-8'!E20,"Non commencé")</f>
        <v/>
      </c>
      <c r="J34" s="16">
        <f>IF(OR(I34="Réussi",I34="Exception acceptée"),"GREEN",IF(OR(I34="Non commencé",I34="Échec"),"RED","AMBER"))</f>
        <v/>
      </c>
      <c r="K34" s="19" t="inlineStr"/>
      <c r="L34" s="19" t="inlineStr"/>
      <c r="M34" s="22" t="inlineStr"/>
    </row>
    <row r="35" ht="18" customHeight="1">
      <c r="A35" s="11" t="inlineStr">
        <is>
          <t>AC-11</t>
        </is>
      </c>
      <c r="B35" s="12" t="inlineStr">
        <is>
          <t>Session Lock</t>
        </is>
      </c>
      <c r="C35" s="12" t="inlineStr">
        <is>
          <t>Compute</t>
        </is>
      </c>
      <c r="D35" s="11" t="inlineStr">
        <is>
          <t>AC</t>
        </is>
      </c>
      <c r="E35" s="12" t="inlineStr">
        <is>
          <t>Compute</t>
        </is>
      </c>
      <c r="F35" s="12" t="inlineStr">
        <is>
          <t>AC-11</t>
        </is>
      </c>
      <c r="G35" s="13">
        <f>IFERROR('[Compute.xlsx]AC-11'!B20,"Not Started")</f>
        <v/>
      </c>
      <c r="H35" s="14">
        <f>IF(OR(G35="Passed",G35="Accepted Exception"),"GREEN",IF(OR(G35="Not Started",G35="Failed"),"RED","AMBER"))</f>
        <v/>
      </c>
      <c r="I35" s="15">
        <f>IFERROR('[Compute.xlsx]AC-11'!E20,"Non commencé")</f>
        <v/>
      </c>
      <c r="J35" s="16">
        <f>IF(OR(I35="Réussi",I35="Exception acceptée"),"GREEN",IF(OR(I35="Non commencé",I35="Échec"),"RED","AMBER"))</f>
        <v/>
      </c>
      <c r="K35" s="12" t="inlineStr"/>
      <c r="L35" s="12" t="inlineStr"/>
      <c r="M35" s="17" t="inlineStr"/>
    </row>
    <row r="36" ht="18" customHeight="1">
      <c r="A36" s="18" t="inlineStr">
        <is>
          <t>AC-11(1)</t>
        </is>
      </c>
      <c r="B36" s="19" t="inlineStr">
        <is>
          <t>Session Lock</t>
        </is>
      </c>
      <c r="C36" s="19" t="inlineStr">
        <is>
          <t>Compute</t>
        </is>
      </c>
      <c r="D36" s="18" t="inlineStr">
        <is>
          <t>AC</t>
        </is>
      </c>
      <c r="E36" s="19" t="inlineStr">
        <is>
          <t>Compute</t>
        </is>
      </c>
      <c r="F36" s="19" t="inlineStr">
        <is>
          <t>AC-11-1</t>
        </is>
      </c>
      <c r="G36" s="20">
        <f>IFERROR('[Compute.xlsx]AC-11-1'!B20,"Not Started")</f>
        <v/>
      </c>
      <c r="H36" s="14">
        <f>IF(OR(G36="Passed",G36="Accepted Exception"),"GREEN",IF(OR(G36="Not Started",G36="Failed"),"RED","AMBER"))</f>
        <v/>
      </c>
      <c r="I36" s="21">
        <f>IFERROR('[Compute.xlsx]AC-11-1'!E20,"Non commencé")</f>
        <v/>
      </c>
      <c r="J36" s="16">
        <f>IF(OR(I36="Réussi",I36="Exception acceptée"),"GREEN",IF(OR(I36="Non commencé",I36="Échec"),"RED","AMBER"))</f>
        <v/>
      </c>
      <c r="K36" s="19" t="inlineStr"/>
      <c r="L36" s="19" t="inlineStr"/>
      <c r="M36" s="22" t="inlineStr"/>
    </row>
    <row r="37" ht="18" customHeight="1">
      <c r="A37" s="11" t="inlineStr">
        <is>
          <t>AC-12</t>
        </is>
      </c>
      <c r="B37" s="12" t="inlineStr">
        <is>
          <t>Session Termination</t>
        </is>
      </c>
      <c r="C37" s="12" t="inlineStr">
        <is>
          <t>Compute</t>
        </is>
      </c>
      <c r="D37" s="11" t="inlineStr">
        <is>
          <t>AC</t>
        </is>
      </c>
      <c r="E37" s="12" t="inlineStr">
        <is>
          <t>Compute</t>
        </is>
      </c>
      <c r="F37" s="12" t="inlineStr">
        <is>
          <t>AC-12</t>
        </is>
      </c>
      <c r="G37" s="13">
        <f>IFERROR('[Compute.xlsx]AC-12'!B20,"Not Started")</f>
        <v/>
      </c>
      <c r="H37" s="14">
        <f>IF(OR(G37="Passed",G37="Accepted Exception"),"GREEN",IF(OR(G37="Not Started",G37="Failed"),"RED","AMBER"))</f>
        <v/>
      </c>
      <c r="I37" s="15">
        <f>IFERROR('[Compute.xlsx]AC-12'!E20,"Non commencé")</f>
        <v/>
      </c>
      <c r="J37" s="16">
        <f>IF(OR(I37="Réussi",I37="Exception acceptée"),"GREEN",IF(OR(I37="Non commencé",I37="Échec"),"RED","AMBER"))</f>
        <v/>
      </c>
      <c r="K37" s="12" t="inlineStr"/>
      <c r="L37" s="12" t="inlineStr"/>
      <c r="M37" s="17" t="inlineStr"/>
    </row>
    <row r="38" ht="18" customHeight="1">
      <c r="A38" s="18" t="inlineStr">
        <is>
          <t>AC-17(1)</t>
        </is>
      </c>
      <c r="B38" s="19" t="inlineStr">
        <is>
          <t>Remote Access</t>
        </is>
      </c>
      <c r="C38" s="19" t="inlineStr">
        <is>
          <t>Compute</t>
        </is>
      </c>
      <c r="D38" s="18" t="inlineStr">
        <is>
          <t>AC</t>
        </is>
      </c>
      <c r="E38" s="19" t="inlineStr">
        <is>
          <t>Compute</t>
        </is>
      </c>
      <c r="F38" s="19" t="inlineStr">
        <is>
          <t>AC-17-1</t>
        </is>
      </c>
      <c r="G38" s="20">
        <f>IFERROR('[Compute.xlsx]AC-17-1'!B20,"Not Started")</f>
        <v/>
      </c>
      <c r="H38" s="14">
        <f>IF(OR(G38="Passed",G38="Accepted Exception"),"GREEN",IF(OR(G38="Not Started",G38="Failed"),"RED","AMBER"))</f>
        <v/>
      </c>
      <c r="I38" s="21">
        <f>IFERROR('[Compute.xlsx]AC-17-1'!E20,"Non commencé")</f>
        <v/>
      </c>
      <c r="J38" s="16">
        <f>IF(OR(I38="Réussi",I38="Exception acceptée"),"GREEN",IF(OR(I38="Non commencé",I38="Échec"),"RED","AMBER"))</f>
        <v/>
      </c>
      <c r="K38" s="19" t="inlineStr"/>
      <c r="L38" s="19" t="inlineStr"/>
      <c r="M38" s="22" t="inlineStr"/>
    </row>
    <row r="39" ht="18" customHeight="1">
      <c r="A39" s="11" t="inlineStr">
        <is>
          <t>AC-17(2)</t>
        </is>
      </c>
      <c r="B39" s="12" t="inlineStr">
        <is>
          <t>Remote Access</t>
        </is>
      </c>
      <c r="C39" s="12" t="inlineStr">
        <is>
          <t>Compute</t>
        </is>
      </c>
      <c r="D39" s="11" t="inlineStr">
        <is>
          <t>AC</t>
        </is>
      </c>
      <c r="E39" s="12" t="inlineStr">
        <is>
          <t>Compute</t>
        </is>
      </c>
      <c r="F39" s="12" t="inlineStr">
        <is>
          <t>AC-17-2</t>
        </is>
      </c>
      <c r="G39" s="13">
        <f>IFERROR('[Compute.xlsx]AC-17-2'!B20,"Not Started")</f>
        <v/>
      </c>
      <c r="H39" s="14">
        <f>IF(OR(G39="Passed",G39="Accepted Exception"),"GREEN",IF(OR(G39="Not Started",G39="Failed"),"RED","AMBER"))</f>
        <v/>
      </c>
      <c r="I39" s="15">
        <f>IFERROR('[Compute.xlsx]AC-17-2'!E20,"Non commencé")</f>
        <v/>
      </c>
      <c r="J39" s="16">
        <f>IF(OR(I39="Réussi",I39="Exception acceptée"),"GREEN",IF(OR(I39="Non commencé",I39="Échec"),"RED","AMBER"))</f>
        <v/>
      </c>
      <c r="K39" s="12" t="inlineStr"/>
      <c r="L39" s="12" t="inlineStr"/>
      <c r="M39" s="17" t="inlineStr"/>
    </row>
    <row r="40" ht="18" customHeight="1">
      <c r="A40" s="18" t="inlineStr">
        <is>
          <t>AC-17(100)</t>
        </is>
      </c>
      <c r="B40" s="19" t="inlineStr">
        <is>
          <t>Remote Access</t>
        </is>
      </c>
      <c r="C40" s="19" t="inlineStr">
        <is>
          <t>Compute</t>
        </is>
      </c>
      <c r="D40" s="18" t="inlineStr">
        <is>
          <t>AC</t>
        </is>
      </c>
      <c r="E40" s="19" t="inlineStr">
        <is>
          <t>Compute</t>
        </is>
      </c>
      <c r="F40" s="19" t="inlineStr">
        <is>
          <t>AC-17-100</t>
        </is>
      </c>
      <c r="G40" s="20">
        <f>IFERROR('[Compute.xlsx]AC-17-100'!B20,"Not Started")</f>
        <v/>
      </c>
      <c r="H40" s="14">
        <f>IF(OR(G40="Passed",G40="Accepted Exception"),"GREEN",IF(OR(G40="Not Started",G40="Failed"),"RED","AMBER"))</f>
        <v/>
      </c>
      <c r="I40" s="21">
        <f>IFERROR('[Compute.xlsx]AC-17-100'!E20,"Non commencé")</f>
        <v/>
      </c>
      <c r="J40" s="16">
        <f>IF(OR(I40="Réussi",I40="Exception acceptée"),"GREEN",IF(OR(I40="Non commencé",I40="Échec"),"RED","AMBER"))</f>
        <v/>
      </c>
      <c r="K40" s="19" t="inlineStr"/>
      <c r="L40" s="19" t="inlineStr"/>
      <c r="M40" s="22" t="inlineStr"/>
    </row>
    <row r="41" ht="18" customHeight="1">
      <c r="A41" s="11" t="inlineStr">
        <is>
          <t>AU-2</t>
        </is>
      </c>
      <c r="B41" s="12" t="inlineStr">
        <is>
          <t>Auditable Events</t>
        </is>
      </c>
      <c r="C41" s="12" t="inlineStr">
        <is>
          <t>Compute</t>
        </is>
      </c>
      <c r="D41" s="11" t="inlineStr">
        <is>
          <t>AU</t>
        </is>
      </c>
      <c r="E41" s="12" t="inlineStr">
        <is>
          <t>Compute</t>
        </is>
      </c>
      <c r="F41" s="12" t="inlineStr">
        <is>
          <t>AU-2</t>
        </is>
      </c>
      <c r="G41" s="13">
        <f>IFERROR('[Compute.xlsx]AU-2'!B20,"Not Started")</f>
        <v/>
      </c>
      <c r="H41" s="14">
        <f>IF(OR(G41="Passed",G41="Accepted Exception"),"GREEN",IF(OR(G41="Not Started",G41="Failed"),"RED","AMBER"))</f>
        <v/>
      </c>
      <c r="I41" s="15">
        <f>IFERROR('[Compute.xlsx]AU-2'!E20,"Non commencé")</f>
        <v/>
      </c>
      <c r="J41" s="16">
        <f>IF(OR(I41="Réussi",I41="Exception acceptée"),"GREEN",IF(OR(I41="Non commencé",I41="Échec"),"RED","AMBER"))</f>
        <v/>
      </c>
      <c r="K41" s="12" t="inlineStr"/>
      <c r="L41" s="12" t="inlineStr"/>
      <c r="M41" s="17" t="inlineStr"/>
    </row>
    <row r="42" ht="18" customHeight="1">
      <c r="A42" s="18" t="inlineStr">
        <is>
          <t>AU-3</t>
        </is>
      </c>
      <c r="B42" s="19" t="inlineStr">
        <is>
          <t>Content of Audit Records</t>
        </is>
      </c>
      <c r="C42" s="19" t="inlineStr">
        <is>
          <t>Compute</t>
        </is>
      </c>
      <c r="D42" s="18" t="inlineStr">
        <is>
          <t>AU</t>
        </is>
      </c>
      <c r="E42" s="19" t="inlineStr">
        <is>
          <t>Compute</t>
        </is>
      </c>
      <c r="F42" s="19" t="inlineStr">
        <is>
          <t>AU-3</t>
        </is>
      </c>
      <c r="G42" s="20">
        <f>IFERROR('[Compute.xlsx]AU-3'!B20,"Not Started")</f>
        <v/>
      </c>
      <c r="H42" s="14">
        <f>IF(OR(G42="Passed",G42="Accepted Exception"),"GREEN",IF(OR(G42="Not Started",G42="Failed"),"RED","AMBER"))</f>
        <v/>
      </c>
      <c r="I42" s="21">
        <f>IFERROR('[Compute.xlsx]AU-3'!E20,"Non commencé")</f>
        <v/>
      </c>
      <c r="J42" s="16">
        <f>IF(OR(I42="Réussi",I42="Exception acceptée"),"GREEN",IF(OR(I42="Non commencé",I42="Échec"),"RED","AMBER"))</f>
        <v/>
      </c>
      <c r="K42" s="19" t="inlineStr"/>
      <c r="L42" s="19" t="inlineStr"/>
      <c r="M42" s="22" t="inlineStr"/>
    </row>
    <row r="43" ht="18" customHeight="1">
      <c r="A43" s="11" t="inlineStr">
        <is>
          <t>AU-3(1)</t>
        </is>
      </c>
      <c r="B43" s="12" t="inlineStr">
        <is>
          <t>Content of Audit Records</t>
        </is>
      </c>
      <c r="C43" s="12" t="inlineStr">
        <is>
          <t>Compute</t>
        </is>
      </c>
      <c r="D43" s="11" t="inlineStr">
        <is>
          <t>AU</t>
        </is>
      </c>
      <c r="E43" s="12" t="inlineStr">
        <is>
          <t>Compute</t>
        </is>
      </c>
      <c r="F43" s="12" t="inlineStr">
        <is>
          <t>AU-3-1</t>
        </is>
      </c>
      <c r="G43" s="13">
        <f>IFERROR('[Compute.xlsx]AU-3-1'!B20,"Not Started")</f>
        <v/>
      </c>
      <c r="H43" s="14">
        <f>IF(OR(G43="Passed",G43="Accepted Exception"),"GREEN",IF(OR(G43="Not Started",G43="Failed"),"RED","AMBER"))</f>
        <v/>
      </c>
      <c r="I43" s="15">
        <f>IFERROR('[Compute.xlsx]AU-3-1'!E20,"Non commencé")</f>
        <v/>
      </c>
      <c r="J43" s="16">
        <f>IF(OR(I43="Réussi",I43="Exception acceptée"),"GREEN",IF(OR(I43="Non commencé",I43="Échec"),"RED","AMBER"))</f>
        <v/>
      </c>
      <c r="K43" s="12" t="inlineStr"/>
      <c r="L43" s="12" t="inlineStr"/>
      <c r="M43" s="17" t="inlineStr"/>
    </row>
    <row r="44" ht="18" customHeight="1">
      <c r="A44" s="18" t="inlineStr">
        <is>
          <t>AU-9(2)</t>
        </is>
      </c>
      <c r="B44" s="19" t="inlineStr">
        <is>
          <t>Protection of Audit Information</t>
        </is>
      </c>
      <c r="C44" s="19" t="inlineStr">
        <is>
          <t>Compute</t>
        </is>
      </c>
      <c r="D44" s="18" t="inlineStr">
        <is>
          <t>AU</t>
        </is>
      </c>
      <c r="E44" s="19" t="inlineStr">
        <is>
          <t>Compute</t>
        </is>
      </c>
      <c r="F44" s="19" t="inlineStr">
        <is>
          <t>AU-9-2</t>
        </is>
      </c>
      <c r="G44" s="20">
        <f>IFERROR('[Compute.xlsx]AU-9-2'!B20,"Not Started")</f>
        <v/>
      </c>
      <c r="H44" s="14">
        <f>IF(OR(G44="Passed",G44="Accepted Exception"),"GREEN",IF(OR(G44="Not Started",G44="Failed"),"RED","AMBER"))</f>
        <v/>
      </c>
      <c r="I44" s="21">
        <f>IFERROR('[Compute.xlsx]AU-9-2'!E20,"Non commencé")</f>
        <v/>
      </c>
      <c r="J44" s="16">
        <f>IF(OR(I44="Réussi",I44="Exception acceptée"),"GREEN",IF(OR(I44="Non commencé",I44="Échec"),"RED","AMBER"))</f>
        <v/>
      </c>
      <c r="K44" s="19" t="inlineStr"/>
      <c r="L44" s="19" t="inlineStr"/>
      <c r="M44" s="22" t="inlineStr"/>
    </row>
    <row r="45" ht="18" customHeight="1">
      <c r="A45" s="11" t="inlineStr">
        <is>
          <t>AU-12</t>
        </is>
      </c>
      <c r="B45" s="12" t="inlineStr">
        <is>
          <t>Audit Generation</t>
        </is>
      </c>
      <c r="C45" s="12" t="inlineStr">
        <is>
          <t>Compute</t>
        </is>
      </c>
      <c r="D45" s="11" t="inlineStr">
        <is>
          <t>AU</t>
        </is>
      </c>
      <c r="E45" s="12" t="inlineStr">
        <is>
          <t>Compute</t>
        </is>
      </c>
      <c r="F45" s="12" t="inlineStr">
        <is>
          <t>AU-12</t>
        </is>
      </c>
      <c r="G45" s="13">
        <f>IFERROR('[Compute.xlsx]AU-12'!B20,"Not Started")</f>
        <v/>
      </c>
      <c r="H45" s="14">
        <f>IF(OR(G45="Passed",G45="Accepted Exception"),"GREEN",IF(OR(G45="Not Started",G45="Failed"),"RED","AMBER"))</f>
        <v/>
      </c>
      <c r="I45" s="15">
        <f>IFERROR('[Compute.xlsx]AU-12'!E20,"Non commencé")</f>
        <v/>
      </c>
      <c r="J45" s="16">
        <f>IF(OR(I45="Réussi",I45="Exception acceptée"),"GREEN",IF(OR(I45="Non commencé",I45="Échec"),"RED","AMBER"))</f>
        <v/>
      </c>
      <c r="K45" s="12" t="inlineStr"/>
      <c r="L45" s="12" t="inlineStr"/>
      <c r="M45" s="17" t="inlineStr"/>
    </row>
    <row r="46" ht="18" customHeight="1">
      <c r="A46" s="18" t="inlineStr">
        <is>
          <t>CA-3(5)</t>
        </is>
      </c>
      <c r="B46" s="19" t="inlineStr">
        <is>
          <t>Information System Connections</t>
        </is>
      </c>
      <c r="C46" s="19" t="inlineStr">
        <is>
          <t>Compute</t>
        </is>
      </c>
      <c r="D46" s="18" t="inlineStr">
        <is>
          <t>CA</t>
        </is>
      </c>
      <c r="E46" s="19" t="inlineStr">
        <is>
          <t>Compute</t>
        </is>
      </c>
      <c r="F46" s="19" t="inlineStr">
        <is>
          <t>CA-3-5</t>
        </is>
      </c>
      <c r="G46" s="20">
        <f>IFERROR('[Compute.xlsx]CA-3-5'!B20,"Not Started")</f>
        <v/>
      </c>
      <c r="H46" s="14">
        <f>IF(OR(G46="Passed",G46="Accepted Exception"),"GREEN",IF(OR(G46="Not Started",G46="Failed"),"RED","AMBER"))</f>
        <v/>
      </c>
      <c r="I46" s="21">
        <f>IFERROR('[Compute.xlsx]CA-3-5'!E20,"Non commencé")</f>
        <v/>
      </c>
      <c r="J46" s="16">
        <f>IF(OR(I46="Réussi",I46="Exception acceptée"),"GREEN",IF(OR(I46="Non commencé",I46="Échec"),"RED","AMBER"))</f>
        <v/>
      </c>
      <c r="K46" s="19" t="inlineStr"/>
      <c r="L46" s="19" t="inlineStr"/>
      <c r="M46" s="22" t="inlineStr"/>
    </row>
    <row r="47" ht="18" customHeight="1">
      <c r="A47" s="11" t="inlineStr">
        <is>
          <t>CA-9</t>
        </is>
      </c>
      <c r="B47" s="12" t="inlineStr">
        <is>
          <t>Internal System Connections</t>
        </is>
      </c>
      <c r="C47" s="12" t="inlineStr">
        <is>
          <t>Compute</t>
        </is>
      </c>
      <c r="D47" s="11" t="inlineStr">
        <is>
          <t>CA</t>
        </is>
      </c>
      <c r="E47" s="12" t="inlineStr">
        <is>
          <t>Compute</t>
        </is>
      </c>
      <c r="F47" s="12" t="inlineStr">
        <is>
          <t>CA-9</t>
        </is>
      </c>
      <c r="G47" s="13">
        <f>IFERROR('[Compute.xlsx]CA-9'!B20,"Not Started")</f>
        <v/>
      </c>
      <c r="H47" s="14">
        <f>IF(OR(G47="Passed",G47="Accepted Exception"),"GREEN",IF(OR(G47="Not Started",G47="Failed"),"RED","AMBER"))</f>
        <v/>
      </c>
      <c r="I47" s="15">
        <f>IFERROR('[Compute.xlsx]CA-9'!E20,"Non commencé")</f>
        <v/>
      </c>
      <c r="J47" s="16">
        <f>IF(OR(I47="Réussi",I47="Exception acceptée"),"GREEN",IF(OR(I47="Non commencé",I47="Échec"),"RED","AMBER"))</f>
        <v/>
      </c>
      <c r="K47" s="12" t="inlineStr"/>
      <c r="L47" s="12" t="inlineStr"/>
      <c r="M47" s="17" t="inlineStr"/>
    </row>
    <row r="48" ht="18" customHeight="1">
      <c r="A48" s="18" t="inlineStr">
        <is>
          <t>CM-6</t>
        </is>
      </c>
      <c r="B48" s="19" t="inlineStr">
        <is>
          <t>Configuration Settings</t>
        </is>
      </c>
      <c r="C48" s="19" t="inlineStr">
        <is>
          <t>Compute</t>
        </is>
      </c>
      <c r="D48" s="18" t="inlineStr">
        <is>
          <t>CM</t>
        </is>
      </c>
      <c r="E48" s="19" t="inlineStr">
        <is>
          <t>Compute</t>
        </is>
      </c>
      <c r="F48" s="19" t="inlineStr">
        <is>
          <t>CM-6</t>
        </is>
      </c>
      <c r="G48" s="20">
        <f>IFERROR('[Compute.xlsx]CM-6'!B20,"Not Started")</f>
        <v/>
      </c>
      <c r="H48" s="14">
        <f>IF(OR(G48="Passed",G48="Accepted Exception"),"GREEN",IF(OR(G48="Not Started",G48="Failed"),"RED","AMBER"))</f>
        <v/>
      </c>
      <c r="I48" s="21">
        <f>IFERROR('[Compute.xlsx]CM-6'!E20,"Non commencé")</f>
        <v/>
      </c>
      <c r="J48" s="16">
        <f>IF(OR(I48="Réussi",I48="Exception acceptée"),"GREEN",IF(OR(I48="Non commencé",I48="Échec"),"RED","AMBER"))</f>
        <v/>
      </c>
      <c r="K48" s="19" t="inlineStr"/>
      <c r="L48" s="19" t="inlineStr"/>
      <c r="M48" s="22" t="inlineStr"/>
    </row>
    <row r="49" ht="18" customHeight="1">
      <c r="A49" s="11" t="inlineStr">
        <is>
          <t>CM-7</t>
        </is>
      </c>
      <c r="B49" s="12" t="inlineStr">
        <is>
          <t>Least Functionality</t>
        </is>
      </c>
      <c r="C49" s="12" t="inlineStr">
        <is>
          <t>Compute</t>
        </is>
      </c>
      <c r="D49" s="11" t="inlineStr">
        <is>
          <t>CM</t>
        </is>
      </c>
      <c r="E49" s="12" t="inlineStr">
        <is>
          <t>Compute</t>
        </is>
      </c>
      <c r="F49" s="12" t="inlineStr">
        <is>
          <t>CM-7</t>
        </is>
      </c>
      <c r="G49" s="13">
        <f>IFERROR('[Compute.xlsx]CM-7'!B20,"Not Started")</f>
        <v/>
      </c>
      <c r="H49" s="14">
        <f>IF(OR(G49="Passed",G49="Accepted Exception"),"GREEN",IF(OR(G49="Not Started",G49="Failed"),"RED","AMBER"))</f>
        <v/>
      </c>
      <c r="I49" s="15">
        <f>IFERROR('[Compute.xlsx]CM-7'!E20,"Non commencé")</f>
        <v/>
      </c>
      <c r="J49" s="16">
        <f>IF(OR(I49="Réussi",I49="Exception acceptée"),"GREEN",IF(OR(I49="Non commencé",I49="Échec"),"RED","AMBER"))</f>
        <v/>
      </c>
      <c r="K49" s="12" t="inlineStr"/>
      <c r="L49" s="12" t="inlineStr"/>
      <c r="M49" s="17" t="inlineStr"/>
    </row>
    <row r="50" ht="18" customHeight="1">
      <c r="A50" s="18" t="inlineStr">
        <is>
          <t>CM-7(1)</t>
        </is>
      </c>
      <c r="B50" s="19" t="inlineStr">
        <is>
          <t>Least Functionality</t>
        </is>
      </c>
      <c r="C50" s="19" t="inlineStr">
        <is>
          <t>Compute</t>
        </is>
      </c>
      <c r="D50" s="18" t="inlineStr">
        <is>
          <t>CM</t>
        </is>
      </c>
      <c r="E50" s="19" t="inlineStr">
        <is>
          <t>Compute</t>
        </is>
      </c>
      <c r="F50" s="19" t="inlineStr">
        <is>
          <t>CM-7-1</t>
        </is>
      </c>
      <c r="G50" s="20">
        <f>IFERROR('[Compute.xlsx]CM-7-1'!B20,"Not Started")</f>
        <v/>
      </c>
      <c r="H50" s="14">
        <f>IF(OR(G50="Passed",G50="Accepted Exception"),"GREEN",IF(OR(G50="Not Started",G50="Failed"),"RED","AMBER"))</f>
        <v/>
      </c>
      <c r="I50" s="21">
        <f>IFERROR('[Compute.xlsx]CM-7-1'!E20,"Non commencé")</f>
        <v/>
      </c>
      <c r="J50" s="16">
        <f>IF(OR(I50="Réussi",I50="Exception acceptée"),"GREEN",IF(OR(I50="Non commencé",I50="Échec"),"RED","AMBER"))</f>
        <v/>
      </c>
      <c r="K50" s="19" t="inlineStr"/>
      <c r="L50" s="19" t="inlineStr"/>
      <c r="M50" s="22" t="inlineStr"/>
    </row>
    <row r="51" ht="18" customHeight="1">
      <c r="A51" s="11" t="inlineStr">
        <is>
          <t>CM-7(5)</t>
        </is>
      </c>
      <c r="B51" s="12" t="inlineStr">
        <is>
          <t>Least Functionality</t>
        </is>
      </c>
      <c r="C51" s="12" t="inlineStr">
        <is>
          <t>Compute</t>
        </is>
      </c>
      <c r="D51" s="11" t="inlineStr">
        <is>
          <t>CM</t>
        </is>
      </c>
      <c r="E51" s="12" t="inlineStr">
        <is>
          <t>Compute</t>
        </is>
      </c>
      <c r="F51" s="12" t="inlineStr">
        <is>
          <t>CM-7-5</t>
        </is>
      </c>
      <c r="G51" s="13">
        <f>IFERROR('[Compute.xlsx]CM-7-5'!B20,"Not Started")</f>
        <v/>
      </c>
      <c r="H51" s="14">
        <f>IF(OR(G51="Passed",G51="Accepted Exception"),"GREEN",IF(OR(G51="Not Started",G51="Failed"),"RED","AMBER"))</f>
        <v/>
      </c>
      <c r="I51" s="15">
        <f>IFERROR('[Compute.xlsx]CM-7-5'!E20,"Non commencé")</f>
        <v/>
      </c>
      <c r="J51" s="16">
        <f>IF(OR(I51="Réussi",I51="Exception acceptée"),"GREEN",IF(OR(I51="Non commencé",I51="Échec"),"RED","AMBER"))</f>
        <v/>
      </c>
      <c r="K51" s="12" t="inlineStr"/>
      <c r="L51" s="12" t="inlineStr"/>
      <c r="M51" s="17" t="inlineStr"/>
    </row>
    <row r="52" ht="18" customHeight="1">
      <c r="A52" s="18" t="inlineStr">
        <is>
          <t>CM-11</t>
        </is>
      </c>
      <c r="B52" s="19" t="inlineStr">
        <is>
          <t>User Installed Software</t>
        </is>
      </c>
      <c r="C52" s="19" t="inlineStr">
        <is>
          <t>Compute</t>
        </is>
      </c>
      <c r="D52" s="18" t="inlineStr">
        <is>
          <t>CM</t>
        </is>
      </c>
      <c r="E52" s="19" t="inlineStr">
        <is>
          <t>Compute</t>
        </is>
      </c>
      <c r="F52" s="19" t="inlineStr">
        <is>
          <t>CM-11</t>
        </is>
      </c>
      <c r="G52" s="20">
        <f>IFERROR('[Compute.xlsx]CM-11'!B20,"Not Started")</f>
        <v/>
      </c>
      <c r="H52" s="14">
        <f>IF(OR(G52="Passed",G52="Accepted Exception"),"GREEN",IF(OR(G52="Not Started",G52="Failed"),"RED","AMBER"))</f>
        <v/>
      </c>
      <c r="I52" s="21">
        <f>IFERROR('[Compute.xlsx]CM-11'!E20,"Non commencé")</f>
        <v/>
      </c>
      <c r="J52" s="16">
        <f>IF(OR(I52="Réussi",I52="Exception acceptée"),"GREEN",IF(OR(I52="Non commencé",I52="Échec"),"RED","AMBER"))</f>
        <v/>
      </c>
      <c r="K52" s="19" t="inlineStr"/>
      <c r="L52" s="19" t="inlineStr"/>
      <c r="M52" s="22" t="inlineStr"/>
    </row>
    <row r="53" ht="18" customHeight="1">
      <c r="A53" s="11" t="inlineStr">
        <is>
          <t>CP-6</t>
        </is>
      </c>
      <c r="B53" s="12" t="inlineStr">
        <is>
          <t>Alternate Storage Site</t>
        </is>
      </c>
      <c r="C53" s="12" t="inlineStr">
        <is>
          <t>Compute</t>
        </is>
      </c>
      <c r="D53" s="11" t="inlineStr">
        <is>
          <t>CP</t>
        </is>
      </c>
      <c r="E53" s="12" t="inlineStr">
        <is>
          <t>Compute</t>
        </is>
      </c>
      <c r="F53" s="12" t="inlineStr">
        <is>
          <t>CP-6</t>
        </is>
      </c>
      <c r="G53" s="13">
        <f>IFERROR('[Compute.xlsx]CP-6'!B20,"Not Started")</f>
        <v/>
      </c>
      <c r="H53" s="14">
        <f>IF(OR(G53="Passed",G53="Accepted Exception"),"GREEN",IF(OR(G53="Not Started",G53="Failed"),"RED","AMBER"))</f>
        <v/>
      </c>
      <c r="I53" s="15">
        <f>IFERROR('[Compute.xlsx]CP-6'!E20,"Non commencé")</f>
        <v/>
      </c>
      <c r="J53" s="16">
        <f>IF(OR(I53="Réussi",I53="Exception acceptée"),"GREEN",IF(OR(I53="Non commencé",I53="Échec"),"RED","AMBER"))</f>
        <v/>
      </c>
      <c r="K53" s="12" t="inlineStr"/>
      <c r="L53" s="12" t="inlineStr"/>
      <c r="M53" s="17" t="inlineStr"/>
    </row>
    <row r="54" ht="18" customHeight="1">
      <c r="A54" s="18" t="inlineStr">
        <is>
          <t>CP-6(2)</t>
        </is>
      </c>
      <c r="B54" s="19" t="inlineStr">
        <is>
          <t>Alternate Storage Site</t>
        </is>
      </c>
      <c r="C54" s="19" t="inlineStr">
        <is>
          <t>Compute</t>
        </is>
      </c>
      <c r="D54" s="18" t="inlineStr">
        <is>
          <t>CP</t>
        </is>
      </c>
      <c r="E54" s="19" t="inlineStr">
        <is>
          <t>Compute</t>
        </is>
      </c>
      <c r="F54" s="19" t="inlineStr">
        <is>
          <t>CP-6-2</t>
        </is>
      </c>
      <c r="G54" s="20">
        <f>IFERROR('[Compute.xlsx]CP-6-2'!B20,"Not Started")</f>
        <v/>
      </c>
      <c r="H54" s="14">
        <f>IF(OR(G54="Passed",G54="Accepted Exception"),"GREEN",IF(OR(G54="Not Started",G54="Failed"),"RED","AMBER"))</f>
        <v/>
      </c>
      <c r="I54" s="21">
        <f>IFERROR('[Compute.xlsx]CP-6-2'!E20,"Non commencé")</f>
        <v/>
      </c>
      <c r="J54" s="16">
        <f>IF(OR(I54="Réussi",I54="Exception acceptée"),"GREEN",IF(OR(I54="Non commencé",I54="Échec"),"RED","AMBER"))</f>
        <v/>
      </c>
      <c r="K54" s="19" t="inlineStr"/>
      <c r="L54" s="19" t="inlineStr"/>
      <c r="M54" s="22" t="inlineStr"/>
    </row>
    <row r="55" ht="18" customHeight="1">
      <c r="A55" s="11" t="inlineStr">
        <is>
          <t>CP-7</t>
        </is>
      </c>
      <c r="B55" s="12" t="inlineStr">
        <is>
          <t>Alternate Processing Site</t>
        </is>
      </c>
      <c r="C55" s="12" t="inlineStr">
        <is>
          <t>Compute</t>
        </is>
      </c>
      <c r="D55" s="11" t="inlineStr">
        <is>
          <t>CP</t>
        </is>
      </c>
      <c r="E55" s="12" t="inlineStr">
        <is>
          <t>Compute</t>
        </is>
      </c>
      <c r="F55" s="12" t="inlineStr">
        <is>
          <t>CP-7</t>
        </is>
      </c>
      <c r="G55" s="13">
        <f>IFERROR('[Compute.xlsx]CP-7'!B20,"Not Started")</f>
        <v/>
      </c>
      <c r="H55" s="14">
        <f>IF(OR(G55="Passed",G55="Accepted Exception"),"GREEN",IF(OR(G55="Not Started",G55="Failed"),"RED","AMBER"))</f>
        <v/>
      </c>
      <c r="I55" s="15">
        <f>IFERROR('[Compute.xlsx]CP-7'!E20,"Non commencé")</f>
        <v/>
      </c>
      <c r="J55" s="16">
        <f>IF(OR(I55="Réussi",I55="Exception acceptée"),"GREEN",IF(OR(I55="Non commencé",I55="Échec"),"RED","AMBER"))</f>
        <v/>
      </c>
      <c r="K55" s="12" t="inlineStr"/>
      <c r="L55" s="12" t="inlineStr"/>
      <c r="M55" s="17" t="inlineStr"/>
    </row>
    <row r="56" ht="18" customHeight="1">
      <c r="A56" s="18" t="inlineStr">
        <is>
          <t>CP-7(4)</t>
        </is>
      </c>
      <c r="B56" s="19" t="inlineStr">
        <is>
          <t>Alternate Processing Site</t>
        </is>
      </c>
      <c r="C56" s="19" t="inlineStr">
        <is>
          <t>Compute</t>
        </is>
      </c>
      <c r="D56" s="18" t="inlineStr">
        <is>
          <t>CP</t>
        </is>
      </c>
      <c r="E56" s="19" t="inlineStr">
        <is>
          <t>Compute</t>
        </is>
      </c>
      <c r="F56" s="19" t="inlineStr">
        <is>
          <t>CP-7-4</t>
        </is>
      </c>
      <c r="G56" s="20">
        <f>IFERROR('[Compute.xlsx]CP-7-4'!B20,"Not Started")</f>
        <v/>
      </c>
      <c r="H56" s="14">
        <f>IF(OR(G56="Passed",G56="Accepted Exception"),"GREEN",IF(OR(G56="Not Started",G56="Failed"),"RED","AMBER"))</f>
        <v/>
      </c>
      <c r="I56" s="21">
        <f>IFERROR('[Compute.xlsx]CP-7-4'!E20,"Non commencé")</f>
        <v/>
      </c>
      <c r="J56" s="16">
        <f>IF(OR(I56="Réussi",I56="Exception acceptée"),"GREEN",IF(OR(I56="Non commencé",I56="Échec"),"RED","AMBER"))</f>
        <v/>
      </c>
      <c r="K56" s="19" t="inlineStr"/>
      <c r="L56" s="19" t="inlineStr"/>
      <c r="M56" s="22" t="inlineStr"/>
    </row>
    <row r="57" ht="18" customHeight="1">
      <c r="A57" s="11" t="inlineStr">
        <is>
          <t>CP-9</t>
        </is>
      </c>
      <c r="B57" s="12" t="inlineStr">
        <is>
          <t>Information System Backup</t>
        </is>
      </c>
      <c r="C57" s="12" t="inlineStr">
        <is>
          <t>Compute</t>
        </is>
      </c>
      <c r="D57" s="11" t="inlineStr">
        <is>
          <t>CP</t>
        </is>
      </c>
      <c r="E57" s="12" t="inlineStr">
        <is>
          <t>Compute</t>
        </is>
      </c>
      <c r="F57" s="12" t="inlineStr">
        <is>
          <t>CP-9</t>
        </is>
      </c>
      <c r="G57" s="13">
        <f>IFERROR('[Compute.xlsx]CP-9'!B20,"Not Started")</f>
        <v/>
      </c>
      <c r="H57" s="14">
        <f>IF(OR(G57="Passed",G57="Accepted Exception"),"GREEN",IF(OR(G57="Not Started",G57="Failed"),"RED","AMBER"))</f>
        <v/>
      </c>
      <c r="I57" s="15">
        <f>IFERROR('[Compute.xlsx]CP-9'!E20,"Non commencé")</f>
        <v/>
      </c>
      <c r="J57" s="16">
        <f>IF(OR(I57="Réussi",I57="Exception acceptée"),"GREEN",IF(OR(I57="Non commencé",I57="Échec"),"RED","AMBER"))</f>
        <v/>
      </c>
      <c r="K57" s="12" t="inlineStr"/>
      <c r="L57" s="12" t="inlineStr"/>
      <c r="M57" s="17" t="inlineStr"/>
    </row>
    <row r="58" ht="18" customHeight="1">
      <c r="A58" s="18" t="inlineStr">
        <is>
          <t>CP-9(1)</t>
        </is>
      </c>
      <c r="B58" s="19" t="inlineStr">
        <is>
          <t>Information System Backup</t>
        </is>
      </c>
      <c r="C58" s="19" t="inlineStr">
        <is>
          <t>Compute</t>
        </is>
      </c>
      <c r="D58" s="18" t="inlineStr">
        <is>
          <t>CP</t>
        </is>
      </c>
      <c r="E58" s="19" t="inlineStr">
        <is>
          <t>Compute</t>
        </is>
      </c>
      <c r="F58" s="19" t="inlineStr">
        <is>
          <t>CP-9-1</t>
        </is>
      </c>
      <c r="G58" s="20">
        <f>IFERROR('[Compute.xlsx]CP-9-1'!B20,"Not Started")</f>
        <v/>
      </c>
      <c r="H58" s="14">
        <f>IF(OR(G58="Passed",G58="Accepted Exception"),"GREEN",IF(OR(G58="Not Started",G58="Failed"),"RED","AMBER"))</f>
        <v/>
      </c>
      <c r="I58" s="21">
        <f>IFERROR('[Compute.xlsx]CP-9-1'!E20,"Non commencé")</f>
        <v/>
      </c>
      <c r="J58" s="16">
        <f>IF(OR(I58="Réussi",I58="Exception acceptée"),"GREEN",IF(OR(I58="Non commencé",I58="Échec"),"RED","AMBER"))</f>
        <v/>
      </c>
      <c r="K58" s="19" t="inlineStr"/>
      <c r="L58" s="19" t="inlineStr"/>
      <c r="M58" s="22" t="inlineStr"/>
    </row>
    <row r="59" ht="18" customHeight="1">
      <c r="A59" s="11" t="inlineStr">
        <is>
          <t>CP-9(2)</t>
        </is>
      </c>
      <c r="B59" s="12" t="inlineStr">
        <is>
          <t>Information System Backup</t>
        </is>
      </c>
      <c r="C59" s="12" t="inlineStr">
        <is>
          <t>Compute</t>
        </is>
      </c>
      <c r="D59" s="11" t="inlineStr">
        <is>
          <t>CP</t>
        </is>
      </c>
      <c r="E59" s="12" t="inlineStr">
        <is>
          <t>Compute</t>
        </is>
      </c>
      <c r="F59" s="12" t="inlineStr">
        <is>
          <t>CP-9-2</t>
        </is>
      </c>
      <c r="G59" s="13">
        <f>IFERROR('[Compute.xlsx]CP-9-2'!B20,"Not Started")</f>
        <v/>
      </c>
      <c r="H59" s="14">
        <f>IF(OR(G59="Passed",G59="Accepted Exception"),"GREEN",IF(OR(G59="Not Started",G59="Failed"),"RED","AMBER"))</f>
        <v/>
      </c>
      <c r="I59" s="15">
        <f>IFERROR('[Compute.xlsx]CP-9-2'!E20,"Non commencé")</f>
        <v/>
      </c>
      <c r="J59" s="16">
        <f>IF(OR(I59="Réussi",I59="Exception acceptée"),"GREEN",IF(OR(I59="Non commencé",I59="Échec"),"RED","AMBER"))</f>
        <v/>
      </c>
      <c r="K59" s="12" t="inlineStr"/>
      <c r="L59" s="12" t="inlineStr"/>
      <c r="M59" s="17" t="inlineStr"/>
    </row>
    <row r="60" ht="18" customHeight="1">
      <c r="A60" s="18" t="inlineStr">
        <is>
          <t>CP-9(5)</t>
        </is>
      </c>
      <c r="B60" s="19" t="inlineStr">
        <is>
          <t>Information System Backup</t>
        </is>
      </c>
      <c r="C60" s="19" t="inlineStr">
        <is>
          <t>Compute</t>
        </is>
      </c>
      <c r="D60" s="18" t="inlineStr">
        <is>
          <t>CP</t>
        </is>
      </c>
      <c r="E60" s="19" t="inlineStr">
        <is>
          <t>Compute</t>
        </is>
      </c>
      <c r="F60" s="19" t="inlineStr">
        <is>
          <t>CP-9-5</t>
        </is>
      </c>
      <c r="G60" s="20">
        <f>IFERROR('[Compute.xlsx]CP-9-5'!B20,"Not Started")</f>
        <v/>
      </c>
      <c r="H60" s="14">
        <f>IF(OR(G60="Passed",G60="Accepted Exception"),"GREEN",IF(OR(G60="Not Started",G60="Failed"),"RED","AMBER"))</f>
        <v/>
      </c>
      <c r="I60" s="21">
        <f>IFERROR('[Compute.xlsx]CP-9-5'!E20,"Non commencé")</f>
        <v/>
      </c>
      <c r="J60" s="16">
        <f>IF(OR(I60="Réussi",I60="Exception acceptée"),"GREEN",IF(OR(I60="Non commencé",I60="Échec"),"RED","AMBER"))</f>
        <v/>
      </c>
      <c r="K60" s="19" t="inlineStr"/>
      <c r="L60" s="19" t="inlineStr"/>
      <c r="M60" s="22" t="inlineStr"/>
    </row>
    <row r="61" ht="18" customHeight="1">
      <c r="A61" s="11" t="inlineStr">
        <is>
          <t>CP-10</t>
        </is>
      </c>
      <c r="B61" s="12" t="inlineStr">
        <is>
          <t>Information System Recovery and Reconstitution</t>
        </is>
      </c>
      <c r="C61" s="12" t="inlineStr">
        <is>
          <t>Compute</t>
        </is>
      </c>
      <c r="D61" s="11" t="inlineStr">
        <is>
          <t>CP</t>
        </is>
      </c>
      <c r="E61" s="12" t="inlineStr">
        <is>
          <t>Compute</t>
        </is>
      </c>
      <c r="F61" s="12" t="inlineStr">
        <is>
          <t>CP-10</t>
        </is>
      </c>
      <c r="G61" s="13">
        <f>IFERROR('[Compute.xlsx]CP-10'!B20,"Not Started")</f>
        <v/>
      </c>
      <c r="H61" s="14">
        <f>IF(OR(G61="Passed",G61="Accepted Exception"),"GREEN",IF(OR(G61="Not Started",G61="Failed"),"RED","AMBER"))</f>
        <v/>
      </c>
      <c r="I61" s="15">
        <f>IFERROR('[Compute.xlsx]CP-10'!E20,"Non commencé")</f>
        <v/>
      </c>
      <c r="J61" s="16">
        <f>IF(OR(I61="Réussi",I61="Exception acceptée"),"GREEN",IF(OR(I61="Non commencé",I61="Échec"),"RED","AMBER"))</f>
        <v/>
      </c>
      <c r="K61" s="12" t="inlineStr"/>
      <c r="L61" s="12" t="inlineStr"/>
      <c r="M61" s="17" t="inlineStr"/>
    </row>
    <row r="62" ht="18" customHeight="1">
      <c r="A62" s="18" t="inlineStr">
        <is>
          <t>CP-10(4)</t>
        </is>
      </c>
      <c r="B62" s="19" t="inlineStr">
        <is>
          <t>Information System Recovery and Reconstitution</t>
        </is>
      </c>
      <c r="C62" s="19" t="inlineStr">
        <is>
          <t>Compute</t>
        </is>
      </c>
      <c r="D62" s="18" t="inlineStr">
        <is>
          <t>CP</t>
        </is>
      </c>
      <c r="E62" s="19" t="inlineStr">
        <is>
          <t>Compute</t>
        </is>
      </c>
      <c r="F62" s="19" t="inlineStr">
        <is>
          <t>CP-10-4</t>
        </is>
      </c>
      <c r="G62" s="20">
        <f>IFERROR('[Compute.xlsx]CP-10-4'!B20,"Not Started")</f>
        <v/>
      </c>
      <c r="H62" s="14">
        <f>IF(OR(G62="Passed",G62="Accepted Exception"),"GREEN",IF(OR(G62="Not Started",G62="Failed"),"RED","AMBER"))</f>
        <v/>
      </c>
      <c r="I62" s="21">
        <f>IFERROR('[Compute.xlsx]CP-10-4'!E20,"Non commencé")</f>
        <v/>
      </c>
      <c r="J62" s="16">
        <f>IF(OR(I62="Réussi",I62="Exception acceptée"),"GREEN",IF(OR(I62="Non commencé",I62="Échec"),"RED","AMBER"))</f>
        <v/>
      </c>
      <c r="K62" s="19" t="inlineStr"/>
      <c r="L62" s="19" t="inlineStr"/>
      <c r="M62" s="22" t="inlineStr"/>
    </row>
    <row r="63" ht="18" customHeight="1">
      <c r="A63" s="11" t="inlineStr">
        <is>
          <t>IA-5(6)</t>
        </is>
      </c>
      <c r="B63" s="12" t="inlineStr">
        <is>
          <t>Authenticator Management</t>
        </is>
      </c>
      <c r="C63" s="12" t="inlineStr">
        <is>
          <t>Compute</t>
        </is>
      </c>
      <c r="D63" s="11" t="inlineStr">
        <is>
          <t>IA</t>
        </is>
      </c>
      <c r="E63" s="12" t="inlineStr">
        <is>
          <t>Compute</t>
        </is>
      </c>
      <c r="F63" s="12" t="inlineStr">
        <is>
          <t>IA-5-6</t>
        </is>
      </c>
      <c r="G63" s="13">
        <f>IFERROR('[Compute.xlsx]IA-5-6'!B20,"Not Started")</f>
        <v/>
      </c>
      <c r="H63" s="14">
        <f>IF(OR(G63="Passed",G63="Accepted Exception"),"GREEN",IF(OR(G63="Not Started",G63="Failed"),"RED","AMBER"))</f>
        <v/>
      </c>
      <c r="I63" s="15">
        <f>IFERROR('[Compute.xlsx]IA-5-6'!E20,"Non commencé")</f>
        <v/>
      </c>
      <c r="J63" s="16">
        <f>IF(OR(I63="Réussi",I63="Exception acceptée"),"GREEN",IF(OR(I63="Non commencé",I63="Échec"),"RED","AMBER"))</f>
        <v/>
      </c>
      <c r="K63" s="12" t="inlineStr"/>
      <c r="L63" s="12" t="inlineStr"/>
      <c r="M63" s="17" t="inlineStr"/>
    </row>
    <row r="64" ht="18" customHeight="1">
      <c r="A64" s="18" t="inlineStr">
        <is>
          <t>IA-5(7)</t>
        </is>
      </c>
      <c r="B64" s="19" t="inlineStr">
        <is>
          <t>Authenticator Management</t>
        </is>
      </c>
      <c r="C64" s="19" t="inlineStr">
        <is>
          <t>Compute</t>
        </is>
      </c>
      <c r="D64" s="18" t="inlineStr">
        <is>
          <t>IA</t>
        </is>
      </c>
      <c r="E64" s="19" t="inlineStr">
        <is>
          <t>Compute</t>
        </is>
      </c>
      <c r="F64" s="19" t="inlineStr">
        <is>
          <t>IA-5-7</t>
        </is>
      </c>
      <c r="G64" s="20">
        <f>IFERROR('[Compute.xlsx]IA-5-7'!B20,"Not Started")</f>
        <v/>
      </c>
      <c r="H64" s="14">
        <f>IF(OR(G64="Passed",G64="Accepted Exception"),"GREEN",IF(OR(G64="Not Started",G64="Failed"),"RED","AMBER"))</f>
        <v/>
      </c>
      <c r="I64" s="21">
        <f>IFERROR('[Compute.xlsx]IA-5-7'!E20,"Non commencé")</f>
        <v/>
      </c>
      <c r="J64" s="16">
        <f>IF(OR(I64="Réussi",I64="Exception acceptée"),"GREEN",IF(OR(I64="Non commencé",I64="Échec"),"RED","AMBER"))</f>
        <v/>
      </c>
      <c r="K64" s="19" t="inlineStr"/>
      <c r="L64" s="19" t="inlineStr"/>
      <c r="M64" s="22" t="inlineStr"/>
    </row>
    <row r="65" ht="18" customHeight="1">
      <c r="A65" s="11" t="inlineStr">
        <is>
          <t>SA-9(5)</t>
        </is>
      </c>
      <c r="B65" s="12" t="inlineStr">
        <is>
          <t>External Information System Services</t>
        </is>
      </c>
      <c r="C65" s="12" t="inlineStr">
        <is>
          <t>Compute</t>
        </is>
      </c>
      <c r="D65" s="11" t="inlineStr">
        <is>
          <t>SA</t>
        </is>
      </c>
      <c r="E65" s="12" t="inlineStr">
        <is>
          <t>Compute</t>
        </is>
      </c>
      <c r="F65" s="12" t="inlineStr">
        <is>
          <t>SA-9-5</t>
        </is>
      </c>
      <c r="G65" s="13">
        <f>IFERROR('[Compute.xlsx]SA-9-5'!B20,"Not Started")</f>
        <v/>
      </c>
      <c r="H65" s="14">
        <f>IF(OR(G65="Passed",G65="Accepted Exception"),"GREEN",IF(OR(G65="Not Started",G65="Failed"),"RED","AMBER"))</f>
        <v/>
      </c>
      <c r="I65" s="15">
        <f>IFERROR('[Compute.xlsx]SA-9-5'!E20,"Non commencé")</f>
        <v/>
      </c>
      <c r="J65" s="16">
        <f>IF(OR(I65="Réussi",I65="Exception acceptée"),"GREEN",IF(OR(I65="Non commencé",I65="Échec"),"RED","AMBER"))</f>
        <v/>
      </c>
      <c r="K65" s="12" t="inlineStr"/>
      <c r="L65" s="12" t="inlineStr"/>
      <c r="M65" s="17" t="inlineStr"/>
    </row>
    <row r="66" ht="18" customHeight="1">
      <c r="A66" s="18" t="inlineStr">
        <is>
          <t>SA-10(1)</t>
        </is>
      </c>
      <c r="B66" s="19" t="inlineStr">
        <is>
          <t>Developer Configuration Management</t>
        </is>
      </c>
      <c r="C66" s="19" t="inlineStr">
        <is>
          <t>Compute</t>
        </is>
      </c>
      <c r="D66" s="18" t="inlineStr">
        <is>
          <t>SA</t>
        </is>
      </c>
      <c r="E66" s="19" t="inlineStr">
        <is>
          <t>Compute</t>
        </is>
      </c>
      <c r="F66" s="19" t="inlineStr">
        <is>
          <t>SA-10-1</t>
        </is>
      </c>
      <c r="G66" s="20">
        <f>IFERROR('[Compute.xlsx]SA-10-1'!B20,"Not Started")</f>
        <v/>
      </c>
      <c r="H66" s="14">
        <f>IF(OR(G66="Passed",G66="Accepted Exception"),"GREEN",IF(OR(G66="Not Started",G66="Failed"),"RED","AMBER"))</f>
        <v/>
      </c>
      <c r="I66" s="21">
        <f>IFERROR('[Compute.xlsx]SA-10-1'!E20,"Non commencé")</f>
        <v/>
      </c>
      <c r="J66" s="16">
        <f>IF(OR(I66="Réussi",I66="Exception acceptée"),"GREEN",IF(OR(I66="Non commencé",I66="Échec"),"RED","AMBER"))</f>
        <v/>
      </c>
      <c r="K66" s="19" t="inlineStr"/>
      <c r="L66" s="19" t="inlineStr"/>
      <c r="M66" s="22" t="inlineStr"/>
    </row>
    <row r="67" ht="18" customHeight="1">
      <c r="A67" s="11" t="inlineStr">
        <is>
          <t>SC-2</t>
        </is>
      </c>
      <c r="B67" s="12" t="inlineStr">
        <is>
          <t>Application Partitioning</t>
        </is>
      </c>
      <c r="C67" s="12" t="inlineStr">
        <is>
          <t>Compute</t>
        </is>
      </c>
      <c r="D67" s="11" t="inlineStr">
        <is>
          <t>SC</t>
        </is>
      </c>
      <c r="E67" s="12" t="inlineStr">
        <is>
          <t>Compute</t>
        </is>
      </c>
      <c r="F67" s="12" t="inlineStr">
        <is>
          <t>SC-2</t>
        </is>
      </c>
      <c r="G67" s="13">
        <f>IFERROR('[Compute.xlsx]SC-2'!B20,"Not Started")</f>
        <v/>
      </c>
      <c r="H67" s="14">
        <f>IF(OR(G67="Passed",G67="Accepted Exception"),"GREEN",IF(OR(G67="Not Started",G67="Failed"),"RED","AMBER"))</f>
        <v/>
      </c>
      <c r="I67" s="15">
        <f>IFERROR('[Compute.xlsx]SC-2'!E20,"Non commencé")</f>
        <v/>
      </c>
      <c r="J67" s="16">
        <f>IF(OR(I67="Réussi",I67="Exception acceptée"),"GREEN",IF(OR(I67="Non commencé",I67="Échec"),"RED","AMBER"))</f>
        <v/>
      </c>
      <c r="K67" s="12" t="inlineStr"/>
      <c r="L67" s="12" t="inlineStr"/>
      <c r="M67" s="17" t="inlineStr"/>
    </row>
    <row r="68" ht="18" customHeight="1">
      <c r="A68" s="18" t="inlineStr">
        <is>
          <t>SC-6</t>
        </is>
      </c>
      <c r="B68" s="19" t="inlineStr">
        <is>
          <t>Resource Availability</t>
        </is>
      </c>
      <c r="C68" s="19" t="inlineStr">
        <is>
          <t>Compute</t>
        </is>
      </c>
      <c r="D68" s="18" t="inlineStr">
        <is>
          <t>SC</t>
        </is>
      </c>
      <c r="E68" s="19" t="inlineStr">
        <is>
          <t>Compute</t>
        </is>
      </c>
      <c r="F68" s="19" t="inlineStr">
        <is>
          <t>SC-6</t>
        </is>
      </c>
      <c r="G68" s="20">
        <f>IFERROR('[Compute.xlsx]SC-6'!B20,"Not Started")</f>
        <v/>
      </c>
      <c r="H68" s="14">
        <f>IF(OR(G68="Passed",G68="Accepted Exception"),"GREEN",IF(OR(G68="Not Started",G68="Failed"),"RED","AMBER"))</f>
        <v/>
      </c>
      <c r="I68" s="21">
        <f>IFERROR('[Compute.xlsx]SC-6'!E20,"Non commencé")</f>
        <v/>
      </c>
      <c r="J68" s="16">
        <f>IF(OR(I68="Réussi",I68="Exception acceptée"),"GREEN",IF(OR(I68="Non commencé",I68="Échec"),"RED","AMBER"))</f>
        <v/>
      </c>
      <c r="K68" s="19" t="inlineStr"/>
      <c r="L68" s="19" t="inlineStr"/>
      <c r="M68" s="22" t="inlineStr"/>
    </row>
    <row r="69" ht="18" customHeight="1">
      <c r="A69" s="11" t="inlineStr">
        <is>
          <t>SC-7(7)</t>
        </is>
      </c>
      <c r="B69" s="12" t="inlineStr">
        <is>
          <t>Boundary Protection</t>
        </is>
      </c>
      <c r="C69" s="12" t="inlineStr">
        <is>
          <t>Compute</t>
        </is>
      </c>
      <c r="D69" s="11" t="inlineStr">
        <is>
          <t>SC</t>
        </is>
      </c>
      <c r="E69" s="12" t="inlineStr">
        <is>
          <t>Compute</t>
        </is>
      </c>
      <c r="F69" s="12" t="inlineStr">
        <is>
          <t>SC-7-7</t>
        </is>
      </c>
      <c r="G69" s="13">
        <f>IFERROR('[Compute.xlsx]SC-7-7'!B20,"Not Started")</f>
        <v/>
      </c>
      <c r="H69" s="14">
        <f>IF(OR(G69="Passed",G69="Accepted Exception"),"GREEN",IF(OR(G69="Not Started",G69="Failed"),"RED","AMBER"))</f>
        <v/>
      </c>
      <c r="I69" s="15">
        <f>IFERROR('[Compute.xlsx]SC-7-7'!E20,"Non commencé")</f>
        <v/>
      </c>
      <c r="J69" s="16">
        <f>IF(OR(I69="Réussi",I69="Exception acceptée"),"GREEN",IF(OR(I69="Non commencé",I69="Échec"),"RED","AMBER"))</f>
        <v/>
      </c>
      <c r="K69" s="12" t="inlineStr"/>
      <c r="L69" s="12" t="inlineStr"/>
      <c r="M69" s="17" t="inlineStr"/>
    </row>
    <row r="70" ht="18" customHeight="1">
      <c r="A70" s="18" t="inlineStr">
        <is>
          <t>SC-7(12)</t>
        </is>
      </c>
      <c r="B70" s="19" t="inlineStr">
        <is>
          <t>Boundary Protection</t>
        </is>
      </c>
      <c r="C70" s="19" t="inlineStr">
        <is>
          <t>Compute</t>
        </is>
      </c>
      <c r="D70" s="18" t="inlineStr">
        <is>
          <t>SC</t>
        </is>
      </c>
      <c r="E70" s="19" t="inlineStr">
        <is>
          <t>Compute</t>
        </is>
      </c>
      <c r="F70" s="19" t="inlineStr">
        <is>
          <t>SC-7-12</t>
        </is>
      </c>
      <c r="G70" s="20">
        <f>IFERROR('[Compute.xlsx]SC-7-12'!B20,"Not Started")</f>
        <v/>
      </c>
      <c r="H70" s="14">
        <f>IF(OR(G70="Passed",G70="Accepted Exception"),"GREEN",IF(OR(G70="Not Started",G70="Failed"),"RED","AMBER"))</f>
        <v/>
      </c>
      <c r="I70" s="21">
        <f>IFERROR('[Compute.xlsx]SC-7-12'!E20,"Non commencé")</f>
        <v/>
      </c>
      <c r="J70" s="16">
        <f>IF(OR(I70="Réussi",I70="Exception acceptée"),"GREEN",IF(OR(I70="Non commencé",I70="Échec"),"RED","AMBER"))</f>
        <v/>
      </c>
      <c r="K70" s="19" t="inlineStr"/>
      <c r="L70" s="19" t="inlineStr"/>
      <c r="M70" s="22" t="inlineStr"/>
    </row>
    <row r="71" ht="18" customHeight="1">
      <c r="A71" s="11" t="inlineStr">
        <is>
          <t>SC-8</t>
        </is>
      </c>
      <c r="B71" s="12" t="inlineStr">
        <is>
          <t>Transmission Confidentiality and Integrity</t>
        </is>
      </c>
      <c r="C71" s="12" t="inlineStr">
        <is>
          <t>Compute</t>
        </is>
      </c>
      <c r="D71" s="11" t="inlineStr">
        <is>
          <t>SC</t>
        </is>
      </c>
      <c r="E71" s="12" t="inlineStr">
        <is>
          <t>Compute</t>
        </is>
      </c>
      <c r="F71" s="12" t="inlineStr">
        <is>
          <t>SC-8</t>
        </is>
      </c>
      <c r="G71" s="13">
        <f>IFERROR('[Compute.xlsx]SC-8'!B20,"Not Started")</f>
        <v/>
      </c>
      <c r="H71" s="14">
        <f>IF(OR(G71="Passed",G71="Accepted Exception"),"GREEN",IF(OR(G71="Not Started",G71="Failed"),"RED","AMBER"))</f>
        <v/>
      </c>
      <c r="I71" s="15">
        <f>IFERROR('[Compute.xlsx]SC-8'!E20,"Non commencé")</f>
        <v/>
      </c>
      <c r="J71" s="16">
        <f>IF(OR(I71="Réussi",I71="Exception acceptée"),"GREEN",IF(OR(I71="Non commencé",I71="Échec"),"RED","AMBER"))</f>
        <v/>
      </c>
      <c r="K71" s="12" t="inlineStr"/>
      <c r="L71" s="12" t="inlineStr"/>
      <c r="M71" s="17" t="inlineStr"/>
    </row>
    <row r="72" ht="18" customHeight="1">
      <c r="A72" s="18" t="inlineStr">
        <is>
          <t>SC-8(1)</t>
        </is>
      </c>
      <c r="B72" s="19" t="inlineStr">
        <is>
          <t>Transmission Confidentiality and Integrity</t>
        </is>
      </c>
      <c r="C72" s="19" t="inlineStr">
        <is>
          <t>Compute</t>
        </is>
      </c>
      <c r="D72" s="18" t="inlineStr">
        <is>
          <t>SC</t>
        </is>
      </c>
      <c r="E72" s="19" t="inlineStr">
        <is>
          <t>Compute</t>
        </is>
      </c>
      <c r="F72" s="19" t="inlineStr">
        <is>
          <t>SC-8-1</t>
        </is>
      </c>
      <c r="G72" s="20">
        <f>IFERROR('[Compute.xlsx]SC-8-1'!B20,"Not Started")</f>
        <v/>
      </c>
      <c r="H72" s="14">
        <f>IF(OR(G72="Passed",G72="Accepted Exception"),"GREEN",IF(OR(G72="Not Started",G72="Failed"),"RED","AMBER"))</f>
        <v/>
      </c>
      <c r="I72" s="21">
        <f>IFERROR('[Compute.xlsx]SC-8-1'!E20,"Non commencé")</f>
        <v/>
      </c>
      <c r="J72" s="16">
        <f>IF(OR(I72="Réussi",I72="Exception acceptée"),"GREEN",IF(OR(I72="Non commencé",I72="Échec"),"RED","AMBER"))</f>
        <v/>
      </c>
      <c r="K72" s="19" t="inlineStr"/>
      <c r="L72" s="19" t="inlineStr"/>
      <c r="M72" s="22" t="inlineStr"/>
    </row>
    <row r="73" ht="18" customHeight="1">
      <c r="A73" s="11" t="inlineStr">
        <is>
          <t>SC-10</t>
        </is>
      </c>
      <c r="B73" s="12" t="inlineStr">
        <is>
          <t>Network Disconnect</t>
        </is>
      </c>
      <c r="C73" s="12" t="inlineStr">
        <is>
          <t>Compute</t>
        </is>
      </c>
      <c r="D73" s="11" t="inlineStr">
        <is>
          <t>SC</t>
        </is>
      </c>
      <c r="E73" s="12" t="inlineStr">
        <is>
          <t>Compute</t>
        </is>
      </c>
      <c r="F73" s="12" t="inlineStr">
        <is>
          <t>SC-10</t>
        </is>
      </c>
      <c r="G73" s="13">
        <f>IFERROR('[Compute.xlsx]SC-10'!B20,"Not Started")</f>
        <v/>
      </c>
      <c r="H73" s="14">
        <f>IF(OR(G73="Passed",G73="Accepted Exception"),"GREEN",IF(OR(G73="Not Started",G73="Failed"),"RED","AMBER"))</f>
        <v/>
      </c>
      <c r="I73" s="15">
        <f>IFERROR('[Compute.xlsx]SC-10'!E20,"Non commencé")</f>
        <v/>
      </c>
      <c r="J73" s="16">
        <f>IF(OR(I73="Réussi",I73="Exception acceptée"),"GREEN",IF(OR(I73="Non commencé",I73="Échec"),"RED","AMBER"))</f>
        <v/>
      </c>
      <c r="K73" s="12" t="inlineStr"/>
      <c r="L73" s="12" t="inlineStr"/>
      <c r="M73" s="17" t="inlineStr"/>
    </row>
    <row r="74" ht="18" customHeight="1">
      <c r="A74" s="18" t="inlineStr">
        <is>
          <t>SC-13</t>
        </is>
      </c>
      <c r="B74" s="19" t="inlineStr">
        <is>
          <t>Cryptographic Protection</t>
        </is>
      </c>
      <c r="C74" s="19" t="inlineStr">
        <is>
          <t>Compute</t>
        </is>
      </c>
      <c r="D74" s="18" t="inlineStr">
        <is>
          <t>SC</t>
        </is>
      </c>
      <c r="E74" s="19" t="inlineStr">
        <is>
          <t>Compute</t>
        </is>
      </c>
      <c r="F74" s="19" t="inlineStr">
        <is>
          <t>SC-13</t>
        </is>
      </c>
      <c r="G74" s="20">
        <f>IFERROR('[Compute.xlsx]SC-13'!B20,"Not Started")</f>
        <v/>
      </c>
      <c r="H74" s="14">
        <f>IF(OR(G74="Passed",G74="Accepted Exception"),"GREEN",IF(OR(G74="Not Started",G74="Failed"),"RED","AMBER"))</f>
        <v/>
      </c>
      <c r="I74" s="21">
        <f>IFERROR('[Compute.xlsx]SC-13'!E20,"Non commencé")</f>
        <v/>
      </c>
      <c r="J74" s="16">
        <f>IF(OR(I74="Réussi",I74="Exception acceptée"),"GREEN",IF(OR(I74="Non commencé",I74="Échec"),"RED","AMBER"))</f>
        <v/>
      </c>
      <c r="K74" s="19" t="inlineStr"/>
      <c r="L74" s="19" t="inlineStr"/>
      <c r="M74" s="22" t="inlineStr"/>
    </row>
    <row r="75" ht="18" customHeight="1">
      <c r="A75" s="11" t="inlineStr">
        <is>
          <t>SC-18</t>
        </is>
      </c>
      <c r="B75" s="12" t="inlineStr">
        <is>
          <t>Mobile Code</t>
        </is>
      </c>
      <c r="C75" s="12" t="inlineStr">
        <is>
          <t>Compute</t>
        </is>
      </c>
      <c r="D75" s="11" t="inlineStr">
        <is>
          <t>SC</t>
        </is>
      </c>
      <c r="E75" s="12" t="inlineStr">
        <is>
          <t>Compute</t>
        </is>
      </c>
      <c r="F75" s="12" t="inlineStr">
        <is>
          <t>SC-18</t>
        </is>
      </c>
      <c r="G75" s="13">
        <f>IFERROR('[Compute.xlsx]SC-18'!B20,"Not Started")</f>
        <v/>
      </c>
      <c r="H75" s="14">
        <f>IF(OR(G75="Passed",G75="Accepted Exception"),"GREEN",IF(OR(G75="Not Started",G75="Failed"),"RED","AMBER"))</f>
        <v/>
      </c>
      <c r="I75" s="15">
        <f>IFERROR('[Compute.xlsx]SC-18'!E20,"Non commencé")</f>
        <v/>
      </c>
      <c r="J75" s="16">
        <f>IF(OR(I75="Réussi",I75="Exception acceptée"),"GREEN",IF(OR(I75="Non commencé",I75="Échec"),"RED","AMBER"))</f>
        <v/>
      </c>
      <c r="K75" s="12" t="inlineStr"/>
      <c r="L75" s="12" t="inlineStr"/>
      <c r="M75" s="17" t="inlineStr"/>
    </row>
    <row r="76" ht="18" customHeight="1">
      <c r="A76" s="18" t="inlineStr">
        <is>
          <t>SC-18(3)</t>
        </is>
      </c>
      <c r="B76" s="19" t="inlineStr">
        <is>
          <t>Mobile Code</t>
        </is>
      </c>
      <c r="C76" s="19" t="inlineStr">
        <is>
          <t>Compute</t>
        </is>
      </c>
      <c r="D76" s="18" t="inlineStr">
        <is>
          <t>SC</t>
        </is>
      </c>
      <c r="E76" s="19" t="inlineStr">
        <is>
          <t>Compute</t>
        </is>
      </c>
      <c r="F76" s="19" t="inlineStr">
        <is>
          <t>SC-18-3</t>
        </is>
      </c>
      <c r="G76" s="20">
        <f>IFERROR('[Compute.xlsx]SC-18-3'!B20,"Not Started")</f>
        <v/>
      </c>
      <c r="H76" s="14">
        <f>IF(OR(G76="Passed",G76="Accepted Exception"),"GREEN",IF(OR(G76="Not Started",G76="Failed"),"RED","AMBER"))</f>
        <v/>
      </c>
      <c r="I76" s="21">
        <f>IFERROR('[Compute.xlsx]SC-18-3'!E20,"Non commencé")</f>
        <v/>
      </c>
      <c r="J76" s="16">
        <f>IF(OR(I76="Réussi",I76="Exception acceptée"),"GREEN",IF(OR(I76="Non commencé",I76="Échec"),"RED","AMBER"))</f>
        <v/>
      </c>
      <c r="K76" s="19" t="inlineStr"/>
      <c r="L76" s="19" t="inlineStr"/>
      <c r="M76" s="22" t="inlineStr"/>
    </row>
    <row r="77" ht="18" customHeight="1">
      <c r="A77" s="11" t="inlineStr">
        <is>
          <t>SC-18(4)</t>
        </is>
      </c>
      <c r="B77" s="12" t="inlineStr">
        <is>
          <t>Mobile Code</t>
        </is>
      </c>
      <c r="C77" s="12" t="inlineStr">
        <is>
          <t>Compute</t>
        </is>
      </c>
      <c r="D77" s="11" t="inlineStr">
        <is>
          <t>SC</t>
        </is>
      </c>
      <c r="E77" s="12" t="inlineStr">
        <is>
          <t>Compute</t>
        </is>
      </c>
      <c r="F77" s="12" t="inlineStr">
        <is>
          <t>SC-18-4</t>
        </is>
      </c>
      <c r="G77" s="13">
        <f>IFERROR('[Compute.xlsx]SC-18-4'!B20,"Not Started")</f>
        <v/>
      </c>
      <c r="H77" s="14">
        <f>IF(OR(G77="Passed",G77="Accepted Exception"),"GREEN",IF(OR(G77="Not Started",G77="Failed"),"RED","AMBER"))</f>
        <v/>
      </c>
      <c r="I77" s="15">
        <f>IFERROR('[Compute.xlsx]SC-18-4'!E20,"Non commencé")</f>
        <v/>
      </c>
      <c r="J77" s="16">
        <f>IF(OR(I77="Réussi",I77="Exception acceptée"),"GREEN",IF(OR(I77="Non commencé",I77="Échec"),"RED","AMBER"))</f>
        <v/>
      </c>
      <c r="K77" s="12" t="inlineStr"/>
      <c r="L77" s="12" t="inlineStr"/>
      <c r="M77" s="17" t="inlineStr"/>
    </row>
    <row r="78" ht="18" customHeight="1">
      <c r="A78" s="18" t="inlineStr">
        <is>
          <t>SC-23</t>
        </is>
      </c>
      <c r="B78" s="19" t="inlineStr">
        <is>
          <t>Session Authenticity</t>
        </is>
      </c>
      <c r="C78" s="19" t="inlineStr">
        <is>
          <t>Compute</t>
        </is>
      </c>
      <c r="D78" s="18" t="inlineStr">
        <is>
          <t>SC</t>
        </is>
      </c>
      <c r="E78" s="19" t="inlineStr">
        <is>
          <t>Compute</t>
        </is>
      </c>
      <c r="F78" s="19" t="inlineStr">
        <is>
          <t>SC-23</t>
        </is>
      </c>
      <c r="G78" s="20">
        <f>IFERROR('[Compute.xlsx]SC-23'!B20,"Not Started")</f>
        <v/>
      </c>
      <c r="H78" s="14">
        <f>IF(OR(G78="Passed",G78="Accepted Exception"),"GREEN",IF(OR(G78="Not Started",G78="Failed"),"RED","AMBER"))</f>
        <v/>
      </c>
      <c r="I78" s="21">
        <f>IFERROR('[Compute.xlsx]SC-23'!E20,"Non commencé")</f>
        <v/>
      </c>
      <c r="J78" s="16">
        <f>IF(OR(I78="Réussi",I78="Exception acceptée"),"GREEN",IF(OR(I78="Non commencé",I78="Échec"),"RED","AMBER"))</f>
        <v/>
      </c>
      <c r="K78" s="19" t="inlineStr"/>
      <c r="L78" s="19" t="inlineStr"/>
      <c r="M78" s="22" t="inlineStr"/>
    </row>
    <row r="79" ht="18" customHeight="1">
      <c r="A79" s="11" t="inlineStr">
        <is>
          <t>SC-23(1)</t>
        </is>
      </c>
      <c r="B79" s="12" t="inlineStr">
        <is>
          <t>Session Authenticity</t>
        </is>
      </c>
      <c r="C79" s="12" t="inlineStr">
        <is>
          <t>Compute</t>
        </is>
      </c>
      <c r="D79" s="11" t="inlineStr">
        <is>
          <t>SC</t>
        </is>
      </c>
      <c r="E79" s="12" t="inlineStr">
        <is>
          <t>Compute</t>
        </is>
      </c>
      <c r="F79" s="12" t="inlineStr">
        <is>
          <t>SC-23-1</t>
        </is>
      </c>
      <c r="G79" s="13">
        <f>IFERROR('[Compute.xlsx]SC-23-1'!B20,"Not Started")</f>
        <v/>
      </c>
      <c r="H79" s="14">
        <f>IF(OR(G79="Passed",G79="Accepted Exception"),"GREEN",IF(OR(G79="Not Started",G79="Failed"),"RED","AMBER"))</f>
        <v/>
      </c>
      <c r="I79" s="15">
        <f>IFERROR('[Compute.xlsx]SC-23-1'!E20,"Non commencé")</f>
        <v/>
      </c>
      <c r="J79" s="16">
        <f>IF(OR(I79="Réussi",I79="Exception acceptée"),"GREEN",IF(OR(I79="Non commencé",I79="Échec"),"RED","AMBER"))</f>
        <v/>
      </c>
      <c r="K79" s="12" t="inlineStr"/>
      <c r="L79" s="12" t="inlineStr"/>
      <c r="M79" s="17" t="inlineStr"/>
    </row>
    <row r="80" ht="18" customHeight="1">
      <c r="A80" s="18" t="inlineStr">
        <is>
          <t>SC-28</t>
        </is>
      </c>
      <c r="B80" s="19" t="inlineStr">
        <is>
          <t>Protection of Information At Rest</t>
        </is>
      </c>
      <c r="C80" s="19" t="inlineStr">
        <is>
          <t>Compute</t>
        </is>
      </c>
      <c r="D80" s="18" t="inlineStr">
        <is>
          <t>SC</t>
        </is>
      </c>
      <c r="E80" s="19" t="inlineStr">
        <is>
          <t>Compute</t>
        </is>
      </c>
      <c r="F80" s="19" t="inlineStr">
        <is>
          <t>SC-28</t>
        </is>
      </c>
      <c r="G80" s="20">
        <f>IFERROR('[Compute.xlsx]SC-28'!B20,"Not Started")</f>
        <v/>
      </c>
      <c r="H80" s="14">
        <f>IF(OR(G80="Passed",G80="Accepted Exception"),"GREEN",IF(OR(G80="Not Started",G80="Failed"),"RED","AMBER"))</f>
        <v/>
      </c>
      <c r="I80" s="21">
        <f>IFERROR('[Compute.xlsx]SC-28'!E20,"Non commencé")</f>
        <v/>
      </c>
      <c r="J80" s="16">
        <f>IF(OR(I80="Réussi",I80="Exception acceptée"),"GREEN",IF(OR(I80="Non commencé",I80="Échec"),"RED","AMBER"))</f>
        <v/>
      </c>
      <c r="K80" s="19" t="inlineStr"/>
      <c r="L80" s="19" t="inlineStr"/>
      <c r="M80" s="22" t="inlineStr"/>
    </row>
    <row r="81" ht="18" customHeight="1">
      <c r="A81" s="11" t="inlineStr">
        <is>
          <t>SC-28(1)</t>
        </is>
      </c>
      <c r="B81" s="12" t="inlineStr">
        <is>
          <t>Protection of Information At Rest</t>
        </is>
      </c>
      <c r="C81" s="12" t="inlineStr">
        <is>
          <t>Compute</t>
        </is>
      </c>
      <c r="D81" s="11" t="inlineStr">
        <is>
          <t>SC</t>
        </is>
      </c>
      <c r="E81" s="12" t="inlineStr">
        <is>
          <t>Compute</t>
        </is>
      </c>
      <c r="F81" s="12" t="inlineStr">
        <is>
          <t>SC-28-1</t>
        </is>
      </c>
      <c r="G81" s="13">
        <f>IFERROR('[Compute.xlsx]SC-28-1'!B20,"Not Started")</f>
        <v/>
      </c>
      <c r="H81" s="14">
        <f>IF(OR(G81="Passed",G81="Accepted Exception"),"GREEN",IF(OR(G81="Not Started",G81="Failed"),"RED","AMBER"))</f>
        <v/>
      </c>
      <c r="I81" s="15">
        <f>IFERROR('[Compute.xlsx]SC-28-1'!E20,"Non commencé")</f>
        <v/>
      </c>
      <c r="J81" s="16">
        <f>IF(OR(I81="Réussi",I81="Exception acceptée"),"GREEN",IF(OR(I81="Non commencé",I81="Échec"),"RED","AMBER"))</f>
        <v/>
      </c>
      <c r="K81" s="12" t="inlineStr"/>
      <c r="L81" s="12" t="inlineStr"/>
      <c r="M81" s="17" t="inlineStr"/>
    </row>
    <row r="82" ht="18" customHeight="1">
      <c r="A82" s="18" t="inlineStr">
        <is>
          <t>SC-39</t>
        </is>
      </c>
      <c r="B82" s="19" t="inlineStr">
        <is>
          <t>Process Isolation</t>
        </is>
      </c>
      <c r="C82" s="19" t="inlineStr">
        <is>
          <t>Compute</t>
        </is>
      </c>
      <c r="D82" s="18" t="inlineStr">
        <is>
          <t>SC</t>
        </is>
      </c>
      <c r="E82" s="19" t="inlineStr">
        <is>
          <t>Compute</t>
        </is>
      </c>
      <c r="F82" s="19" t="inlineStr">
        <is>
          <t>SC-39</t>
        </is>
      </c>
      <c r="G82" s="20">
        <f>IFERROR('[Compute.xlsx]SC-39'!B20,"Not Started")</f>
        <v/>
      </c>
      <c r="H82" s="14">
        <f>IF(OR(G82="Passed",G82="Accepted Exception"),"GREEN",IF(OR(G82="Not Started",G82="Failed"),"RED","AMBER"))</f>
        <v/>
      </c>
      <c r="I82" s="21">
        <f>IFERROR('[Compute.xlsx]SC-39'!E20,"Non commencé")</f>
        <v/>
      </c>
      <c r="J82" s="16">
        <f>IF(OR(I82="Réussi",I82="Exception acceptée"),"GREEN",IF(OR(I82="Non commencé",I82="Échec"),"RED","AMBER"))</f>
        <v/>
      </c>
      <c r="K82" s="19" t="inlineStr"/>
      <c r="L82" s="19" t="inlineStr"/>
      <c r="M82" s="22" t="inlineStr"/>
    </row>
    <row r="83" ht="18" customHeight="1">
      <c r="A83" s="11" t="inlineStr">
        <is>
          <t>SI-4(2)</t>
        </is>
      </c>
      <c r="B83" s="12" t="inlineStr">
        <is>
          <t>Information System Monitoring</t>
        </is>
      </c>
      <c r="C83" s="12" t="inlineStr">
        <is>
          <t>Compute</t>
        </is>
      </c>
      <c r="D83" s="11" t="inlineStr">
        <is>
          <t>SI</t>
        </is>
      </c>
      <c r="E83" s="12" t="inlineStr">
        <is>
          <t>Compute</t>
        </is>
      </c>
      <c r="F83" s="12" t="inlineStr">
        <is>
          <t>SI-4-2</t>
        </is>
      </c>
      <c r="G83" s="13">
        <f>IFERROR('[Compute.xlsx]SI-4-2'!B20,"Not Started")</f>
        <v/>
      </c>
      <c r="H83" s="14">
        <f>IF(OR(G83="Passed",G83="Accepted Exception"),"GREEN",IF(OR(G83="Not Started",G83="Failed"),"RED","AMBER"))</f>
        <v/>
      </c>
      <c r="I83" s="15">
        <f>IFERROR('[Compute.xlsx]SI-4-2'!E20,"Non commencé")</f>
        <v/>
      </c>
      <c r="J83" s="16">
        <f>IF(OR(I83="Réussi",I83="Exception acceptée"),"GREEN",IF(OR(I83="Non commencé",I83="Échec"),"RED","AMBER"))</f>
        <v/>
      </c>
      <c r="K83" s="12" t="inlineStr"/>
      <c r="L83" s="12" t="inlineStr"/>
      <c r="M83" s="17" t="inlineStr"/>
    </row>
    <row r="84" ht="18" customHeight="1">
      <c r="A84" s="18" t="inlineStr">
        <is>
          <t>SI-4(4)</t>
        </is>
      </c>
      <c r="B84" s="19" t="inlineStr">
        <is>
          <t>Information System Monitoring</t>
        </is>
      </c>
      <c r="C84" s="19" t="inlineStr">
        <is>
          <t>Compute</t>
        </is>
      </c>
      <c r="D84" s="18" t="inlineStr">
        <is>
          <t>SI</t>
        </is>
      </c>
      <c r="E84" s="19" t="inlineStr">
        <is>
          <t>Compute</t>
        </is>
      </c>
      <c r="F84" s="19" t="inlineStr">
        <is>
          <t>SI-4-4</t>
        </is>
      </c>
      <c r="G84" s="20">
        <f>IFERROR('[Compute.xlsx]SI-4-4'!B20,"Not Started")</f>
        <v/>
      </c>
      <c r="H84" s="14">
        <f>IF(OR(G84="Passed",G84="Accepted Exception"),"GREEN",IF(OR(G84="Not Started",G84="Failed"),"RED","AMBER"))</f>
        <v/>
      </c>
      <c r="I84" s="21">
        <f>IFERROR('[Compute.xlsx]SI-4-4'!E20,"Non commencé")</f>
        <v/>
      </c>
      <c r="J84" s="16">
        <f>IF(OR(I84="Réussi",I84="Exception acceptée"),"GREEN",IF(OR(I84="Non commencé",I84="Échec"),"RED","AMBER"))</f>
        <v/>
      </c>
      <c r="K84" s="19" t="inlineStr"/>
      <c r="L84" s="19" t="inlineStr"/>
      <c r="M84" s="22" t="inlineStr"/>
    </row>
    <row r="85" ht="18" customHeight="1">
      <c r="A85" s="11" t="inlineStr">
        <is>
          <t>SI-4(23)</t>
        </is>
      </c>
      <c r="B85" s="12" t="inlineStr">
        <is>
          <t>Information System Monitoring</t>
        </is>
      </c>
      <c r="C85" s="12" t="inlineStr">
        <is>
          <t>Compute</t>
        </is>
      </c>
      <c r="D85" s="11" t="inlineStr">
        <is>
          <t>SI</t>
        </is>
      </c>
      <c r="E85" s="12" t="inlineStr">
        <is>
          <t>Compute</t>
        </is>
      </c>
      <c r="F85" s="12" t="inlineStr">
        <is>
          <t>SI-4-23</t>
        </is>
      </c>
      <c r="G85" s="13">
        <f>IFERROR('[Compute.xlsx]SI-4-23'!B20,"Not Started")</f>
        <v/>
      </c>
      <c r="H85" s="14">
        <f>IF(OR(G85="Passed",G85="Accepted Exception"),"GREEN",IF(OR(G85="Not Started",G85="Failed"),"RED","AMBER"))</f>
        <v/>
      </c>
      <c r="I85" s="15">
        <f>IFERROR('[Compute.xlsx]SI-4-23'!E20,"Non commencé")</f>
        <v/>
      </c>
      <c r="J85" s="16">
        <f>IF(OR(I85="Réussi",I85="Exception acceptée"),"GREEN",IF(OR(I85="Non commencé",I85="Échec"),"RED","AMBER"))</f>
        <v/>
      </c>
      <c r="K85" s="12" t="inlineStr"/>
      <c r="L85" s="12" t="inlineStr"/>
      <c r="M85" s="17" t="inlineStr"/>
    </row>
    <row r="86" ht="18" customHeight="1">
      <c r="A86" s="18" t="inlineStr">
        <is>
          <t>SI-6</t>
        </is>
      </c>
      <c r="B86" s="19" t="inlineStr">
        <is>
          <t>Security Functional Verification</t>
        </is>
      </c>
      <c r="C86" s="19" t="inlineStr">
        <is>
          <t>Compute</t>
        </is>
      </c>
      <c r="D86" s="18" t="inlineStr">
        <is>
          <t>SI</t>
        </is>
      </c>
      <c r="E86" s="19" t="inlineStr">
        <is>
          <t>Compute</t>
        </is>
      </c>
      <c r="F86" s="19" t="inlineStr">
        <is>
          <t>SI-6</t>
        </is>
      </c>
      <c r="G86" s="20">
        <f>IFERROR('[Compute.xlsx]SI-6'!B20,"Not Started")</f>
        <v/>
      </c>
      <c r="H86" s="14">
        <f>IF(OR(G86="Passed",G86="Accepted Exception"),"GREEN",IF(OR(G86="Not Started",G86="Failed"),"RED","AMBER"))</f>
        <v/>
      </c>
      <c r="I86" s="21">
        <f>IFERROR('[Compute.xlsx]SI-6'!E20,"Non commencé")</f>
        <v/>
      </c>
      <c r="J86" s="16">
        <f>IF(OR(I86="Réussi",I86="Exception acceptée"),"GREEN",IF(OR(I86="Non commencé",I86="Échec"),"RED","AMBER"))</f>
        <v/>
      </c>
      <c r="K86" s="19" t="inlineStr"/>
      <c r="L86" s="19" t="inlineStr"/>
      <c r="M86" s="22" t="inlineStr"/>
    </row>
    <row r="87" ht="18" customHeight="1">
      <c r="A87" s="11" t="inlineStr">
        <is>
          <t>SI-7</t>
        </is>
      </c>
      <c r="B87" s="12" t="inlineStr">
        <is>
          <t>Software, Firmware, and Information Integrity</t>
        </is>
      </c>
      <c r="C87" s="12" t="inlineStr">
        <is>
          <t>Compute</t>
        </is>
      </c>
      <c r="D87" s="11" t="inlineStr">
        <is>
          <t>SI</t>
        </is>
      </c>
      <c r="E87" s="12" t="inlineStr">
        <is>
          <t>Compute</t>
        </is>
      </c>
      <c r="F87" s="12" t="inlineStr">
        <is>
          <t>SI-7</t>
        </is>
      </c>
      <c r="G87" s="13">
        <f>IFERROR('[Compute.xlsx]SI-7'!B20,"Not Started")</f>
        <v/>
      </c>
      <c r="H87" s="14">
        <f>IF(OR(G87="Passed",G87="Accepted Exception"),"GREEN",IF(OR(G87="Not Started",G87="Failed"),"RED","AMBER"))</f>
        <v/>
      </c>
      <c r="I87" s="15">
        <f>IFERROR('[Compute.xlsx]SI-7'!E20,"Non commencé")</f>
        <v/>
      </c>
      <c r="J87" s="16">
        <f>IF(OR(I87="Réussi",I87="Exception acceptée"),"GREEN",IF(OR(I87="Non commencé",I87="Échec"),"RED","AMBER"))</f>
        <v/>
      </c>
      <c r="K87" s="12" t="inlineStr"/>
      <c r="L87" s="12" t="inlineStr"/>
      <c r="M87" s="17" t="inlineStr"/>
    </row>
    <row r="88" ht="18" customHeight="1">
      <c r="A88" s="18" t="inlineStr">
        <is>
          <t>SI-7(1)</t>
        </is>
      </c>
      <c r="B88" s="19" t="inlineStr">
        <is>
          <t>Software, Firmware, and Information Integrity</t>
        </is>
      </c>
      <c r="C88" s="19" t="inlineStr">
        <is>
          <t>Compute</t>
        </is>
      </c>
      <c r="D88" s="18" t="inlineStr">
        <is>
          <t>SI</t>
        </is>
      </c>
      <c r="E88" s="19" t="inlineStr">
        <is>
          <t>Compute</t>
        </is>
      </c>
      <c r="F88" s="19" t="inlineStr">
        <is>
          <t>SI-7-1</t>
        </is>
      </c>
      <c r="G88" s="20">
        <f>IFERROR('[Compute.xlsx]SI-7-1'!B20,"Not Started")</f>
        <v/>
      </c>
      <c r="H88" s="14">
        <f>IF(OR(G88="Passed",G88="Accepted Exception"),"GREEN",IF(OR(G88="Not Started",G88="Failed"),"RED","AMBER"))</f>
        <v/>
      </c>
      <c r="I88" s="21">
        <f>IFERROR('[Compute.xlsx]SI-7-1'!E20,"Non commencé")</f>
        <v/>
      </c>
      <c r="J88" s="16">
        <f>IF(OR(I88="Réussi",I88="Exception acceptée"),"GREEN",IF(OR(I88="Non commencé",I88="Échec"),"RED","AMBER"))</f>
        <v/>
      </c>
      <c r="K88" s="19" t="inlineStr"/>
      <c r="L88" s="19" t="inlineStr"/>
      <c r="M88" s="22" t="inlineStr"/>
    </row>
    <row r="89" ht="18" customHeight="1">
      <c r="A89" s="11" t="inlineStr">
        <is>
          <t>SI-11</t>
        </is>
      </c>
      <c r="B89" s="12" t="inlineStr">
        <is>
          <t>Error Handling</t>
        </is>
      </c>
      <c r="C89" s="12" t="inlineStr">
        <is>
          <t>Compute</t>
        </is>
      </c>
      <c r="D89" s="11" t="inlineStr">
        <is>
          <t>SI</t>
        </is>
      </c>
      <c r="E89" s="12" t="inlineStr">
        <is>
          <t>Compute</t>
        </is>
      </c>
      <c r="F89" s="12" t="inlineStr">
        <is>
          <t>SI-11</t>
        </is>
      </c>
      <c r="G89" s="13">
        <f>IFERROR('[Compute.xlsx]SI-11'!B20,"Not Started")</f>
        <v/>
      </c>
      <c r="H89" s="14">
        <f>IF(OR(G89="Passed",G89="Accepted Exception"),"GREEN",IF(OR(G89="Not Started",G89="Failed"),"RED","AMBER"))</f>
        <v/>
      </c>
      <c r="I89" s="15">
        <f>IFERROR('[Compute.xlsx]SI-11'!E20,"Non commencé")</f>
        <v/>
      </c>
      <c r="J89" s="16">
        <f>IF(OR(I89="Réussi",I89="Exception acceptée"),"GREEN",IF(OR(I89="Non commencé",I89="Échec"),"RED","AMBER"))</f>
        <v/>
      </c>
      <c r="K89" s="12" t="inlineStr"/>
      <c r="L89" s="12" t="inlineStr"/>
      <c r="M89" s="17" t="inlineStr"/>
    </row>
    <row r="90" ht="18" customHeight="1">
      <c r="A90" s="18" t="inlineStr">
        <is>
          <t>SI-16</t>
        </is>
      </c>
      <c r="B90" s="19" t="inlineStr">
        <is>
          <t>Memory Protection</t>
        </is>
      </c>
      <c r="C90" s="19" t="inlineStr">
        <is>
          <t>Compute</t>
        </is>
      </c>
      <c r="D90" s="18" t="inlineStr">
        <is>
          <t>SI</t>
        </is>
      </c>
      <c r="E90" s="19" t="inlineStr">
        <is>
          <t>Compute</t>
        </is>
      </c>
      <c r="F90" s="19" t="inlineStr">
        <is>
          <t>SI-16</t>
        </is>
      </c>
      <c r="G90" s="20">
        <f>IFERROR('[Compute.xlsx]SI-16'!B20,"Not Started")</f>
        <v/>
      </c>
      <c r="H90" s="14">
        <f>IF(OR(G90="Passed",G90="Accepted Exception"),"GREEN",IF(OR(G90="Not Started",G90="Failed"),"RED","AMBER"))</f>
        <v/>
      </c>
      <c r="I90" s="21">
        <f>IFERROR('[Compute.xlsx]SI-16'!E20,"Non commencé")</f>
        <v/>
      </c>
      <c r="J90" s="16">
        <f>IF(OR(I90="Réussi",I90="Exception acceptée"),"GREEN",IF(OR(I90="Non commencé",I90="Échec"),"RED","AMBER"))</f>
        <v/>
      </c>
      <c r="K90" s="19" t="inlineStr"/>
      <c r="L90" s="19" t="inlineStr"/>
      <c r="M90" s="22" t="inlineStr"/>
    </row>
    <row r="91" ht="18" customHeight="1">
      <c r="A91" s="11" t="inlineStr">
        <is>
          <t>AC-6</t>
        </is>
      </c>
      <c r="B91" s="12" t="inlineStr">
        <is>
          <t>Least Privilege</t>
        </is>
      </c>
      <c r="C91" s="12" t="inlineStr">
        <is>
          <t>Containers</t>
        </is>
      </c>
      <c r="D91" s="11" t="inlineStr">
        <is>
          <t>AC</t>
        </is>
      </c>
      <c r="E91" s="12" t="inlineStr">
        <is>
          <t>Containers</t>
        </is>
      </c>
      <c r="F91" s="12" t="inlineStr">
        <is>
          <t>AC-6</t>
        </is>
      </c>
      <c r="G91" s="13">
        <f>IFERROR('[Containers.xlsx]AC-6'!B20,"Not Started")</f>
        <v/>
      </c>
      <c r="H91" s="14">
        <f>IF(OR(G91="Passed",G91="Accepted Exception"),"GREEN",IF(OR(G91="Not Started",G91="Failed"),"RED","AMBER"))</f>
        <v/>
      </c>
      <c r="I91" s="15">
        <f>IFERROR('[Containers.xlsx]AC-6'!E20,"Non commencé")</f>
        <v/>
      </c>
      <c r="J91" s="16">
        <f>IF(OR(I91="Réussi",I91="Exception acceptée"),"GREEN",IF(OR(I91="Non commencé",I91="Échec"),"RED","AMBER"))</f>
        <v/>
      </c>
      <c r="K91" s="12" t="inlineStr"/>
      <c r="L91" s="12" t="inlineStr"/>
      <c r="M91" s="17" t="inlineStr"/>
    </row>
    <row r="92" ht="18" customHeight="1">
      <c r="A92" s="18" t="inlineStr">
        <is>
          <t>AC-6(1)</t>
        </is>
      </c>
      <c r="B92" s="19" t="inlineStr">
        <is>
          <t>Least Privilege</t>
        </is>
      </c>
      <c r="C92" s="19" t="inlineStr">
        <is>
          <t>Containers</t>
        </is>
      </c>
      <c r="D92" s="18" t="inlineStr">
        <is>
          <t>AC</t>
        </is>
      </c>
      <c r="E92" s="19" t="inlineStr">
        <is>
          <t>Containers</t>
        </is>
      </c>
      <c r="F92" s="19" t="inlineStr">
        <is>
          <t>AC-6-1</t>
        </is>
      </c>
      <c r="G92" s="20">
        <f>IFERROR('[Containers.xlsx]AC-6-1'!B20,"Not Started")</f>
        <v/>
      </c>
      <c r="H92" s="14">
        <f>IF(OR(G92="Passed",G92="Accepted Exception"),"GREEN",IF(OR(G92="Not Started",G92="Failed"),"RED","AMBER"))</f>
        <v/>
      </c>
      <c r="I92" s="21">
        <f>IFERROR('[Containers.xlsx]AC-6-1'!E20,"Non commencé")</f>
        <v/>
      </c>
      <c r="J92" s="16">
        <f>IF(OR(I92="Réussi",I92="Exception acceptée"),"GREEN",IF(OR(I92="Non commencé",I92="Échec"),"RED","AMBER"))</f>
        <v/>
      </c>
      <c r="K92" s="19" t="inlineStr"/>
      <c r="L92" s="19" t="inlineStr"/>
      <c r="M92" s="22" t="inlineStr"/>
    </row>
    <row r="93" ht="18" customHeight="1">
      <c r="A93" s="11" t="inlineStr">
        <is>
          <t>AC-17(3)</t>
        </is>
      </c>
      <c r="B93" s="12" t="inlineStr">
        <is>
          <t>Remote Access</t>
        </is>
      </c>
      <c r="C93" s="12" t="inlineStr">
        <is>
          <t>Containers</t>
        </is>
      </c>
      <c r="D93" s="11" t="inlineStr">
        <is>
          <t>AC</t>
        </is>
      </c>
      <c r="E93" s="12" t="inlineStr">
        <is>
          <t>Containers</t>
        </is>
      </c>
      <c r="F93" s="12" t="inlineStr">
        <is>
          <t>AC-17-3</t>
        </is>
      </c>
      <c r="G93" s="13">
        <f>IFERROR('[Containers.xlsx]AC-17-3'!B20,"Not Started")</f>
        <v/>
      </c>
      <c r="H93" s="14">
        <f>IF(OR(G93="Passed",G93="Accepted Exception"),"GREEN",IF(OR(G93="Not Started",G93="Failed"),"RED","AMBER"))</f>
        <v/>
      </c>
      <c r="I93" s="15">
        <f>IFERROR('[Containers.xlsx]AC-17-3'!E20,"Non commencé")</f>
        <v/>
      </c>
      <c r="J93" s="16">
        <f>IF(OR(I93="Réussi",I93="Exception acceptée"),"GREEN",IF(OR(I93="Non commencé",I93="Échec"),"RED","AMBER"))</f>
        <v/>
      </c>
      <c r="K93" s="12" t="inlineStr"/>
      <c r="L93" s="12" t="inlineStr"/>
      <c r="M93" s="17" t="inlineStr"/>
    </row>
    <row r="94" ht="18" customHeight="1">
      <c r="A94" s="18" t="inlineStr">
        <is>
          <t>AU-2</t>
        </is>
      </c>
      <c r="B94" s="19" t="inlineStr">
        <is>
          <t>Auditable Events</t>
        </is>
      </c>
      <c r="C94" s="19" t="inlineStr">
        <is>
          <t>Containers</t>
        </is>
      </c>
      <c r="D94" s="18" t="inlineStr">
        <is>
          <t>AU</t>
        </is>
      </c>
      <c r="E94" s="19" t="inlineStr">
        <is>
          <t>Containers</t>
        </is>
      </c>
      <c r="F94" s="19" t="inlineStr">
        <is>
          <t>AU-2</t>
        </is>
      </c>
      <c r="G94" s="20">
        <f>IFERROR('[Containers.xlsx]AU-2'!B20,"Not Started")</f>
        <v/>
      </c>
      <c r="H94" s="14">
        <f>IF(OR(G94="Passed",G94="Accepted Exception"),"GREEN",IF(OR(G94="Not Started",G94="Failed"),"RED","AMBER"))</f>
        <v/>
      </c>
      <c r="I94" s="21">
        <f>IFERROR('[Containers.xlsx]AU-2'!E20,"Non commencé")</f>
        <v/>
      </c>
      <c r="J94" s="16">
        <f>IF(OR(I94="Réussi",I94="Exception acceptée"),"GREEN",IF(OR(I94="Non commencé",I94="Échec"),"RED","AMBER"))</f>
        <v/>
      </c>
      <c r="K94" s="19" t="inlineStr"/>
      <c r="L94" s="19" t="inlineStr"/>
      <c r="M94" s="22" t="inlineStr"/>
    </row>
    <row r="95" ht="18" customHeight="1">
      <c r="A95" s="11" t="inlineStr">
        <is>
          <t>AU-3</t>
        </is>
      </c>
      <c r="B95" s="12" t="inlineStr">
        <is>
          <t>Content of Audit Records</t>
        </is>
      </c>
      <c r="C95" s="12" t="inlineStr">
        <is>
          <t>Containers</t>
        </is>
      </c>
      <c r="D95" s="11" t="inlineStr">
        <is>
          <t>AU</t>
        </is>
      </c>
      <c r="E95" s="12" t="inlineStr">
        <is>
          <t>Containers</t>
        </is>
      </c>
      <c r="F95" s="12" t="inlineStr">
        <is>
          <t>AU-3</t>
        </is>
      </c>
      <c r="G95" s="13">
        <f>IFERROR('[Containers.xlsx]AU-3'!B20,"Not Started")</f>
        <v/>
      </c>
      <c r="H95" s="14">
        <f>IF(OR(G95="Passed",G95="Accepted Exception"),"GREEN",IF(OR(G95="Not Started",G95="Failed"),"RED","AMBER"))</f>
        <v/>
      </c>
      <c r="I95" s="15">
        <f>IFERROR('[Containers.xlsx]AU-3'!E20,"Non commencé")</f>
        <v/>
      </c>
      <c r="J95" s="16">
        <f>IF(OR(I95="Réussi",I95="Exception acceptée"),"GREEN",IF(OR(I95="Non commencé",I95="Échec"),"RED","AMBER"))</f>
        <v/>
      </c>
      <c r="K95" s="12" t="inlineStr"/>
      <c r="L95" s="12" t="inlineStr"/>
      <c r="M95" s="17" t="inlineStr"/>
    </row>
    <row r="96" ht="18" customHeight="1">
      <c r="A96" s="18" t="inlineStr">
        <is>
          <t>AU-3(1)</t>
        </is>
      </c>
      <c r="B96" s="19" t="inlineStr">
        <is>
          <t>Content of Audit Records</t>
        </is>
      </c>
      <c r="C96" s="19" t="inlineStr">
        <is>
          <t>Containers</t>
        </is>
      </c>
      <c r="D96" s="18" t="inlineStr">
        <is>
          <t>AU</t>
        </is>
      </c>
      <c r="E96" s="19" t="inlineStr">
        <is>
          <t>Containers</t>
        </is>
      </c>
      <c r="F96" s="19" t="inlineStr">
        <is>
          <t>AU-3-1</t>
        </is>
      </c>
      <c r="G96" s="20">
        <f>IFERROR('[Containers.xlsx]AU-3-1'!B20,"Not Started")</f>
        <v/>
      </c>
      <c r="H96" s="14">
        <f>IF(OR(G96="Passed",G96="Accepted Exception"),"GREEN",IF(OR(G96="Not Started",G96="Failed"),"RED","AMBER"))</f>
        <v/>
      </c>
      <c r="I96" s="21">
        <f>IFERROR('[Containers.xlsx]AU-3-1'!E20,"Non commencé")</f>
        <v/>
      </c>
      <c r="J96" s="16">
        <f>IF(OR(I96="Réussi",I96="Exception acceptée"),"GREEN",IF(OR(I96="Non commencé",I96="Échec"),"RED","AMBER"))</f>
        <v/>
      </c>
      <c r="K96" s="19" t="inlineStr"/>
      <c r="L96" s="19" t="inlineStr"/>
      <c r="M96" s="22" t="inlineStr"/>
    </row>
    <row r="97" ht="18" customHeight="1">
      <c r="A97" s="11" t="inlineStr">
        <is>
          <t>AU-9(2)</t>
        </is>
      </c>
      <c r="B97" s="12" t="inlineStr">
        <is>
          <t>Protection of Audit Information</t>
        </is>
      </c>
      <c r="C97" s="12" t="inlineStr">
        <is>
          <t>Containers</t>
        </is>
      </c>
      <c r="D97" s="11" t="inlineStr">
        <is>
          <t>AU</t>
        </is>
      </c>
      <c r="E97" s="12" t="inlineStr">
        <is>
          <t>Containers</t>
        </is>
      </c>
      <c r="F97" s="12" t="inlineStr">
        <is>
          <t>AU-9-2</t>
        </is>
      </c>
      <c r="G97" s="13">
        <f>IFERROR('[Containers.xlsx]AU-9-2'!B20,"Not Started")</f>
        <v/>
      </c>
      <c r="H97" s="14">
        <f>IF(OR(G97="Passed",G97="Accepted Exception"),"GREEN",IF(OR(G97="Not Started",G97="Failed"),"RED","AMBER"))</f>
        <v/>
      </c>
      <c r="I97" s="15">
        <f>IFERROR('[Containers.xlsx]AU-9-2'!E20,"Non commencé")</f>
        <v/>
      </c>
      <c r="J97" s="16">
        <f>IF(OR(I97="Réussi",I97="Exception acceptée"),"GREEN",IF(OR(I97="Non commencé",I97="Échec"),"RED","AMBER"))</f>
        <v/>
      </c>
      <c r="K97" s="12" t="inlineStr"/>
      <c r="L97" s="12" t="inlineStr"/>
      <c r="M97" s="17" t="inlineStr"/>
    </row>
    <row r="98" ht="18" customHeight="1">
      <c r="A98" s="18" t="inlineStr">
        <is>
          <t>AU-12</t>
        </is>
      </c>
      <c r="B98" s="19" t="inlineStr">
        <is>
          <t>Audit Generation</t>
        </is>
      </c>
      <c r="C98" s="19" t="inlineStr">
        <is>
          <t>Containers</t>
        </is>
      </c>
      <c r="D98" s="18" t="inlineStr">
        <is>
          <t>AU</t>
        </is>
      </c>
      <c r="E98" s="19" t="inlineStr">
        <is>
          <t>Containers</t>
        </is>
      </c>
      <c r="F98" s="19" t="inlineStr">
        <is>
          <t>AU-12</t>
        </is>
      </c>
      <c r="G98" s="20">
        <f>IFERROR('[Containers.xlsx]AU-12'!B20,"Not Started")</f>
        <v/>
      </c>
      <c r="H98" s="14">
        <f>IF(OR(G98="Passed",G98="Accepted Exception"),"GREEN",IF(OR(G98="Not Started",G98="Failed"),"RED","AMBER"))</f>
        <v/>
      </c>
      <c r="I98" s="21">
        <f>IFERROR('[Containers.xlsx]AU-12'!E20,"Non commencé")</f>
        <v/>
      </c>
      <c r="J98" s="16">
        <f>IF(OR(I98="Réussi",I98="Exception acceptée"),"GREEN",IF(OR(I98="Non commencé",I98="Échec"),"RED","AMBER"))</f>
        <v/>
      </c>
      <c r="K98" s="19" t="inlineStr"/>
      <c r="L98" s="19" t="inlineStr"/>
      <c r="M98" s="22" t="inlineStr"/>
    </row>
    <row r="99" ht="18" customHeight="1">
      <c r="A99" s="11" t="inlineStr">
        <is>
          <t>CA-3(5)</t>
        </is>
      </c>
      <c r="B99" s="12" t="inlineStr">
        <is>
          <t>Information System Connections</t>
        </is>
      </c>
      <c r="C99" s="12" t="inlineStr">
        <is>
          <t>Containers</t>
        </is>
      </c>
      <c r="D99" s="11" t="inlineStr">
        <is>
          <t>CA</t>
        </is>
      </c>
      <c r="E99" s="12" t="inlineStr">
        <is>
          <t>Containers</t>
        </is>
      </c>
      <c r="F99" s="12" t="inlineStr">
        <is>
          <t>CA-3-5</t>
        </is>
      </c>
      <c r="G99" s="13">
        <f>IFERROR('[Containers.xlsx]CA-3-5'!B20,"Not Started")</f>
        <v/>
      </c>
      <c r="H99" s="14">
        <f>IF(OR(G99="Passed",G99="Accepted Exception"),"GREEN",IF(OR(G99="Not Started",G99="Failed"),"RED","AMBER"))</f>
        <v/>
      </c>
      <c r="I99" s="15">
        <f>IFERROR('[Containers.xlsx]CA-3-5'!E20,"Non commencé")</f>
        <v/>
      </c>
      <c r="J99" s="16">
        <f>IF(OR(I99="Réussi",I99="Exception acceptée"),"GREEN",IF(OR(I99="Non commencé",I99="Échec"),"RED","AMBER"))</f>
        <v/>
      </c>
      <c r="K99" s="12" t="inlineStr"/>
      <c r="L99" s="12" t="inlineStr"/>
      <c r="M99" s="17" t="inlineStr"/>
    </row>
    <row r="100" ht="18" customHeight="1">
      <c r="A100" s="18" t="inlineStr">
        <is>
          <t>CA-9</t>
        </is>
      </c>
      <c r="B100" s="19" t="inlineStr">
        <is>
          <t>Internal System Connections</t>
        </is>
      </c>
      <c r="C100" s="19" t="inlineStr">
        <is>
          <t>Containers</t>
        </is>
      </c>
      <c r="D100" s="18" t="inlineStr">
        <is>
          <t>CA</t>
        </is>
      </c>
      <c r="E100" s="19" t="inlineStr">
        <is>
          <t>Containers</t>
        </is>
      </c>
      <c r="F100" s="19" t="inlineStr">
        <is>
          <t>CA-9</t>
        </is>
      </c>
      <c r="G100" s="20">
        <f>IFERROR('[Containers.xlsx]CA-9'!B20,"Not Started")</f>
        <v/>
      </c>
      <c r="H100" s="14">
        <f>IF(OR(G100="Passed",G100="Accepted Exception"),"GREEN",IF(OR(G100="Not Started",G100="Failed"),"RED","AMBER"))</f>
        <v/>
      </c>
      <c r="I100" s="21">
        <f>IFERROR('[Containers.xlsx]CA-9'!E20,"Non commencé")</f>
        <v/>
      </c>
      <c r="J100" s="16">
        <f>IF(OR(I100="Réussi",I100="Exception acceptée"),"GREEN",IF(OR(I100="Non commencé",I100="Échec"),"RED","AMBER"))</f>
        <v/>
      </c>
      <c r="K100" s="19" t="inlineStr"/>
      <c r="L100" s="19" t="inlineStr"/>
      <c r="M100" s="22" t="inlineStr"/>
    </row>
    <row r="101" ht="18" customHeight="1">
      <c r="A101" s="11" t="inlineStr">
        <is>
          <t>CM-2(3)</t>
        </is>
      </c>
      <c r="B101" s="12" t="inlineStr">
        <is>
          <t>Baseline Configuration</t>
        </is>
      </c>
      <c r="C101" s="12" t="inlineStr">
        <is>
          <t>Containers</t>
        </is>
      </c>
      <c r="D101" s="11" t="inlineStr">
        <is>
          <t>CM</t>
        </is>
      </c>
      <c r="E101" s="12" t="inlineStr">
        <is>
          <t>Containers</t>
        </is>
      </c>
      <c r="F101" s="12" t="inlineStr">
        <is>
          <t>CM-2-3</t>
        </is>
      </c>
      <c r="G101" s="13">
        <f>IFERROR('[Containers.xlsx]CM-2-3'!B20,"Not Started")</f>
        <v/>
      </c>
      <c r="H101" s="14">
        <f>IF(OR(G101="Passed",G101="Accepted Exception"),"GREEN",IF(OR(G101="Not Started",G101="Failed"),"RED","AMBER"))</f>
        <v/>
      </c>
      <c r="I101" s="15">
        <f>IFERROR('[Containers.xlsx]CM-2-3'!E20,"Non commencé")</f>
        <v/>
      </c>
      <c r="J101" s="16">
        <f>IF(OR(I101="Réussi",I101="Exception acceptée"),"GREEN",IF(OR(I101="Non commencé",I101="Échec"),"RED","AMBER"))</f>
        <v/>
      </c>
      <c r="K101" s="12" t="inlineStr"/>
      <c r="L101" s="12" t="inlineStr"/>
      <c r="M101" s="17" t="inlineStr"/>
    </row>
    <row r="102" ht="18" customHeight="1">
      <c r="A102" s="18" t="inlineStr">
        <is>
          <t>CM-5(6)</t>
        </is>
      </c>
      <c r="B102" s="19" t="inlineStr">
        <is>
          <t>Access Restrictions for Change</t>
        </is>
      </c>
      <c r="C102" s="19" t="inlineStr">
        <is>
          <t>Containers</t>
        </is>
      </c>
      <c r="D102" s="18" t="inlineStr">
        <is>
          <t>CM</t>
        </is>
      </c>
      <c r="E102" s="19" t="inlineStr">
        <is>
          <t>Containers</t>
        </is>
      </c>
      <c r="F102" s="19" t="inlineStr">
        <is>
          <t>CM-5-6</t>
        </is>
      </c>
      <c r="G102" s="20">
        <f>IFERROR('[Containers.xlsx]CM-5-6'!B20,"Not Started")</f>
        <v/>
      </c>
      <c r="H102" s="14">
        <f>IF(OR(G102="Passed",G102="Accepted Exception"),"GREEN",IF(OR(G102="Not Started",G102="Failed"),"RED","AMBER"))</f>
        <v/>
      </c>
      <c r="I102" s="21">
        <f>IFERROR('[Containers.xlsx]CM-5-6'!E20,"Non commencé")</f>
        <v/>
      </c>
      <c r="J102" s="16">
        <f>IF(OR(I102="Réussi",I102="Exception acceptée"),"GREEN",IF(OR(I102="Non commencé",I102="Échec"),"RED","AMBER"))</f>
        <v/>
      </c>
      <c r="K102" s="19" t="inlineStr"/>
      <c r="L102" s="19" t="inlineStr"/>
      <c r="M102" s="22" t="inlineStr"/>
    </row>
    <row r="103" ht="18" customHeight="1">
      <c r="A103" s="11" t="inlineStr">
        <is>
          <t>CM-6</t>
        </is>
      </c>
      <c r="B103" s="12" t="inlineStr">
        <is>
          <t>Configuration Settings</t>
        </is>
      </c>
      <c r="C103" s="12" t="inlineStr">
        <is>
          <t>Containers</t>
        </is>
      </c>
      <c r="D103" s="11" t="inlineStr">
        <is>
          <t>CM</t>
        </is>
      </c>
      <c r="E103" s="12" t="inlineStr">
        <is>
          <t>Containers</t>
        </is>
      </c>
      <c r="F103" s="12" t="inlineStr">
        <is>
          <t>CM-6</t>
        </is>
      </c>
      <c r="G103" s="13">
        <f>IFERROR('[Containers.xlsx]CM-6'!B20,"Not Started")</f>
        <v/>
      </c>
      <c r="H103" s="14">
        <f>IF(OR(G103="Passed",G103="Accepted Exception"),"GREEN",IF(OR(G103="Not Started",G103="Failed"),"RED","AMBER"))</f>
        <v/>
      </c>
      <c r="I103" s="15">
        <f>IFERROR('[Containers.xlsx]CM-6'!E20,"Non commencé")</f>
        <v/>
      </c>
      <c r="J103" s="16">
        <f>IF(OR(I103="Réussi",I103="Exception acceptée"),"GREEN",IF(OR(I103="Non commencé",I103="Échec"),"RED","AMBER"))</f>
        <v/>
      </c>
      <c r="K103" s="12" t="inlineStr"/>
      <c r="L103" s="12" t="inlineStr"/>
      <c r="M103" s="17" t="inlineStr"/>
    </row>
    <row r="104" ht="18" customHeight="1">
      <c r="A104" s="18" t="inlineStr">
        <is>
          <t>CM-7</t>
        </is>
      </c>
      <c r="B104" s="19" t="inlineStr">
        <is>
          <t>Least Functionality</t>
        </is>
      </c>
      <c r="C104" s="19" t="inlineStr">
        <is>
          <t>Containers</t>
        </is>
      </c>
      <c r="D104" s="18" t="inlineStr">
        <is>
          <t>CM</t>
        </is>
      </c>
      <c r="E104" s="19" t="inlineStr">
        <is>
          <t>Containers</t>
        </is>
      </c>
      <c r="F104" s="19" t="inlineStr">
        <is>
          <t>CM-7</t>
        </is>
      </c>
      <c r="G104" s="20">
        <f>IFERROR('[Containers.xlsx]CM-7'!B20,"Not Started")</f>
        <v/>
      </c>
      <c r="H104" s="14">
        <f>IF(OR(G104="Passed",G104="Accepted Exception"),"GREEN",IF(OR(G104="Not Started",G104="Failed"),"RED","AMBER"))</f>
        <v/>
      </c>
      <c r="I104" s="21">
        <f>IFERROR('[Containers.xlsx]CM-7'!E20,"Non commencé")</f>
        <v/>
      </c>
      <c r="J104" s="16">
        <f>IF(OR(I104="Réussi",I104="Exception acceptée"),"GREEN",IF(OR(I104="Non commencé",I104="Échec"),"RED","AMBER"))</f>
        <v/>
      </c>
      <c r="K104" s="19" t="inlineStr"/>
      <c r="L104" s="19" t="inlineStr"/>
      <c r="M104" s="22" t="inlineStr"/>
    </row>
    <row r="105" ht="18" customHeight="1">
      <c r="A105" s="11" t="inlineStr">
        <is>
          <t>CM-7(1)</t>
        </is>
      </c>
      <c r="B105" s="12" t="inlineStr">
        <is>
          <t>Least Functionality</t>
        </is>
      </c>
      <c r="C105" s="12" t="inlineStr">
        <is>
          <t>Containers</t>
        </is>
      </c>
      <c r="D105" s="11" t="inlineStr">
        <is>
          <t>CM</t>
        </is>
      </c>
      <c r="E105" s="12" t="inlineStr">
        <is>
          <t>Containers</t>
        </is>
      </c>
      <c r="F105" s="12" t="inlineStr">
        <is>
          <t>CM-7-1</t>
        </is>
      </c>
      <c r="G105" s="13">
        <f>IFERROR('[Containers.xlsx]CM-7-1'!B20,"Not Started")</f>
        <v/>
      </c>
      <c r="H105" s="14">
        <f>IF(OR(G105="Passed",G105="Accepted Exception"),"GREEN",IF(OR(G105="Not Started",G105="Failed"),"RED","AMBER"))</f>
        <v/>
      </c>
      <c r="I105" s="15">
        <f>IFERROR('[Containers.xlsx]CM-7-1'!E20,"Non commencé")</f>
        <v/>
      </c>
      <c r="J105" s="16">
        <f>IF(OR(I105="Réussi",I105="Exception acceptée"),"GREEN",IF(OR(I105="Non commencé",I105="Échec"),"RED","AMBER"))</f>
        <v/>
      </c>
      <c r="K105" s="12" t="inlineStr"/>
      <c r="L105" s="12" t="inlineStr"/>
      <c r="M105" s="17" t="inlineStr"/>
    </row>
    <row r="106" ht="18" customHeight="1">
      <c r="A106" s="18" t="inlineStr">
        <is>
          <t>CM-7(5)</t>
        </is>
      </c>
      <c r="B106" s="19" t="inlineStr">
        <is>
          <t>Least Functionality</t>
        </is>
      </c>
      <c r="C106" s="19" t="inlineStr">
        <is>
          <t>Containers</t>
        </is>
      </c>
      <c r="D106" s="18" t="inlineStr">
        <is>
          <t>CM</t>
        </is>
      </c>
      <c r="E106" s="19" t="inlineStr">
        <is>
          <t>Containers</t>
        </is>
      </c>
      <c r="F106" s="19" t="inlineStr">
        <is>
          <t>CM-7-5</t>
        </is>
      </c>
      <c r="G106" s="20">
        <f>IFERROR('[Containers.xlsx]CM-7-5'!B20,"Not Started")</f>
        <v/>
      </c>
      <c r="H106" s="14">
        <f>IF(OR(G106="Passed",G106="Accepted Exception"),"GREEN",IF(OR(G106="Not Started",G106="Failed"),"RED","AMBER"))</f>
        <v/>
      </c>
      <c r="I106" s="21">
        <f>IFERROR('[Containers.xlsx]CM-7-5'!E20,"Non commencé")</f>
        <v/>
      </c>
      <c r="J106" s="16">
        <f>IF(OR(I106="Réussi",I106="Exception acceptée"),"GREEN",IF(OR(I106="Non commencé",I106="Échec"),"RED","AMBER"))</f>
        <v/>
      </c>
      <c r="K106" s="19" t="inlineStr"/>
      <c r="L106" s="19" t="inlineStr"/>
      <c r="M106" s="22" t="inlineStr"/>
    </row>
    <row r="107" ht="18" customHeight="1">
      <c r="A107" s="11" t="inlineStr">
        <is>
          <t>CM-11</t>
        </is>
      </c>
      <c r="B107" s="12" t="inlineStr">
        <is>
          <t>User Installed Software</t>
        </is>
      </c>
      <c r="C107" s="12" t="inlineStr">
        <is>
          <t>Containers</t>
        </is>
      </c>
      <c r="D107" s="11" t="inlineStr">
        <is>
          <t>CM</t>
        </is>
      </c>
      <c r="E107" s="12" t="inlineStr">
        <is>
          <t>Containers</t>
        </is>
      </c>
      <c r="F107" s="12" t="inlineStr">
        <is>
          <t>CM-11</t>
        </is>
      </c>
      <c r="G107" s="13">
        <f>IFERROR('[Containers.xlsx]CM-11'!B20,"Not Started")</f>
        <v/>
      </c>
      <c r="H107" s="14">
        <f>IF(OR(G107="Passed",G107="Accepted Exception"),"GREEN",IF(OR(G107="Not Started",G107="Failed"),"RED","AMBER"))</f>
        <v/>
      </c>
      <c r="I107" s="15">
        <f>IFERROR('[Containers.xlsx]CM-11'!E20,"Non commencé")</f>
        <v/>
      </c>
      <c r="J107" s="16">
        <f>IF(OR(I107="Réussi",I107="Exception acceptée"),"GREEN",IF(OR(I107="Non commencé",I107="Échec"),"RED","AMBER"))</f>
        <v/>
      </c>
      <c r="K107" s="12" t="inlineStr"/>
      <c r="L107" s="12" t="inlineStr"/>
      <c r="M107" s="17" t="inlineStr"/>
    </row>
    <row r="108" ht="18" customHeight="1">
      <c r="A108" s="18" t="inlineStr">
        <is>
          <t>CP-6</t>
        </is>
      </c>
      <c r="B108" s="19" t="inlineStr">
        <is>
          <t>Alternate Storage Site</t>
        </is>
      </c>
      <c r="C108" s="19" t="inlineStr">
        <is>
          <t>Containers</t>
        </is>
      </c>
      <c r="D108" s="18" t="inlineStr">
        <is>
          <t>CP</t>
        </is>
      </c>
      <c r="E108" s="19" t="inlineStr">
        <is>
          <t>Containers</t>
        </is>
      </c>
      <c r="F108" s="19" t="inlineStr">
        <is>
          <t>CP-6</t>
        </is>
      </c>
      <c r="G108" s="20">
        <f>IFERROR('[Containers.xlsx]CP-6'!B20,"Not Started")</f>
        <v/>
      </c>
      <c r="H108" s="14">
        <f>IF(OR(G108="Passed",G108="Accepted Exception"),"GREEN",IF(OR(G108="Not Started",G108="Failed"),"RED","AMBER"))</f>
        <v/>
      </c>
      <c r="I108" s="21">
        <f>IFERROR('[Containers.xlsx]CP-6'!E20,"Non commencé")</f>
        <v/>
      </c>
      <c r="J108" s="16">
        <f>IF(OR(I108="Réussi",I108="Exception acceptée"),"GREEN",IF(OR(I108="Non commencé",I108="Échec"),"RED","AMBER"))</f>
        <v/>
      </c>
      <c r="K108" s="19" t="inlineStr"/>
      <c r="L108" s="19" t="inlineStr"/>
      <c r="M108" s="22" t="inlineStr"/>
    </row>
    <row r="109" ht="18" customHeight="1">
      <c r="A109" s="11" t="inlineStr">
        <is>
          <t>CP-6(2)</t>
        </is>
      </c>
      <c r="B109" s="12" t="inlineStr">
        <is>
          <t>Alternate Storage Site</t>
        </is>
      </c>
      <c r="C109" s="12" t="inlineStr">
        <is>
          <t>Containers</t>
        </is>
      </c>
      <c r="D109" s="11" t="inlineStr">
        <is>
          <t>CP</t>
        </is>
      </c>
      <c r="E109" s="12" t="inlineStr">
        <is>
          <t>Containers</t>
        </is>
      </c>
      <c r="F109" s="12" t="inlineStr">
        <is>
          <t>CP-6-2</t>
        </is>
      </c>
      <c r="G109" s="13">
        <f>IFERROR('[Containers.xlsx]CP-6-2'!B20,"Not Started")</f>
        <v/>
      </c>
      <c r="H109" s="14">
        <f>IF(OR(G109="Passed",G109="Accepted Exception"),"GREEN",IF(OR(G109="Not Started",G109="Failed"),"RED","AMBER"))</f>
        <v/>
      </c>
      <c r="I109" s="15">
        <f>IFERROR('[Containers.xlsx]CP-6-2'!E20,"Non commencé")</f>
        <v/>
      </c>
      <c r="J109" s="16">
        <f>IF(OR(I109="Réussi",I109="Exception acceptée"),"GREEN",IF(OR(I109="Non commencé",I109="Échec"),"RED","AMBER"))</f>
        <v/>
      </c>
      <c r="K109" s="12" t="inlineStr"/>
      <c r="L109" s="12" t="inlineStr"/>
      <c r="M109" s="17" t="inlineStr"/>
    </row>
    <row r="110" ht="18" customHeight="1">
      <c r="A110" s="18" t="inlineStr">
        <is>
          <t>CP-7</t>
        </is>
      </c>
      <c r="B110" s="19" t="inlineStr">
        <is>
          <t>Alternate Processing Site</t>
        </is>
      </c>
      <c r="C110" s="19" t="inlineStr">
        <is>
          <t>Containers</t>
        </is>
      </c>
      <c r="D110" s="18" t="inlineStr">
        <is>
          <t>CP</t>
        </is>
      </c>
      <c r="E110" s="19" t="inlineStr">
        <is>
          <t>Containers</t>
        </is>
      </c>
      <c r="F110" s="19" t="inlineStr">
        <is>
          <t>CP-7</t>
        </is>
      </c>
      <c r="G110" s="20">
        <f>IFERROR('[Containers.xlsx]CP-7'!B20,"Not Started")</f>
        <v/>
      </c>
      <c r="H110" s="14">
        <f>IF(OR(G110="Passed",G110="Accepted Exception"),"GREEN",IF(OR(G110="Not Started",G110="Failed"),"RED","AMBER"))</f>
        <v/>
      </c>
      <c r="I110" s="21">
        <f>IFERROR('[Containers.xlsx]CP-7'!E20,"Non commencé")</f>
        <v/>
      </c>
      <c r="J110" s="16">
        <f>IF(OR(I110="Réussi",I110="Exception acceptée"),"GREEN",IF(OR(I110="Non commencé",I110="Échec"),"RED","AMBER"))</f>
        <v/>
      </c>
      <c r="K110" s="19" t="inlineStr"/>
      <c r="L110" s="19" t="inlineStr"/>
      <c r="M110" s="22" t="inlineStr"/>
    </row>
    <row r="111" ht="18" customHeight="1">
      <c r="A111" s="11" t="inlineStr">
        <is>
          <t>CP-7(4)</t>
        </is>
      </c>
      <c r="B111" s="12" t="inlineStr">
        <is>
          <t>Alternate Processing Site</t>
        </is>
      </c>
      <c r="C111" s="12" t="inlineStr">
        <is>
          <t>Containers</t>
        </is>
      </c>
      <c r="D111" s="11" t="inlineStr">
        <is>
          <t>CP</t>
        </is>
      </c>
      <c r="E111" s="12" t="inlineStr">
        <is>
          <t>Containers</t>
        </is>
      </c>
      <c r="F111" s="12" t="inlineStr">
        <is>
          <t>CP-7-4</t>
        </is>
      </c>
      <c r="G111" s="13">
        <f>IFERROR('[Containers.xlsx]CP-7-4'!B20,"Not Started")</f>
        <v/>
      </c>
      <c r="H111" s="14">
        <f>IF(OR(G111="Passed",G111="Accepted Exception"),"GREEN",IF(OR(G111="Not Started",G111="Failed"),"RED","AMBER"))</f>
        <v/>
      </c>
      <c r="I111" s="15">
        <f>IFERROR('[Containers.xlsx]CP-7-4'!E20,"Non commencé")</f>
        <v/>
      </c>
      <c r="J111" s="16">
        <f>IF(OR(I111="Réussi",I111="Exception acceptée"),"GREEN",IF(OR(I111="Non commencé",I111="Échec"),"RED","AMBER"))</f>
        <v/>
      </c>
      <c r="K111" s="12" t="inlineStr"/>
      <c r="L111" s="12" t="inlineStr"/>
      <c r="M111" s="17" t="inlineStr"/>
    </row>
    <row r="112" ht="18" customHeight="1">
      <c r="A112" s="18" t="inlineStr">
        <is>
          <t>CP-9</t>
        </is>
      </c>
      <c r="B112" s="19" t="inlineStr">
        <is>
          <t>Information System Backup</t>
        </is>
      </c>
      <c r="C112" s="19" t="inlineStr">
        <is>
          <t>Containers</t>
        </is>
      </c>
      <c r="D112" s="18" t="inlineStr">
        <is>
          <t>CP</t>
        </is>
      </c>
      <c r="E112" s="19" t="inlineStr">
        <is>
          <t>Containers</t>
        </is>
      </c>
      <c r="F112" s="19" t="inlineStr">
        <is>
          <t>CP-9</t>
        </is>
      </c>
      <c r="G112" s="20">
        <f>IFERROR('[Containers.xlsx]CP-9'!B20,"Not Started")</f>
        <v/>
      </c>
      <c r="H112" s="14">
        <f>IF(OR(G112="Passed",G112="Accepted Exception"),"GREEN",IF(OR(G112="Not Started",G112="Failed"),"RED","AMBER"))</f>
        <v/>
      </c>
      <c r="I112" s="21">
        <f>IFERROR('[Containers.xlsx]CP-9'!E20,"Non commencé")</f>
        <v/>
      </c>
      <c r="J112" s="16">
        <f>IF(OR(I112="Réussi",I112="Exception acceptée"),"GREEN",IF(OR(I112="Non commencé",I112="Échec"),"RED","AMBER"))</f>
        <v/>
      </c>
      <c r="K112" s="19" t="inlineStr"/>
      <c r="L112" s="19" t="inlineStr"/>
      <c r="M112" s="22" t="inlineStr"/>
    </row>
    <row r="113" ht="18" customHeight="1">
      <c r="A113" s="11" t="inlineStr">
        <is>
          <t>CP-9(1)</t>
        </is>
      </c>
      <c r="B113" s="12" t="inlineStr">
        <is>
          <t>Information System Backup</t>
        </is>
      </c>
      <c r="C113" s="12" t="inlineStr">
        <is>
          <t>Containers</t>
        </is>
      </c>
      <c r="D113" s="11" t="inlineStr">
        <is>
          <t>CP</t>
        </is>
      </c>
      <c r="E113" s="12" t="inlineStr">
        <is>
          <t>Containers</t>
        </is>
      </c>
      <c r="F113" s="12" t="inlineStr">
        <is>
          <t>CP-9-1</t>
        </is>
      </c>
      <c r="G113" s="13">
        <f>IFERROR('[Containers.xlsx]CP-9-1'!B20,"Not Started")</f>
        <v/>
      </c>
      <c r="H113" s="14">
        <f>IF(OR(G113="Passed",G113="Accepted Exception"),"GREEN",IF(OR(G113="Not Started",G113="Failed"),"RED","AMBER"))</f>
        <v/>
      </c>
      <c r="I113" s="15">
        <f>IFERROR('[Containers.xlsx]CP-9-1'!E20,"Non commencé")</f>
        <v/>
      </c>
      <c r="J113" s="16">
        <f>IF(OR(I113="Réussi",I113="Exception acceptée"),"GREEN",IF(OR(I113="Non commencé",I113="Échec"),"RED","AMBER"))</f>
        <v/>
      </c>
      <c r="K113" s="12" t="inlineStr"/>
      <c r="L113" s="12" t="inlineStr"/>
      <c r="M113" s="17" t="inlineStr"/>
    </row>
    <row r="114" ht="18" customHeight="1">
      <c r="A114" s="18" t="inlineStr">
        <is>
          <t>CP-9(2)</t>
        </is>
      </c>
      <c r="B114" s="19" t="inlineStr">
        <is>
          <t>Information System Backup</t>
        </is>
      </c>
      <c r="C114" s="19" t="inlineStr">
        <is>
          <t>Containers</t>
        </is>
      </c>
      <c r="D114" s="18" t="inlineStr">
        <is>
          <t>CP</t>
        </is>
      </c>
      <c r="E114" s="19" t="inlineStr">
        <is>
          <t>Containers</t>
        </is>
      </c>
      <c r="F114" s="19" t="inlineStr">
        <is>
          <t>CP-9-2</t>
        </is>
      </c>
      <c r="G114" s="20">
        <f>IFERROR('[Containers.xlsx]CP-9-2'!B20,"Not Started")</f>
        <v/>
      </c>
      <c r="H114" s="14">
        <f>IF(OR(G114="Passed",G114="Accepted Exception"),"GREEN",IF(OR(G114="Not Started",G114="Failed"),"RED","AMBER"))</f>
        <v/>
      </c>
      <c r="I114" s="21">
        <f>IFERROR('[Containers.xlsx]CP-9-2'!E20,"Non commencé")</f>
        <v/>
      </c>
      <c r="J114" s="16">
        <f>IF(OR(I114="Réussi",I114="Exception acceptée"),"GREEN",IF(OR(I114="Non commencé",I114="Échec"),"RED","AMBER"))</f>
        <v/>
      </c>
      <c r="K114" s="19" t="inlineStr"/>
      <c r="L114" s="19" t="inlineStr"/>
      <c r="M114" s="22" t="inlineStr"/>
    </row>
    <row r="115" ht="18" customHeight="1">
      <c r="A115" s="11" t="inlineStr">
        <is>
          <t>CP-9(5)</t>
        </is>
      </c>
      <c r="B115" s="12" t="inlineStr">
        <is>
          <t>Information System Backup</t>
        </is>
      </c>
      <c r="C115" s="12" t="inlineStr">
        <is>
          <t>Containers</t>
        </is>
      </c>
      <c r="D115" s="11" t="inlineStr">
        <is>
          <t>CP</t>
        </is>
      </c>
      <c r="E115" s="12" t="inlineStr">
        <is>
          <t>Containers</t>
        </is>
      </c>
      <c r="F115" s="12" t="inlineStr">
        <is>
          <t>CP-9-5</t>
        </is>
      </c>
      <c r="G115" s="13">
        <f>IFERROR('[Containers.xlsx]CP-9-5'!B20,"Not Started")</f>
        <v/>
      </c>
      <c r="H115" s="14">
        <f>IF(OR(G115="Passed",G115="Accepted Exception"),"GREEN",IF(OR(G115="Not Started",G115="Failed"),"RED","AMBER"))</f>
        <v/>
      </c>
      <c r="I115" s="15">
        <f>IFERROR('[Containers.xlsx]CP-9-5'!E20,"Non commencé")</f>
        <v/>
      </c>
      <c r="J115" s="16">
        <f>IF(OR(I115="Réussi",I115="Exception acceptée"),"GREEN",IF(OR(I115="Non commencé",I115="Échec"),"RED","AMBER"))</f>
        <v/>
      </c>
      <c r="K115" s="12" t="inlineStr"/>
      <c r="L115" s="12" t="inlineStr"/>
      <c r="M115" s="17" t="inlineStr"/>
    </row>
    <row r="116" ht="18" customHeight="1">
      <c r="A116" s="18" t="inlineStr">
        <is>
          <t>CP-10</t>
        </is>
      </c>
      <c r="B116" s="19" t="inlineStr">
        <is>
          <t>Information System Recovery and Reconstitution</t>
        </is>
      </c>
      <c r="C116" s="19" t="inlineStr">
        <is>
          <t>Containers</t>
        </is>
      </c>
      <c r="D116" s="18" t="inlineStr">
        <is>
          <t>CP</t>
        </is>
      </c>
      <c r="E116" s="19" t="inlineStr">
        <is>
          <t>Containers</t>
        </is>
      </c>
      <c r="F116" s="19" t="inlineStr">
        <is>
          <t>CP-10</t>
        </is>
      </c>
      <c r="G116" s="20">
        <f>IFERROR('[Containers.xlsx]CP-10'!B20,"Not Started")</f>
        <v/>
      </c>
      <c r="H116" s="14">
        <f>IF(OR(G116="Passed",G116="Accepted Exception"),"GREEN",IF(OR(G116="Not Started",G116="Failed"),"RED","AMBER"))</f>
        <v/>
      </c>
      <c r="I116" s="21">
        <f>IFERROR('[Containers.xlsx]CP-10'!E20,"Non commencé")</f>
        <v/>
      </c>
      <c r="J116" s="16">
        <f>IF(OR(I116="Réussi",I116="Exception acceptée"),"GREEN",IF(OR(I116="Non commencé",I116="Échec"),"RED","AMBER"))</f>
        <v/>
      </c>
      <c r="K116" s="19" t="inlineStr"/>
      <c r="L116" s="19" t="inlineStr"/>
      <c r="M116" s="22" t="inlineStr"/>
    </row>
    <row r="117" ht="18" customHeight="1">
      <c r="A117" s="11" t="inlineStr">
        <is>
          <t>CP-10(4)</t>
        </is>
      </c>
      <c r="B117" s="12" t="inlineStr">
        <is>
          <t>Information System Recovery and Reconstitution</t>
        </is>
      </c>
      <c r="C117" s="12" t="inlineStr">
        <is>
          <t>Containers</t>
        </is>
      </c>
      <c r="D117" s="11" t="inlineStr">
        <is>
          <t>CP</t>
        </is>
      </c>
      <c r="E117" s="12" t="inlineStr">
        <is>
          <t>Containers</t>
        </is>
      </c>
      <c r="F117" s="12" t="inlineStr">
        <is>
          <t>CP-10-4</t>
        </is>
      </c>
      <c r="G117" s="13">
        <f>IFERROR('[Containers.xlsx]CP-10-4'!B20,"Not Started")</f>
        <v/>
      </c>
      <c r="H117" s="14">
        <f>IF(OR(G117="Passed",G117="Accepted Exception"),"GREEN",IF(OR(G117="Not Started",G117="Failed"),"RED","AMBER"))</f>
        <v/>
      </c>
      <c r="I117" s="15">
        <f>IFERROR('[Containers.xlsx]CP-10-4'!E20,"Non commencé")</f>
        <v/>
      </c>
      <c r="J117" s="16">
        <f>IF(OR(I117="Réussi",I117="Exception acceptée"),"GREEN",IF(OR(I117="Non commencé",I117="Échec"),"RED","AMBER"))</f>
        <v/>
      </c>
      <c r="K117" s="12" t="inlineStr"/>
      <c r="L117" s="12" t="inlineStr"/>
      <c r="M117" s="17" t="inlineStr"/>
    </row>
    <row r="118" ht="18" customHeight="1">
      <c r="A118" s="18" t="inlineStr">
        <is>
          <t>IA-5(7)</t>
        </is>
      </c>
      <c r="B118" s="19" t="inlineStr">
        <is>
          <t>Authenticator Management</t>
        </is>
      </c>
      <c r="C118" s="19" t="inlineStr">
        <is>
          <t>Containers</t>
        </is>
      </c>
      <c r="D118" s="18" t="inlineStr">
        <is>
          <t>IA</t>
        </is>
      </c>
      <c r="E118" s="19" t="inlineStr">
        <is>
          <t>Containers</t>
        </is>
      </c>
      <c r="F118" s="19" t="inlineStr">
        <is>
          <t>IA-5-7</t>
        </is>
      </c>
      <c r="G118" s="20">
        <f>IFERROR('[Containers.xlsx]IA-5-7'!B20,"Not Started")</f>
        <v/>
      </c>
      <c r="H118" s="14">
        <f>IF(OR(G118="Passed",G118="Accepted Exception"),"GREEN",IF(OR(G118="Not Started",G118="Failed"),"RED","AMBER"))</f>
        <v/>
      </c>
      <c r="I118" s="21">
        <f>IFERROR('[Containers.xlsx]IA-5-7'!E20,"Non commencé")</f>
        <v/>
      </c>
      <c r="J118" s="16">
        <f>IF(OR(I118="Réussi",I118="Exception acceptée"),"GREEN",IF(OR(I118="Non commencé",I118="Échec"),"RED","AMBER"))</f>
        <v/>
      </c>
      <c r="K118" s="19" t="inlineStr"/>
      <c r="L118" s="19" t="inlineStr"/>
      <c r="M118" s="22" t="inlineStr"/>
    </row>
    <row r="119" ht="18" customHeight="1">
      <c r="A119" s="11" t="inlineStr">
        <is>
          <t>SA-9(5)</t>
        </is>
      </c>
      <c r="B119" s="12" t="inlineStr">
        <is>
          <t>External Information System Services</t>
        </is>
      </c>
      <c r="C119" s="12" t="inlineStr">
        <is>
          <t>Containers</t>
        </is>
      </c>
      <c r="D119" s="11" t="inlineStr">
        <is>
          <t>SA</t>
        </is>
      </c>
      <c r="E119" s="12" t="inlineStr">
        <is>
          <t>Containers</t>
        </is>
      </c>
      <c r="F119" s="12" t="inlineStr">
        <is>
          <t>SA-9-5</t>
        </is>
      </c>
      <c r="G119" s="13">
        <f>IFERROR('[Containers.xlsx]SA-9-5'!B20,"Not Started")</f>
        <v/>
      </c>
      <c r="H119" s="14">
        <f>IF(OR(G119="Passed",G119="Accepted Exception"),"GREEN",IF(OR(G119="Not Started",G119="Failed"),"RED","AMBER"))</f>
        <v/>
      </c>
      <c r="I119" s="15">
        <f>IFERROR('[Containers.xlsx]SA-9-5'!E20,"Non commencé")</f>
        <v/>
      </c>
      <c r="J119" s="16">
        <f>IF(OR(I119="Réussi",I119="Exception acceptée"),"GREEN",IF(OR(I119="Non commencé",I119="Échec"),"RED","AMBER"))</f>
        <v/>
      </c>
      <c r="K119" s="12" t="inlineStr"/>
      <c r="L119" s="12" t="inlineStr"/>
      <c r="M119" s="17" t="inlineStr"/>
    </row>
    <row r="120" ht="18" customHeight="1">
      <c r="A120" s="18" t="inlineStr">
        <is>
          <t>SC-4</t>
        </is>
      </c>
      <c r="B120" s="19" t="inlineStr">
        <is>
          <t>Information in Shared Resources</t>
        </is>
      </c>
      <c r="C120" s="19" t="inlineStr">
        <is>
          <t>Containers</t>
        </is>
      </c>
      <c r="D120" s="18" t="inlineStr">
        <is>
          <t>SC</t>
        </is>
      </c>
      <c r="E120" s="19" t="inlineStr">
        <is>
          <t>Containers</t>
        </is>
      </c>
      <c r="F120" s="19" t="inlineStr">
        <is>
          <t>SC-4</t>
        </is>
      </c>
      <c r="G120" s="20">
        <f>IFERROR('[Containers.xlsx]SC-4'!B20,"Not Started")</f>
        <v/>
      </c>
      <c r="H120" s="14">
        <f>IF(OR(G120="Passed",G120="Accepted Exception"),"GREEN",IF(OR(G120="Not Started",G120="Failed"),"RED","AMBER"))</f>
        <v/>
      </c>
      <c r="I120" s="21">
        <f>IFERROR('[Containers.xlsx]SC-4'!E20,"Non commencé")</f>
        <v/>
      </c>
      <c r="J120" s="16">
        <f>IF(OR(I120="Réussi",I120="Exception acceptée"),"GREEN",IF(OR(I120="Non commencé",I120="Échec"),"RED","AMBER"))</f>
        <v/>
      </c>
      <c r="K120" s="19" t="inlineStr"/>
      <c r="L120" s="19" t="inlineStr"/>
      <c r="M120" s="22" t="inlineStr"/>
    </row>
    <row r="121" ht="18" customHeight="1">
      <c r="A121" s="11" t="inlineStr">
        <is>
          <t>SC-8</t>
        </is>
      </c>
      <c r="B121" s="12" t="inlineStr">
        <is>
          <t>Transmission Confidentiality and Integrity</t>
        </is>
      </c>
      <c r="C121" s="12" t="inlineStr">
        <is>
          <t>Containers</t>
        </is>
      </c>
      <c r="D121" s="11" t="inlineStr">
        <is>
          <t>SC</t>
        </is>
      </c>
      <c r="E121" s="12" t="inlineStr">
        <is>
          <t>Containers</t>
        </is>
      </c>
      <c r="F121" s="12" t="inlineStr">
        <is>
          <t>SC-8</t>
        </is>
      </c>
      <c r="G121" s="13">
        <f>IFERROR('[Containers.xlsx]SC-8'!B20,"Not Started")</f>
        <v/>
      </c>
      <c r="H121" s="14">
        <f>IF(OR(G121="Passed",G121="Accepted Exception"),"GREEN",IF(OR(G121="Not Started",G121="Failed"),"RED","AMBER"))</f>
        <v/>
      </c>
      <c r="I121" s="15">
        <f>IFERROR('[Containers.xlsx]SC-8'!E20,"Non commencé")</f>
        <v/>
      </c>
      <c r="J121" s="16">
        <f>IF(OR(I121="Réussi",I121="Exception acceptée"),"GREEN",IF(OR(I121="Non commencé",I121="Échec"),"RED","AMBER"))</f>
        <v/>
      </c>
      <c r="K121" s="12" t="inlineStr"/>
      <c r="L121" s="12" t="inlineStr"/>
      <c r="M121" s="17" t="inlineStr"/>
    </row>
    <row r="122" ht="18" customHeight="1">
      <c r="A122" s="18" t="inlineStr">
        <is>
          <t>SC-8(1)</t>
        </is>
      </c>
      <c r="B122" s="19" t="inlineStr">
        <is>
          <t>Transmission Confidentiality and Integrity</t>
        </is>
      </c>
      <c r="C122" s="19" t="inlineStr">
        <is>
          <t>Containers</t>
        </is>
      </c>
      <c r="D122" s="18" t="inlineStr">
        <is>
          <t>SC</t>
        </is>
      </c>
      <c r="E122" s="19" t="inlineStr">
        <is>
          <t>Containers</t>
        </is>
      </c>
      <c r="F122" s="19" t="inlineStr">
        <is>
          <t>SC-8-1</t>
        </is>
      </c>
      <c r="G122" s="20">
        <f>IFERROR('[Containers.xlsx]SC-8-1'!B20,"Not Started")</f>
        <v/>
      </c>
      <c r="H122" s="14">
        <f>IF(OR(G122="Passed",G122="Accepted Exception"),"GREEN",IF(OR(G122="Not Started",G122="Failed"),"RED","AMBER"))</f>
        <v/>
      </c>
      <c r="I122" s="21">
        <f>IFERROR('[Containers.xlsx]SC-8-1'!E20,"Non commencé")</f>
        <v/>
      </c>
      <c r="J122" s="16">
        <f>IF(OR(I122="Réussi",I122="Exception acceptée"),"GREEN",IF(OR(I122="Non commencé",I122="Échec"),"RED","AMBER"))</f>
        <v/>
      </c>
      <c r="K122" s="19" t="inlineStr"/>
      <c r="L122" s="19" t="inlineStr"/>
      <c r="M122" s="22" t="inlineStr"/>
    </row>
    <row r="123" ht="18" customHeight="1">
      <c r="A123" s="11" t="inlineStr">
        <is>
          <t>SC-10</t>
        </is>
      </c>
      <c r="B123" s="12" t="inlineStr">
        <is>
          <t>Network Disconnect</t>
        </is>
      </c>
      <c r="C123" s="12" t="inlineStr">
        <is>
          <t>Containers</t>
        </is>
      </c>
      <c r="D123" s="11" t="inlineStr">
        <is>
          <t>SC</t>
        </is>
      </c>
      <c r="E123" s="12" t="inlineStr">
        <is>
          <t>Containers</t>
        </is>
      </c>
      <c r="F123" s="12" t="inlineStr">
        <is>
          <t>SC-10</t>
        </is>
      </c>
      <c r="G123" s="13">
        <f>IFERROR('[Containers.xlsx]SC-10'!B20,"Not Started")</f>
        <v/>
      </c>
      <c r="H123" s="14">
        <f>IF(OR(G123="Passed",G123="Accepted Exception"),"GREEN",IF(OR(G123="Not Started",G123="Failed"),"RED","AMBER"))</f>
        <v/>
      </c>
      <c r="I123" s="15">
        <f>IFERROR('[Containers.xlsx]SC-10'!E20,"Non commencé")</f>
        <v/>
      </c>
      <c r="J123" s="16">
        <f>IF(OR(I123="Réussi",I123="Exception acceptée"),"GREEN",IF(OR(I123="Non commencé",I123="Échec"),"RED","AMBER"))</f>
        <v/>
      </c>
      <c r="K123" s="12" t="inlineStr"/>
      <c r="L123" s="12" t="inlineStr"/>
      <c r="M123" s="17" t="inlineStr"/>
    </row>
    <row r="124" ht="18" customHeight="1">
      <c r="A124" s="18" t="inlineStr">
        <is>
          <t>SC-13</t>
        </is>
      </c>
      <c r="B124" s="19" t="inlineStr">
        <is>
          <t>Cryptographic Protection</t>
        </is>
      </c>
      <c r="C124" s="19" t="inlineStr">
        <is>
          <t>Containers</t>
        </is>
      </c>
      <c r="D124" s="18" t="inlineStr">
        <is>
          <t>SC</t>
        </is>
      </c>
      <c r="E124" s="19" t="inlineStr">
        <is>
          <t>Containers</t>
        </is>
      </c>
      <c r="F124" s="19" t="inlineStr">
        <is>
          <t>SC-13</t>
        </is>
      </c>
      <c r="G124" s="20">
        <f>IFERROR('[Containers.xlsx]SC-13'!B20,"Not Started")</f>
        <v/>
      </c>
      <c r="H124" s="14">
        <f>IF(OR(G124="Passed",G124="Accepted Exception"),"GREEN",IF(OR(G124="Not Started",G124="Failed"),"RED","AMBER"))</f>
        <v/>
      </c>
      <c r="I124" s="21">
        <f>IFERROR('[Containers.xlsx]SC-13'!E20,"Non commencé")</f>
        <v/>
      </c>
      <c r="J124" s="16">
        <f>IF(OR(I124="Réussi",I124="Exception acceptée"),"GREEN",IF(OR(I124="Non commencé",I124="Échec"),"RED","AMBER"))</f>
        <v/>
      </c>
      <c r="K124" s="19" t="inlineStr"/>
      <c r="L124" s="19" t="inlineStr"/>
      <c r="M124" s="22" t="inlineStr"/>
    </row>
    <row r="125" ht="18" customHeight="1">
      <c r="A125" s="11" t="inlineStr">
        <is>
          <t>SC-18</t>
        </is>
      </c>
      <c r="B125" s="12" t="inlineStr">
        <is>
          <t>Mobile Code</t>
        </is>
      </c>
      <c r="C125" s="12" t="inlineStr">
        <is>
          <t>Containers</t>
        </is>
      </c>
      <c r="D125" s="11" t="inlineStr">
        <is>
          <t>SC</t>
        </is>
      </c>
      <c r="E125" s="12" t="inlineStr">
        <is>
          <t>Containers</t>
        </is>
      </c>
      <c r="F125" s="12" t="inlineStr">
        <is>
          <t>SC-18</t>
        </is>
      </c>
      <c r="G125" s="13">
        <f>IFERROR('[Containers.xlsx]SC-18'!B20,"Not Started")</f>
        <v/>
      </c>
      <c r="H125" s="14">
        <f>IF(OR(G125="Passed",G125="Accepted Exception"),"GREEN",IF(OR(G125="Not Started",G125="Failed"),"RED","AMBER"))</f>
        <v/>
      </c>
      <c r="I125" s="15">
        <f>IFERROR('[Containers.xlsx]SC-18'!E20,"Non commencé")</f>
        <v/>
      </c>
      <c r="J125" s="16">
        <f>IF(OR(I125="Réussi",I125="Exception acceptée"),"GREEN",IF(OR(I125="Non commencé",I125="Échec"),"RED","AMBER"))</f>
        <v/>
      </c>
      <c r="K125" s="12" t="inlineStr"/>
      <c r="L125" s="12" t="inlineStr"/>
      <c r="M125" s="17" t="inlineStr"/>
    </row>
    <row r="126" ht="18" customHeight="1">
      <c r="A126" s="18" t="inlineStr">
        <is>
          <t>SC-18(3)</t>
        </is>
      </c>
      <c r="B126" s="19" t="inlineStr">
        <is>
          <t>Mobile Code</t>
        </is>
      </c>
      <c r="C126" s="19" t="inlineStr">
        <is>
          <t>Containers</t>
        </is>
      </c>
      <c r="D126" s="18" t="inlineStr">
        <is>
          <t>SC</t>
        </is>
      </c>
      <c r="E126" s="19" t="inlineStr">
        <is>
          <t>Containers</t>
        </is>
      </c>
      <c r="F126" s="19" t="inlineStr">
        <is>
          <t>SC-18-3</t>
        </is>
      </c>
      <c r="G126" s="20">
        <f>IFERROR('[Containers.xlsx]SC-18-3'!B20,"Not Started")</f>
        <v/>
      </c>
      <c r="H126" s="14">
        <f>IF(OR(G126="Passed",G126="Accepted Exception"),"GREEN",IF(OR(G126="Not Started",G126="Failed"),"RED","AMBER"))</f>
        <v/>
      </c>
      <c r="I126" s="21">
        <f>IFERROR('[Containers.xlsx]SC-18-3'!E20,"Non commencé")</f>
        <v/>
      </c>
      <c r="J126" s="16">
        <f>IF(OR(I126="Réussi",I126="Exception acceptée"),"GREEN",IF(OR(I126="Non commencé",I126="Échec"),"RED","AMBER"))</f>
        <v/>
      </c>
      <c r="K126" s="19" t="inlineStr"/>
      <c r="L126" s="19" t="inlineStr"/>
      <c r="M126" s="22" t="inlineStr"/>
    </row>
    <row r="127" ht="18" customHeight="1">
      <c r="A127" s="11" t="inlineStr">
        <is>
          <t>SC-18(4)</t>
        </is>
      </c>
      <c r="B127" s="12" t="inlineStr">
        <is>
          <t>Mobile Code</t>
        </is>
      </c>
      <c r="C127" s="12" t="inlineStr">
        <is>
          <t>Containers</t>
        </is>
      </c>
      <c r="D127" s="11" t="inlineStr">
        <is>
          <t>SC</t>
        </is>
      </c>
      <c r="E127" s="12" t="inlineStr">
        <is>
          <t>Containers</t>
        </is>
      </c>
      <c r="F127" s="12" t="inlineStr">
        <is>
          <t>SC-18-4</t>
        </is>
      </c>
      <c r="G127" s="13">
        <f>IFERROR('[Containers.xlsx]SC-18-4'!B20,"Not Started")</f>
        <v/>
      </c>
      <c r="H127" s="14">
        <f>IF(OR(G127="Passed",G127="Accepted Exception"),"GREEN",IF(OR(G127="Not Started",G127="Failed"),"RED","AMBER"))</f>
        <v/>
      </c>
      <c r="I127" s="15">
        <f>IFERROR('[Containers.xlsx]SC-18-4'!E20,"Non commencé")</f>
        <v/>
      </c>
      <c r="J127" s="16">
        <f>IF(OR(I127="Réussi",I127="Exception acceptée"),"GREEN",IF(OR(I127="Non commencé",I127="Échec"),"RED","AMBER"))</f>
        <v/>
      </c>
      <c r="K127" s="12" t="inlineStr"/>
      <c r="L127" s="12" t="inlineStr"/>
      <c r="M127" s="17" t="inlineStr"/>
    </row>
    <row r="128" ht="18" customHeight="1">
      <c r="A128" s="18" t="inlineStr">
        <is>
          <t>SC-23</t>
        </is>
      </c>
      <c r="B128" s="19" t="inlineStr">
        <is>
          <t>Session Authenticity</t>
        </is>
      </c>
      <c r="C128" s="19" t="inlineStr">
        <is>
          <t>Containers</t>
        </is>
      </c>
      <c r="D128" s="18" t="inlineStr">
        <is>
          <t>SC</t>
        </is>
      </c>
      <c r="E128" s="19" t="inlineStr">
        <is>
          <t>Containers</t>
        </is>
      </c>
      <c r="F128" s="19" t="inlineStr">
        <is>
          <t>SC-23</t>
        </is>
      </c>
      <c r="G128" s="20">
        <f>IFERROR('[Containers.xlsx]SC-23'!B20,"Not Started")</f>
        <v/>
      </c>
      <c r="H128" s="14">
        <f>IF(OR(G128="Passed",G128="Accepted Exception"),"GREEN",IF(OR(G128="Not Started",G128="Failed"),"RED","AMBER"))</f>
        <v/>
      </c>
      <c r="I128" s="21">
        <f>IFERROR('[Containers.xlsx]SC-23'!E20,"Non commencé")</f>
        <v/>
      </c>
      <c r="J128" s="16">
        <f>IF(OR(I128="Réussi",I128="Exception acceptée"),"GREEN",IF(OR(I128="Non commencé",I128="Échec"),"RED","AMBER"))</f>
        <v/>
      </c>
      <c r="K128" s="19" t="inlineStr"/>
      <c r="L128" s="19" t="inlineStr"/>
      <c r="M128" s="22" t="inlineStr"/>
    </row>
    <row r="129" ht="18" customHeight="1">
      <c r="A129" s="11" t="inlineStr">
        <is>
          <t>SC-28</t>
        </is>
      </c>
      <c r="B129" s="12" t="inlineStr">
        <is>
          <t>Protection of Information At Rest</t>
        </is>
      </c>
      <c r="C129" s="12" t="inlineStr">
        <is>
          <t>Containers</t>
        </is>
      </c>
      <c r="D129" s="11" t="inlineStr">
        <is>
          <t>SC</t>
        </is>
      </c>
      <c r="E129" s="12" t="inlineStr">
        <is>
          <t>Containers</t>
        </is>
      </c>
      <c r="F129" s="12" t="inlineStr">
        <is>
          <t>SC-28</t>
        </is>
      </c>
      <c r="G129" s="13">
        <f>IFERROR('[Containers.xlsx]SC-28'!B20,"Not Started")</f>
        <v/>
      </c>
      <c r="H129" s="14">
        <f>IF(OR(G129="Passed",G129="Accepted Exception"),"GREEN",IF(OR(G129="Not Started",G129="Failed"),"RED","AMBER"))</f>
        <v/>
      </c>
      <c r="I129" s="15">
        <f>IFERROR('[Containers.xlsx]SC-28'!E20,"Non commencé")</f>
        <v/>
      </c>
      <c r="J129" s="16">
        <f>IF(OR(I129="Réussi",I129="Exception acceptée"),"GREEN",IF(OR(I129="Non commencé",I129="Échec"),"RED","AMBER"))</f>
        <v/>
      </c>
      <c r="K129" s="12" t="inlineStr"/>
      <c r="L129" s="12" t="inlineStr"/>
      <c r="M129" s="17" t="inlineStr"/>
    </row>
    <row r="130" ht="18" customHeight="1">
      <c r="A130" s="18" t="inlineStr">
        <is>
          <t>SC-28(1)</t>
        </is>
      </c>
      <c r="B130" s="19" t="inlineStr">
        <is>
          <t>Protection of Information At Rest</t>
        </is>
      </c>
      <c r="C130" s="19" t="inlineStr">
        <is>
          <t>Containers</t>
        </is>
      </c>
      <c r="D130" s="18" t="inlineStr">
        <is>
          <t>SC</t>
        </is>
      </c>
      <c r="E130" s="19" t="inlineStr">
        <is>
          <t>Containers</t>
        </is>
      </c>
      <c r="F130" s="19" t="inlineStr">
        <is>
          <t>SC-28-1</t>
        </is>
      </c>
      <c r="G130" s="20">
        <f>IFERROR('[Containers.xlsx]SC-28-1'!B20,"Not Started")</f>
        <v/>
      </c>
      <c r="H130" s="14">
        <f>IF(OR(G130="Passed",G130="Accepted Exception"),"GREEN",IF(OR(G130="Not Started",G130="Failed"),"RED","AMBER"))</f>
        <v/>
      </c>
      <c r="I130" s="21">
        <f>IFERROR('[Containers.xlsx]SC-28-1'!E20,"Non commencé")</f>
        <v/>
      </c>
      <c r="J130" s="16">
        <f>IF(OR(I130="Réussi",I130="Exception acceptée"),"GREEN",IF(OR(I130="Non commencé",I130="Échec"),"RED","AMBER"))</f>
        <v/>
      </c>
      <c r="K130" s="19" t="inlineStr"/>
      <c r="L130" s="19" t="inlineStr"/>
      <c r="M130" s="22" t="inlineStr"/>
    </row>
    <row r="131" ht="18" customHeight="1">
      <c r="A131" s="11" t="inlineStr">
        <is>
          <t>SC-39</t>
        </is>
      </c>
      <c r="B131" s="12" t="inlineStr">
        <is>
          <t>Process Isolation</t>
        </is>
      </c>
      <c r="C131" s="12" t="inlineStr">
        <is>
          <t>Containers</t>
        </is>
      </c>
      <c r="D131" s="11" t="inlineStr">
        <is>
          <t>SC</t>
        </is>
      </c>
      <c r="E131" s="12" t="inlineStr">
        <is>
          <t>Containers</t>
        </is>
      </c>
      <c r="F131" s="12" t="inlineStr">
        <is>
          <t>SC-39</t>
        </is>
      </c>
      <c r="G131" s="13">
        <f>IFERROR('[Containers.xlsx]SC-39'!B20,"Not Started")</f>
        <v/>
      </c>
      <c r="H131" s="14">
        <f>IF(OR(G131="Passed",G131="Accepted Exception"),"GREEN",IF(OR(G131="Not Started",G131="Failed"),"RED","AMBER"))</f>
        <v/>
      </c>
      <c r="I131" s="15">
        <f>IFERROR('[Containers.xlsx]SC-39'!E20,"Non commencé")</f>
        <v/>
      </c>
      <c r="J131" s="16">
        <f>IF(OR(I131="Réussi",I131="Exception acceptée"),"GREEN",IF(OR(I131="Non commencé",I131="Échec"),"RED","AMBER"))</f>
        <v/>
      </c>
      <c r="K131" s="12" t="inlineStr"/>
      <c r="L131" s="12" t="inlineStr"/>
      <c r="M131" s="17" t="inlineStr"/>
    </row>
    <row r="132" ht="18" customHeight="1">
      <c r="A132" s="18" t="inlineStr">
        <is>
          <t>SI-4(2)</t>
        </is>
      </c>
      <c r="B132" s="19" t="inlineStr">
        <is>
          <t>Information System Monitoring</t>
        </is>
      </c>
      <c r="C132" s="19" t="inlineStr">
        <is>
          <t>Containers</t>
        </is>
      </c>
      <c r="D132" s="18" t="inlineStr">
        <is>
          <t>SI</t>
        </is>
      </c>
      <c r="E132" s="19" t="inlineStr">
        <is>
          <t>Containers</t>
        </is>
      </c>
      <c r="F132" s="19" t="inlineStr">
        <is>
          <t>SI-4-2</t>
        </is>
      </c>
      <c r="G132" s="20">
        <f>IFERROR('[Containers.xlsx]SI-4-2'!B20,"Not Started")</f>
        <v/>
      </c>
      <c r="H132" s="14">
        <f>IF(OR(G132="Passed",G132="Accepted Exception"),"GREEN",IF(OR(G132="Not Started",G132="Failed"),"RED","AMBER"))</f>
        <v/>
      </c>
      <c r="I132" s="21">
        <f>IFERROR('[Containers.xlsx]SI-4-2'!E20,"Non commencé")</f>
        <v/>
      </c>
      <c r="J132" s="16">
        <f>IF(OR(I132="Réussi",I132="Exception acceptée"),"GREEN",IF(OR(I132="Non commencé",I132="Échec"),"RED","AMBER"))</f>
        <v/>
      </c>
      <c r="K132" s="19" t="inlineStr"/>
      <c r="L132" s="19" t="inlineStr"/>
      <c r="M132" s="22" t="inlineStr"/>
    </row>
    <row r="133" ht="18" customHeight="1">
      <c r="A133" s="11" t="inlineStr">
        <is>
          <t>SI-4(23)</t>
        </is>
      </c>
      <c r="B133" s="12" t="inlineStr">
        <is>
          <t>Information System Monitoring</t>
        </is>
      </c>
      <c r="C133" s="12" t="inlineStr">
        <is>
          <t>Containers</t>
        </is>
      </c>
      <c r="D133" s="11" t="inlineStr">
        <is>
          <t>SI</t>
        </is>
      </c>
      <c r="E133" s="12" t="inlineStr">
        <is>
          <t>Containers</t>
        </is>
      </c>
      <c r="F133" s="12" t="inlineStr">
        <is>
          <t>SI-4-23</t>
        </is>
      </c>
      <c r="G133" s="13">
        <f>IFERROR('[Containers.xlsx]SI-4-23'!B20,"Not Started")</f>
        <v/>
      </c>
      <c r="H133" s="14">
        <f>IF(OR(G133="Passed",G133="Accepted Exception"),"GREEN",IF(OR(G133="Not Started",G133="Failed"),"RED","AMBER"))</f>
        <v/>
      </c>
      <c r="I133" s="15">
        <f>IFERROR('[Containers.xlsx]SI-4-23'!E20,"Non commencé")</f>
        <v/>
      </c>
      <c r="J133" s="16">
        <f>IF(OR(I133="Réussi",I133="Exception acceptée"),"GREEN",IF(OR(I133="Non commencé",I133="Échec"),"RED","AMBER"))</f>
        <v/>
      </c>
      <c r="K133" s="12" t="inlineStr"/>
      <c r="L133" s="12" t="inlineStr"/>
      <c r="M133" s="17" t="inlineStr"/>
    </row>
    <row r="134" ht="18" customHeight="1">
      <c r="A134" s="18" t="inlineStr">
        <is>
          <t>SI-6</t>
        </is>
      </c>
      <c r="B134" s="19" t="inlineStr">
        <is>
          <t>Security Functional Verification</t>
        </is>
      </c>
      <c r="C134" s="19" t="inlineStr">
        <is>
          <t>Containers</t>
        </is>
      </c>
      <c r="D134" s="18" t="inlineStr">
        <is>
          <t>SI</t>
        </is>
      </c>
      <c r="E134" s="19" t="inlineStr">
        <is>
          <t>Containers</t>
        </is>
      </c>
      <c r="F134" s="19" t="inlineStr">
        <is>
          <t>SI-6</t>
        </is>
      </c>
      <c r="G134" s="20">
        <f>IFERROR('[Containers.xlsx]SI-6'!B20,"Not Started")</f>
        <v/>
      </c>
      <c r="H134" s="14">
        <f>IF(OR(G134="Passed",G134="Accepted Exception"),"GREEN",IF(OR(G134="Not Started",G134="Failed"),"RED","AMBER"))</f>
        <v/>
      </c>
      <c r="I134" s="21">
        <f>IFERROR('[Containers.xlsx]SI-6'!E20,"Non commencé")</f>
        <v/>
      </c>
      <c r="J134" s="16">
        <f>IF(OR(I134="Réussi",I134="Exception acceptée"),"GREEN",IF(OR(I134="Non commencé",I134="Échec"),"RED","AMBER"))</f>
        <v/>
      </c>
      <c r="K134" s="19" t="inlineStr"/>
      <c r="L134" s="19" t="inlineStr"/>
      <c r="M134" s="22" t="inlineStr"/>
    </row>
    <row r="135" ht="18" customHeight="1">
      <c r="A135" s="11" t="inlineStr">
        <is>
          <t>SI-7</t>
        </is>
      </c>
      <c r="B135" s="12" t="inlineStr">
        <is>
          <t>Software, Firmware, and Information Integrity</t>
        </is>
      </c>
      <c r="C135" s="12" t="inlineStr">
        <is>
          <t>Containers</t>
        </is>
      </c>
      <c r="D135" s="11" t="inlineStr">
        <is>
          <t>SI</t>
        </is>
      </c>
      <c r="E135" s="12" t="inlineStr">
        <is>
          <t>Containers</t>
        </is>
      </c>
      <c r="F135" s="12" t="inlineStr">
        <is>
          <t>SI-7</t>
        </is>
      </c>
      <c r="G135" s="13">
        <f>IFERROR('[Containers.xlsx]SI-7'!B20,"Not Started")</f>
        <v/>
      </c>
      <c r="H135" s="14">
        <f>IF(OR(G135="Passed",G135="Accepted Exception"),"GREEN",IF(OR(G135="Not Started",G135="Failed"),"RED","AMBER"))</f>
        <v/>
      </c>
      <c r="I135" s="15">
        <f>IFERROR('[Containers.xlsx]SI-7'!E20,"Non commencé")</f>
        <v/>
      </c>
      <c r="J135" s="16">
        <f>IF(OR(I135="Réussi",I135="Exception acceptée"),"GREEN",IF(OR(I135="Non commencé",I135="Échec"),"RED","AMBER"))</f>
        <v/>
      </c>
      <c r="K135" s="12" t="inlineStr"/>
      <c r="L135" s="12" t="inlineStr"/>
      <c r="M135" s="17" t="inlineStr"/>
    </row>
    <row r="136" ht="18" customHeight="1">
      <c r="A136" s="18" t="inlineStr">
        <is>
          <t>SI-7(1)</t>
        </is>
      </c>
      <c r="B136" s="19" t="inlineStr">
        <is>
          <t>Software, Firmware, and Information Integrity</t>
        </is>
      </c>
      <c r="C136" s="19" t="inlineStr">
        <is>
          <t>Containers</t>
        </is>
      </c>
      <c r="D136" s="18" t="inlineStr">
        <is>
          <t>SI</t>
        </is>
      </c>
      <c r="E136" s="19" t="inlineStr">
        <is>
          <t>Containers</t>
        </is>
      </c>
      <c r="F136" s="19" t="inlineStr">
        <is>
          <t>SI-7-1</t>
        </is>
      </c>
      <c r="G136" s="20">
        <f>IFERROR('[Containers.xlsx]SI-7-1'!B20,"Not Started")</f>
        <v/>
      </c>
      <c r="H136" s="14">
        <f>IF(OR(G136="Passed",G136="Accepted Exception"),"GREEN",IF(OR(G136="Not Started",G136="Failed"),"RED","AMBER"))</f>
        <v/>
      </c>
      <c r="I136" s="21">
        <f>IFERROR('[Containers.xlsx]SI-7-1'!E20,"Non commencé")</f>
        <v/>
      </c>
      <c r="J136" s="16">
        <f>IF(OR(I136="Réussi",I136="Exception acceptée"),"GREEN",IF(OR(I136="Non commencé",I136="Échec"),"RED","AMBER"))</f>
        <v/>
      </c>
      <c r="K136" s="19" t="inlineStr"/>
      <c r="L136" s="19" t="inlineStr"/>
      <c r="M136" s="22" t="inlineStr"/>
    </row>
    <row r="137" ht="18" customHeight="1">
      <c r="A137" s="11" t="inlineStr">
        <is>
          <t>AU-2</t>
        </is>
      </c>
      <c r="B137" s="12" t="inlineStr">
        <is>
          <t>Auditable Events</t>
        </is>
      </c>
      <c r="C137" s="12" t="inlineStr">
        <is>
          <t>Database</t>
        </is>
      </c>
      <c r="D137" s="11" t="inlineStr">
        <is>
          <t>AU</t>
        </is>
      </c>
      <c r="E137" s="12" t="inlineStr">
        <is>
          <t>Database</t>
        </is>
      </c>
      <c r="F137" s="12" t="inlineStr">
        <is>
          <t>AU-2</t>
        </is>
      </c>
      <c r="G137" s="13">
        <f>IFERROR('[Database.xlsx]AU-2'!B20,"Not Started")</f>
        <v/>
      </c>
      <c r="H137" s="14">
        <f>IF(OR(G137="Passed",G137="Accepted Exception"),"GREEN",IF(OR(G137="Not Started",G137="Failed"),"RED","AMBER"))</f>
        <v/>
      </c>
      <c r="I137" s="15">
        <f>IFERROR('[Database.xlsx]AU-2'!E20,"Non commencé")</f>
        <v/>
      </c>
      <c r="J137" s="16">
        <f>IF(OR(I137="Réussi",I137="Exception acceptée"),"GREEN",IF(OR(I137="Non commencé",I137="Échec"),"RED","AMBER"))</f>
        <v/>
      </c>
      <c r="K137" s="12" t="inlineStr"/>
      <c r="L137" s="12" t="inlineStr"/>
      <c r="M137" s="17" t="inlineStr"/>
    </row>
    <row r="138" ht="18" customHeight="1">
      <c r="A138" s="18" t="inlineStr">
        <is>
          <t>AU-3</t>
        </is>
      </c>
      <c r="B138" s="19" t="inlineStr">
        <is>
          <t>Content of Audit Records</t>
        </is>
      </c>
      <c r="C138" s="19" t="inlineStr">
        <is>
          <t>Database</t>
        </is>
      </c>
      <c r="D138" s="18" t="inlineStr">
        <is>
          <t>AU</t>
        </is>
      </c>
      <c r="E138" s="19" t="inlineStr">
        <is>
          <t>Database</t>
        </is>
      </c>
      <c r="F138" s="19" t="inlineStr">
        <is>
          <t>AU-3</t>
        </is>
      </c>
      <c r="G138" s="20">
        <f>IFERROR('[Database.xlsx]AU-3'!B20,"Not Started")</f>
        <v/>
      </c>
      <c r="H138" s="14">
        <f>IF(OR(G138="Passed",G138="Accepted Exception"),"GREEN",IF(OR(G138="Not Started",G138="Failed"),"RED","AMBER"))</f>
        <v/>
      </c>
      <c r="I138" s="21">
        <f>IFERROR('[Database.xlsx]AU-3'!E20,"Non commencé")</f>
        <v/>
      </c>
      <c r="J138" s="16">
        <f>IF(OR(I138="Réussi",I138="Exception acceptée"),"GREEN",IF(OR(I138="Non commencé",I138="Échec"),"RED","AMBER"))</f>
        <v/>
      </c>
      <c r="K138" s="19" t="inlineStr"/>
      <c r="L138" s="19" t="inlineStr"/>
      <c r="M138" s="22" t="inlineStr"/>
    </row>
    <row r="139" ht="18" customHeight="1">
      <c r="A139" s="11" t="inlineStr">
        <is>
          <t>AU-3(1)</t>
        </is>
      </c>
      <c r="B139" s="12" t="inlineStr">
        <is>
          <t>Content of Audit Records</t>
        </is>
      </c>
      <c r="C139" s="12" t="inlineStr">
        <is>
          <t>Database</t>
        </is>
      </c>
      <c r="D139" s="11" t="inlineStr">
        <is>
          <t>AU</t>
        </is>
      </c>
      <c r="E139" s="12" t="inlineStr">
        <is>
          <t>Database</t>
        </is>
      </c>
      <c r="F139" s="12" t="inlineStr">
        <is>
          <t>AU-3-1</t>
        </is>
      </c>
      <c r="G139" s="13">
        <f>IFERROR('[Database.xlsx]AU-3-1'!B20,"Not Started")</f>
        <v/>
      </c>
      <c r="H139" s="14">
        <f>IF(OR(G139="Passed",G139="Accepted Exception"),"GREEN",IF(OR(G139="Not Started",G139="Failed"),"RED","AMBER"))</f>
        <v/>
      </c>
      <c r="I139" s="15">
        <f>IFERROR('[Database.xlsx]AU-3-1'!E20,"Non commencé")</f>
        <v/>
      </c>
      <c r="J139" s="16">
        <f>IF(OR(I139="Réussi",I139="Exception acceptée"),"GREEN",IF(OR(I139="Non commencé",I139="Échec"),"RED","AMBER"))</f>
        <v/>
      </c>
      <c r="K139" s="12" t="inlineStr"/>
      <c r="L139" s="12" t="inlineStr"/>
      <c r="M139" s="17" t="inlineStr"/>
    </row>
    <row r="140" ht="18" customHeight="1">
      <c r="A140" s="18" t="inlineStr">
        <is>
          <t>AU-9(2)</t>
        </is>
      </c>
      <c r="B140" s="19" t="inlineStr">
        <is>
          <t>Protection of Audit Information</t>
        </is>
      </c>
      <c r="C140" s="19" t="inlineStr">
        <is>
          <t>Database</t>
        </is>
      </c>
      <c r="D140" s="18" t="inlineStr">
        <is>
          <t>AU</t>
        </is>
      </c>
      <c r="E140" s="19" t="inlineStr">
        <is>
          <t>Database</t>
        </is>
      </c>
      <c r="F140" s="19" t="inlineStr">
        <is>
          <t>AU-9-2</t>
        </is>
      </c>
      <c r="G140" s="20">
        <f>IFERROR('[Database.xlsx]AU-9-2'!B20,"Not Started")</f>
        <v/>
      </c>
      <c r="H140" s="14">
        <f>IF(OR(G140="Passed",G140="Accepted Exception"),"GREEN",IF(OR(G140="Not Started",G140="Failed"),"RED","AMBER"))</f>
        <v/>
      </c>
      <c r="I140" s="21">
        <f>IFERROR('[Database.xlsx]AU-9-2'!E20,"Non commencé")</f>
        <v/>
      </c>
      <c r="J140" s="16">
        <f>IF(OR(I140="Réussi",I140="Exception acceptée"),"GREEN",IF(OR(I140="Non commencé",I140="Échec"),"RED","AMBER"))</f>
        <v/>
      </c>
      <c r="K140" s="19" t="inlineStr"/>
      <c r="L140" s="19" t="inlineStr"/>
      <c r="M140" s="22" t="inlineStr"/>
    </row>
    <row r="141" ht="18" customHeight="1">
      <c r="A141" s="11" t="inlineStr">
        <is>
          <t>AU-12</t>
        </is>
      </c>
      <c r="B141" s="12" t="inlineStr">
        <is>
          <t>Audit Generation</t>
        </is>
      </c>
      <c r="C141" s="12" t="inlineStr">
        <is>
          <t>Database</t>
        </is>
      </c>
      <c r="D141" s="11" t="inlineStr">
        <is>
          <t>AU</t>
        </is>
      </c>
      <c r="E141" s="12" t="inlineStr">
        <is>
          <t>Database</t>
        </is>
      </c>
      <c r="F141" s="12" t="inlineStr">
        <is>
          <t>AU-12</t>
        </is>
      </c>
      <c r="G141" s="13">
        <f>IFERROR('[Database.xlsx]AU-12'!B20,"Not Started")</f>
        <v/>
      </c>
      <c r="H141" s="14">
        <f>IF(OR(G141="Passed",G141="Accepted Exception"),"GREEN",IF(OR(G141="Not Started",G141="Failed"),"RED","AMBER"))</f>
        <v/>
      </c>
      <c r="I141" s="15">
        <f>IFERROR('[Database.xlsx]AU-12'!E20,"Non commencé")</f>
        <v/>
      </c>
      <c r="J141" s="16">
        <f>IF(OR(I141="Réussi",I141="Exception acceptée"),"GREEN",IF(OR(I141="Non commencé",I141="Échec"),"RED","AMBER"))</f>
        <v/>
      </c>
      <c r="K141" s="12" t="inlineStr"/>
      <c r="L141" s="12" t="inlineStr"/>
      <c r="M141" s="17" t="inlineStr"/>
    </row>
    <row r="142" ht="18" customHeight="1">
      <c r="A142" s="18" t="inlineStr">
        <is>
          <t>CM-6</t>
        </is>
      </c>
      <c r="B142" s="19" t="inlineStr">
        <is>
          <t>Configuration Settings</t>
        </is>
      </c>
      <c r="C142" s="19" t="inlineStr">
        <is>
          <t>Database</t>
        </is>
      </c>
      <c r="D142" s="18" t="inlineStr">
        <is>
          <t>CM</t>
        </is>
      </c>
      <c r="E142" s="19" t="inlineStr">
        <is>
          <t>Database</t>
        </is>
      </c>
      <c r="F142" s="19" t="inlineStr">
        <is>
          <t>CM-6</t>
        </is>
      </c>
      <c r="G142" s="20">
        <f>IFERROR('[Database.xlsx]CM-6'!B20,"Not Started")</f>
        <v/>
      </c>
      <c r="H142" s="14">
        <f>IF(OR(G142="Passed",G142="Accepted Exception"),"GREEN",IF(OR(G142="Not Started",G142="Failed"),"RED","AMBER"))</f>
        <v/>
      </c>
      <c r="I142" s="21">
        <f>IFERROR('[Database.xlsx]CM-6'!E20,"Non commencé")</f>
        <v/>
      </c>
      <c r="J142" s="16">
        <f>IF(OR(I142="Réussi",I142="Exception acceptée"),"GREEN",IF(OR(I142="Non commencé",I142="Échec"),"RED","AMBER"))</f>
        <v/>
      </c>
      <c r="K142" s="19" t="inlineStr"/>
      <c r="L142" s="19" t="inlineStr"/>
      <c r="M142" s="22" t="inlineStr"/>
    </row>
    <row r="143" ht="18" customHeight="1">
      <c r="A143" s="11" t="inlineStr">
        <is>
          <t>CM-7</t>
        </is>
      </c>
      <c r="B143" s="12" t="inlineStr">
        <is>
          <t>Least Functionality</t>
        </is>
      </c>
      <c r="C143" s="12" t="inlineStr">
        <is>
          <t>Database</t>
        </is>
      </c>
      <c r="D143" s="11" t="inlineStr">
        <is>
          <t>CM</t>
        </is>
      </c>
      <c r="E143" s="12" t="inlineStr">
        <is>
          <t>Database</t>
        </is>
      </c>
      <c r="F143" s="12" t="inlineStr">
        <is>
          <t>CM-7</t>
        </is>
      </c>
      <c r="G143" s="13">
        <f>IFERROR('[Database.xlsx]CM-7'!B20,"Not Started")</f>
        <v/>
      </c>
      <c r="H143" s="14">
        <f>IF(OR(G143="Passed",G143="Accepted Exception"),"GREEN",IF(OR(G143="Not Started",G143="Failed"),"RED","AMBER"))</f>
        <v/>
      </c>
      <c r="I143" s="15">
        <f>IFERROR('[Database.xlsx]CM-7'!E20,"Non commencé")</f>
        <v/>
      </c>
      <c r="J143" s="16">
        <f>IF(OR(I143="Réussi",I143="Exception acceptée"),"GREEN",IF(OR(I143="Non commencé",I143="Échec"),"RED","AMBER"))</f>
        <v/>
      </c>
      <c r="K143" s="12" t="inlineStr"/>
      <c r="L143" s="12" t="inlineStr"/>
      <c r="M143" s="17" t="inlineStr"/>
    </row>
    <row r="144" ht="18" customHeight="1">
      <c r="A144" s="18" t="inlineStr">
        <is>
          <t>CM-7(1)</t>
        </is>
      </c>
      <c r="B144" s="19" t="inlineStr">
        <is>
          <t>Least Functionality</t>
        </is>
      </c>
      <c r="C144" s="19" t="inlineStr">
        <is>
          <t>Database</t>
        </is>
      </c>
      <c r="D144" s="18" t="inlineStr">
        <is>
          <t>CM</t>
        </is>
      </c>
      <c r="E144" s="19" t="inlineStr">
        <is>
          <t>Database</t>
        </is>
      </c>
      <c r="F144" s="19" t="inlineStr">
        <is>
          <t>CM-7-1</t>
        </is>
      </c>
      <c r="G144" s="20">
        <f>IFERROR('[Database.xlsx]CM-7-1'!B20,"Not Started")</f>
        <v/>
      </c>
      <c r="H144" s="14">
        <f>IF(OR(G144="Passed",G144="Accepted Exception"),"GREEN",IF(OR(G144="Not Started",G144="Failed"),"RED","AMBER"))</f>
        <v/>
      </c>
      <c r="I144" s="21">
        <f>IFERROR('[Database.xlsx]CM-7-1'!E20,"Non commencé")</f>
        <v/>
      </c>
      <c r="J144" s="16">
        <f>IF(OR(I144="Réussi",I144="Exception acceptée"),"GREEN",IF(OR(I144="Non commencé",I144="Échec"),"RED","AMBER"))</f>
        <v/>
      </c>
      <c r="K144" s="19" t="inlineStr"/>
      <c r="L144" s="19" t="inlineStr"/>
      <c r="M144" s="22" t="inlineStr"/>
    </row>
    <row r="145" ht="18" customHeight="1">
      <c r="A145" s="11" t="inlineStr">
        <is>
          <t>CP-6</t>
        </is>
      </c>
      <c r="B145" s="12" t="inlineStr">
        <is>
          <t>Alternate Storage Site</t>
        </is>
      </c>
      <c r="C145" s="12" t="inlineStr">
        <is>
          <t>Database</t>
        </is>
      </c>
      <c r="D145" s="11" t="inlineStr">
        <is>
          <t>CP</t>
        </is>
      </c>
      <c r="E145" s="12" t="inlineStr">
        <is>
          <t>Database</t>
        </is>
      </c>
      <c r="F145" s="12" t="inlineStr">
        <is>
          <t>CP-6</t>
        </is>
      </c>
      <c r="G145" s="13">
        <f>IFERROR('[Database.xlsx]CP-6'!B20,"Not Started")</f>
        <v/>
      </c>
      <c r="H145" s="14">
        <f>IF(OR(G145="Passed",G145="Accepted Exception"),"GREEN",IF(OR(G145="Not Started",G145="Failed"),"RED","AMBER"))</f>
        <v/>
      </c>
      <c r="I145" s="15">
        <f>IFERROR('[Database.xlsx]CP-6'!E20,"Non commencé")</f>
        <v/>
      </c>
      <c r="J145" s="16">
        <f>IF(OR(I145="Réussi",I145="Exception acceptée"),"GREEN",IF(OR(I145="Non commencé",I145="Échec"),"RED","AMBER"))</f>
        <v/>
      </c>
      <c r="K145" s="12" t="inlineStr"/>
      <c r="L145" s="12" t="inlineStr"/>
      <c r="M145" s="17" t="inlineStr"/>
    </row>
    <row r="146" ht="18" customHeight="1">
      <c r="A146" s="18" t="inlineStr">
        <is>
          <t>CP-6(2)</t>
        </is>
      </c>
      <c r="B146" s="19" t="inlineStr">
        <is>
          <t>Alternate Storage Site</t>
        </is>
      </c>
      <c r="C146" s="19" t="inlineStr">
        <is>
          <t>Database</t>
        </is>
      </c>
      <c r="D146" s="18" t="inlineStr">
        <is>
          <t>CP</t>
        </is>
      </c>
      <c r="E146" s="19" t="inlineStr">
        <is>
          <t>Database</t>
        </is>
      </c>
      <c r="F146" s="19" t="inlineStr">
        <is>
          <t>CP-6-2</t>
        </is>
      </c>
      <c r="G146" s="20">
        <f>IFERROR('[Database.xlsx]CP-6-2'!B20,"Not Started")</f>
        <v/>
      </c>
      <c r="H146" s="14">
        <f>IF(OR(G146="Passed",G146="Accepted Exception"),"GREEN",IF(OR(G146="Not Started",G146="Failed"),"RED","AMBER"))</f>
        <v/>
      </c>
      <c r="I146" s="21">
        <f>IFERROR('[Database.xlsx]CP-6-2'!E20,"Non commencé")</f>
        <v/>
      </c>
      <c r="J146" s="16">
        <f>IF(OR(I146="Réussi",I146="Exception acceptée"),"GREEN",IF(OR(I146="Non commencé",I146="Échec"),"RED","AMBER"))</f>
        <v/>
      </c>
      <c r="K146" s="19" t="inlineStr"/>
      <c r="L146" s="19" t="inlineStr"/>
      <c r="M146" s="22" t="inlineStr"/>
    </row>
    <row r="147" ht="18" customHeight="1">
      <c r="A147" s="11" t="inlineStr">
        <is>
          <t>CP-7</t>
        </is>
      </c>
      <c r="B147" s="12" t="inlineStr">
        <is>
          <t>Alternate Processing Site</t>
        </is>
      </c>
      <c r="C147" s="12" t="inlineStr">
        <is>
          <t>Database</t>
        </is>
      </c>
      <c r="D147" s="11" t="inlineStr">
        <is>
          <t>CP</t>
        </is>
      </c>
      <c r="E147" s="12" t="inlineStr">
        <is>
          <t>Database</t>
        </is>
      </c>
      <c r="F147" s="12" t="inlineStr">
        <is>
          <t>CP-7</t>
        </is>
      </c>
      <c r="G147" s="13">
        <f>IFERROR('[Database.xlsx]CP-7'!B20,"Not Started")</f>
        <v/>
      </c>
      <c r="H147" s="14">
        <f>IF(OR(G147="Passed",G147="Accepted Exception"),"GREEN",IF(OR(G147="Not Started",G147="Failed"),"RED","AMBER"))</f>
        <v/>
      </c>
      <c r="I147" s="15">
        <f>IFERROR('[Database.xlsx]CP-7'!E20,"Non commencé")</f>
        <v/>
      </c>
      <c r="J147" s="16">
        <f>IF(OR(I147="Réussi",I147="Exception acceptée"),"GREEN",IF(OR(I147="Non commencé",I147="Échec"),"RED","AMBER"))</f>
        <v/>
      </c>
      <c r="K147" s="12" t="inlineStr"/>
      <c r="L147" s="12" t="inlineStr"/>
      <c r="M147" s="17" t="inlineStr"/>
    </row>
    <row r="148" ht="18" customHeight="1">
      <c r="A148" s="18" t="inlineStr">
        <is>
          <t>CP-7(4)</t>
        </is>
      </c>
      <c r="B148" s="19" t="inlineStr">
        <is>
          <t>Alternate Processing Site</t>
        </is>
      </c>
      <c r="C148" s="19" t="inlineStr">
        <is>
          <t>Database</t>
        </is>
      </c>
      <c r="D148" s="18" t="inlineStr">
        <is>
          <t>CP</t>
        </is>
      </c>
      <c r="E148" s="19" t="inlineStr">
        <is>
          <t>Database</t>
        </is>
      </c>
      <c r="F148" s="19" t="inlineStr">
        <is>
          <t>CP-7-4</t>
        </is>
      </c>
      <c r="G148" s="20">
        <f>IFERROR('[Database.xlsx]CP-7-4'!B20,"Not Started")</f>
        <v/>
      </c>
      <c r="H148" s="14">
        <f>IF(OR(G148="Passed",G148="Accepted Exception"),"GREEN",IF(OR(G148="Not Started",G148="Failed"),"RED","AMBER"))</f>
        <v/>
      </c>
      <c r="I148" s="21">
        <f>IFERROR('[Database.xlsx]CP-7-4'!E20,"Non commencé")</f>
        <v/>
      </c>
      <c r="J148" s="16">
        <f>IF(OR(I148="Réussi",I148="Exception acceptée"),"GREEN",IF(OR(I148="Non commencé",I148="Échec"),"RED","AMBER"))</f>
        <v/>
      </c>
      <c r="K148" s="19" t="inlineStr"/>
      <c r="L148" s="19" t="inlineStr"/>
      <c r="M148" s="22" t="inlineStr"/>
    </row>
    <row r="149" ht="18" customHeight="1">
      <c r="A149" s="11" t="inlineStr">
        <is>
          <t>CP-9</t>
        </is>
      </c>
      <c r="B149" s="12" t="inlineStr">
        <is>
          <t>Information System Backup</t>
        </is>
      </c>
      <c r="C149" s="12" t="inlineStr">
        <is>
          <t>Database</t>
        </is>
      </c>
      <c r="D149" s="11" t="inlineStr">
        <is>
          <t>CP</t>
        </is>
      </c>
      <c r="E149" s="12" t="inlineStr">
        <is>
          <t>Database</t>
        </is>
      </c>
      <c r="F149" s="12" t="inlineStr">
        <is>
          <t>CP-9</t>
        </is>
      </c>
      <c r="G149" s="13">
        <f>IFERROR('[Database.xlsx]CP-9'!B20,"Not Started")</f>
        <v/>
      </c>
      <c r="H149" s="14">
        <f>IF(OR(G149="Passed",G149="Accepted Exception"),"GREEN",IF(OR(G149="Not Started",G149="Failed"),"RED","AMBER"))</f>
        <v/>
      </c>
      <c r="I149" s="15">
        <f>IFERROR('[Database.xlsx]CP-9'!E20,"Non commencé")</f>
        <v/>
      </c>
      <c r="J149" s="16">
        <f>IF(OR(I149="Réussi",I149="Exception acceptée"),"GREEN",IF(OR(I149="Non commencé",I149="Échec"),"RED","AMBER"))</f>
        <v/>
      </c>
      <c r="K149" s="12" t="inlineStr"/>
      <c r="L149" s="12" t="inlineStr"/>
      <c r="M149" s="17" t="inlineStr"/>
    </row>
    <row r="150" ht="18" customHeight="1">
      <c r="A150" s="18" t="inlineStr">
        <is>
          <t>CP-9(1)</t>
        </is>
      </c>
      <c r="B150" s="19" t="inlineStr">
        <is>
          <t>Information System Backup</t>
        </is>
      </c>
      <c r="C150" s="19" t="inlineStr">
        <is>
          <t>Database</t>
        </is>
      </c>
      <c r="D150" s="18" t="inlineStr">
        <is>
          <t>CP</t>
        </is>
      </c>
      <c r="E150" s="19" t="inlineStr">
        <is>
          <t>Database</t>
        </is>
      </c>
      <c r="F150" s="19" t="inlineStr">
        <is>
          <t>CP-9-1</t>
        </is>
      </c>
      <c r="G150" s="20">
        <f>IFERROR('[Database.xlsx]CP-9-1'!B20,"Not Started")</f>
        <v/>
      </c>
      <c r="H150" s="14">
        <f>IF(OR(G150="Passed",G150="Accepted Exception"),"GREEN",IF(OR(G150="Not Started",G150="Failed"),"RED","AMBER"))</f>
        <v/>
      </c>
      <c r="I150" s="21">
        <f>IFERROR('[Database.xlsx]CP-9-1'!E20,"Non commencé")</f>
        <v/>
      </c>
      <c r="J150" s="16">
        <f>IF(OR(I150="Réussi",I150="Exception acceptée"),"GREEN",IF(OR(I150="Non commencé",I150="Échec"),"RED","AMBER"))</f>
        <v/>
      </c>
      <c r="K150" s="19" t="inlineStr"/>
      <c r="L150" s="19" t="inlineStr"/>
      <c r="M150" s="22" t="inlineStr"/>
    </row>
    <row r="151" ht="18" customHeight="1">
      <c r="A151" s="11" t="inlineStr">
        <is>
          <t>CP-9(2)</t>
        </is>
      </c>
      <c r="B151" s="12" t="inlineStr">
        <is>
          <t>Information System Backup</t>
        </is>
      </c>
      <c r="C151" s="12" t="inlineStr">
        <is>
          <t>Database</t>
        </is>
      </c>
      <c r="D151" s="11" t="inlineStr">
        <is>
          <t>CP</t>
        </is>
      </c>
      <c r="E151" s="12" t="inlineStr">
        <is>
          <t>Database</t>
        </is>
      </c>
      <c r="F151" s="12" t="inlineStr">
        <is>
          <t>CP-9-2</t>
        </is>
      </c>
      <c r="G151" s="13">
        <f>IFERROR('[Database.xlsx]CP-9-2'!B20,"Not Started")</f>
        <v/>
      </c>
      <c r="H151" s="14">
        <f>IF(OR(G151="Passed",G151="Accepted Exception"),"GREEN",IF(OR(G151="Not Started",G151="Failed"),"RED","AMBER"))</f>
        <v/>
      </c>
      <c r="I151" s="15">
        <f>IFERROR('[Database.xlsx]CP-9-2'!E20,"Non commencé")</f>
        <v/>
      </c>
      <c r="J151" s="16">
        <f>IF(OR(I151="Réussi",I151="Exception acceptée"),"GREEN",IF(OR(I151="Non commencé",I151="Échec"),"RED","AMBER"))</f>
        <v/>
      </c>
      <c r="K151" s="12" t="inlineStr"/>
      <c r="L151" s="12" t="inlineStr"/>
      <c r="M151" s="17" t="inlineStr"/>
    </row>
    <row r="152" ht="18" customHeight="1">
      <c r="A152" s="18" t="inlineStr">
        <is>
          <t>CP-9(5)</t>
        </is>
      </c>
      <c r="B152" s="19" t="inlineStr">
        <is>
          <t>Information System Backup</t>
        </is>
      </c>
      <c r="C152" s="19" t="inlineStr">
        <is>
          <t>Database</t>
        </is>
      </c>
      <c r="D152" s="18" t="inlineStr">
        <is>
          <t>CP</t>
        </is>
      </c>
      <c r="E152" s="19" t="inlineStr">
        <is>
          <t>Database</t>
        </is>
      </c>
      <c r="F152" s="19" t="inlineStr">
        <is>
          <t>CP-9-5</t>
        </is>
      </c>
      <c r="G152" s="20">
        <f>IFERROR('[Database.xlsx]CP-9-5'!B20,"Not Started")</f>
        <v/>
      </c>
      <c r="H152" s="14">
        <f>IF(OR(G152="Passed",G152="Accepted Exception"),"GREEN",IF(OR(G152="Not Started",G152="Failed"),"RED","AMBER"))</f>
        <v/>
      </c>
      <c r="I152" s="21">
        <f>IFERROR('[Database.xlsx]CP-9-5'!E20,"Non commencé")</f>
        <v/>
      </c>
      <c r="J152" s="16">
        <f>IF(OR(I152="Réussi",I152="Exception acceptée"),"GREEN",IF(OR(I152="Non commencé",I152="Échec"),"RED","AMBER"))</f>
        <v/>
      </c>
      <c r="K152" s="19" t="inlineStr"/>
      <c r="L152" s="19" t="inlineStr"/>
      <c r="M152" s="22" t="inlineStr"/>
    </row>
    <row r="153" ht="18" customHeight="1">
      <c r="A153" s="11" t="inlineStr">
        <is>
          <t>CP-10</t>
        </is>
      </c>
      <c r="B153" s="12" t="inlineStr">
        <is>
          <t>Information System Recovery and Reconstitution</t>
        </is>
      </c>
      <c r="C153" s="12" t="inlineStr">
        <is>
          <t>Database</t>
        </is>
      </c>
      <c r="D153" s="11" t="inlineStr">
        <is>
          <t>CP</t>
        </is>
      </c>
      <c r="E153" s="12" t="inlineStr">
        <is>
          <t>Database</t>
        </is>
      </c>
      <c r="F153" s="12" t="inlineStr">
        <is>
          <t>CP-10</t>
        </is>
      </c>
      <c r="G153" s="13">
        <f>IFERROR('[Database.xlsx]CP-10'!B20,"Not Started")</f>
        <v/>
      </c>
      <c r="H153" s="14">
        <f>IF(OR(G153="Passed",G153="Accepted Exception"),"GREEN",IF(OR(G153="Not Started",G153="Failed"),"RED","AMBER"))</f>
        <v/>
      </c>
      <c r="I153" s="15">
        <f>IFERROR('[Database.xlsx]CP-10'!E20,"Non commencé")</f>
        <v/>
      </c>
      <c r="J153" s="16">
        <f>IF(OR(I153="Réussi",I153="Exception acceptée"),"GREEN",IF(OR(I153="Non commencé",I153="Échec"),"RED","AMBER"))</f>
        <v/>
      </c>
      <c r="K153" s="12" t="inlineStr"/>
      <c r="L153" s="12" t="inlineStr"/>
      <c r="M153" s="17" t="inlineStr"/>
    </row>
    <row r="154" ht="18" customHeight="1">
      <c r="A154" s="18" t="inlineStr">
        <is>
          <t>CP-10(2)</t>
        </is>
      </c>
      <c r="B154" s="19" t="inlineStr">
        <is>
          <t>Information System Recovery and Reconstitution</t>
        </is>
      </c>
      <c r="C154" s="19" t="inlineStr">
        <is>
          <t>Database</t>
        </is>
      </c>
      <c r="D154" s="18" t="inlineStr">
        <is>
          <t>CP</t>
        </is>
      </c>
      <c r="E154" s="19" t="inlineStr">
        <is>
          <t>Database</t>
        </is>
      </c>
      <c r="F154" s="19" t="inlineStr">
        <is>
          <t>CP-10-2</t>
        </is>
      </c>
      <c r="G154" s="20">
        <f>IFERROR('[Database.xlsx]CP-10-2'!B20,"Not Started")</f>
        <v/>
      </c>
      <c r="H154" s="14">
        <f>IF(OR(G154="Passed",G154="Accepted Exception"),"GREEN",IF(OR(G154="Not Started",G154="Failed"),"RED","AMBER"))</f>
        <v/>
      </c>
      <c r="I154" s="21">
        <f>IFERROR('[Database.xlsx]CP-10-2'!E20,"Non commencé")</f>
        <v/>
      </c>
      <c r="J154" s="16">
        <f>IF(OR(I154="Réussi",I154="Exception acceptée"),"GREEN",IF(OR(I154="Non commencé",I154="Échec"),"RED","AMBER"))</f>
        <v/>
      </c>
      <c r="K154" s="19" t="inlineStr"/>
      <c r="L154" s="19" t="inlineStr"/>
      <c r="M154" s="22" t="inlineStr"/>
    </row>
    <row r="155" ht="18" customHeight="1">
      <c r="A155" s="11" t="inlineStr">
        <is>
          <t>CP-10(4)</t>
        </is>
      </c>
      <c r="B155" s="12" t="inlineStr">
        <is>
          <t>Information System Recovery and Reconstitution</t>
        </is>
      </c>
      <c r="C155" s="12" t="inlineStr">
        <is>
          <t>Database</t>
        </is>
      </c>
      <c r="D155" s="11" t="inlineStr">
        <is>
          <t>CP</t>
        </is>
      </c>
      <c r="E155" s="12" t="inlineStr">
        <is>
          <t>Database</t>
        </is>
      </c>
      <c r="F155" s="12" t="inlineStr">
        <is>
          <t>CP-10-4</t>
        </is>
      </c>
      <c r="G155" s="13">
        <f>IFERROR('[Database.xlsx]CP-10-4'!B20,"Not Started")</f>
        <v/>
      </c>
      <c r="H155" s="14">
        <f>IF(OR(G155="Passed",G155="Accepted Exception"),"GREEN",IF(OR(G155="Not Started",G155="Failed"),"RED","AMBER"))</f>
        <v/>
      </c>
      <c r="I155" s="15">
        <f>IFERROR('[Database.xlsx]CP-10-4'!E20,"Non commencé")</f>
        <v/>
      </c>
      <c r="J155" s="16">
        <f>IF(OR(I155="Réussi",I155="Exception acceptée"),"GREEN",IF(OR(I155="Non commencé",I155="Échec"),"RED","AMBER"))</f>
        <v/>
      </c>
      <c r="K155" s="12" t="inlineStr"/>
      <c r="L155" s="12" t="inlineStr"/>
      <c r="M155" s="17" t="inlineStr"/>
    </row>
    <row r="156" ht="18" customHeight="1">
      <c r="A156" s="18" t="inlineStr">
        <is>
          <t>SA-9(5)</t>
        </is>
      </c>
      <c r="B156" s="19" t="inlineStr">
        <is>
          <t>External Information System Services</t>
        </is>
      </c>
      <c r="C156" s="19" t="inlineStr">
        <is>
          <t>Database</t>
        </is>
      </c>
      <c r="D156" s="18" t="inlineStr">
        <is>
          <t>SA</t>
        </is>
      </c>
      <c r="E156" s="19" t="inlineStr">
        <is>
          <t>Database</t>
        </is>
      </c>
      <c r="F156" s="19" t="inlineStr">
        <is>
          <t>SA-9-5</t>
        </is>
      </c>
      <c r="G156" s="20">
        <f>IFERROR('[Database.xlsx]SA-9-5'!B20,"Not Started")</f>
        <v/>
      </c>
      <c r="H156" s="14">
        <f>IF(OR(G156="Passed",G156="Accepted Exception"),"GREEN",IF(OR(G156="Not Started",G156="Failed"),"RED","AMBER"))</f>
        <v/>
      </c>
      <c r="I156" s="21">
        <f>IFERROR('[Database.xlsx]SA-9-5'!E20,"Non commencé")</f>
        <v/>
      </c>
      <c r="J156" s="16">
        <f>IF(OR(I156="Réussi",I156="Exception acceptée"),"GREEN",IF(OR(I156="Non commencé",I156="Échec"),"RED","AMBER"))</f>
        <v/>
      </c>
      <c r="K156" s="19" t="inlineStr"/>
      <c r="L156" s="19" t="inlineStr"/>
      <c r="M156" s="22" t="inlineStr"/>
    </row>
    <row r="157" ht="18" customHeight="1">
      <c r="A157" s="11" t="inlineStr">
        <is>
          <t>SC-13</t>
        </is>
      </c>
      <c r="B157" s="12" t="inlineStr">
        <is>
          <t>Cryptographic Protection</t>
        </is>
      </c>
      <c r="C157" s="12" t="inlineStr">
        <is>
          <t>Database</t>
        </is>
      </c>
      <c r="D157" s="11" t="inlineStr">
        <is>
          <t>SC</t>
        </is>
      </c>
      <c r="E157" s="12" t="inlineStr">
        <is>
          <t>Database</t>
        </is>
      </c>
      <c r="F157" s="12" t="inlineStr">
        <is>
          <t>SC-13</t>
        </is>
      </c>
      <c r="G157" s="13">
        <f>IFERROR('[Database.xlsx]SC-13'!B20,"Not Started")</f>
        <v/>
      </c>
      <c r="H157" s="14">
        <f>IF(OR(G157="Passed",G157="Accepted Exception"),"GREEN",IF(OR(G157="Not Started",G157="Failed"),"RED","AMBER"))</f>
        <v/>
      </c>
      <c r="I157" s="15">
        <f>IFERROR('[Database.xlsx]SC-13'!E20,"Non commencé")</f>
        <v/>
      </c>
      <c r="J157" s="16">
        <f>IF(OR(I157="Réussi",I157="Exception acceptée"),"GREEN",IF(OR(I157="Non commencé",I157="Échec"),"RED","AMBER"))</f>
        <v/>
      </c>
      <c r="K157" s="12" t="inlineStr"/>
      <c r="L157" s="12" t="inlineStr"/>
      <c r="M157" s="17" t="inlineStr"/>
    </row>
    <row r="158" ht="18" customHeight="1">
      <c r="A158" s="18" t="inlineStr">
        <is>
          <t>SC-28</t>
        </is>
      </c>
      <c r="B158" s="19" t="inlineStr">
        <is>
          <t>Protection of Information At Rest</t>
        </is>
      </c>
      <c r="C158" s="19" t="inlineStr">
        <is>
          <t>Database</t>
        </is>
      </c>
      <c r="D158" s="18" t="inlineStr">
        <is>
          <t>SC</t>
        </is>
      </c>
      <c r="E158" s="19" t="inlineStr">
        <is>
          <t>Database</t>
        </is>
      </c>
      <c r="F158" s="19" t="inlineStr">
        <is>
          <t>SC-28</t>
        </is>
      </c>
      <c r="G158" s="20">
        <f>IFERROR('[Database.xlsx]SC-28'!B20,"Not Started")</f>
        <v/>
      </c>
      <c r="H158" s="14">
        <f>IF(OR(G158="Passed",G158="Accepted Exception"),"GREEN",IF(OR(G158="Not Started",G158="Failed"),"RED","AMBER"))</f>
        <v/>
      </c>
      <c r="I158" s="21">
        <f>IFERROR('[Database.xlsx]SC-28'!E20,"Non commencé")</f>
        <v/>
      </c>
      <c r="J158" s="16">
        <f>IF(OR(I158="Réussi",I158="Exception acceptée"),"GREEN",IF(OR(I158="Non commencé",I158="Échec"),"RED","AMBER"))</f>
        <v/>
      </c>
      <c r="K158" s="19" t="inlineStr"/>
      <c r="L158" s="19" t="inlineStr"/>
      <c r="M158" s="22" t="inlineStr"/>
    </row>
    <row r="159" ht="18" customHeight="1">
      <c r="A159" s="11" t="inlineStr">
        <is>
          <t>SC-28(1)</t>
        </is>
      </c>
      <c r="B159" s="12" t="inlineStr">
        <is>
          <t>Protection of Information At Rest</t>
        </is>
      </c>
      <c r="C159" s="12" t="inlineStr">
        <is>
          <t>Database</t>
        </is>
      </c>
      <c r="D159" s="11" t="inlineStr">
        <is>
          <t>SC</t>
        </is>
      </c>
      <c r="E159" s="12" t="inlineStr">
        <is>
          <t>Database</t>
        </is>
      </c>
      <c r="F159" s="12" t="inlineStr">
        <is>
          <t>SC-28-1</t>
        </is>
      </c>
      <c r="G159" s="13">
        <f>IFERROR('[Database.xlsx]SC-28-1'!B20,"Not Started")</f>
        <v/>
      </c>
      <c r="H159" s="14">
        <f>IF(OR(G159="Passed",G159="Accepted Exception"),"GREEN",IF(OR(G159="Not Started",G159="Failed"),"RED","AMBER"))</f>
        <v/>
      </c>
      <c r="I159" s="15">
        <f>IFERROR('[Database.xlsx]SC-28-1'!E20,"Non commencé")</f>
        <v/>
      </c>
      <c r="J159" s="16">
        <f>IF(OR(I159="Réussi",I159="Exception acceptée"),"GREEN",IF(OR(I159="Non commencé",I159="Échec"),"RED","AMBER"))</f>
        <v/>
      </c>
      <c r="K159" s="12" t="inlineStr"/>
      <c r="L159" s="12" t="inlineStr"/>
      <c r="M159" s="17" t="inlineStr"/>
    </row>
    <row r="160" ht="18" customHeight="1">
      <c r="A160" s="18" t="inlineStr">
        <is>
          <t>SI-4(2)</t>
        </is>
      </c>
      <c r="B160" s="19" t="inlineStr">
        <is>
          <t>Information System Monitoring</t>
        </is>
      </c>
      <c r="C160" s="19" t="inlineStr">
        <is>
          <t>Database</t>
        </is>
      </c>
      <c r="D160" s="18" t="inlineStr">
        <is>
          <t>SI</t>
        </is>
      </c>
      <c r="E160" s="19" t="inlineStr">
        <is>
          <t>Database</t>
        </is>
      </c>
      <c r="F160" s="19" t="inlineStr">
        <is>
          <t>SI-4-2</t>
        </is>
      </c>
      <c r="G160" s="20">
        <f>IFERROR('[Database.xlsx]SI-4-2'!B20,"Not Started")</f>
        <v/>
      </c>
      <c r="H160" s="14">
        <f>IF(OR(G160="Passed",G160="Accepted Exception"),"GREEN",IF(OR(G160="Not Started",G160="Failed"),"RED","AMBER"))</f>
        <v/>
      </c>
      <c r="I160" s="21">
        <f>IFERROR('[Database.xlsx]SI-4-2'!E20,"Non commencé")</f>
        <v/>
      </c>
      <c r="J160" s="16">
        <f>IF(OR(I160="Réussi",I160="Exception acceptée"),"GREEN",IF(OR(I160="Non commencé",I160="Échec"),"RED","AMBER"))</f>
        <v/>
      </c>
      <c r="K160" s="19" t="inlineStr"/>
      <c r="L160" s="19" t="inlineStr"/>
      <c r="M160" s="22" t="inlineStr"/>
    </row>
    <row r="161" ht="18" customHeight="1">
      <c r="A161" s="11" t="inlineStr">
        <is>
          <t>SI-6</t>
        </is>
      </c>
      <c r="B161" s="12" t="inlineStr">
        <is>
          <t>Security Functional Verification</t>
        </is>
      </c>
      <c r="C161" s="12" t="inlineStr">
        <is>
          <t>Database</t>
        </is>
      </c>
      <c r="D161" s="11" t="inlineStr">
        <is>
          <t>SI</t>
        </is>
      </c>
      <c r="E161" s="12" t="inlineStr">
        <is>
          <t>Database</t>
        </is>
      </c>
      <c r="F161" s="12" t="inlineStr">
        <is>
          <t>SI-6</t>
        </is>
      </c>
      <c r="G161" s="13">
        <f>IFERROR('[Database.xlsx]SI-6'!B20,"Not Started")</f>
        <v/>
      </c>
      <c r="H161" s="14">
        <f>IF(OR(G161="Passed",G161="Accepted Exception"),"GREEN",IF(OR(G161="Not Started",G161="Failed"),"RED","AMBER"))</f>
        <v/>
      </c>
      <c r="I161" s="15">
        <f>IFERROR('[Database.xlsx]SI-6'!E20,"Non commencé")</f>
        <v/>
      </c>
      <c r="J161" s="16">
        <f>IF(OR(I161="Réussi",I161="Exception acceptée"),"GREEN",IF(OR(I161="Non commencé",I161="Échec"),"RED","AMBER"))</f>
        <v/>
      </c>
      <c r="K161" s="12" t="inlineStr"/>
      <c r="L161" s="12" t="inlineStr"/>
      <c r="M161" s="17" t="inlineStr"/>
    </row>
    <row r="162" ht="18" customHeight="1">
      <c r="A162" s="18" t="inlineStr">
        <is>
          <t>AC-2(4)</t>
        </is>
      </c>
      <c r="B162" s="19" t="inlineStr">
        <is>
          <t>Account Management</t>
        </is>
      </c>
      <c r="C162" s="19" t="inlineStr">
        <is>
          <t>DevOps</t>
        </is>
      </c>
      <c r="D162" s="18" t="inlineStr">
        <is>
          <t>AC</t>
        </is>
      </c>
      <c r="E162" s="19" t="inlineStr">
        <is>
          <t>DevOps</t>
        </is>
      </c>
      <c r="F162" s="19" t="inlineStr">
        <is>
          <t>AC-2-4</t>
        </is>
      </c>
      <c r="G162" s="20">
        <f>IFERROR('[DevOps.xlsx]AC-2-4'!B20,"Not Started")</f>
        <v/>
      </c>
      <c r="H162" s="14">
        <f>IF(OR(G162="Passed",G162="Accepted Exception"),"GREEN",IF(OR(G162="Not Started",G162="Failed"),"RED","AMBER"))</f>
        <v/>
      </c>
      <c r="I162" s="21">
        <f>IFERROR('[DevOps.xlsx]AC-2-4'!E20,"Non commencé")</f>
        <v/>
      </c>
      <c r="J162" s="16">
        <f>IF(OR(I162="Réussi",I162="Exception acceptée"),"GREEN",IF(OR(I162="Non commencé",I162="Échec"),"RED","AMBER"))</f>
        <v/>
      </c>
      <c r="K162" s="19" t="inlineStr"/>
      <c r="L162" s="19" t="inlineStr"/>
      <c r="M162" s="22" t="inlineStr"/>
    </row>
    <row r="163" ht="18" customHeight="1">
      <c r="A163" s="11" t="inlineStr">
        <is>
          <t>AC-2(5)</t>
        </is>
      </c>
      <c r="B163" s="12" t="inlineStr">
        <is>
          <t>Account Management</t>
        </is>
      </c>
      <c r="C163" s="12" t="inlineStr">
        <is>
          <t>DevOps</t>
        </is>
      </c>
      <c r="D163" s="11" t="inlineStr">
        <is>
          <t>AC</t>
        </is>
      </c>
      <c r="E163" s="12" t="inlineStr">
        <is>
          <t>DevOps</t>
        </is>
      </c>
      <c r="F163" s="12" t="inlineStr">
        <is>
          <t>AC-2-5</t>
        </is>
      </c>
      <c r="G163" s="13">
        <f>IFERROR('[DevOps.xlsx]AC-2-5'!B20,"Not Started")</f>
        <v/>
      </c>
      <c r="H163" s="14">
        <f>IF(OR(G163="Passed",G163="Accepted Exception"),"GREEN",IF(OR(G163="Not Started",G163="Failed"),"RED","AMBER"))</f>
        <v/>
      </c>
      <c r="I163" s="15">
        <f>IFERROR('[DevOps.xlsx]AC-2-5'!E20,"Non commencé")</f>
        <v/>
      </c>
      <c r="J163" s="16">
        <f>IF(OR(I163="Réussi",I163="Exception acceptée"),"GREEN",IF(OR(I163="Non commencé",I163="Échec"),"RED","AMBER"))</f>
        <v/>
      </c>
      <c r="K163" s="12" t="inlineStr"/>
      <c r="L163" s="12" t="inlineStr"/>
      <c r="M163" s="17" t="inlineStr"/>
    </row>
    <row r="164" ht="18" customHeight="1">
      <c r="A164" s="18" t="inlineStr">
        <is>
          <t>AC-2(7)</t>
        </is>
      </c>
      <c r="B164" s="19" t="inlineStr">
        <is>
          <t>Account Management</t>
        </is>
      </c>
      <c r="C164" s="19" t="inlineStr">
        <is>
          <t>DevOps</t>
        </is>
      </c>
      <c r="D164" s="18" t="inlineStr">
        <is>
          <t>AC</t>
        </is>
      </c>
      <c r="E164" s="19" t="inlineStr">
        <is>
          <t>DevOps</t>
        </is>
      </c>
      <c r="F164" s="19" t="inlineStr">
        <is>
          <t>AC-2-7</t>
        </is>
      </c>
      <c r="G164" s="20">
        <f>IFERROR('[DevOps.xlsx]AC-2-7'!B20,"Not Started")</f>
        <v/>
      </c>
      <c r="H164" s="14">
        <f>IF(OR(G164="Passed",G164="Accepted Exception"),"GREEN",IF(OR(G164="Not Started",G164="Failed"),"RED","AMBER"))</f>
        <v/>
      </c>
      <c r="I164" s="21">
        <f>IFERROR('[DevOps.xlsx]AC-2-7'!E20,"Non commencé")</f>
        <v/>
      </c>
      <c r="J164" s="16">
        <f>IF(OR(I164="Réussi",I164="Exception acceptée"),"GREEN",IF(OR(I164="Non commencé",I164="Échec"),"RED","AMBER"))</f>
        <v/>
      </c>
      <c r="K164" s="19" t="inlineStr"/>
      <c r="L164" s="19" t="inlineStr"/>
      <c r="M164" s="22" t="inlineStr"/>
    </row>
    <row r="165" ht="18" customHeight="1">
      <c r="A165" s="11" t="inlineStr">
        <is>
          <t>AC-6</t>
        </is>
      </c>
      <c r="B165" s="12" t="inlineStr">
        <is>
          <t>Least Privilege</t>
        </is>
      </c>
      <c r="C165" s="12" t="inlineStr">
        <is>
          <t>DevOps</t>
        </is>
      </c>
      <c r="D165" s="11" t="inlineStr">
        <is>
          <t>AC</t>
        </is>
      </c>
      <c r="E165" s="12" t="inlineStr">
        <is>
          <t>DevOps</t>
        </is>
      </c>
      <c r="F165" s="12" t="inlineStr">
        <is>
          <t>AC-6</t>
        </is>
      </c>
      <c r="G165" s="13">
        <f>IFERROR('[DevOps.xlsx]AC-6'!B20,"Not Started")</f>
        <v/>
      </c>
      <c r="H165" s="14">
        <f>IF(OR(G165="Passed",G165="Accepted Exception"),"GREEN",IF(OR(G165="Not Started",G165="Failed"),"RED","AMBER"))</f>
        <v/>
      </c>
      <c r="I165" s="15">
        <f>IFERROR('[DevOps.xlsx]AC-6'!E20,"Non commencé")</f>
        <v/>
      </c>
      <c r="J165" s="16">
        <f>IF(OR(I165="Réussi",I165="Exception acceptée"),"GREEN",IF(OR(I165="Non commencé",I165="Échec"),"RED","AMBER"))</f>
        <v/>
      </c>
      <c r="K165" s="12" t="inlineStr"/>
      <c r="L165" s="12" t="inlineStr"/>
      <c r="M165" s="17" t="inlineStr"/>
    </row>
    <row r="166" ht="18" customHeight="1">
      <c r="A166" s="18" t="inlineStr">
        <is>
          <t>AC-6(1)</t>
        </is>
      </c>
      <c r="B166" s="19" t="inlineStr">
        <is>
          <t>Least Privilege</t>
        </is>
      </c>
      <c r="C166" s="19" t="inlineStr">
        <is>
          <t>DevOps</t>
        </is>
      </c>
      <c r="D166" s="18" t="inlineStr">
        <is>
          <t>AC</t>
        </is>
      </c>
      <c r="E166" s="19" t="inlineStr">
        <is>
          <t>DevOps</t>
        </is>
      </c>
      <c r="F166" s="19" t="inlineStr">
        <is>
          <t>AC-6-1</t>
        </is>
      </c>
      <c r="G166" s="20">
        <f>IFERROR('[DevOps.xlsx]AC-6-1'!B20,"Not Started")</f>
        <v/>
      </c>
      <c r="H166" s="14">
        <f>IF(OR(G166="Passed",G166="Accepted Exception"),"GREEN",IF(OR(G166="Not Started",G166="Failed"),"RED","AMBER"))</f>
        <v/>
      </c>
      <c r="I166" s="21">
        <f>IFERROR('[DevOps.xlsx]AC-6-1'!E20,"Non commencé")</f>
        <v/>
      </c>
      <c r="J166" s="16">
        <f>IF(OR(I166="Réussi",I166="Exception acceptée"),"GREEN",IF(OR(I166="Non commencé",I166="Échec"),"RED","AMBER"))</f>
        <v/>
      </c>
      <c r="K166" s="19" t="inlineStr"/>
      <c r="L166" s="19" t="inlineStr"/>
      <c r="M166" s="22" t="inlineStr"/>
    </row>
    <row r="167" ht="18" customHeight="1">
      <c r="A167" s="11" t="inlineStr">
        <is>
          <t>AC-6(9)</t>
        </is>
      </c>
      <c r="B167" s="12" t="inlineStr">
        <is>
          <t>Least Privilege</t>
        </is>
      </c>
      <c r="C167" s="12" t="inlineStr">
        <is>
          <t>DevOps</t>
        </is>
      </c>
      <c r="D167" s="11" t="inlineStr">
        <is>
          <t>AC</t>
        </is>
      </c>
      <c r="E167" s="12" t="inlineStr">
        <is>
          <t>DevOps</t>
        </is>
      </c>
      <c r="F167" s="12" t="inlineStr">
        <is>
          <t>AC-6-9</t>
        </is>
      </c>
      <c r="G167" s="13">
        <f>IFERROR('[DevOps.xlsx]AC-6-9'!B20,"Not Started")</f>
        <v/>
      </c>
      <c r="H167" s="14">
        <f>IF(OR(G167="Passed",G167="Accepted Exception"),"GREEN",IF(OR(G167="Not Started",G167="Failed"),"RED","AMBER"))</f>
        <v/>
      </c>
      <c r="I167" s="15">
        <f>IFERROR('[DevOps.xlsx]AC-6-9'!E20,"Non commencé")</f>
        <v/>
      </c>
      <c r="J167" s="16">
        <f>IF(OR(I167="Réussi",I167="Exception acceptée"),"GREEN",IF(OR(I167="Non commencé",I167="Échec"),"RED","AMBER"))</f>
        <v/>
      </c>
      <c r="K167" s="12" t="inlineStr"/>
      <c r="L167" s="12" t="inlineStr"/>
      <c r="M167" s="17" t="inlineStr"/>
    </row>
    <row r="168" ht="18" customHeight="1">
      <c r="A168" s="18" t="inlineStr">
        <is>
          <t>AC-17(1)</t>
        </is>
      </c>
      <c r="B168" s="19" t="inlineStr">
        <is>
          <t>Remote Access</t>
        </is>
      </c>
      <c r="C168" s="19" t="inlineStr">
        <is>
          <t>DevOps</t>
        </is>
      </c>
      <c r="D168" s="18" t="inlineStr">
        <is>
          <t>AC</t>
        </is>
      </c>
      <c r="E168" s="19" t="inlineStr">
        <is>
          <t>DevOps</t>
        </is>
      </c>
      <c r="F168" s="19" t="inlineStr">
        <is>
          <t>AC-17-1</t>
        </is>
      </c>
      <c r="G168" s="20">
        <f>IFERROR('[DevOps.xlsx]AC-17-1'!B20,"Not Started")</f>
        <v/>
      </c>
      <c r="H168" s="14">
        <f>IF(OR(G168="Passed",G168="Accepted Exception"),"GREEN",IF(OR(G168="Not Started",G168="Failed"),"RED","AMBER"))</f>
        <v/>
      </c>
      <c r="I168" s="21">
        <f>IFERROR('[DevOps.xlsx]AC-17-1'!E20,"Non commencé")</f>
        <v/>
      </c>
      <c r="J168" s="16">
        <f>IF(OR(I168="Réussi",I168="Exception acceptée"),"GREEN",IF(OR(I168="Non commencé",I168="Échec"),"RED","AMBER"))</f>
        <v/>
      </c>
      <c r="K168" s="19" t="inlineStr"/>
      <c r="L168" s="19" t="inlineStr"/>
      <c r="M168" s="22" t="inlineStr"/>
    </row>
    <row r="169" ht="18" customHeight="1">
      <c r="A169" s="11" t="inlineStr">
        <is>
          <t>AU-2</t>
        </is>
      </c>
      <c r="B169" s="12" t="inlineStr">
        <is>
          <t>Auditable Events</t>
        </is>
      </c>
      <c r="C169" s="12" t="inlineStr">
        <is>
          <t>DevOps</t>
        </is>
      </c>
      <c r="D169" s="11" t="inlineStr">
        <is>
          <t>AU</t>
        </is>
      </c>
      <c r="E169" s="12" t="inlineStr">
        <is>
          <t>DevOps</t>
        </is>
      </c>
      <c r="F169" s="12" t="inlineStr">
        <is>
          <t>AU-2</t>
        </is>
      </c>
      <c r="G169" s="13">
        <f>IFERROR('[DevOps.xlsx]AU-2'!B20,"Not Started")</f>
        <v/>
      </c>
      <c r="H169" s="14">
        <f>IF(OR(G169="Passed",G169="Accepted Exception"),"GREEN",IF(OR(G169="Not Started",G169="Failed"),"RED","AMBER"))</f>
        <v/>
      </c>
      <c r="I169" s="15">
        <f>IFERROR('[DevOps.xlsx]AU-2'!E20,"Non commencé")</f>
        <v/>
      </c>
      <c r="J169" s="16">
        <f>IF(OR(I169="Réussi",I169="Exception acceptée"),"GREEN",IF(OR(I169="Non commencé",I169="Échec"),"RED","AMBER"))</f>
        <v/>
      </c>
      <c r="K169" s="12" t="inlineStr"/>
      <c r="L169" s="12" t="inlineStr"/>
      <c r="M169" s="17" t="inlineStr"/>
    </row>
    <row r="170" ht="18" customHeight="1">
      <c r="A170" s="18" t="inlineStr">
        <is>
          <t>AU-3</t>
        </is>
      </c>
      <c r="B170" s="19" t="inlineStr">
        <is>
          <t>Content of Audit Records</t>
        </is>
      </c>
      <c r="C170" s="19" t="inlineStr">
        <is>
          <t>DevOps</t>
        </is>
      </c>
      <c r="D170" s="18" t="inlineStr">
        <is>
          <t>AU</t>
        </is>
      </c>
      <c r="E170" s="19" t="inlineStr">
        <is>
          <t>DevOps</t>
        </is>
      </c>
      <c r="F170" s="19" t="inlineStr">
        <is>
          <t>AU-3</t>
        </is>
      </c>
      <c r="G170" s="20">
        <f>IFERROR('[DevOps.xlsx]AU-3'!B20,"Not Started")</f>
        <v/>
      </c>
      <c r="H170" s="14">
        <f>IF(OR(G170="Passed",G170="Accepted Exception"),"GREEN",IF(OR(G170="Not Started",G170="Failed"),"RED","AMBER"))</f>
        <v/>
      </c>
      <c r="I170" s="21">
        <f>IFERROR('[DevOps.xlsx]AU-3'!E20,"Non commencé")</f>
        <v/>
      </c>
      <c r="J170" s="16">
        <f>IF(OR(I170="Réussi",I170="Exception acceptée"),"GREEN",IF(OR(I170="Non commencé",I170="Échec"),"RED","AMBER"))</f>
        <v/>
      </c>
      <c r="K170" s="19" t="inlineStr"/>
      <c r="L170" s="19" t="inlineStr"/>
      <c r="M170" s="22" t="inlineStr"/>
    </row>
    <row r="171" ht="18" customHeight="1">
      <c r="A171" s="11" t="inlineStr">
        <is>
          <t>AU-3(1)</t>
        </is>
      </c>
      <c r="B171" s="12" t="inlineStr">
        <is>
          <t>Content of Audit Records</t>
        </is>
      </c>
      <c r="C171" s="12" t="inlineStr">
        <is>
          <t>DevOps</t>
        </is>
      </c>
      <c r="D171" s="11" t="inlineStr">
        <is>
          <t>AU</t>
        </is>
      </c>
      <c r="E171" s="12" t="inlineStr">
        <is>
          <t>DevOps</t>
        </is>
      </c>
      <c r="F171" s="12" t="inlineStr">
        <is>
          <t>AU-3-1</t>
        </is>
      </c>
      <c r="G171" s="13">
        <f>IFERROR('[DevOps.xlsx]AU-3-1'!B20,"Not Started")</f>
        <v/>
      </c>
      <c r="H171" s="14">
        <f>IF(OR(G171="Passed",G171="Accepted Exception"),"GREEN",IF(OR(G171="Not Started",G171="Failed"),"RED","AMBER"))</f>
        <v/>
      </c>
      <c r="I171" s="15">
        <f>IFERROR('[DevOps.xlsx]AU-3-1'!E20,"Non commencé")</f>
        <v/>
      </c>
      <c r="J171" s="16">
        <f>IF(OR(I171="Réussi",I171="Exception acceptée"),"GREEN",IF(OR(I171="Non commencé",I171="Échec"),"RED","AMBER"))</f>
        <v/>
      </c>
      <c r="K171" s="12" t="inlineStr"/>
      <c r="L171" s="12" t="inlineStr"/>
      <c r="M171" s="17" t="inlineStr"/>
    </row>
    <row r="172" ht="18" customHeight="1">
      <c r="A172" s="18" t="inlineStr">
        <is>
          <t>AU-5</t>
        </is>
      </c>
      <c r="B172" s="19" t="inlineStr">
        <is>
          <t>Response To Audit Processing Failures</t>
        </is>
      </c>
      <c r="C172" s="19" t="inlineStr">
        <is>
          <t>DevOps</t>
        </is>
      </c>
      <c r="D172" s="18" t="inlineStr">
        <is>
          <t>AU</t>
        </is>
      </c>
      <c r="E172" s="19" t="inlineStr">
        <is>
          <t>DevOps</t>
        </is>
      </c>
      <c r="F172" s="19" t="inlineStr">
        <is>
          <t>AU-5</t>
        </is>
      </c>
      <c r="G172" s="20">
        <f>IFERROR('[DevOps.xlsx]AU-5'!B20,"Not Started")</f>
        <v/>
      </c>
      <c r="H172" s="14">
        <f>IF(OR(G172="Passed",G172="Accepted Exception"),"GREEN",IF(OR(G172="Not Started",G172="Failed"),"RED","AMBER"))</f>
        <v/>
      </c>
      <c r="I172" s="21">
        <f>IFERROR('[DevOps.xlsx]AU-5'!E20,"Non commencé")</f>
        <v/>
      </c>
      <c r="J172" s="16">
        <f>IF(OR(I172="Réussi",I172="Exception acceptée"),"GREEN",IF(OR(I172="Non commencé",I172="Échec"),"RED","AMBER"))</f>
        <v/>
      </c>
      <c r="K172" s="19" t="inlineStr"/>
      <c r="L172" s="19" t="inlineStr"/>
      <c r="M172" s="22" t="inlineStr"/>
    </row>
    <row r="173" ht="18" customHeight="1">
      <c r="A173" s="11" t="inlineStr">
        <is>
          <t>AU-6(1)</t>
        </is>
      </c>
      <c r="B173" s="12" t="inlineStr">
        <is>
          <t>Audit Review, Analysis, and Reporting</t>
        </is>
      </c>
      <c r="C173" s="12" t="inlineStr">
        <is>
          <t>DevOps</t>
        </is>
      </c>
      <c r="D173" s="11" t="inlineStr">
        <is>
          <t>AU</t>
        </is>
      </c>
      <c r="E173" s="12" t="inlineStr">
        <is>
          <t>DevOps</t>
        </is>
      </c>
      <c r="F173" s="12" t="inlineStr">
        <is>
          <t>AU-6-1</t>
        </is>
      </c>
      <c r="G173" s="13">
        <f>IFERROR('[DevOps.xlsx]AU-6-1'!B20,"Not Started")</f>
        <v/>
      </c>
      <c r="H173" s="14">
        <f>IF(OR(G173="Passed",G173="Accepted Exception"),"GREEN",IF(OR(G173="Not Started",G173="Failed"),"RED","AMBER"))</f>
        <v/>
      </c>
      <c r="I173" s="15">
        <f>IFERROR('[DevOps.xlsx]AU-6-1'!E20,"Non commencé")</f>
        <v/>
      </c>
      <c r="J173" s="16">
        <f>IF(OR(I173="Réussi",I173="Exception acceptée"),"GREEN",IF(OR(I173="Non commencé",I173="Échec"),"RED","AMBER"))</f>
        <v/>
      </c>
      <c r="K173" s="12" t="inlineStr"/>
      <c r="L173" s="12" t="inlineStr"/>
      <c r="M173" s="17" t="inlineStr"/>
    </row>
    <row r="174" ht="18" customHeight="1">
      <c r="A174" s="18" t="inlineStr">
        <is>
          <t>AU-6(3)</t>
        </is>
      </c>
      <c r="B174" s="19" t="inlineStr">
        <is>
          <t>Audit Review, Analysis, and Reporting</t>
        </is>
      </c>
      <c r="C174" s="19" t="inlineStr">
        <is>
          <t>DevOps</t>
        </is>
      </c>
      <c r="D174" s="18" t="inlineStr">
        <is>
          <t>AU</t>
        </is>
      </c>
      <c r="E174" s="19" t="inlineStr">
        <is>
          <t>DevOps</t>
        </is>
      </c>
      <c r="F174" s="19" t="inlineStr">
        <is>
          <t>AU-6-3</t>
        </is>
      </c>
      <c r="G174" s="20">
        <f>IFERROR('[DevOps.xlsx]AU-6-3'!B20,"Not Started")</f>
        <v/>
      </c>
      <c r="H174" s="14">
        <f>IF(OR(G174="Passed",G174="Accepted Exception"),"GREEN",IF(OR(G174="Not Started",G174="Failed"),"RED","AMBER"))</f>
        <v/>
      </c>
      <c r="I174" s="21">
        <f>IFERROR('[DevOps.xlsx]AU-6-3'!E20,"Non commencé")</f>
        <v/>
      </c>
      <c r="J174" s="16">
        <f>IF(OR(I174="Réussi",I174="Exception acceptée"),"GREEN",IF(OR(I174="Non commencé",I174="Échec"),"RED","AMBER"))</f>
        <v/>
      </c>
      <c r="K174" s="19" t="inlineStr"/>
      <c r="L174" s="19" t="inlineStr"/>
      <c r="M174" s="22" t="inlineStr"/>
    </row>
    <row r="175" ht="18" customHeight="1">
      <c r="A175" s="11" t="inlineStr">
        <is>
          <t>AU-7</t>
        </is>
      </c>
      <c r="B175" s="12" t="inlineStr">
        <is>
          <t>Audit Reduction and Report Generation</t>
        </is>
      </c>
      <c r="C175" s="12" t="inlineStr">
        <is>
          <t>DevOps</t>
        </is>
      </c>
      <c r="D175" s="11" t="inlineStr">
        <is>
          <t>AU</t>
        </is>
      </c>
      <c r="E175" s="12" t="inlineStr">
        <is>
          <t>DevOps</t>
        </is>
      </c>
      <c r="F175" s="12" t="inlineStr">
        <is>
          <t>AU-7</t>
        </is>
      </c>
      <c r="G175" s="13">
        <f>IFERROR('[DevOps.xlsx]AU-7'!B20,"Not Started")</f>
        <v/>
      </c>
      <c r="H175" s="14">
        <f>IF(OR(G175="Passed",G175="Accepted Exception"),"GREEN",IF(OR(G175="Not Started",G175="Failed"),"RED","AMBER"))</f>
        <v/>
      </c>
      <c r="I175" s="15">
        <f>IFERROR('[DevOps.xlsx]AU-7'!E20,"Non commencé")</f>
        <v/>
      </c>
      <c r="J175" s="16">
        <f>IF(OR(I175="Réussi",I175="Exception acceptée"),"GREEN",IF(OR(I175="Non commencé",I175="Échec"),"RED","AMBER"))</f>
        <v/>
      </c>
      <c r="K175" s="12" t="inlineStr"/>
      <c r="L175" s="12" t="inlineStr"/>
      <c r="M175" s="17" t="inlineStr"/>
    </row>
    <row r="176" ht="18" customHeight="1">
      <c r="A176" s="18" t="inlineStr">
        <is>
          <t>AU-7(1)</t>
        </is>
      </c>
      <c r="B176" s="19" t="inlineStr">
        <is>
          <t>Audit Reduction and Report Generation</t>
        </is>
      </c>
      <c r="C176" s="19" t="inlineStr">
        <is>
          <t>DevOps</t>
        </is>
      </c>
      <c r="D176" s="18" t="inlineStr">
        <is>
          <t>AU</t>
        </is>
      </c>
      <c r="E176" s="19" t="inlineStr">
        <is>
          <t>DevOps</t>
        </is>
      </c>
      <c r="F176" s="19" t="inlineStr">
        <is>
          <t>AU-7-1</t>
        </is>
      </c>
      <c r="G176" s="20">
        <f>IFERROR('[DevOps.xlsx]AU-7-1'!B20,"Not Started")</f>
        <v/>
      </c>
      <c r="H176" s="14">
        <f>IF(OR(G176="Passed",G176="Accepted Exception"),"GREEN",IF(OR(G176="Not Started",G176="Failed"),"RED","AMBER"))</f>
        <v/>
      </c>
      <c r="I176" s="21">
        <f>IFERROR('[DevOps.xlsx]AU-7-1'!E20,"Non commencé")</f>
        <v/>
      </c>
      <c r="J176" s="16">
        <f>IF(OR(I176="Réussi",I176="Exception acceptée"),"GREEN",IF(OR(I176="Non commencé",I176="Échec"),"RED","AMBER"))</f>
        <v/>
      </c>
      <c r="K176" s="19" t="inlineStr"/>
      <c r="L176" s="19" t="inlineStr"/>
      <c r="M176" s="22" t="inlineStr"/>
    </row>
    <row r="177" ht="18" customHeight="1">
      <c r="A177" s="11" t="inlineStr">
        <is>
          <t>AU-8</t>
        </is>
      </c>
      <c r="B177" s="12" t="inlineStr">
        <is>
          <t>Time Stamps</t>
        </is>
      </c>
      <c r="C177" s="12" t="inlineStr">
        <is>
          <t>DevOps</t>
        </is>
      </c>
      <c r="D177" s="11" t="inlineStr">
        <is>
          <t>AU</t>
        </is>
      </c>
      <c r="E177" s="12" t="inlineStr">
        <is>
          <t>DevOps</t>
        </is>
      </c>
      <c r="F177" s="12" t="inlineStr">
        <is>
          <t>AU-8</t>
        </is>
      </c>
      <c r="G177" s="13">
        <f>IFERROR('[DevOps.xlsx]AU-8'!B20,"Not Started")</f>
        <v/>
      </c>
      <c r="H177" s="14">
        <f>IF(OR(G177="Passed",G177="Accepted Exception"),"GREEN",IF(OR(G177="Not Started",G177="Failed"),"RED","AMBER"))</f>
        <v/>
      </c>
      <c r="I177" s="15">
        <f>IFERROR('[DevOps.xlsx]AU-8'!E20,"Non commencé")</f>
        <v/>
      </c>
      <c r="J177" s="16">
        <f>IF(OR(I177="Réussi",I177="Exception acceptée"),"GREEN",IF(OR(I177="Non commencé",I177="Échec"),"RED","AMBER"))</f>
        <v/>
      </c>
      <c r="K177" s="12" t="inlineStr"/>
      <c r="L177" s="12" t="inlineStr"/>
      <c r="M177" s="17" t="inlineStr"/>
    </row>
    <row r="178" ht="18" customHeight="1">
      <c r="A178" s="18" t="inlineStr">
        <is>
          <t>AU-8(1)</t>
        </is>
      </c>
      <c r="B178" s="19" t="inlineStr">
        <is>
          <t>Time Stamps</t>
        </is>
      </c>
      <c r="C178" s="19" t="inlineStr">
        <is>
          <t>DevOps</t>
        </is>
      </c>
      <c r="D178" s="18" t="inlineStr">
        <is>
          <t>AU</t>
        </is>
      </c>
      <c r="E178" s="19" t="inlineStr">
        <is>
          <t>DevOps</t>
        </is>
      </c>
      <c r="F178" s="19" t="inlineStr">
        <is>
          <t>AU-8-1</t>
        </is>
      </c>
      <c r="G178" s="20">
        <f>IFERROR('[DevOps.xlsx]AU-8-1'!B20,"Not Started")</f>
        <v/>
      </c>
      <c r="H178" s="14">
        <f>IF(OR(G178="Passed",G178="Accepted Exception"),"GREEN",IF(OR(G178="Not Started",G178="Failed"),"RED","AMBER"))</f>
        <v/>
      </c>
      <c r="I178" s="21">
        <f>IFERROR('[DevOps.xlsx]AU-8-1'!E20,"Non commencé")</f>
        <v/>
      </c>
      <c r="J178" s="16">
        <f>IF(OR(I178="Réussi",I178="Exception acceptée"),"GREEN",IF(OR(I178="Non commencé",I178="Échec"),"RED","AMBER"))</f>
        <v/>
      </c>
      <c r="K178" s="19" t="inlineStr"/>
      <c r="L178" s="19" t="inlineStr"/>
      <c r="M178" s="22" t="inlineStr"/>
    </row>
    <row r="179" ht="18" customHeight="1">
      <c r="A179" s="11" t="inlineStr">
        <is>
          <t>AU-9</t>
        </is>
      </c>
      <c r="B179" s="12" t="inlineStr">
        <is>
          <t>Protection of Audit Information</t>
        </is>
      </c>
      <c r="C179" s="12" t="inlineStr">
        <is>
          <t>DevOps</t>
        </is>
      </c>
      <c r="D179" s="11" t="inlineStr">
        <is>
          <t>AU</t>
        </is>
      </c>
      <c r="E179" s="12" t="inlineStr">
        <is>
          <t>DevOps</t>
        </is>
      </c>
      <c r="F179" s="12" t="inlineStr">
        <is>
          <t>AU-9</t>
        </is>
      </c>
      <c r="G179" s="13">
        <f>IFERROR('[DevOps.xlsx]AU-9'!B20,"Not Started")</f>
        <v/>
      </c>
      <c r="H179" s="14">
        <f>IF(OR(G179="Passed",G179="Accepted Exception"),"GREEN",IF(OR(G179="Not Started",G179="Failed"),"RED","AMBER"))</f>
        <v/>
      </c>
      <c r="I179" s="15">
        <f>IFERROR('[DevOps.xlsx]AU-9'!E20,"Non commencé")</f>
        <v/>
      </c>
      <c r="J179" s="16">
        <f>IF(OR(I179="Réussi",I179="Exception acceptée"),"GREEN",IF(OR(I179="Non commencé",I179="Échec"),"RED","AMBER"))</f>
        <v/>
      </c>
      <c r="K179" s="12" t="inlineStr"/>
      <c r="L179" s="12" t="inlineStr"/>
      <c r="M179" s="17" t="inlineStr"/>
    </row>
    <row r="180" ht="18" customHeight="1">
      <c r="A180" s="18" t="inlineStr">
        <is>
          <t>AU-9(2)</t>
        </is>
      </c>
      <c r="B180" s="19" t="inlineStr">
        <is>
          <t>Protection of Audit Information</t>
        </is>
      </c>
      <c r="C180" s="19" t="inlineStr">
        <is>
          <t>DevOps</t>
        </is>
      </c>
      <c r="D180" s="18" t="inlineStr">
        <is>
          <t>AU</t>
        </is>
      </c>
      <c r="E180" s="19" t="inlineStr">
        <is>
          <t>DevOps</t>
        </is>
      </c>
      <c r="F180" s="19" t="inlineStr">
        <is>
          <t>AU-9-2</t>
        </is>
      </c>
      <c r="G180" s="20">
        <f>IFERROR('[DevOps.xlsx]AU-9-2'!B20,"Not Started")</f>
        <v/>
      </c>
      <c r="H180" s="14">
        <f>IF(OR(G180="Passed",G180="Accepted Exception"),"GREEN",IF(OR(G180="Not Started",G180="Failed"),"RED","AMBER"))</f>
        <v/>
      </c>
      <c r="I180" s="21">
        <f>IFERROR('[DevOps.xlsx]AU-9-2'!E20,"Non commencé")</f>
        <v/>
      </c>
      <c r="J180" s="16">
        <f>IF(OR(I180="Réussi",I180="Exception acceptée"),"GREEN",IF(OR(I180="Non commencé",I180="Échec"),"RED","AMBER"))</f>
        <v/>
      </c>
      <c r="K180" s="19" t="inlineStr"/>
      <c r="L180" s="19" t="inlineStr"/>
      <c r="M180" s="22" t="inlineStr"/>
    </row>
    <row r="181" ht="18" customHeight="1">
      <c r="A181" s="11" t="inlineStr">
        <is>
          <t>AU-9(4)</t>
        </is>
      </c>
      <c r="B181" s="12" t="inlineStr">
        <is>
          <t>Protection of Audit Information</t>
        </is>
      </c>
      <c r="C181" s="12" t="inlineStr">
        <is>
          <t>DevOps</t>
        </is>
      </c>
      <c r="D181" s="11" t="inlineStr">
        <is>
          <t>AU</t>
        </is>
      </c>
      <c r="E181" s="12" t="inlineStr">
        <is>
          <t>DevOps</t>
        </is>
      </c>
      <c r="F181" s="12" t="inlineStr">
        <is>
          <t>AU-9-4</t>
        </is>
      </c>
      <c r="G181" s="13">
        <f>IFERROR('[DevOps.xlsx]AU-9-4'!B20,"Not Started")</f>
        <v/>
      </c>
      <c r="H181" s="14">
        <f>IF(OR(G181="Passed",G181="Accepted Exception"),"GREEN",IF(OR(G181="Not Started",G181="Failed"),"RED","AMBER"))</f>
        <v/>
      </c>
      <c r="I181" s="15">
        <f>IFERROR('[DevOps.xlsx]AU-9-4'!E20,"Non commencé")</f>
        <v/>
      </c>
      <c r="J181" s="16">
        <f>IF(OR(I181="Réussi",I181="Exception acceptée"),"GREEN",IF(OR(I181="Non commencé",I181="Échec"),"RED","AMBER"))</f>
        <v/>
      </c>
      <c r="K181" s="12" t="inlineStr"/>
      <c r="L181" s="12" t="inlineStr"/>
      <c r="M181" s="17" t="inlineStr"/>
    </row>
    <row r="182" ht="18" customHeight="1">
      <c r="A182" s="18" t="inlineStr">
        <is>
          <t>AU-11</t>
        </is>
      </c>
      <c r="B182" s="19" t="inlineStr">
        <is>
          <t>Audit Record Retention</t>
        </is>
      </c>
      <c r="C182" s="19" t="inlineStr">
        <is>
          <t>DevOps</t>
        </is>
      </c>
      <c r="D182" s="18" t="inlineStr">
        <is>
          <t>AU</t>
        </is>
      </c>
      <c r="E182" s="19" t="inlineStr">
        <is>
          <t>DevOps</t>
        </is>
      </c>
      <c r="F182" s="19" t="inlineStr">
        <is>
          <t>AU-11</t>
        </is>
      </c>
      <c r="G182" s="20">
        <f>IFERROR('[DevOps.xlsx]AU-11'!B20,"Not Started")</f>
        <v/>
      </c>
      <c r="H182" s="14">
        <f>IF(OR(G182="Passed",G182="Accepted Exception"),"GREEN",IF(OR(G182="Not Started",G182="Failed"),"RED","AMBER"))</f>
        <v/>
      </c>
      <c r="I182" s="21">
        <f>IFERROR('[DevOps.xlsx]AU-11'!E20,"Non commencé")</f>
        <v/>
      </c>
      <c r="J182" s="16">
        <f>IF(OR(I182="Réussi",I182="Exception acceptée"),"GREEN",IF(OR(I182="Non commencé",I182="Échec"),"RED","AMBER"))</f>
        <v/>
      </c>
      <c r="K182" s="19" t="inlineStr"/>
      <c r="L182" s="19" t="inlineStr"/>
      <c r="M182" s="22" t="inlineStr"/>
    </row>
    <row r="183" ht="18" customHeight="1">
      <c r="A183" s="11" t="inlineStr">
        <is>
          <t>AU-12</t>
        </is>
      </c>
      <c r="B183" s="12" t="inlineStr">
        <is>
          <t>Audit Generation</t>
        </is>
      </c>
      <c r="C183" s="12" t="inlineStr">
        <is>
          <t>DevOps</t>
        </is>
      </c>
      <c r="D183" s="11" t="inlineStr">
        <is>
          <t>AU</t>
        </is>
      </c>
      <c r="E183" s="12" t="inlineStr">
        <is>
          <t>DevOps</t>
        </is>
      </c>
      <c r="F183" s="12" t="inlineStr">
        <is>
          <t>AU-12</t>
        </is>
      </c>
      <c r="G183" s="13">
        <f>IFERROR('[DevOps.xlsx]AU-12'!B20,"Not Started")</f>
        <v/>
      </c>
      <c r="H183" s="14">
        <f>IF(OR(G183="Passed",G183="Accepted Exception"),"GREEN",IF(OR(G183="Not Started",G183="Failed"),"RED","AMBER"))</f>
        <v/>
      </c>
      <c r="I183" s="15">
        <f>IFERROR('[DevOps.xlsx]AU-12'!E20,"Non commencé")</f>
        <v/>
      </c>
      <c r="J183" s="16">
        <f>IF(OR(I183="Réussi",I183="Exception acceptée"),"GREEN",IF(OR(I183="Non commencé",I183="Échec"),"RED","AMBER"))</f>
        <v/>
      </c>
      <c r="K183" s="12" t="inlineStr"/>
      <c r="L183" s="12" t="inlineStr"/>
      <c r="M183" s="17" t="inlineStr"/>
    </row>
    <row r="184" ht="18" customHeight="1">
      <c r="A184" s="18" t="inlineStr">
        <is>
          <t>CM-3</t>
        </is>
      </c>
      <c r="B184" s="19" t="inlineStr">
        <is>
          <t>Configuration Change Control</t>
        </is>
      </c>
      <c r="C184" s="19" t="inlineStr">
        <is>
          <t>DevOps</t>
        </is>
      </c>
      <c r="D184" s="18" t="inlineStr">
        <is>
          <t>CM</t>
        </is>
      </c>
      <c r="E184" s="19" t="inlineStr">
        <is>
          <t>DevOps</t>
        </is>
      </c>
      <c r="F184" s="19" t="inlineStr">
        <is>
          <t>CM-3</t>
        </is>
      </c>
      <c r="G184" s="20">
        <f>IFERROR('[DevOps.xlsx]CM-3'!B20,"Not Started")</f>
        <v/>
      </c>
      <c r="H184" s="14">
        <f>IF(OR(G184="Passed",G184="Accepted Exception"),"GREEN",IF(OR(G184="Not Started",G184="Failed"),"RED","AMBER"))</f>
        <v/>
      </c>
      <c r="I184" s="21">
        <f>IFERROR('[DevOps.xlsx]CM-3'!E20,"Non commencé")</f>
        <v/>
      </c>
      <c r="J184" s="16">
        <f>IF(OR(I184="Réussi",I184="Exception acceptée"),"GREEN",IF(OR(I184="Non commencé",I184="Échec"),"RED","AMBER"))</f>
        <v/>
      </c>
      <c r="K184" s="19" t="inlineStr"/>
      <c r="L184" s="19" t="inlineStr"/>
      <c r="M184" s="22" t="inlineStr"/>
    </row>
    <row r="185" ht="18" customHeight="1">
      <c r="A185" s="11" t="inlineStr">
        <is>
          <t>CM-5(1)</t>
        </is>
      </c>
      <c r="B185" s="12" t="inlineStr">
        <is>
          <t>Access Restrictions for Change</t>
        </is>
      </c>
      <c r="C185" s="12" t="inlineStr">
        <is>
          <t>DevOps</t>
        </is>
      </c>
      <c r="D185" s="11" t="inlineStr">
        <is>
          <t>CM</t>
        </is>
      </c>
      <c r="E185" s="12" t="inlineStr">
        <is>
          <t>DevOps</t>
        </is>
      </c>
      <c r="F185" s="12" t="inlineStr">
        <is>
          <t>CM-5-1</t>
        </is>
      </c>
      <c r="G185" s="13">
        <f>IFERROR('[DevOps.xlsx]CM-5-1'!B20,"Not Started")</f>
        <v/>
      </c>
      <c r="H185" s="14">
        <f>IF(OR(G185="Passed",G185="Accepted Exception"),"GREEN",IF(OR(G185="Not Started",G185="Failed"),"RED","AMBER"))</f>
        <v/>
      </c>
      <c r="I185" s="15">
        <f>IFERROR('[DevOps.xlsx]CM-5-1'!E20,"Non commencé")</f>
        <v/>
      </c>
      <c r="J185" s="16">
        <f>IF(OR(I185="Réussi",I185="Exception acceptée"),"GREEN",IF(OR(I185="Non commencé",I185="Échec"),"RED","AMBER"))</f>
        <v/>
      </c>
      <c r="K185" s="12" t="inlineStr"/>
      <c r="L185" s="12" t="inlineStr"/>
      <c r="M185" s="17" t="inlineStr"/>
    </row>
    <row r="186" ht="18" customHeight="1">
      <c r="A186" s="18" t="inlineStr">
        <is>
          <t>CM-5(6)</t>
        </is>
      </c>
      <c r="B186" s="19" t="inlineStr">
        <is>
          <t>Access Restrictions for Change</t>
        </is>
      </c>
      <c r="C186" s="19" t="inlineStr">
        <is>
          <t>DevOps</t>
        </is>
      </c>
      <c r="D186" s="18" t="inlineStr">
        <is>
          <t>CM</t>
        </is>
      </c>
      <c r="E186" s="19" t="inlineStr">
        <is>
          <t>DevOps</t>
        </is>
      </c>
      <c r="F186" s="19" t="inlineStr">
        <is>
          <t>CM-5-6</t>
        </is>
      </c>
      <c r="G186" s="20">
        <f>IFERROR('[DevOps.xlsx]CM-5-6'!B20,"Not Started")</f>
        <v/>
      </c>
      <c r="H186" s="14">
        <f>IF(OR(G186="Passed",G186="Accepted Exception"),"GREEN",IF(OR(G186="Not Started",G186="Failed"),"RED","AMBER"))</f>
        <v/>
      </c>
      <c r="I186" s="21">
        <f>IFERROR('[DevOps.xlsx]CM-5-6'!E20,"Non commencé")</f>
        <v/>
      </c>
      <c r="J186" s="16">
        <f>IF(OR(I186="Réussi",I186="Exception acceptée"),"GREEN",IF(OR(I186="Non commencé",I186="Échec"),"RED","AMBER"))</f>
        <v/>
      </c>
      <c r="K186" s="19" t="inlineStr"/>
      <c r="L186" s="19" t="inlineStr"/>
      <c r="M186" s="22" t="inlineStr"/>
    </row>
    <row r="187" ht="18" customHeight="1">
      <c r="A187" s="11" t="inlineStr">
        <is>
          <t>CM-6</t>
        </is>
      </c>
      <c r="B187" s="12" t="inlineStr">
        <is>
          <t>Configuration Settings</t>
        </is>
      </c>
      <c r="C187" s="12" t="inlineStr">
        <is>
          <t>DevOps</t>
        </is>
      </c>
      <c r="D187" s="11" t="inlineStr">
        <is>
          <t>CM</t>
        </is>
      </c>
      <c r="E187" s="12" t="inlineStr">
        <is>
          <t>DevOps</t>
        </is>
      </c>
      <c r="F187" s="12" t="inlineStr">
        <is>
          <t>CM-6</t>
        </is>
      </c>
      <c r="G187" s="13">
        <f>IFERROR('[DevOps.xlsx]CM-6'!B20,"Not Started")</f>
        <v/>
      </c>
      <c r="H187" s="14">
        <f>IF(OR(G187="Passed",G187="Accepted Exception"),"GREEN",IF(OR(G187="Not Started",G187="Failed"),"RED","AMBER"))</f>
        <v/>
      </c>
      <c r="I187" s="15">
        <f>IFERROR('[DevOps.xlsx]CM-6'!E20,"Non commencé")</f>
        <v/>
      </c>
      <c r="J187" s="16">
        <f>IF(OR(I187="Réussi",I187="Exception acceptée"),"GREEN",IF(OR(I187="Non commencé",I187="Échec"),"RED","AMBER"))</f>
        <v/>
      </c>
      <c r="K187" s="12" t="inlineStr"/>
      <c r="L187" s="12" t="inlineStr"/>
      <c r="M187" s="17" t="inlineStr"/>
    </row>
    <row r="188" ht="18" customHeight="1">
      <c r="A188" s="18" t="inlineStr">
        <is>
          <t>CM-7</t>
        </is>
      </c>
      <c r="B188" s="19" t="inlineStr">
        <is>
          <t>Least Functionality</t>
        </is>
      </c>
      <c r="C188" s="19" t="inlineStr">
        <is>
          <t>DevOps</t>
        </is>
      </c>
      <c r="D188" s="18" t="inlineStr">
        <is>
          <t>CM</t>
        </is>
      </c>
      <c r="E188" s="19" t="inlineStr">
        <is>
          <t>DevOps</t>
        </is>
      </c>
      <c r="F188" s="19" t="inlineStr">
        <is>
          <t>CM-7</t>
        </is>
      </c>
      <c r="G188" s="20">
        <f>IFERROR('[DevOps.xlsx]CM-7'!B20,"Not Started")</f>
        <v/>
      </c>
      <c r="H188" s="14">
        <f>IF(OR(G188="Passed",G188="Accepted Exception"),"GREEN",IF(OR(G188="Not Started",G188="Failed"),"RED","AMBER"))</f>
        <v/>
      </c>
      <c r="I188" s="21">
        <f>IFERROR('[DevOps.xlsx]CM-7'!E20,"Non commencé")</f>
        <v/>
      </c>
      <c r="J188" s="16">
        <f>IF(OR(I188="Réussi",I188="Exception acceptée"),"GREEN",IF(OR(I188="Non commencé",I188="Échec"),"RED","AMBER"))</f>
        <v/>
      </c>
      <c r="K188" s="19" t="inlineStr"/>
      <c r="L188" s="19" t="inlineStr"/>
      <c r="M188" s="22" t="inlineStr"/>
    </row>
    <row r="189" ht="18" customHeight="1">
      <c r="A189" s="11" t="inlineStr">
        <is>
          <t>CM-7(1)</t>
        </is>
      </c>
      <c r="B189" s="12" t="inlineStr">
        <is>
          <t>Least Functionality</t>
        </is>
      </c>
      <c r="C189" s="12" t="inlineStr">
        <is>
          <t>DevOps</t>
        </is>
      </c>
      <c r="D189" s="11" t="inlineStr">
        <is>
          <t>CM</t>
        </is>
      </c>
      <c r="E189" s="12" t="inlineStr">
        <is>
          <t>DevOps</t>
        </is>
      </c>
      <c r="F189" s="12" t="inlineStr">
        <is>
          <t>CM-7-1</t>
        </is>
      </c>
      <c r="G189" s="13">
        <f>IFERROR('[DevOps.xlsx]CM-7-1'!B20,"Not Started")</f>
        <v/>
      </c>
      <c r="H189" s="14">
        <f>IF(OR(G189="Passed",G189="Accepted Exception"),"GREEN",IF(OR(G189="Not Started",G189="Failed"),"RED","AMBER"))</f>
        <v/>
      </c>
      <c r="I189" s="15">
        <f>IFERROR('[DevOps.xlsx]CM-7-1'!E20,"Non commencé")</f>
        <v/>
      </c>
      <c r="J189" s="16">
        <f>IF(OR(I189="Réussi",I189="Exception acceptée"),"GREEN",IF(OR(I189="Non commencé",I189="Échec"),"RED","AMBER"))</f>
        <v/>
      </c>
      <c r="K189" s="12" t="inlineStr"/>
      <c r="L189" s="12" t="inlineStr"/>
      <c r="M189" s="17" t="inlineStr"/>
    </row>
    <row r="190" ht="18" customHeight="1">
      <c r="A190" s="18" t="inlineStr">
        <is>
          <t>CP-10</t>
        </is>
      </c>
      <c r="B190" s="19" t="inlineStr">
        <is>
          <t>Information System Recovery and Reconstitution</t>
        </is>
      </c>
      <c r="C190" s="19" t="inlineStr">
        <is>
          <t>DevOps</t>
        </is>
      </c>
      <c r="D190" s="18" t="inlineStr">
        <is>
          <t>CP</t>
        </is>
      </c>
      <c r="E190" s="19" t="inlineStr">
        <is>
          <t>DevOps</t>
        </is>
      </c>
      <c r="F190" s="19" t="inlineStr">
        <is>
          <t>CP-10</t>
        </is>
      </c>
      <c r="G190" s="20">
        <f>IFERROR('[DevOps.xlsx]CP-10'!B20,"Not Started")</f>
        <v/>
      </c>
      <c r="H190" s="14">
        <f>IF(OR(G190="Passed",G190="Accepted Exception"),"GREEN",IF(OR(G190="Not Started",G190="Failed"),"RED","AMBER"))</f>
        <v/>
      </c>
      <c r="I190" s="21">
        <f>IFERROR('[DevOps.xlsx]CP-10'!E20,"Non commencé")</f>
        <v/>
      </c>
      <c r="J190" s="16">
        <f>IF(OR(I190="Réussi",I190="Exception acceptée"),"GREEN",IF(OR(I190="Non commencé",I190="Échec"),"RED","AMBER"))</f>
        <v/>
      </c>
      <c r="K190" s="19" t="inlineStr"/>
      <c r="L190" s="19" t="inlineStr"/>
      <c r="M190" s="22" t="inlineStr"/>
    </row>
    <row r="191" ht="18" customHeight="1">
      <c r="A191" s="11" t="inlineStr">
        <is>
          <t>CP-10(4)</t>
        </is>
      </c>
      <c r="B191" s="12" t="inlineStr">
        <is>
          <t>Information System Recovery and Reconstitution</t>
        </is>
      </c>
      <c r="C191" s="12" t="inlineStr">
        <is>
          <t>DevOps</t>
        </is>
      </c>
      <c r="D191" s="11" t="inlineStr">
        <is>
          <t>CP</t>
        </is>
      </c>
      <c r="E191" s="12" t="inlineStr">
        <is>
          <t>DevOps</t>
        </is>
      </c>
      <c r="F191" s="12" t="inlineStr">
        <is>
          <t>CP-10-4</t>
        </is>
      </c>
      <c r="G191" s="13">
        <f>IFERROR('[DevOps.xlsx]CP-10-4'!B20,"Not Started")</f>
        <v/>
      </c>
      <c r="H191" s="14">
        <f>IF(OR(G191="Passed",G191="Accepted Exception"),"GREEN",IF(OR(G191="Not Started",G191="Failed"),"RED","AMBER"))</f>
        <v/>
      </c>
      <c r="I191" s="15">
        <f>IFERROR('[DevOps.xlsx]CP-10-4'!E20,"Non commencé")</f>
        <v/>
      </c>
      <c r="J191" s="16">
        <f>IF(OR(I191="Réussi",I191="Exception acceptée"),"GREEN",IF(OR(I191="Non commencé",I191="Échec"),"RED","AMBER"))</f>
        <v/>
      </c>
      <c r="K191" s="12" t="inlineStr"/>
      <c r="L191" s="12" t="inlineStr"/>
      <c r="M191" s="17" t="inlineStr"/>
    </row>
    <row r="192" ht="18" customHeight="1">
      <c r="A192" s="18" t="inlineStr">
        <is>
          <t>IA-5(7)</t>
        </is>
      </c>
      <c r="B192" s="19" t="inlineStr">
        <is>
          <t>Authenticator Management</t>
        </is>
      </c>
      <c r="C192" s="19" t="inlineStr">
        <is>
          <t>DevOps</t>
        </is>
      </c>
      <c r="D192" s="18" t="inlineStr">
        <is>
          <t>IA</t>
        </is>
      </c>
      <c r="E192" s="19" t="inlineStr">
        <is>
          <t>DevOps</t>
        </is>
      </c>
      <c r="F192" s="19" t="inlineStr">
        <is>
          <t>IA-5-7</t>
        </is>
      </c>
      <c r="G192" s="20">
        <f>IFERROR('[DevOps.xlsx]IA-5-7'!B20,"Not Started")</f>
        <v/>
      </c>
      <c r="H192" s="14">
        <f>IF(OR(G192="Passed",G192="Accepted Exception"),"GREEN",IF(OR(G192="Not Started",G192="Failed"),"RED","AMBER"))</f>
        <v/>
      </c>
      <c r="I192" s="21">
        <f>IFERROR('[DevOps.xlsx]IA-5-7'!E20,"Non commencé")</f>
        <v/>
      </c>
      <c r="J192" s="16">
        <f>IF(OR(I192="Réussi",I192="Exception acceptée"),"GREEN",IF(OR(I192="Non commencé",I192="Échec"),"RED","AMBER"))</f>
        <v/>
      </c>
      <c r="K192" s="19" t="inlineStr"/>
      <c r="L192" s="19" t="inlineStr"/>
      <c r="M192" s="22" t="inlineStr"/>
    </row>
    <row r="193" ht="18" customHeight="1">
      <c r="A193" s="11" t="inlineStr">
        <is>
          <t>MA-4</t>
        </is>
      </c>
      <c r="B193" s="12" t="inlineStr">
        <is>
          <t>Non-Local Maintenance</t>
        </is>
      </c>
      <c r="C193" s="12" t="inlineStr">
        <is>
          <t>DevOps</t>
        </is>
      </c>
      <c r="D193" s="11" t="inlineStr">
        <is>
          <t>MA</t>
        </is>
      </c>
      <c r="E193" s="12" t="inlineStr">
        <is>
          <t>DevOps</t>
        </is>
      </c>
      <c r="F193" s="12" t="inlineStr">
        <is>
          <t>MA-4</t>
        </is>
      </c>
      <c r="G193" s="13">
        <f>IFERROR('[DevOps.xlsx]MA-4'!B20,"Not Started")</f>
        <v/>
      </c>
      <c r="H193" s="14">
        <f>IF(OR(G193="Passed",G193="Accepted Exception"),"GREEN",IF(OR(G193="Not Started",G193="Failed"),"RED","AMBER"))</f>
        <v/>
      </c>
      <c r="I193" s="15">
        <f>IFERROR('[DevOps.xlsx]MA-4'!E20,"Non commencé")</f>
        <v/>
      </c>
      <c r="J193" s="16">
        <f>IF(OR(I193="Réussi",I193="Exception acceptée"),"GREEN",IF(OR(I193="Non commencé",I193="Échec"),"RED","AMBER"))</f>
        <v/>
      </c>
      <c r="K193" s="12" t="inlineStr"/>
      <c r="L193" s="12" t="inlineStr"/>
      <c r="M193" s="17" t="inlineStr"/>
    </row>
    <row r="194" ht="18" customHeight="1">
      <c r="A194" s="18" t="inlineStr">
        <is>
          <t>MA-4(1)</t>
        </is>
      </c>
      <c r="B194" s="19" t="inlineStr">
        <is>
          <t>Non-Local Maintenance</t>
        </is>
      </c>
      <c r="C194" s="19" t="inlineStr">
        <is>
          <t>DevOps</t>
        </is>
      </c>
      <c r="D194" s="18" t="inlineStr">
        <is>
          <t>MA</t>
        </is>
      </c>
      <c r="E194" s="19" t="inlineStr">
        <is>
          <t>DevOps</t>
        </is>
      </c>
      <c r="F194" s="19" t="inlineStr">
        <is>
          <t>MA-4-1</t>
        </is>
      </c>
      <c r="G194" s="20">
        <f>IFERROR('[DevOps.xlsx]MA-4-1'!B20,"Not Started")</f>
        <v/>
      </c>
      <c r="H194" s="14">
        <f>IF(OR(G194="Passed",G194="Accepted Exception"),"GREEN",IF(OR(G194="Not Started",G194="Failed"),"RED","AMBER"))</f>
        <v/>
      </c>
      <c r="I194" s="21">
        <f>IFERROR('[DevOps.xlsx]MA-4-1'!E20,"Non commencé")</f>
        <v/>
      </c>
      <c r="J194" s="16">
        <f>IF(OR(I194="Réussi",I194="Exception acceptée"),"GREEN",IF(OR(I194="Non commencé",I194="Échec"),"RED","AMBER"))</f>
        <v/>
      </c>
      <c r="K194" s="19" t="inlineStr"/>
      <c r="L194" s="19" t="inlineStr"/>
      <c r="M194" s="22" t="inlineStr"/>
    </row>
    <row r="195" ht="18" customHeight="1">
      <c r="A195" s="11" t="inlineStr">
        <is>
          <t>SA-9(5)</t>
        </is>
      </c>
      <c r="B195" s="12" t="inlineStr">
        <is>
          <t>External Information System Services</t>
        </is>
      </c>
      <c r="C195" s="12" t="inlineStr">
        <is>
          <t>DevOps</t>
        </is>
      </c>
      <c r="D195" s="11" t="inlineStr">
        <is>
          <t>SA</t>
        </is>
      </c>
      <c r="E195" s="12" t="inlineStr">
        <is>
          <t>DevOps</t>
        </is>
      </c>
      <c r="F195" s="12" t="inlineStr">
        <is>
          <t>SA-9-5</t>
        </is>
      </c>
      <c r="G195" s="13">
        <f>IFERROR('[DevOps.xlsx]SA-9-5'!B20,"Not Started")</f>
        <v/>
      </c>
      <c r="H195" s="14">
        <f>IF(OR(G195="Passed",G195="Accepted Exception"),"GREEN",IF(OR(G195="Not Started",G195="Failed"),"RED","AMBER"))</f>
        <v/>
      </c>
      <c r="I195" s="15">
        <f>IFERROR('[DevOps.xlsx]SA-9-5'!E20,"Non commencé")</f>
        <v/>
      </c>
      <c r="J195" s="16">
        <f>IF(OR(I195="Réussi",I195="Exception acceptée"),"GREEN",IF(OR(I195="Non commencé",I195="Échec"),"RED","AMBER"))</f>
        <v/>
      </c>
      <c r="K195" s="12" t="inlineStr"/>
      <c r="L195" s="12" t="inlineStr"/>
      <c r="M195" s="17" t="inlineStr"/>
    </row>
    <row r="196" ht="18" customHeight="1">
      <c r="A196" s="18" t="inlineStr">
        <is>
          <t>SA-11(1)</t>
        </is>
      </c>
      <c r="B196" s="19" t="inlineStr">
        <is>
          <t>Developer Security Testing</t>
        </is>
      </c>
      <c r="C196" s="19" t="inlineStr">
        <is>
          <t>DevOps</t>
        </is>
      </c>
      <c r="D196" s="18" t="inlineStr">
        <is>
          <t>SA</t>
        </is>
      </c>
      <c r="E196" s="19" t="inlineStr">
        <is>
          <t>DevOps</t>
        </is>
      </c>
      <c r="F196" s="19" t="inlineStr">
        <is>
          <t>SA-11-1</t>
        </is>
      </c>
      <c r="G196" s="20">
        <f>IFERROR('[DevOps.xlsx]SA-11-1'!B20,"Not Started")</f>
        <v/>
      </c>
      <c r="H196" s="14">
        <f>IF(OR(G196="Passed",G196="Accepted Exception"),"GREEN",IF(OR(G196="Not Started",G196="Failed"),"RED","AMBER"))</f>
        <v/>
      </c>
      <c r="I196" s="21">
        <f>IFERROR('[DevOps.xlsx]SA-11-1'!E20,"Non commencé")</f>
        <v/>
      </c>
      <c r="J196" s="16">
        <f>IF(OR(I196="Réussi",I196="Exception acceptée"),"GREEN",IF(OR(I196="Non commencé",I196="Échec"),"RED","AMBER"))</f>
        <v/>
      </c>
      <c r="K196" s="19" t="inlineStr"/>
      <c r="L196" s="19" t="inlineStr"/>
      <c r="M196" s="22" t="inlineStr"/>
    </row>
    <row r="197" ht="18" customHeight="1">
      <c r="A197" s="11" t="inlineStr">
        <is>
          <t>SA-11(8)</t>
        </is>
      </c>
      <c r="B197" s="12" t="inlineStr">
        <is>
          <t>Developer Security Testing</t>
        </is>
      </c>
      <c r="C197" s="12" t="inlineStr">
        <is>
          <t>DevOps</t>
        </is>
      </c>
      <c r="D197" s="11" t="inlineStr">
        <is>
          <t>SA</t>
        </is>
      </c>
      <c r="E197" s="12" t="inlineStr">
        <is>
          <t>DevOps</t>
        </is>
      </c>
      <c r="F197" s="12" t="inlineStr">
        <is>
          <t>SA-11-8</t>
        </is>
      </c>
      <c r="G197" s="13">
        <f>IFERROR('[DevOps.xlsx]SA-11-8'!B20,"Not Started")</f>
        <v/>
      </c>
      <c r="H197" s="14">
        <f>IF(OR(G197="Passed",G197="Accepted Exception"),"GREEN",IF(OR(G197="Not Started",G197="Failed"),"RED","AMBER"))</f>
        <v/>
      </c>
      <c r="I197" s="15">
        <f>IFERROR('[DevOps.xlsx]SA-11-8'!E20,"Non commencé")</f>
        <v/>
      </c>
      <c r="J197" s="16">
        <f>IF(OR(I197="Réussi",I197="Exception acceptée"),"GREEN",IF(OR(I197="Non commencé",I197="Échec"),"RED","AMBER"))</f>
        <v/>
      </c>
      <c r="K197" s="12" t="inlineStr"/>
      <c r="L197" s="12" t="inlineStr"/>
      <c r="M197" s="17" t="inlineStr"/>
    </row>
    <row r="198" ht="18" customHeight="1">
      <c r="A198" s="18" t="inlineStr">
        <is>
          <t>SC-7</t>
        </is>
      </c>
      <c r="B198" s="19" t="inlineStr">
        <is>
          <t>Boundary Protection</t>
        </is>
      </c>
      <c r="C198" s="19" t="inlineStr">
        <is>
          <t>DevOps</t>
        </is>
      </c>
      <c r="D198" s="18" t="inlineStr">
        <is>
          <t>SC</t>
        </is>
      </c>
      <c r="E198" s="19" t="inlineStr">
        <is>
          <t>DevOps</t>
        </is>
      </c>
      <c r="F198" s="19" t="inlineStr">
        <is>
          <t>SC-7</t>
        </is>
      </c>
      <c r="G198" s="20">
        <f>IFERROR('[DevOps.xlsx]SC-7'!B20,"Not Started")</f>
        <v/>
      </c>
      <c r="H198" s="14">
        <f>IF(OR(G198="Passed",G198="Accepted Exception"),"GREEN",IF(OR(G198="Not Started",G198="Failed"),"RED","AMBER"))</f>
        <v/>
      </c>
      <c r="I198" s="21">
        <f>IFERROR('[DevOps.xlsx]SC-7'!E20,"Non commencé")</f>
        <v/>
      </c>
      <c r="J198" s="16">
        <f>IF(OR(I198="Réussi",I198="Exception acceptée"),"GREEN",IF(OR(I198="Non commencé",I198="Échec"),"RED","AMBER"))</f>
        <v/>
      </c>
      <c r="K198" s="19" t="inlineStr"/>
      <c r="L198" s="19" t="inlineStr"/>
      <c r="M198" s="22" t="inlineStr"/>
    </row>
    <row r="199" ht="18" customHeight="1">
      <c r="A199" s="11" t="inlineStr">
        <is>
          <t>SC-18</t>
        </is>
      </c>
      <c r="B199" s="12" t="inlineStr">
        <is>
          <t>Mobile Code</t>
        </is>
      </c>
      <c r="C199" s="12" t="inlineStr">
        <is>
          <t>DevOps</t>
        </is>
      </c>
      <c r="D199" s="11" t="inlineStr">
        <is>
          <t>SC</t>
        </is>
      </c>
      <c r="E199" s="12" t="inlineStr">
        <is>
          <t>DevOps</t>
        </is>
      </c>
      <c r="F199" s="12" t="inlineStr">
        <is>
          <t>SC-18</t>
        </is>
      </c>
      <c r="G199" s="13">
        <f>IFERROR('[DevOps.xlsx]SC-18'!B20,"Not Started")</f>
        <v/>
      </c>
      <c r="H199" s="14">
        <f>IF(OR(G199="Passed",G199="Accepted Exception"),"GREEN",IF(OR(G199="Not Started",G199="Failed"),"RED","AMBER"))</f>
        <v/>
      </c>
      <c r="I199" s="15">
        <f>IFERROR('[DevOps.xlsx]SC-18'!E20,"Non commencé")</f>
        <v/>
      </c>
      <c r="J199" s="16">
        <f>IF(OR(I199="Réussi",I199="Exception acceptée"),"GREEN",IF(OR(I199="Non commencé",I199="Échec"),"RED","AMBER"))</f>
        <v/>
      </c>
      <c r="K199" s="12" t="inlineStr"/>
      <c r="L199" s="12" t="inlineStr"/>
      <c r="M199" s="17" t="inlineStr"/>
    </row>
    <row r="200" ht="18" customHeight="1">
      <c r="A200" s="18" t="inlineStr">
        <is>
          <t>SI-4</t>
        </is>
      </c>
      <c r="B200" s="19" t="inlineStr">
        <is>
          <t>Information System Monitoring</t>
        </is>
      </c>
      <c r="C200" s="19" t="inlineStr">
        <is>
          <t>DevOps</t>
        </is>
      </c>
      <c r="D200" s="18" t="inlineStr">
        <is>
          <t>SI</t>
        </is>
      </c>
      <c r="E200" s="19" t="inlineStr">
        <is>
          <t>DevOps</t>
        </is>
      </c>
      <c r="F200" s="19" t="inlineStr">
        <is>
          <t>SI-4</t>
        </is>
      </c>
      <c r="G200" s="20">
        <f>IFERROR('[DevOps.xlsx]SI-4'!B20,"Not Started")</f>
        <v/>
      </c>
      <c r="H200" s="14">
        <f>IF(OR(G200="Passed",G200="Accepted Exception"),"GREEN",IF(OR(G200="Not Started",G200="Failed"),"RED","AMBER"))</f>
        <v/>
      </c>
      <c r="I200" s="21">
        <f>IFERROR('[DevOps.xlsx]SI-4'!E20,"Non commencé")</f>
        <v/>
      </c>
      <c r="J200" s="16">
        <f>IF(OR(I200="Réussi",I200="Exception acceptée"),"GREEN",IF(OR(I200="Non commencé",I200="Échec"),"RED","AMBER"))</f>
        <v/>
      </c>
      <c r="K200" s="19" t="inlineStr"/>
      <c r="L200" s="19" t="inlineStr"/>
      <c r="M200" s="22" t="inlineStr"/>
    </row>
    <row r="201" ht="18" customHeight="1">
      <c r="A201" s="11" t="inlineStr">
        <is>
          <t>SI-4(1)</t>
        </is>
      </c>
      <c r="B201" s="12" t="inlineStr">
        <is>
          <t>Information System Monitoring</t>
        </is>
      </c>
      <c r="C201" s="12" t="inlineStr">
        <is>
          <t>DevOps</t>
        </is>
      </c>
      <c r="D201" s="11" t="inlineStr">
        <is>
          <t>SI</t>
        </is>
      </c>
      <c r="E201" s="12" t="inlineStr">
        <is>
          <t>DevOps</t>
        </is>
      </c>
      <c r="F201" s="12" t="inlineStr">
        <is>
          <t>SI-4-1</t>
        </is>
      </c>
      <c r="G201" s="13">
        <f>IFERROR('[DevOps.xlsx]SI-4-1'!B20,"Not Started")</f>
        <v/>
      </c>
      <c r="H201" s="14">
        <f>IF(OR(G201="Passed",G201="Accepted Exception"),"GREEN",IF(OR(G201="Not Started",G201="Failed"),"RED","AMBER"))</f>
        <v/>
      </c>
      <c r="I201" s="15">
        <f>IFERROR('[DevOps.xlsx]SI-4-1'!E20,"Non commencé")</f>
        <v/>
      </c>
      <c r="J201" s="16">
        <f>IF(OR(I201="Réussi",I201="Exception acceptée"),"GREEN",IF(OR(I201="Non commencé",I201="Échec"),"RED","AMBER"))</f>
        <v/>
      </c>
      <c r="K201" s="12" t="inlineStr"/>
      <c r="L201" s="12" t="inlineStr"/>
      <c r="M201" s="17" t="inlineStr"/>
    </row>
    <row r="202" ht="18" customHeight="1">
      <c r="A202" s="18" t="inlineStr">
        <is>
          <t>SI-4(2)</t>
        </is>
      </c>
      <c r="B202" s="19" t="inlineStr">
        <is>
          <t>Information System Monitoring</t>
        </is>
      </c>
      <c r="C202" s="19" t="inlineStr">
        <is>
          <t>DevOps</t>
        </is>
      </c>
      <c r="D202" s="18" t="inlineStr">
        <is>
          <t>SI</t>
        </is>
      </c>
      <c r="E202" s="19" t="inlineStr">
        <is>
          <t>DevOps</t>
        </is>
      </c>
      <c r="F202" s="19" t="inlineStr">
        <is>
          <t>SI-4-2</t>
        </is>
      </c>
      <c r="G202" s="20">
        <f>IFERROR('[DevOps.xlsx]SI-4-2'!B20,"Not Started")</f>
        <v/>
      </c>
      <c r="H202" s="14">
        <f>IF(OR(G202="Passed",G202="Accepted Exception"),"GREEN",IF(OR(G202="Not Started",G202="Failed"),"RED","AMBER"))</f>
        <v/>
      </c>
      <c r="I202" s="21">
        <f>IFERROR('[DevOps.xlsx]SI-4-2'!E20,"Non commencé")</f>
        <v/>
      </c>
      <c r="J202" s="16">
        <f>IF(OR(I202="Réussi",I202="Exception acceptée"),"GREEN",IF(OR(I202="Non commencé",I202="Échec"),"RED","AMBER"))</f>
        <v/>
      </c>
      <c r="K202" s="19" t="inlineStr"/>
      <c r="L202" s="19" t="inlineStr"/>
      <c r="M202" s="22" t="inlineStr"/>
    </row>
    <row r="203" ht="18" customHeight="1">
      <c r="A203" s="11" t="inlineStr">
        <is>
          <t>SI-4(4)</t>
        </is>
      </c>
      <c r="B203" s="12" t="inlineStr">
        <is>
          <t>Information System Monitoring</t>
        </is>
      </c>
      <c r="C203" s="12" t="inlineStr">
        <is>
          <t>DevOps</t>
        </is>
      </c>
      <c r="D203" s="11" t="inlineStr">
        <is>
          <t>SI</t>
        </is>
      </c>
      <c r="E203" s="12" t="inlineStr">
        <is>
          <t>DevOps</t>
        </is>
      </c>
      <c r="F203" s="12" t="inlineStr">
        <is>
          <t>SI-4-4</t>
        </is>
      </c>
      <c r="G203" s="13">
        <f>IFERROR('[DevOps.xlsx]SI-4-4'!B20,"Not Started")</f>
        <v/>
      </c>
      <c r="H203" s="14">
        <f>IF(OR(G203="Passed",G203="Accepted Exception"),"GREEN",IF(OR(G203="Not Started",G203="Failed"),"RED","AMBER"))</f>
        <v/>
      </c>
      <c r="I203" s="15">
        <f>IFERROR('[DevOps.xlsx]SI-4-4'!E20,"Non commencé")</f>
        <v/>
      </c>
      <c r="J203" s="16">
        <f>IF(OR(I203="Réussi",I203="Exception acceptée"),"GREEN",IF(OR(I203="Non commencé",I203="Échec"),"RED","AMBER"))</f>
        <v/>
      </c>
      <c r="K203" s="12" t="inlineStr"/>
      <c r="L203" s="12" t="inlineStr"/>
      <c r="M203" s="17" t="inlineStr"/>
    </row>
    <row r="204" ht="18" customHeight="1">
      <c r="A204" s="18" t="inlineStr">
        <is>
          <t>SI-4(5)</t>
        </is>
      </c>
      <c r="B204" s="19" t="inlineStr">
        <is>
          <t>Information System Monitoring</t>
        </is>
      </c>
      <c r="C204" s="19" t="inlineStr">
        <is>
          <t>DevOps</t>
        </is>
      </c>
      <c r="D204" s="18" t="inlineStr">
        <is>
          <t>SI</t>
        </is>
      </c>
      <c r="E204" s="19" t="inlineStr">
        <is>
          <t>DevOps</t>
        </is>
      </c>
      <c r="F204" s="19" t="inlineStr">
        <is>
          <t>SI-4-5</t>
        </is>
      </c>
      <c r="G204" s="20">
        <f>IFERROR('[DevOps.xlsx]SI-4-5'!B20,"Not Started")</f>
        <v/>
      </c>
      <c r="H204" s="14">
        <f>IF(OR(G204="Passed",G204="Accepted Exception"),"GREEN",IF(OR(G204="Not Started",G204="Failed"),"RED","AMBER"))</f>
        <v/>
      </c>
      <c r="I204" s="21">
        <f>IFERROR('[DevOps.xlsx]SI-4-5'!E20,"Non commencé")</f>
        <v/>
      </c>
      <c r="J204" s="16">
        <f>IF(OR(I204="Réussi",I204="Exception acceptée"),"GREEN",IF(OR(I204="Non commencé",I204="Échec"),"RED","AMBER"))</f>
        <v/>
      </c>
      <c r="K204" s="19" t="inlineStr"/>
      <c r="L204" s="19" t="inlineStr"/>
      <c r="M204" s="22" t="inlineStr"/>
    </row>
    <row r="205" ht="18" customHeight="1">
      <c r="A205" s="11" t="inlineStr">
        <is>
          <t>SI-4(11)</t>
        </is>
      </c>
      <c r="B205" s="12" t="inlineStr">
        <is>
          <t>Information System Monitoring</t>
        </is>
      </c>
      <c r="C205" s="12" t="inlineStr">
        <is>
          <t>DevOps</t>
        </is>
      </c>
      <c r="D205" s="11" t="inlineStr">
        <is>
          <t>SI</t>
        </is>
      </c>
      <c r="E205" s="12" t="inlineStr">
        <is>
          <t>DevOps</t>
        </is>
      </c>
      <c r="F205" s="12" t="inlineStr">
        <is>
          <t>SI-4-11</t>
        </is>
      </c>
      <c r="G205" s="13">
        <f>IFERROR('[DevOps.xlsx]SI-4-11'!B20,"Not Started")</f>
        <v/>
      </c>
      <c r="H205" s="14">
        <f>IF(OR(G205="Passed",G205="Accepted Exception"),"GREEN",IF(OR(G205="Not Started",G205="Failed"),"RED","AMBER"))</f>
        <v/>
      </c>
      <c r="I205" s="15">
        <f>IFERROR('[DevOps.xlsx]SI-4-11'!E20,"Non commencé")</f>
        <v/>
      </c>
      <c r="J205" s="16">
        <f>IF(OR(I205="Réussi",I205="Exception acceptée"),"GREEN",IF(OR(I205="Non commencé",I205="Échec"),"RED","AMBER"))</f>
        <v/>
      </c>
      <c r="K205" s="12" t="inlineStr"/>
      <c r="L205" s="12" t="inlineStr"/>
      <c r="M205" s="17" t="inlineStr"/>
    </row>
    <row r="206" ht="18" customHeight="1">
      <c r="A206" s="18" t="inlineStr">
        <is>
          <t>SI-6</t>
        </is>
      </c>
      <c r="B206" s="19" t="inlineStr">
        <is>
          <t>Security Functional Verification</t>
        </is>
      </c>
      <c r="C206" s="19" t="inlineStr">
        <is>
          <t>DevOps</t>
        </is>
      </c>
      <c r="D206" s="18" t="inlineStr">
        <is>
          <t>SI</t>
        </is>
      </c>
      <c r="E206" s="19" t="inlineStr">
        <is>
          <t>DevOps</t>
        </is>
      </c>
      <c r="F206" s="19" t="inlineStr">
        <is>
          <t>SI-6</t>
        </is>
      </c>
      <c r="G206" s="20">
        <f>IFERROR('[DevOps.xlsx]SI-6'!B20,"Not Started")</f>
        <v/>
      </c>
      <c r="H206" s="14">
        <f>IF(OR(G206="Passed",G206="Accepted Exception"),"GREEN",IF(OR(G206="Not Started",G206="Failed"),"RED","AMBER"))</f>
        <v/>
      </c>
      <c r="I206" s="21">
        <f>IFERROR('[DevOps.xlsx]SI-6'!E20,"Non commencé")</f>
        <v/>
      </c>
      <c r="J206" s="16">
        <f>IF(OR(I206="Réussi",I206="Exception acceptée"),"GREEN",IF(OR(I206="Non commencé",I206="Échec"),"RED","AMBER"))</f>
        <v/>
      </c>
      <c r="K206" s="19" t="inlineStr"/>
      <c r="L206" s="19" t="inlineStr"/>
      <c r="M206" s="22" t="inlineStr"/>
    </row>
    <row r="207" ht="18" customHeight="1">
      <c r="A207" s="11" t="inlineStr">
        <is>
          <t>SI-7(7)</t>
        </is>
      </c>
      <c r="B207" s="12" t="inlineStr">
        <is>
          <t>Software, Firmware, and Information Integrity</t>
        </is>
      </c>
      <c r="C207" s="12" t="inlineStr">
        <is>
          <t>DevOps</t>
        </is>
      </c>
      <c r="D207" s="11" t="inlineStr">
        <is>
          <t>SI</t>
        </is>
      </c>
      <c r="E207" s="12" t="inlineStr">
        <is>
          <t>DevOps</t>
        </is>
      </c>
      <c r="F207" s="12" t="inlineStr">
        <is>
          <t>SI-7-7</t>
        </is>
      </c>
      <c r="G207" s="13">
        <f>IFERROR('[DevOps.xlsx]SI-7-7'!B20,"Not Started")</f>
        <v/>
      </c>
      <c r="H207" s="14">
        <f>IF(OR(G207="Passed",G207="Accepted Exception"),"GREEN",IF(OR(G207="Not Started",G207="Failed"),"RED","AMBER"))</f>
        <v/>
      </c>
      <c r="I207" s="15">
        <f>IFERROR('[DevOps.xlsx]SI-7-7'!E20,"Non commencé")</f>
        <v/>
      </c>
      <c r="J207" s="16">
        <f>IF(OR(I207="Réussi",I207="Exception acceptée"),"GREEN",IF(OR(I207="Non commencé",I207="Échec"),"RED","AMBER"))</f>
        <v/>
      </c>
      <c r="K207" s="12" t="inlineStr"/>
      <c r="L207" s="12" t="inlineStr"/>
      <c r="M207" s="17" t="inlineStr"/>
    </row>
    <row r="208" ht="18" customHeight="1">
      <c r="A208" s="18" t="inlineStr">
        <is>
          <t>SI-11</t>
        </is>
      </c>
      <c r="B208" s="19" t="inlineStr">
        <is>
          <t>Error Handling</t>
        </is>
      </c>
      <c r="C208" s="19" t="inlineStr">
        <is>
          <t>DevOps</t>
        </is>
      </c>
      <c r="D208" s="18" t="inlineStr">
        <is>
          <t>SI</t>
        </is>
      </c>
      <c r="E208" s="19" t="inlineStr">
        <is>
          <t>DevOps</t>
        </is>
      </c>
      <c r="F208" s="19" t="inlineStr">
        <is>
          <t>SI-11</t>
        </is>
      </c>
      <c r="G208" s="20">
        <f>IFERROR('[DevOps.xlsx]SI-11'!B20,"Not Started")</f>
        <v/>
      </c>
      <c r="H208" s="14">
        <f>IF(OR(G208="Passed",G208="Accepted Exception"),"GREEN",IF(OR(G208="Not Started",G208="Failed"),"RED","AMBER"))</f>
        <v/>
      </c>
      <c r="I208" s="21">
        <f>IFERROR('[DevOps.xlsx]SI-11'!E20,"Non commencé")</f>
        <v/>
      </c>
      <c r="J208" s="16">
        <f>IF(OR(I208="Réussi",I208="Exception acceptée"),"GREEN",IF(OR(I208="Non commencé",I208="Échec"),"RED","AMBER"))</f>
        <v/>
      </c>
      <c r="K208" s="19" t="inlineStr"/>
      <c r="L208" s="19" t="inlineStr"/>
      <c r="M208" s="22" t="inlineStr"/>
    </row>
    <row r="209" ht="18" customHeight="1">
      <c r="A209" s="11" t="inlineStr">
        <is>
          <t>AC-6</t>
        </is>
      </c>
      <c r="B209" s="12" t="inlineStr">
        <is>
          <t>Least Privilege</t>
        </is>
      </c>
      <c r="C209" s="12" t="inlineStr">
        <is>
          <t>Developer Tools</t>
        </is>
      </c>
      <c r="D209" s="11" t="inlineStr">
        <is>
          <t>AC</t>
        </is>
      </c>
      <c r="E209" s="12" t="inlineStr">
        <is>
          <t>Developer Tools</t>
        </is>
      </c>
      <c r="F209" s="12" t="inlineStr">
        <is>
          <t>AC-6</t>
        </is>
      </c>
      <c r="G209" s="13">
        <f>IFERROR('[Developer_Tools.xlsx]AC-6'!B20,"Not Started")</f>
        <v/>
      </c>
      <c r="H209" s="14">
        <f>IF(OR(G209="Passed",G209="Accepted Exception"),"GREEN",IF(OR(G209="Not Started",G209="Failed"),"RED","AMBER"))</f>
        <v/>
      </c>
      <c r="I209" s="15">
        <f>IFERROR('[Developer_Tools.xlsx]AC-6'!E20,"Non commencé")</f>
        <v/>
      </c>
      <c r="J209" s="16">
        <f>IF(OR(I209="Réussi",I209="Exception acceptée"),"GREEN",IF(OR(I209="Non commencé",I209="Échec"),"RED","AMBER"))</f>
        <v/>
      </c>
      <c r="K209" s="12" t="inlineStr"/>
      <c r="L209" s="12" t="inlineStr"/>
      <c r="M209" s="17" t="inlineStr"/>
    </row>
    <row r="210" ht="18" customHeight="1">
      <c r="A210" s="18" t="inlineStr">
        <is>
          <t>AC-6(1)</t>
        </is>
      </c>
      <c r="B210" s="19" t="inlineStr">
        <is>
          <t>Least Privilege</t>
        </is>
      </c>
      <c r="C210" s="19" t="inlineStr">
        <is>
          <t>Developer Tools</t>
        </is>
      </c>
      <c r="D210" s="18" t="inlineStr">
        <is>
          <t>AC</t>
        </is>
      </c>
      <c r="E210" s="19" t="inlineStr">
        <is>
          <t>Developer Tools</t>
        </is>
      </c>
      <c r="F210" s="19" t="inlineStr">
        <is>
          <t>AC-6-1</t>
        </is>
      </c>
      <c r="G210" s="20">
        <f>IFERROR('[Developer_Tools.xlsx]AC-6-1'!B20,"Not Started")</f>
        <v/>
      </c>
      <c r="H210" s="14">
        <f>IF(OR(G210="Passed",G210="Accepted Exception"),"GREEN",IF(OR(G210="Not Started",G210="Failed"),"RED","AMBER"))</f>
        <v/>
      </c>
      <c r="I210" s="21">
        <f>IFERROR('[Developer_Tools.xlsx]AC-6-1'!E20,"Non commencé")</f>
        <v/>
      </c>
      <c r="J210" s="16">
        <f>IF(OR(I210="Réussi",I210="Exception acceptée"),"GREEN",IF(OR(I210="Non commencé",I210="Échec"),"RED","AMBER"))</f>
        <v/>
      </c>
      <c r="K210" s="19" t="inlineStr"/>
      <c r="L210" s="19" t="inlineStr"/>
      <c r="M210" s="22" t="inlineStr"/>
    </row>
    <row r="211" ht="18" customHeight="1">
      <c r="A211" s="11" t="inlineStr">
        <is>
          <t>AU-2</t>
        </is>
      </c>
      <c r="B211" s="12" t="inlineStr">
        <is>
          <t>Auditable Events</t>
        </is>
      </c>
      <c r="C211" s="12" t="inlineStr">
        <is>
          <t>Developer Tools</t>
        </is>
      </c>
      <c r="D211" s="11" t="inlineStr">
        <is>
          <t>AU</t>
        </is>
      </c>
      <c r="E211" s="12" t="inlineStr">
        <is>
          <t>Developer Tools</t>
        </is>
      </c>
      <c r="F211" s="12" t="inlineStr">
        <is>
          <t>AU-2</t>
        </is>
      </c>
      <c r="G211" s="13">
        <f>IFERROR('[Developer_Tools.xlsx]AU-2'!B20,"Not Started")</f>
        <v/>
      </c>
      <c r="H211" s="14">
        <f>IF(OR(G211="Passed",G211="Accepted Exception"),"GREEN",IF(OR(G211="Not Started",G211="Failed"),"RED","AMBER"))</f>
        <v/>
      </c>
      <c r="I211" s="15">
        <f>IFERROR('[Developer_Tools.xlsx]AU-2'!E20,"Non commencé")</f>
        <v/>
      </c>
      <c r="J211" s="16">
        <f>IF(OR(I211="Réussi",I211="Exception acceptée"),"GREEN",IF(OR(I211="Non commencé",I211="Échec"),"RED","AMBER"))</f>
        <v/>
      </c>
      <c r="K211" s="12" t="inlineStr"/>
      <c r="L211" s="12" t="inlineStr"/>
      <c r="M211" s="17" t="inlineStr"/>
    </row>
    <row r="212" ht="18" customHeight="1">
      <c r="A212" s="18" t="inlineStr">
        <is>
          <t>AU-3</t>
        </is>
      </c>
      <c r="B212" s="19" t="inlineStr">
        <is>
          <t>Content of Audit Records</t>
        </is>
      </c>
      <c r="C212" s="19" t="inlineStr">
        <is>
          <t>Developer Tools</t>
        </is>
      </c>
      <c r="D212" s="18" t="inlineStr">
        <is>
          <t>AU</t>
        </is>
      </c>
      <c r="E212" s="19" t="inlineStr">
        <is>
          <t>Developer Tools</t>
        </is>
      </c>
      <c r="F212" s="19" t="inlineStr">
        <is>
          <t>AU-3</t>
        </is>
      </c>
      <c r="G212" s="20">
        <f>IFERROR('[Developer_Tools.xlsx]AU-3'!B20,"Not Started")</f>
        <v/>
      </c>
      <c r="H212" s="14">
        <f>IF(OR(G212="Passed",G212="Accepted Exception"),"GREEN",IF(OR(G212="Not Started",G212="Failed"),"RED","AMBER"))</f>
        <v/>
      </c>
      <c r="I212" s="21">
        <f>IFERROR('[Developer_Tools.xlsx]AU-3'!E20,"Non commencé")</f>
        <v/>
      </c>
      <c r="J212" s="16">
        <f>IF(OR(I212="Réussi",I212="Exception acceptée"),"GREEN",IF(OR(I212="Non commencé",I212="Échec"),"RED","AMBER"))</f>
        <v/>
      </c>
      <c r="K212" s="19" t="inlineStr"/>
      <c r="L212" s="19" t="inlineStr"/>
      <c r="M212" s="22" t="inlineStr"/>
    </row>
    <row r="213" ht="18" customHeight="1">
      <c r="A213" s="11" t="inlineStr">
        <is>
          <t>AU-3(1)</t>
        </is>
      </c>
      <c r="B213" s="12" t="inlineStr">
        <is>
          <t>Content of Audit Records</t>
        </is>
      </c>
      <c r="C213" s="12" t="inlineStr">
        <is>
          <t>Developer Tools</t>
        </is>
      </c>
      <c r="D213" s="11" t="inlineStr">
        <is>
          <t>AU</t>
        </is>
      </c>
      <c r="E213" s="12" t="inlineStr">
        <is>
          <t>Developer Tools</t>
        </is>
      </c>
      <c r="F213" s="12" t="inlineStr">
        <is>
          <t>AU-3-1</t>
        </is>
      </c>
      <c r="G213" s="13">
        <f>IFERROR('[Developer_Tools.xlsx]AU-3-1'!B20,"Not Started")</f>
        <v/>
      </c>
      <c r="H213" s="14">
        <f>IF(OR(G213="Passed",G213="Accepted Exception"),"GREEN",IF(OR(G213="Not Started",G213="Failed"),"RED","AMBER"))</f>
        <v/>
      </c>
      <c r="I213" s="15">
        <f>IFERROR('[Developer_Tools.xlsx]AU-3-1'!E20,"Non commencé")</f>
        <v/>
      </c>
      <c r="J213" s="16">
        <f>IF(OR(I213="Réussi",I213="Exception acceptée"),"GREEN",IF(OR(I213="Non commencé",I213="Échec"),"RED","AMBER"))</f>
        <v/>
      </c>
      <c r="K213" s="12" t="inlineStr"/>
      <c r="L213" s="12" t="inlineStr"/>
      <c r="M213" s="17" t="inlineStr"/>
    </row>
    <row r="214" ht="18" customHeight="1">
      <c r="A214" s="18" t="inlineStr">
        <is>
          <t>AU-9(2)</t>
        </is>
      </c>
      <c r="B214" s="19" t="inlineStr">
        <is>
          <t>Protection of Audit Information</t>
        </is>
      </c>
      <c r="C214" s="19" t="inlineStr">
        <is>
          <t>Developer Tools</t>
        </is>
      </c>
      <c r="D214" s="18" t="inlineStr">
        <is>
          <t>AU</t>
        </is>
      </c>
      <c r="E214" s="19" t="inlineStr">
        <is>
          <t>Developer Tools</t>
        </is>
      </c>
      <c r="F214" s="19" t="inlineStr">
        <is>
          <t>AU-9-2</t>
        </is>
      </c>
      <c r="G214" s="20">
        <f>IFERROR('[Developer_Tools.xlsx]AU-9-2'!B20,"Not Started")</f>
        <v/>
      </c>
      <c r="H214" s="14">
        <f>IF(OR(G214="Passed",G214="Accepted Exception"),"GREEN",IF(OR(G214="Not Started",G214="Failed"),"RED","AMBER"))</f>
        <v/>
      </c>
      <c r="I214" s="21">
        <f>IFERROR('[Developer_Tools.xlsx]AU-9-2'!E20,"Non commencé")</f>
        <v/>
      </c>
      <c r="J214" s="16">
        <f>IF(OR(I214="Réussi",I214="Exception acceptée"),"GREEN",IF(OR(I214="Non commencé",I214="Échec"),"RED","AMBER"))</f>
        <v/>
      </c>
      <c r="K214" s="19" t="inlineStr"/>
      <c r="L214" s="19" t="inlineStr"/>
      <c r="M214" s="22" t="inlineStr"/>
    </row>
    <row r="215" ht="18" customHeight="1">
      <c r="A215" s="11" t="inlineStr">
        <is>
          <t>AU-12</t>
        </is>
      </c>
      <c r="B215" s="12" t="inlineStr">
        <is>
          <t>Audit Generation</t>
        </is>
      </c>
      <c r="C215" s="12" t="inlineStr">
        <is>
          <t>Developer Tools</t>
        </is>
      </c>
      <c r="D215" s="11" t="inlineStr">
        <is>
          <t>AU</t>
        </is>
      </c>
      <c r="E215" s="12" t="inlineStr">
        <is>
          <t>Developer Tools</t>
        </is>
      </c>
      <c r="F215" s="12" t="inlineStr">
        <is>
          <t>AU-12</t>
        </is>
      </c>
      <c r="G215" s="13">
        <f>IFERROR('[Developer_Tools.xlsx]AU-12'!B20,"Not Started")</f>
        <v/>
      </c>
      <c r="H215" s="14">
        <f>IF(OR(G215="Passed",G215="Accepted Exception"),"GREEN",IF(OR(G215="Not Started",G215="Failed"),"RED","AMBER"))</f>
        <v/>
      </c>
      <c r="I215" s="15">
        <f>IFERROR('[Developer_Tools.xlsx]AU-12'!E20,"Non commencé")</f>
        <v/>
      </c>
      <c r="J215" s="16">
        <f>IF(OR(I215="Réussi",I215="Exception acceptée"),"GREEN",IF(OR(I215="Non commencé",I215="Échec"),"RED","AMBER"))</f>
        <v/>
      </c>
      <c r="K215" s="12" t="inlineStr"/>
      <c r="L215" s="12" t="inlineStr"/>
      <c r="M215" s="17" t="inlineStr"/>
    </row>
    <row r="216" ht="18" customHeight="1">
      <c r="A216" s="18" t="inlineStr">
        <is>
          <t>CM-5(6)</t>
        </is>
      </c>
      <c r="B216" s="19" t="inlineStr">
        <is>
          <t>Access Restrictions for Change</t>
        </is>
      </c>
      <c r="C216" s="19" t="inlineStr">
        <is>
          <t>Developer Tools</t>
        </is>
      </c>
      <c r="D216" s="18" t="inlineStr">
        <is>
          <t>CM</t>
        </is>
      </c>
      <c r="E216" s="19" t="inlineStr">
        <is>
          <t>Developer Tools</t>
        </is>
      </c>
      <c r="F216" s="19" t="inlineStr">
        <is>
          <t>CM-5-6</t>
        </is>
      </c>
      <c r="G216" s="20">
        <f>IFERROR('[Developer_Tools.xlsx]CM-5-6'!B20,"Not Started")</f>
        <v/>
      </c>
      <c r="H216" s="14">
        <f>IF(OR(G216="Passed",G216="Accepted Exception"),"GREEN",IF(OR(G216="Not Started",G216="Failed"),"RED","AMBER"))</f>
        <v/>
      </c>
      <c r="I216" s="21">
        <f>IFERROR('[Developer_Tools.xlsx]CM-5-6'!E20,"Non commencé")</f>
        <v/>
      </c>
      <c r="J216" s="16">
        <f>IF(OR(I216="Réussi",I216="Exception acceptée"),"GREEN",IF(OR(I216="Non commencé",I216="Échec"),"RED","AMBER"))</f>
        <v/>
      </c>
      <c r="K216" s="19" t="inlineStr"/>
      <c r="L216" s="19" t="inlineStr"/>
      <c r="M216" s="22" t="inlineStr"/>
    </row>
    <row r="217" ht="18" customHeight="1">
      <c r="A217" s="11" t="inlineStr">
        <is>
          <t>CM-6</t>
        </is>
      </c>
      <c r="B217" s="12" t="inlineStr">
        <is>
          <t>Configuration Settings</t>
        </is>
      </c>
      <c r="C217" s="12" t="inlineStr">
        <is>
          <t>Developer Tools</t>
        </is>
      </c>
      <c r="D217" s="11" t="inlineStr">
        <is>
          <t>CM</t>
        </is>
      </c>
      <c r="E217" s="12" t="inlineStr">
        <is>
          <t>Developer Tools</t>
        </is>
      </c>
      <c r="F217" s="12" t="inlineStr">
        <is>
          <t>CM-6</t>
        </is>
      </c>
      <c r="G217" s="13">
        <f>IFERROR('[Developer_Tools.xlsx]CM-6'!B20,"Not Started")</f>
        <v/>
      </c>
      <c r="H217" s="14">
        <f>IF(OR(G217="Passed",G217="Accepted Exception"),"GREEN",IF(OR(G217="Not Started",G217="Failed"),"RED","AMBER"))</f>
        <v/>
      </c>
      <c r="I217" s="15">
        <f>IFERROR('[Developer_Tools.xlsx]CM-6'!E20,"Non commencé")</f>
        <v/>
      </c>
      <c r="J217" s="16">
        <f>IF(OR(I217="Réussi",I217="Exception acceptée"),"GREEN",IF(OR(I217="Non commencé",I217="Échec"),"RED","AMBER"))</f>
        <v/>
      </c>
      <c r="K217" s="12" t="inlineStr"/>
      <c r="L217" s="12" t="inlineStr"/>
      <c r="M217" s="17" t="inlineStr"/>
    </row>
    <row r="218" ht="18" customHeight="1">
      <c r="A218" s="18" t="inlineStr">
        <is>
          <t>CM-7</t>
        </is>
      </c>
      <c r="B218" s="19" t="inlineStr">
        <is>
          <t>Least Functionality</t>
        </is>
      </c>
      <c r="C218" s="19" t="inlineStr">
        <is>
          <t>Developer Tools</t>
        </is>
      </c>
      <c r="D218" s="18" t="inlineStr">
        <is>
          <t>CM</t>
        </is>
      </c>
      <c r="E218" s="19" t="inlineStr">
        <is>
          <t>Developer Tools</t>
        </is>
      </c>
      <c r="F218" s="19" t="inlineStr">
        <is>
          <t>CM-7</t>
        </is>
      </c>
      <c r="G218" s="20">
        <f>IFERROR('[Developer_Tools.xlsx]CM-7'!B20,"Not Started")</f>
        <v/>
      </c>
      <c r="H218" s="14">
        <f>IF(OR(G218="Passed",G218="Accepted Exception"),"GREEN",IF(OR(G218="Not Started",G218="Failed"),"RED","AMBER"))</f>
        <v/>
      </c>
      <c r="I218" s="21">
        <f>IFERROR('[Developer_Tools.xlsx]CM-7'!E20,"Non commencé")</f>
        <v/>
      </c>
      <c r="J218" s="16">
        <f>IF(OR(I218="Réussi",I218="Exception acceptée"),"GREEN",IF(OR(I218="Non commencé",I218="Échec"),"RED","AMBER"))</f>
        <v/>
      </c>
      <c r="K218" s="19" t="inlineStr"/>
      <c r="L218" s="19" t="inlineStr"/>
      <c r="M218" s="22" t="inlineStr"/>
    </row>
    <row r="219" ht="18" customHeight="1">
      <c r="A219" s="11" t="inlineStr">
        <is>
          <t>CM-7(1)</t>
        </is>
      </c>
      <c r="B219" s="12" t="inlineStr">
        <is>
          <t>Least Functionality</t>
        </is>
      </c>
      <c r="C219" s="12" t="inlineStr">
        <is>
          <t>Developer Tools</t>
        </is>
      </c>
      <c r="D219" s="11" t="inlineStr">
        <is>
          <t>CM</t>
        </is>
      </c>
      <c r="E219" s="12" t="inlineStr">
        <is>
          <t>Developer Tools</t>
        </is>
      </c>
      <c r="F219" s="12" t="inlineStr">
        <is>
          <t>CM-7-1</t>
        </is>
      </c>
      <c r="G219" s="13">
        <f>IFERROR('[Developer_Tools.xlsx]CM-7-1'!B20,"Not Started")</f>
        <v/>
      </c>
      <c r="H219" s="14">
        <f>IF(OR(G219="Passed",G219="Accepted Exception"),"GREEN",IF(OR(G219="Not Started",G219="Failed"),"RED","AMBER"))</f>
        <v/>
      </c>
      <c r="I219" s="15">
        <f>IFERROR('[Developer_Tools.xlsx]CM-7-1'!E20,"Non commencé")</f>
        <v/>
      </c>
      <c r="J219" s="16">
        <f>IF(OR(I219="Réussi",I219="Exception acceptée"),"GREEN",IF(OR(I219="Non commencé",I219="Échec"),"RED","AMBER"))</f>
        <v/>
      </c>
      <c r="K219" s="12" t="inlineStr"/>
      <c r="L219" s="12" t="inlineStr"/>
      <c r="M219" s="17" t="inlineStr"/>
    </row>
    <row r="220" ht="18" customHeight="1">
      <c r="A220" s="18" t="inlineStr">
        <is>
          <t>CP-10</t>
        </is>
      </c>
      <c r="B220" s="19" t="inlineStr">
        <is>
          <t>Information System Recovery and Reconstitution</t>
        </is>
      </c>
      <c r="C220" s="19" t="inlineStr">
        <is>
          <t>Developer Tools</t>
        </is>
      </c>
      <c r="D220" s="18" t="inlineStr">
        <is>
          <t>CP</t>
        </is>
      </c>
      <c r="E220" s="19" t="inlineStr">
        <is>
          <t>Developer Tools</t>
        </is>
      </c>
      <c r="F220" s="19" t="inlineStr">
        <is>
          <t>CP-10</t>
        </is>
      </c>
      <c r="G220" s="20">
        <f>IFERROR('[Developer_Tools.xlsx]CP-10'!B20,"Not Started")</f>
        <v/>
      </c>
      <c r="H220" s="14">
        <f>IF(OR(G220="Passed",G220="Accepted Exception"),"GREEN",IF(OR(G220="Not Started",G220="Failed"),"RED","AMBER"))</f>
        <v/>
      </c>
      <c r="I220" s="21">
        <f>IFERROR('[Developer_Tools.xlsx]CP-10'!E20,"Non commencé")</f>
        <v/>
      </c>
      <c r="J220" s="16">
        <f>IF(OR(I220="Réussi",I220="Exception acceptée"),"GREEN",IF(OR(I220="Non commencé",I220="Échec"),"RED","AMBER"))</f>
        <v/>
      </c>
      <c r="K220" s="19" t="inlineStr"/>
      <c r="L220" s="19" t="inlineStr"/>
      <c r="M220" s="22" t="inlineStr"/>
    </row>
    <row r="221" ht="18" customHeight="1">
      <c r="A221" s="11" t="inlineStr">
        <is>
          <t>CP-10(4)</t>
        </is>
      </c>
      <c r="B221" s="12" t="inlineStr">
        <is>
          <t>Information System Recovery and Reconstitution</t>
        </is>
      </c>
      <c r="C221" s="12" t="inlineStr">
        <is>
          <t>Developer Tools</t>
        </is>
      </c>
      <c r="D221" s="11" t="inlineStr">
        <is>
          <t>CP</t>
        </is>
      </c>
      <c r="E221" s="12" t="inlineStr">
        <is>
          <t>Developer Tools</t>
        </is>
      </c>
      <c r="F221" s="12" t="inlineStr">
        <is>
          <t>CP-10-4</t>
        </is>
      </c>
      <c r="G221" s="13">
        <f>IFERROR('[Developer_Tools.xlsx]CP-10-4'!B20,"Not Started")</f>
        <v/>
      </c>
      <c r="H221" s="14">
        <f>IF(OR(G221="Passed",G221="Accepted Exception"),"GREEN",IF(OR(G221="Not Started",G221="Failed"),"RED","AMBER"))</f>
        <v/>
      </c>
      <c r="I221" s="15">
        <f>IFERROR('[Developer_Tools.xlsx]CP-10-4'!E20,"Non commencé")</f>
        <v/>
      </c>
      <c r="J221" s="16">
        <f>IF(OR(I221="Réussi",I221="Exception acceptée"),"GREEN",IF(OR(I221="Non commencé",I221="Échec"),"RED","AMBER"))</f>
        <v/>
      </c>
      <c r="K221" s="12" t="inlineStr"/>
      <c r="L221" s="12" t="inlineStr"/>
      <c r="M221" s="17" t="inlineStr"/>
    </row>
    <row r="222" ht="18" customHeight="1">
      <c r="A222" s="18" t="inlineStr">
        <is>
          <t>IA-5(7)</t>
        </is>
      </c>
      <c r="B222" s="19" t="inlineStr">
        <is>
          <t>Authenticator Management</t>
        </is>
      </c>
      <c r="C222" s="19" t="inlineStr">
        <is>
          <t>Developer Tools</t>
        </is>
      </c>
      <c r="D222" s="18" t="inlineStr">
        <is>
          <t>IA</t>
        </is>
      </c>
      <c r="E222" s="19" t="inlineStr">
        <is>
          <t>Developer Tools</t>
        </is>
      </c>
      <c r="F222" s="19" t="inlineStr">
        <is>
          <t>IA-5-7</t>
        </is>
      </c>
      <c r="G222" s="20">
        <f>IFERROR('[Developer_Tools.xlsx]IA-5-7'!B20,"Not Started")</f>
        <v/>
      </c>
      <c r="H222" s="14">
        <f>IF(OR(G222="Passed",G222="Accepted Exception"),"GREEN",IF(OR(G222="Not Started",G222="Failed"),"RED","AMBER"))</f>
        <v/>
      </c>
      <c r="I222" s="21">
        <f>IFERROR('[Developer_Tools.xlsx]IA-5-7'!E20,"Non commencé")</f>
        <v/>
      </c>
      <c r="J222" s="16">
        <f>IF(OR(I222="Réussi",I222="Exception acceptée"),"GREEN",IF(OR(I222="Non commencé",I222="Échec"),"RED","AMBER"))</f>
        <v/>
      </c>
      <c r="K222" s="19" t="inlineStr"/>
      <c r="L222" s="19" t="inlineStr"/>
      <c r="M222" s="22" t="inlineStr"/>
    </row>
    <row r="223" ht="18" customHeight="1">
      <c r="A223" s="11" t="inlineStr">
        <is>
          <t>SA-9(5)</t>
        </is>
      </c>
      <c r="B223" s="12" t="inlineStr">
        <is>
          <t>External Information System Services</t>
        </is>
      </c>
      <c r="C223" s="12" t="inlineStr">
        <is>
          <t>Developer Tools</t>
        </is>
      </c>
      <c r="D223" s="11" t="inlineStr">
        <is>
          <t>SA</t>
        </is>
      </c>
      <c r="E223" s="12" t="inlineStr">
        <is>
          <t>Developer Tools</t>
        </is>
      </c>
      <c r="F223" s="12" t="inlineStr">
        <is>
          <t>SA-9-5</t>
        </is>
      </c>
      <c r="G223" s="13">
        <f>IFERROR('[Developer_Tools.xlsx]SA-9-5'!B20,"Not Started")</f>
        <v/>
      </c>
      <c r="H223" s="14">
        <f>IF(OR(G223="Passed",G223="Accepted Exception"),"GREEN",IF(OR(G223="Not Started",G223="Failed"),"RED","AMBER"))</f>
        <v/>
      </c>
      <c r="I223" s="15">
        <f>IFERROR('[Developer_Tools.xlsx]SA-9-5'!E20,"Non commencé")</f>
        <v/>
      </c>
      <c r="J223" s="16">
        <f>IF(OR(I223="Réussi",I223="Exception acceptée"),"GREEN",IF(OR(I223="Non commencé",I223="Échec"),"RED","AMBER"))</f>
        <v/>
      </c>
      <c r="K223" s="12" t="inlineStr"/>
      <c r="L223" s="12" t="inlineStr"/>
      <c r="M223" s="17" t="inlineStr"/>
    </row>
    <row r="224" ht="18" customHeight="1">
      <c r="A224" s="18" t="inlineStr">
        <is>
          <t>SA-11(1)</t>
        </is>
      </c>
      <c r="B224" s="19" t="inlineStr">
        <is>
          <t>Developer Security Testing</t>
        </is>
      </c>
      <c r="C224" s="19" t="inlineStr">
        <is>
          <t>Developer Tools</t>
        </is>
      </c>
      <c r="D224" s="18" t="inlineStr">
        <is>
          <t>SA</t>
        </is>
      </c>
      <c r="E224" s="19" t="inlineStr">
        <is>
          <t>Developer Tools</t>
        </is>
      </c>
      <c r="F224" s="19" t="inlineStr">
        <is>
          <t>SA-11-1</t>
        </is>
      </c>
      <c r="G224" s="20">
        <f>IFERROR('[Developer_Tools.xlsx]SA-11-1'!B20,"Not Started")</f>
        <v/>
      </c>
      <c r="H224" s="14">
        <f>IF(OR(G224="Passed",G224="Accepted Exception"),"GREEN",IF(OR(G224="Not Started",G224="Failed"),"RED","AMBER"))</f>
        <v/>
      </c>
      <c r="I224" s="21">
        <f>IFERROR('[Developer_Tools.xlsx]SA-11-1'!E20,"Non commencé")</f>
        <v/>
      </c>
      <c r="J224" s="16">
        <f>IF(OR(I224="Réussi",I224="Exception acceptée"),"GREEN",IF(OR(I224="Non commencé",I224="Échec"),"RED","AMBER"))</f>
        <v/>
      </c>
      <c r="K224" s="19" t="inlineStr"/>
      <c r="L224" s="19" t="inlineStr"/>
      <c r="M224" s="22" t="inlineStr"/>
    </row>
    <row r="225" ht="18" customHeight="1">
      <c r="A225" s="11" t="inlineStr">
        <is>
          <t>SA-11(8)</t>
        </is>
      </c>
      <c r="B225" s="12" t="inlineStr">
        <is>
          <t>Developer Security Testing</t>
        </is>
      </c>
      <c r="C225" s="12" t="inlineStr">
        <is>
          <t>Developer Tools</t>
        </is>
      </c>
      <c r="D225" s="11" t="inlineStr">
        <is>
          <t>SA</t>
        </is>
      </c>
      <c r="E225" s="12" t="inlineStr">
        <is>
          <t>Developer Tools</t>
        </is>
      </c>
      <c r="F225" s="12" t="inlineStr">
        <is>
          <t>SA-11-8</t>
        </is>
      </c>
      <c r="G225" s="13">
        <f>IFERROR('[Developer_Tools.xlsx]SA-11-8'!B20,"Not Started")</f>
        <v/>
      </c>
      <c r="H225" s="14">
        <f>IF(OR(G225="Passed",G225="Accepted Exception"),"GREEN",IF(OR(G225="Not Started",G225="Failed"),"RED","AMBER"))</f>
        <v/>
      </c>
      <c r="I225" s="15">
        <f>IFERROR('[Developer_Tools.xlsx]SA-11-8'!E20,"Non commencé")</f>
        <v/>
      </c>
      <c r="J225" s="16">
        <f>IF(OR(I225="Réussi",I225="Exception acceptée"),"GREEN",IF(OR(I225="Non commencé",I225="Échec"),"RED","AMBER"))</f>
        <v/>
      </c>
      <c r="K225" s="12" t="inlineStr"/>
      <c r="L225" s="12" t="inlineStr"/>
      <c r="M225" s="17" t="inlineStr"/>
    </row>
    <row r="226" ht="18" customHeight="1">
      <c r="A226" s="18" t="inlineStr">
        <is>
          <t>SI-4(2)</t>
        </is>
      </c>
      <c r="B226" s="19" t="inlineStr">
        <is>
          <t>Information System Monitoring</t>
        </is>
      </c>
      <c r="C226" s="19" t="inlineStr">
        <is>
          <t>Developer Tools</t>
        </is>
      </c>
      <c r="D226" s="18" t="inlineStr">
        <is>
          <t>SI</t>
        </is>
      </c>
      <c r="E226" s="19" t="inlineStr">
        <is>
          <t>Developer Tools</t>
        </is>
      </c>
      <c r="F226" s="19" t="inlineStr">
        <is>
          <t>SI-4-2</t>
        </is>
      </c>
      <c r="G226" s="20">
        <f>IFERROR('[Developer_Tools.xlsx]SI-4-2'!B20,"Not Started")</f>
        <v/>
      </c>
      <c r="H226" s="14">
        <f>IF(OR(G226="Passed",G226="Accepted Exception"),"GREEN",IF(OR(G226="Not Started",G226="Failed"),"RED","AMBER"))</f>
        <v/>
      </c>
      <c r="I226" s="21">
        <f>IFERROR('[Developer_Tools.xlsx]SI-4-2'!E20,"Non commencé")</f>
        <v/>
      </c>
      <c r="J226" s="16">
        <f>IF(OR(I226="Réussi",I226="Exception acceptée"),"GREEN",IF(OR(I226="Non commencé",I226="Échec"),"RED","AMBER"))</f>
        <v/>
      </c>
      <c r="K226" s="19" t="inlineStr"/>
      <c r="L226" s="19" t="inlineStr"/>
      <c r="M226" s="22" t="inlineStr"/>
    </row>
    <row r="227" ht="18" customHeight="1">
      <c r="A227" s="11" t="inlineStr">
        <is>
          <t>SI-6</t>
        </is>
      </c>
      <c r="B227" s="12" t="inlineStr">
        <is>
          <t>Security Functional Verification</t>
        </is>
      </c>
      <c r="C227" s="12" t="inlineStr">
        <is>
          <t>Developer Tools</t>
        </is>
      </c>
      <c r="D227" s="11" t="inlineStr">
        <is>
          <t>SI</t>
        </is>
      </c>
      <c r="E227" s="12" t="inlineStr">
        <is>
          <t>Developer Tools</t>
        </is>
      </c>
      <c r="F227" s="12" t="inlineStr">
        <is>
          <t>SI-6</t>
        </is>
      </c>
      <c r="G227" s="13">
        <f>IFERROR('[Developer_Tools.xlsx]SI-6'!B20,"Not Started")</f>
        <v/>
      </c>
      <c r="H227" s="14">
        <f>IF(OR(G227="Passed",G227="Accepted Exception"),"GREEN",IF(OR(G227="Not Started",G227="Failed"),"RED","AMBER"))</f>
        <v/>
      </c>
      <c r="I227" s="15">
        <f>IFERROR('[Developer_Tools.xlsx]SI-6'!E20,"Non commencé")</f>
        <v/>
      </c>
      <c r="J227" s="16">
        <f>IF(OR(I227="Réussi",I227="Exception acceptée"),"GREEN",IF(OR(I227="Non commencé",I227="Échec"),"RED","AMBER"))</f>
        <v/>
      </c>
      <c r="K227" s="12" t="inlineStr"/>
      <c r="L227" s="12" t="inlineStr"/>
      <c r="M227" s="17" t="inlineStr"/>
    </row>
    <row r="228" ht="18" customHeight="1">
      <c r="A228" s="18" t="inlineStr">
        <is>
          <t>AC-1</t>
        </is>
      </c>
      <c r="B228" s="19" t="inlineStr">
        <is>
          <t>Access Control Policy and Procedures</t>
        </is>
      </c>
      <c r="C228" s="19" t="inlineStr">
        <is>
          <t>Documentation</t>
        </is>
      </c>
      <c r="D228" s="18" t="inlineStr">
        <is>
          <t>AC</t>
        </is>
      </c>
      <c r="E228" s="19" t="inlineStr">
        <is>
          <t>Documentation</t>
        </is>
      </c>
      <c r="F228" s="19" t="inlineStr">
        <is>
          <t>AC-1</t>
        </is>
      </c>
      <c r="G228" s="20">
        <f>IFERROR('[Documentation.xlsx]AC-1'!B20,"Not Started")</f>
        <v/>
      </c>
      <c r="H228" s="14">
        <f>IF(OR(G228="Passed",G228="Accepted Exception"),"GREEN",IF(OR(G228="Not Started",G228="Failed"),"RED","AMBER"))</f>
        <v/>
      </c>
      <c r="I228" s="21">
        <f>IFERROR('[Documentation.xlsx]AC-1'!E20,"Non commencé")</f>
        <v/>
      </c>
      <c r="J228" s="16">
        <f>IF(OR(I228="Réussi",I228="Exception acceptée"),"GREEN",IF(OR(I228="Non commencé",I228="Échec"),"RED","AMBER"))</f>
        <v/>
      </c>
      <c r="K228" s="19" t="inlineStr"/>
      <c r="L228" s="19" t="inlineStr"/>
      <c r="M228" s="22" t="inlineStr"/>
    </row>
    <row r="229" ht="18" customHeight="1">
      <c r="A229" s="11" t="inlineStr">
        <is>
          <t>AC-2</t>
        </is>
      </c>
      <c r="B229" s="12" t="inlineStr">
        <is>
          <t>Account Management</t>
        </is>
      </c>
      <c r="C229" s="12" t="inlineStr">
        <is>
          <t>Documentation</t>
        </is>
      </c>
      <c r="D229" s="11" t="inlineStr">
        <is>
          <t>AC</t>
        </is>
      </c>
      <c r="E229" s="12" t="inlineStr">
        <is>
          <t>Documentation</t>
        </is>
      </c>
      <c r="F229" s="12" t="inlineStr">
        <is>
          <t>AC-2</t>
        </is>
      </c>
      <c r="G229" s="13">
        <f>IFERROR('[Documentation.xlsx]AC-2'!B20,"Not Started")</f>
        <v/>
      </c>
      <c r="H229" s="14">
        <f>IF(OR(G229="Passed",G229="Accepted Exception"),"GREEN",IF(OR(G229="Not Started",G229="Failed"),"RED","AMBER"))</f>
        <v/>
      </c>
      <c r="I229" s="15">
        <f>IFERROR('[Documentation.xlsx]AC-2'!E20,"Non commencé")</f>
        <v/>
      </c>
      <c r="J229" s="16">
        <f>IF(OR(I229="Réussi",I229="Exception acceptée"),"GREEN",IF(OR(I229="Non commencé",I229="Échec"),"RED","AMBER"))</f>
        <v/>
      </c>
      <c r="K229" s="12" t="inlineStr"/>
      <c r="L229" s="12" t="inlineStr"/>
      <c r="M229" s="17" t="inlineStr"/>
    </row>
    <row r="230" ht="18" customHeight="1">
      <c r="A230" s="18" t="inlineStr">
        <is>
          <t>AC-2(5)</t>
        </is>
      </c>
      <c r="B230" s="19" t="inlineStr">
        <is>
          <t>Account Management</t>
        </is>
      </c>
      <c r="C230" s="19" t="inlineStr">
        <is>
          <t>Documentation</t>
        </is>
      </c>
      <c r="D230" s="18" t="inlineStr">
        <is>
          <t>AC</t>
        </is>
      </c>
      <c r="E230" s="19" t="inlineStr">
        <is>
          <t>Documentation</t>
        </is>
      </c>
      <c r="F230" s="19" t="inlineStr">
        <is>
          <t>AC-2-5</t>
        </is>
      </c>
      <c r="G230" s="20">
        <f>IFERROR('[Documentation.xlsx]AC-2-5'!B20,"Not Started")</f>
        <v/>
      </c>
      <c r="H230" s="14">
        <f>IF(OR(G230="Passed",G230="Accepted Exception"),"GREEN",IF(OR(G230="Not Started",G230="Failed"),"RED","AMBER"))</f>
        <v/>
      </c>
      <c r="I230" s="21">
        <f>IFERROR('[Documentation.xlsx]AC-2-5'!E20,"Non commencé")</f>
        <v/>
      </c>
      <c r="J230" s="16">
        <f>IF(OR(I230="Réussi",I230="Exception acceptée"),"GREEN",IF(OR(I230="Non commencé",I230="Échec"),"RED","AMBER"))</f>
        <v/>
      </c>
      <c r="K230" s="19" t="inlineStr"/>
      <c r="L230" s="19" t="inlineStr"/>
      <c r="M230" s="22" t="inlineStr"/>
    </row>
    <row r="231" ht="18" customHeight="1">
      <c r="A231" s="11" t="inlineStr">
        <is>
          <t>AC-2(7)</t>
        </is>
      </c>
      <c r="B231" s="12" t="inlineStr">
        <is>
          <t>Account Management</t>
        </is>
      </c>
      <c r="C231" s="12" t="inlineStr">
        <is>
          <t>Documentation</t>
        </is>
      </c>
      <c r="D231" s="11" t="inlineStr">
        <is>
          <t>AC</t>
        </is>
      </c>
      <c r="E231" s="12" t="inlineStr">
        <is>
          <t>Documentation</t>
        </is>
      </c>
      <c r="F231" s="12" t="inlineStr">
        <is>
          <t>AC-2-7</t>
        </is>
      </c>
      <c r="G231" s="13">
        <f>IFERROR('[Documentation.xlsx]AC-2-7'!B20,"Not Started")</f>
        <v/>
      </c>
      <c r="H231" s="14">
        <f>IF(OR(G231="Passed",G231="Accepted Exception"),"GREEN",IF(OR(G231="Not Started",G231="Failed"),"RED","AMBER"))</f>
        <v/>
      </c>
      <c r="I231" s="15">
        <f>IFERROR('[Documentation.xlsx]AC-2-7'!E20,"Non commencé")</f>
        <v/>
      </c>
      <c r="J231" s="16">
        <f>IF(OR(I231="Réussi",I231="Exception acceptée"),"GREEN",IF(OR(I231="Non commencé",I231="Échec"),"RED","AMBER"))</f>
        <v/>
      </c>
      <c r="K231" s="12" t="inlineStr"/>
      <c r="L231" s="12" t="inlineStr"/>
      <c r="M231" s="17" t="inlineStr"/>
    </row>
    <row r="232" ht="18" customHeight="1">
      <c r="A232" s="18" t="inlineStr">
        <is>
          <t>AC-2(9)</t>
        </is>
      </c>
      <c r="B232" s="19" t="inlineStr">
        <is>
          <t>Account Management</t>
        </is>
      </c>
      <c r="C232" s="19" t="inlineStr">
        <is>
          <t>Documentation</t>
        </is>
      </c>
      <c r="D232" s="18" t="inlineStr">
        <is>
          <t>AC</t>
        </is>
      </c>
      <c r="E232" s="19" t="inlineStr">
        <is>
          <t>Documentation</t>
        </is>
      </c>
      <c r="F232" s="19" t="inlineStr">
        <is>
          <t>AC-2-9</t>
        </is>
      </c>
      <c r="G232" s="20">
        <f>IFERROR('[Documentation.xlsx]AC-2-9'!B20,"Not Started")</f>
        <v/>
      </c>
      <c r="H232" s="14">
        <f>IF(OR(G232="Passed",G232="Accepted Exception"),"GREEN",IF(OR(G232="Not Started",G232="Failed"),"RED","AMBER"))</f>
        <v/>
      </c>
      <c r="I232" s="21">
        <f>IFERROR('[Documentation.xlsx]AC-2-9'!E20,"Non commencé")</f>
        <v/>
      </c>
      <c r="J232" s="16">
        <f>IF(OR(I232="Réussi",I232="Exception acceptée"),"GREEN",IF(OR(I232="Non commencé",I232="Échec"),"RED","AMBER"))</f>
        <v/>
      </c>
      <c r="K232" s="19" t="inlineStr"/>
      <c r="L232" s="19" t="inlineStr"/>
      <c r="M232" s="22" t="inlineStr"/>
    </row>
    <row r="233" ht="18" customHeight="1">
      <c r="A233" s="11" t="inlineStr">
        <is>
          <t>AC-2(10)</t>
        </is>
      </c>
      <c r="B233" s="12" t="inlineStr">
        <is>
          <t>Account Management</t>
        </is>
      </c>
      <c r="C233" s="12" t="inlineStr">
        <is>
          <t>Documentation</t>
        </is>
      </c>
      <c r="D233" s="11" t="inlineStr">
        <is>
          <t>AC</t>
        </is>
      </c>
      <c r="E233" s="12" t="inlineStr">
        <is>
          <t>Documentation</t>
        </is>
      </c>
      <c r="F233" s="12" t="inlineStr">
        <is>
          <t>AC-2-10</t>
        </is>
      </c>
      <c r="G233" s="13">
        <f>IFERROR('[Documentation.xlsx]AC-2-10'!B20,"Not Started")</f>
        <v/>
      </c>
      <c r="H233" s="14">
        <f>IF(OR(G233="Passed",G233="Accepted Exception"),"GREEN",IF(OR(G233="Not Started",G233="Failed"),"RED","AMBER"))</f>
        <v/>
      </c>
      <c r="I233" s="15">
        <f>IFERROR('[Documentation.xlsx]AC-2-10'!E20,"Non commencé")</f>
        <v/>
      </c>
      <c r="J233" s="16">
        <f>IF(OR(I233="Réussi",I233="Exception acceptée"),"GREEN",IF(OR(I233="Non commencé",I233="Échec"),"RED","AMBER"))</f>
        <v/>
      </c>
      <c r="K233" s="12" t="inlineStr"/>
      <c r="L233" s="12" t="inlineStr"/>
      <c r="M233" s="17" t="inlineStr"/>
    </row>
    <row r="234" ht="18" customHeight="1">
      <c r="A234" s="18" t="inlineStr">
        <is>
          <t>AC-5</t>
        </is>
      </c>
      <c r="B234" s="19" t="inlineStr">
        <is>
          <t>Separation of Duties</t>
        </is>
      </c>
      <c r="C234" s="19" t="inlineStr">
        <is>
          <t>Documentation</t>
        </is>
      </c>
      <c r="D234" s="18" t="inlineStr">
        <is>
          <t>AC</t>
        </is>
      </c>
      <c r="E234" s="19" t="inlineStr">
        <is>
          <t>Documentation</t>
        </is>
      </c>
      <c r="F234" s="19" t="inlineStr">
        <is>
          <t>AC-5</t>
        </is>
      </c>
      <c r="G234" s="20">
        <f>IFERROR('[Documentation.xlsx]AC-5'!B20,"Not Started")</f>
        <v/>
      </c>
      <c r="H234" s="14">
        <f>IF(OR(G234="Passed",G234="Accepted Exception"),"GREEN",IF(OR(G234="Not Started",G234="Failed"),"RED","AMBER"))</f>
        <v/>
      </c>
      <c r="I234" s="21">
        <f>IFERROR('[Documentation.xlsx]AC-5'!E20,"Non commencé")</f>
        <v/>
      </c>
      <c r="J234" s="16">
        <f>IF(OR(I234="Réussi",I234="Exception acceptée"),"GREEN",IF(OR(I234="Non commencé",I234="Échec"),"RED","AMBER"))</f>
        <v/>
      </c>
      <c r="K234" s="19" t="inlineStr"/>
      <c r="L234" s="19" t="inlineStr"/>
      <c r="M234" s="22" t="inlineStr"/>
    </row>
    <row r="235" ht="18" customHeight="1">
      <c r="A235" s="11" t="inlineStr">
        <is>
          <t>AC-6(2)</t>
        </is>
      </c>
      <c r="B235" s="12" t="inlineStr">
        <is>
          <t>Least Privilege</t>
        </is>
      </c>
      <c r="C235" s="12" t="inlineStr">
        <is>
          <t>Documentation</t>
        </is>
      </c>
      <c r="D235" s="11" t="inlineStr">
        <is>
          <t>AC</t>
        </is>
      </c>
      <c r="E235" s="12" t="inlineStr">
        <is>
          <t>Documentation</t>
        </is>
      </c>
      <c r="F235" s="12" t="inlineStr">
        <is>
          <t>AC-6-2</t>
        </is>
      </c>
      <c r="G235" s="13">
        <f>IFERROR('[Documentation.xlsx]AC-6-2'!B20,"Not Started")</f>
        <v/>
      </c>
      <c r="H235" s="14">
        <f>IF(OR(G235="Passed",G235="Accepted Exception"),"GREEN",IF(OR(G235="Not Started",G235="Failed"),"RED","AMBER"))</f>
        <v/>
      </c>
      <c r="I235" s="15">
        <f>IFERROR('[Documentation.xlsx]AC-6-2'!E20,"Non commencé")</f>
        <v/>
      </c>
      <c r="J235" s="16">
        <f>IF(OR(I235="Réussi",I235="Exception acceptée"),"GREEN",IF(OR(I235="Non commencé",I235="Échec"),"RED","AMBER"))</f>
        <v/>
      </c>
      <c r="K235" s="12" t="inlineStr"/>
      <c r="L235" s="12" t="inlineStr"/>
      <c r="M235" s="17" t="inlineStr"/>
    </row>
    <row r="236" ht="18" customHeight="1">
      <c r="A236" s="18" t="inlineStr">
        <is>
          <t>AC-6(5)</t>
        </is>
      </c>
      <c r="B236" s="19" t="inlineStr">
        <is>
          <t>Least Privilege</t>
        </is>
      </c>
      <c r="C236" s="19" t="inlineStr">
        <is>
          <t>Documentation</t>
        </is>
      </c>
      <c r="D236" s="18" t="inlineStr">
        <is>
          <t>AC</t>
        </is>
      </c>
      <c r="E236" s="19" t="inlineStr">
        <is>
          <t>Documentation</t>
        </is>
      </c>
      <c r="F236" s="19" t="inlineStr">
        <is>
          <t>AC-6-5</t>
        </is>
      </c>
      <c r="G236" s="20">
        <f>IFERROR('[Documentation.xlsx]AC-6-5'!B20,"Not Started")</f>
        <v/>
      </c>
      <c r="H236" s="14">
        <f>IF(OR(G236="Passed",G236="Accepted Exception"),"GREEN",IF(OR(G236="Not Started",G236="Failed"),"RED","AMBER"))</f>
        <v/>
      </c>
      <c r="I236" s="21">
        <f>IFERROR('[Documentation.xlsx]AC-6-5'!E20,"Non commencé")</f>
        <v/>
      </c>
      <c r="J236" s="16">
        <f>IF(OR(I236="Réussi",I236="Exception acceptée"),"GREEN",IF(OR(I236="Non commencé",I236="Échec"),"RED","AMBER"))</f>
        <v/>
      </c>
      <c r="K236" s="19" t="inlineStr"/>
      <c r="L236" s="19" t="inlineStr"/>
      <c r="M236" s="22" t="inlineStr"/>
    </row>
    <row r="237" ht="18" customHeight="1">
      <c r="A237" s="11" t="inlineStr">
        <is>
          <t>AC-14</t>
        </is>
      </c>
      <c r="B237" s="12" t="inlineStr">
        <is>
          <t>Permitted Actions Without Identification or Authentication</t>
        </is>
      </c>
      <c r="C237" s="12" t="inlineStr">
        <is>
          <t>Documentation</t>
        </is>
      </c>
      <c r="D237" s="11" t="inlineStr">
        <is>
          <t>AC</t>
        </is>
      </c>
      <c r="E237" s="12" t="inlineStr">
        <is>
          <t>Documentation</t>
        </is>
      </c>
      <c r="F237" s="12" t="inlineStr">
        <is>
          <t>AC-14</t>
        </is>
      </c>
      <c r="G237" s="13">
        <f>IFERROR('[Documentation.xlsx]AC-14'!B20,"Not Started")</f>
        <v/>
      </c>
      <c r="H237" s="14">
        <f>IF(OR(G237="Passed",G237="Accepted Exception"),"GREEN",IF(OR(G237="Not Started",G237="Failed"),"RED","AMBER"))</f>
        <v/>
      </c>
      <c r="I237" s="15">
        <f>IFERROR('[Documentation.xlsx]AC-14'!E20,"Non commencé")</f>
        <v/>
      </c>
      <c r="J237" s="16">
        <f>IF(OR(I237="Réussi",I237="Exception acceptée"),"GREEN",IF(OR(I237="Non commencé",I237="Échec"),"RED","AMBER"))</f>
        <v/>
      </c>
      <c r="K237" s="12" t="inlineStr"/>
      <c r="L237" s="12" t="inlineStr"/>
      <c r="M237" s="17" t="inlineStr"/>
    </row>
    <row r="238" ht="18" customHeight="1">
      <c r="A238" s="18" t="inlineStr">
        <is>
          <t>AC-17</t>
        </is>
      </c>
      <c r="B238" s="19" t="inlineStr">
        <is>
          <t>Remote Access</t>
        </is>
      </c>
      <c r="C238" s="19" t="inlineStr">
        <is>
          <t>Documentation</t>
        </is>
      </c>
      <c r="D238" s="18" t="inlineStr">
        <is>
          <t>AC</t>
        </is>
      </c>
      <c r="E238" s="19" t="inlineStr">
        <is>
          <t>Documentation</t>
        </is>
      </c>
      <c r="F238" s="19" t="inlineStr">
        <is>
          <t>AC-17</t>
        </is>
      </c>
      <c r="G238" s="20">
        <f>IFERROR('[Documentation.xlsx]AC-17'!B20,"Not Started")</f>
        <v/>
      </c>
      <c r="H238" s="14">
        <f>IF(OR(G238="Passed",G238="Accepted Exception"),"GREEN",IF(OR(G238="Not Started",G238="Failed"),"RED","AMBER"))</f>
        <v/>
      </c>
      <c r="I238" s="21">
        <f>IFERROR('[Documentation.xlsx]AC-17'!E20,"Non commencé")</f>
        <v/>
      </c>
      <c r="J238" s="16">
        <f>IF(OR(I238="Réussi",I238="Exception acceptée"),"GREEN",IF(OR(I238="Non commencé",I238="Échec"),"RED","AMBER"))</f>
        <v/>
      </c>
      <c r="K238" s="19" t="inlineStr"/>
      <c r="L238" s="19" t="inlineStr"/>
      <c r="M238" s="22" t="inlineStr"/>
    </row>
    <row r="239" ht="18" customHeight="1">
      <c r="A239" s="11" t="inlineStr">
        <is>
          <t>AC-17(4)</t>
        </is>
      </c>
      <c r="B239" s="12" t="inlineStr">
        <is>
          <t>Remote Access</t>
        </is>
      </c>
      <c r="C239" s="12" t="inlineStr">
        <is>
          <t>Documentation</t>
        </is>
      </c>
      <c r="D239" s="11" t="inlineStr">
        <is>
          <t>AC</t>
        </is>
      </c>
      <c r="E239" s="12" t="inlineStr">
        <is>
          <t>Documentation</t>
        </is>
      </c>
      <c r="F239" s="12" t="inlineStr">
        <is>
          <t>AC-17-4</t>
        </is>
      </c>
      <c r="G239" s="13">
        <f>IFERROR('[Documentation.xlsx]AC-17-4'!B20,"Not Started")</f>
        <v/>
      </c>
      <c r="H239" s="14">
        <f>IF(OR(G239="Passed",G239="Accepted Exception"),"GREEN",IF(OR(G239="Not Started",G239="Failed"),"RED","AMBER"))</f>
        <v/>
      </c>
      <c r="I239" s="15">
        <f>IFERROR('[Documentation.xlsx]AC-17-4'!E20,"Non commencé")</f>
        <v/>
      </c>
      <c r="J239" s="16">
        <f>IF(OR(I239="Réussi",I239="Exception acceptée"),"GREEN",IF(OR(I239="Non commencé",I239="Échec"),"RED","AMBER"))</f>
        <v/>
      </c>
      <c r="K239" s="12" t="inlineStr"/>
      <c r="L239" s="12" t="inlineStr"/>
      <c r="M239" s="17" t="inlineStr"/>
    </row>
    <row r="240" ht="18" customHeight="1">
      <c r="A240" s="18" t="inlineStr">
        <is>
          <t>AC-20</t>
        </is>
      </c>
      <c r="B240" s="19" t="inlineStr">
        <is>
          <t>Use of External Information Systems</t>
        </is>
      </c>
      <c r="C240" s="19" t="inlineStr">
        <is>
          <t>Documentation</t>
        </is>
      </c>
      <c r="D240" s="18" t="inlineStr">
        <is>
          <t>AC</t>
        </is>
      </c>
      <c r="E240" s="19" t="inlineStr">
        <is>
          <t>Documentation</t>
        </is>
      </c>
      <c r="F240" s="19" t="inlineStr">
        <is>
          <t>AC-20</t>
        </is>
      </c>
      <c r="G240" s="20">
        <f>IFERROR('[Documentation.xlsx]AC-20'!B20,"Not Started")</f>
        <v/>
      </c>
      <c r="H240" s="14">
        <f>IF(OR(G240="Passed",G240="Accepted Exception"),"GREEN",IF(OR(G240="Not Started",G240="Failed"),"RED","AMBER"))</f>
        <v/>
      </c>
      <c r="I240" s="21">
        <f>IFERROR('[Documentation.xlsx]AC-20'!E20,"Non commencé")</f>
        <v/>
      </c>
      <c r="J240" s="16">
        <f>IF(OR(I240="Réussi",I240="Exception acceptée"),"GREEN",IF(OR(I240="Non commencé",I240="Échec"),"RED","AMBER"))</f>
        <v/>
      </c>
      <c r="K240" s="19" t="inlineStr"/>
      <c r="L240" s="19" t="inlineStr"/>
      <c r="M240" s="22" t="inlineStr"/>
    </row>
    <row r="241" ht="18" customHeight="1">
      <c r="A241" s="11" t="inlineStr">
        <is>
          <t>AC-20(1)</t>
        </is>
      </c>
      <c r="B241" s="12" t="inlineStr">
        <is>
          <t>Use of External Information Systems</t>
        </is>
      </c>
      <c r="C241" s="12" t="inlineStr">
        <is>
          <t>Documentation</t>
        </is>
      </c>
      <c r="D241" s="11" t="inlineStr">
        <is>
          <t>AC</t>
        </is>
      </c>
      <c r="E241" s="12" t="inlineStr">
        <is>
          <t>Documentation</t>
        </is>
      </c>
      <c r="F241" s="12" t="inlineStr">
        <is>
          <t>AC-20-1</t>
        </is>
      </c>
      <c r="G241" s="13">
        <f>IFERROR('[Documentation.xlsx]AC-20-1'!B20,"Not Started")</f>
        <v/>
      </c>
      <c r="H241" s="14">
        <f>IF(OR(G241="Passed",G241="Accepted Exception"),"GREEN",IF(OR(G241="Not Started",G241="Failed"),"RED","AMBER"))</f>
        <v/>
      </c>
      <c r="I241" s="15">
        <f>IFERROR('[Documentation.xlsx]AC-20-1'!E20,"Non commencé")</f>
        <v/>
      </c>
      <c r="J241" s="16">
        <f>IF(OR(I241="Réussi",I241="Exception acceptée"),"GREEN",IF(OR(I241="Non commencé",I241="Échec"),"RED","AMBER"))</f>
        <v/>
      </c>
      <c r="K241" s="12" t="inlineStr"/>
      <c r="L241" s="12" t="inlineStr"/>
      <c r="M241" s="17" t="inlineStr"/>
    </row>
    <row r="242" ht="18" customHeight="1">
      <c r="A242" s="18" t="inlineStr">
        <is>
          <t>AC-20(2)</t>
        </is>
      </c>
      <c r="B242" s="19" t="inlineStr">
        <is>
          <t>Use of External Information Systems</t>
        </is>
      </c>
      <c r="C242" s="19" t="inlineStr">
        <is>
          <t>Documentation</t>
        </is>
      </c>
      <c r="D242" s="18" t="inlineStr">
        <is>
          <t>AC</t>
        </is>
      </c>
      <c r="E242" s="19" t="inlineStr">
        <is>
          <t>Documentation</t>
        </is>
      </c>
      <c r="F242" s="19" t="inlineStr">
        <is>
          <t>AC-20-2</t>
        </is>
      </c>
      <c r="G242" s="20">
        <f>IFERROR('[Documentation.xlsx]AC-20-2'!B20,"Not Started")</f>
        <v/>
      </c>
      <c r="H242" s="14">
        <f>IF(OR(G242="Passed",G242="Accepted Exception"),"GREEN",IF(OR(G242="Not Started",G242="Failed"),"RED","AMBER"))</f>
        <v/>
      </c>
      <c r="I242" s="21">
        <f>IFERROR('[Documentation.xlsx]AC-20-2'!E20,"Non commencé")</f>
        <v/>
      </c>
      <c r="J242" s="16">
        <f>IF(OR(I242="Réussi",I242="Exception acceptée"),"GREEN",IF(OR(I242="Non commencé",I242="Échec"),"RED","AMBER"))</f>
        <v/>
      </c>
      <c r="K242" s="19" t="inlineStr"/>
      <c r="L242" s="19" t="inlineStr"/>
      <c r="M242" s="22" t="inlineStr"/>
    </row>
    <row r="243" ht="18" customHeight="1">
      <c r="A243" s="11" t="inlineStr">
        <is>
          <t>AC-21</t>
        </is>
      </c>
      <c r="B243" s="12" t="inlineStr">
        <is>
          <t>User-Based Collaboration and Information Sharing</t>
        </is>
      </c>
      <c r="C243" s="12" t="inlineStr">
        <is>
          <t>Documentation</t>
        </is>
      </c>
      <c r="D243" s="11" t="inlineStr">
        <is>
          <t>AC</t>
        </is>
      </c>
      <c r="E243" s="12" t="inlineStr">
        <is>
          <t>Documentation</t>
        </is>
      </c>
      <c r="F243" s="12" t="inlineStr">
        <is>
          <t>AC-21</t>
        </is>
      </c>
      <c r="G243" s="13">
        <f>IFERROR('[Documentation.xlsx]AC-21'!B20,"Not Started")</f>
        <v/>
      </c>
      <c r="H243" s="14">
        <f>IF(OR(G243="Passed",G243="Accepted Exception"),"GREEN",IF(OR(G243="Not Started",G243="Failed"),"RED","AMBER"))</f>
        <v/>
      </c>
      <c r="I243" s="15">
        <f>IFERROR('[Documentation.xlsx]AC-21'!E20,"Non commencé")</f>
        <v/>
      </c>
      <c r="J243" s="16">
        <f>IF(OR(I243="Réussi",I243="Exception acceptée"),"GREEN",IF(OR(I243="Non commencé",I243="Échec"),"RED","AMBER"))</f>
        <v/>
      </c>
      <c r="K243" s="12" t="inlineStr"/>
      <c r="L243" s="12" t="inlineStr"/>
      <c r="M243" s="17" t="inlineStr"/>
    </row>
    <row r="244" ht="18" customHeight="1">
      <c r="A244" s="18" t="inlineStr">
        <is>
          <t>AC-22</t>
        </is>
      </c>
      <c r="B244" s="19" t="inlineStr">
        <is>
          <t>Publicly Accessible Content</t>
        </is>
      </c>
      <c r="C244" s="19" t="inlineStr">
        <is>
          <t>Documentation</t>
        </is>
      </c>
      <c r="D244" s="18" t="inlineStr">
        <is>
          <t>AC</t>
        </is>
      </c>
      <c r="E244" s="19" t="inlineStr">
        <is>
          <t>Documentation</t>
        </is>
      </c>
      <c r="F244" s="19" t="inlineStr">
        <is>
          <t>AC-22</t>
        </is>
      </c>
      <c r="G244" s="20">
        <f>IFERROR('[Documentation.xlsx]AC-22'!B20,"Not Started")</f>
        <v/>
      </c>
      <c r="H244" s="14">
        <f>IF(OR(G244="Passed",G244="Accepted Exception"),"GREEN",IF(OR(G244="Not Started",G244="Failed"),"RED","AMBER"))</f>
        <v/>
      </c>
      <c r="I244" s="21">
        <f>IFERROR('[Documentation.xlsx]AC-22'!E20,"Non commencé")</f>
        <v/>
      </c>
      <c r="J244" s="16">
        <f>IF(OR(I244="Réussi",I244="Exception acceptée"),"GREEN",IF(OR(I244="Non commencé",I244="Échec"),"RED","AMBER"))</f>
        <v/>
      </c>
      <c r="K244" s="19" t="inlineStr"/>
      <c r="L244" s="19" t="inlineStr"/>
      <c r="M244" s="22" t="inlineStr"/>
    </row>
    <row r="245" ht="18" customHeight="1">
      <c r="A245" s="11" t="inlineStr">
        <is>
          <t>AT-1</t>
        </is>
      </c>
      <c r="B245" s="12" t="inlineStr">
        <is>
          <t>Security Awareness and Training Policy and Procedures</t>
        </is>
      </c>
      <c r="C245" s="12" t="inlineStr">
        <is>
          <t>Documentation</t>
        </is>
      </c>
      <c r="D245" s="11" t="inlineStr">
        <is>
          <t>AT</t>
        </is>
      </c>
      <c r="E245" s="12" t="inlineStr">
        <is>
          <t>Documentation</t>
        </is>
      </c>
      <c r="F245" s="12" t="inlineStr">
        <is>
          <t>AT-1</t>
        </is>
      </c>
      <c r="G245" s="13">
        <f>IFERROR('[Documentation.xlsx]AT-1'!B20,"Not Started")</f>
        <v/>
      </c>
      <c r="H245" s="14">
        <f>IF(OR(G245="Passed",G245="Accepted Exception"),"GREEN",IF(OR(G245="Not Started",G245="Failed"),"RED","AMBER"))</f>
        <v/>
      </c>
      <c r="I245" s="15">
        <f>IFERROR('[Documentation.xlsx]AT-1'!E20,"Non commencé")</f>
        <v/>
      </c>
      <c r="J245" s="16">
        <f>IF(OR(I245="Réussi",I245="Exception acceptée"),"GREEN",IF(OR(I245="Non commencé",I245="Échec"),"RED","AMBER"))</f>
        <v/>
      </c>
      <c r="K245" s="12" t="inlineStr"/>
      <c r="L245" s="12" t="inlineStr"/>
      <c r="M245" s="17" t="inlineStr"/>
    </row>
    <row r="246" ht="18" customHeight="1">
      <c r="A246" s="18" t="inlineStr">
        <is>
          <t>AT-2</t>
        </is>
      </c>
      <c r="B246" s="19" t="inlineStr">
        <is>
          <t>Security Awareness</t>
        </is>
      </c>
      <c r="C246" s="19" t="inlineStr">
        <is>
          <t>Documentation</t>
        </is>
      </c>
      <c r="D246" s="18" t="inlineStr">
        <is>
          <t>AT</t>
        </is>
      </c>
      <c r="E246" s="19" t="inlineStr">
        <is>
          <t>Documentation</t>
        </is>
      </c>
      <c r="F246" s="19" t="inlineStr">
        <is>
          <t>AT-2</t>
        </is>
      </c>
      <c r="G246" s="20">
        <f>IFERROR('[Documentation.xlsx]AT-2'!B20,"Not Started")</f>
        <v/>
      </c>
      <c r="H246" s="14">
        <f>IF(OR(G246="Passed",G246="Accepted Exception"),"GREEN",IF(OR(G246="Not Started",G246="Failed"),"RED","AMBER"))</f>
        <v/>
      </c>
      <c r="I246" s="21">
        <f>IFERROR('[Documentation.xlsx]AT-2'!E20,"Non commencé")</f>
        <v/>
      </c>
      <c r="J246" s="16">
        <f>IF(OR(I246="Réussi",I246="Exception acceptée"),"GREEN",IF(OR(I246="Non commencé",I246="Échec"),"RED","AMBER"))</f>
        <v/>
      </c>
      <c r="K246" s="19" t="inlineStr"/>
      <c r="L246" s="19" t="inlineStr"/>
      <c r="M246" s="22" t="inlineStr"/>
    </row>
    <row r="247" ht="18" customHeight="1">
      <c r="A247" s="11" t="inlineStr">
        <is>
          <t>AT-2(2)</t>
        </is>
      </c>
      <c r="B247" s="12" t="inlineStr">
        <is>
          <t>Security Awareness</t>
        </is>
      </c>
      <c r="C247" s="12" t="inlineStr">
        <is>
          <t>Documentation</t>
        </is>
      </c>
      <c r="D247" s="11" t="inlineStr">
        <is>
          <t>AT</t>
        </is>
      </c>
      <c r="E247" s="12" t="inlineStr">
        <is>
          <t>Documentation</t>
        </is>
      </c>
      <c r="F247" s="12" t="inlineStr">
        <is>
          <t>AT-2-2</t>
        </is>
      </c>
      <c r="G247" s="13">
        <f>IFERROR('[Documentation.xlsx]AT-2-2'!B20,"Not Started")</f>
        <v/>
      </c>
      <c r="H247" s="14">
        <f>IF(OR(G247="Passed",G247="Accepted Exception"),"GREEN",IF(OR(G247="Not Started",G247="Failed"),"RED","AMBER"))</f>
        <v/>
      </c>
      <c r="I247" s="15">
        <f>IFERROR('[Documentation.xlsx]AT-2-2'!E20,"Non commencé")</f>
        <v/>
      </c>
      <c r="J247" s="16">
        <f>IF(OR(I247="Réussi",I247="Exception acceptée"),"GREEN",IF(OR(I247="Non commencé",I247="Échec"),"RED","AMBER"))</f>
        <v/>
      </c>
      <c r="K247" s="12" t="inlineStr"/>
      <c r="L247" s="12" t="inlineStr"/>
      <c r="M247" s="17" t="inlineStr"/>
    </row>
    <row r="248" ht="18" customHeight="1">
      <c r="A248" s="18" t="inlineStr">
        <is>
          <t>AT-3</t>
        </is>
      </c>
      <c r="B248" s="19" t="inlineStr">
        <is>
          <t>Role Based Security Training</t>
        </is>
      </c>
      <c r="C248" s="19" t="inlineStr">
        <is>
          <t>Documentation</t>
        </is>
      </c>
      <c r="D248" s="18" t="inlineStr">
        <is>
          <t>AT</t>
        </is>
      </c>
      <c r="E248" s="19" t="inlineStr">
        <is>
          <t>Documentation</t>
        </is>
      </c>
      <c r="F248" s="19" t="inlineStr">
        <is>
          <t>AT-3</t>
        </is>
      </c>
      <c r="G248" s="20">
        <f>IFERROR('[Documentation.xlsx]AT-3'!B20,"Not Started")</f>
        <v/>
      </c>
      <c r="H248" s="14">
        <f>IF(OR(G248="Passed",G248="Accepted Exception"),"GREEN",IF(OR(G248="Not Started",G248="Failed"),"RED","AMBER"))</f>
        <v/>
      </c>
      <c r="I248" s="21">
        <f>IFERROR('[Documentation.xlsx]AT-3'!E20,"Non commencé")</f>
        <v/>
      </c>
      <c r="J248" s="16">
        <f>IF(OR(I248="Réussi",I248="Exception acceptée"),"GREEN",IF(OR(I248="Non commencé",I248="Échec"),"RED","AMBER"))</f>
        <v/>
      </c>
      <c r="K248" s="19" t="inlineStr"/>
      <c r="L248" s="19" t="inlineStr"/>
      <c r="M248" s="22" t="inlineStr"/>
    </row>
    <row r="249" ht="18" customHeight="1">
      <c r="A249" s="11" t="inlineStr">
        <is>
          <t>AT-4</t>
        </is>
      </c>
      <c r="B249" s="12" t="inlineStr">
        <is>
          <t>Security Training Records</t>
        </is>
      </c>
      <c r="C249" s="12" t="inlineStr">
        <is>
          <t>Documentation</t>
        </is>
      </c>
      <c r="D249" s="11" t="inlineStr">
        <is>
          <t>AT</t>
        </is>
      </c>
      <c r="E249" s="12" t="inlineStr">
        <is>
          <t>Documentation</t>
        </is>
      </c>
      <c r="F249" s="12" t="inlineStr">
        <is>
          <t>AT-4</t>
        </is>
      </c>
      <c r="G249" s="13">
        <f>IFERROR('[Documentation.xlsx]AT-4'!B20,"Not Started")</f>
        <v/>
      </c>
      <c r="H249" s="14">
        <f>IF(OR(G249="Passed",G249="Accepted Exception"),"GREEN",IF(OR(G249="Not Started",G249="Failed"),"RED","AMBER"))</f>
        <v/>
      </c>
      <c r="I249" s="15">
        <f>IFERROR('[Documentation.xlsx]AT-4'!E20,"Non commencé")</f>
        <v/>
      </c>
      <c r="J249" s="16">
        <f>IF(OR(I249="Réussi",I249="Exception acceptée"),"GREEN",IF(OR(I249="Non commencé",I249="Échec"),"RED","AMBER"))</f>
        <v/>
      </c>
      <c r="K249" s="12" t="inlineStr"/>
      <c r="L249" s="12" t="inlineStr"/>
      <c r="M249" s="17" t="inlineStr"/>
    </row>
    <row r="250" ht="18" customHeight="1">
      <c r="A250" s="18" t="inlineStr">
        <is>
          <t>AU-1</t>
        </is>
      </c>
      <c r="B250" s="19" t="inlineStr">
        <is>
          <t>Audit and Accountability Policy and Procedures</t>
        </is>
      </c>
      <c r="C250" s="19" t="inlineStr">
        <is>
          <t>Documentation</t>
        </is>
      </c>
      <c r="D250" s="18" t="inlineStr">
        <is>
          <t>AU</t>
        </is>
      </c>
      <c r="E250" s="19" t="inlineStr">
        <is>
          <t>Documentation</t>
        </is>
      </c>
      <c r="F250" s="19" t="inlineStr">
        <is>
          <t>AU-1</t>
        </is>
      </c>
      <c r="G250" s="20">
        <f>IFERROR('[Documentation.xlsx]AU-1'!B20,"Not Started")</f>
        <v/>
      </c>
      <c r="H250" s="14">
        <f>IF(OR(G250="Passed",G250="Accepted Exception"),"GREEN",IF(OR(G250="Not Started",G250="Failed"),"RED","AMBER"))</f>
        <v/>
      </c>
      <c r="I250" s="21">
        <f>IFERROR('[Documentation.xlsx]AU-1'!E20,"Non commencé")</f>
        <v/>
      </c>
      <c r="J250" s="16">
        <f>IF(OR(I250="Réussi",I250="Exception acceptée"),"GREEN",IF(OR(I250="Non commencé",I250="Échec"),"RED","AMBER"))</f>
        <v/>
      </c>
      <c r="K250" s="19" t="inlineStr"/>
      <c r="L250" s="19" t="inlineStr"/>
      <c r="M250" s="22" t="inlineStr"/>
    </row>
    <row r="251" ht="18" customHeight="1">
      <c r="A251" s="11" t="inlineStr">
        <is>
          <t>AU-2</t>
        </is>
      </c>
      <c r="B251" s="12" t="inlineStr">
        <is>
          <t>Auditable Events</t>
        </is>
      </c>
      <c r="C251" s="12" t="inlineStr">
        <is>
          <t>Documentation</t>
        </is>
      </c>
      <c r="D251" s="11" t="inlineStr">
        <is>
          <t>AU</t>
        </is>
      </c>
      <c r="E251" s="12" t="inlineStr">
        <is>
          <t>Documentation</t>
        </is>
      </c>
      <c r="F251" s="12" t="inlineStr">
        <is>
          <t>AU-2</t>
        </is>
      </c>
      <c r="G251" s="13">
        <f>IFERROR('[Documentation.xlsx]AU-2'!B20,"Not Started")</f>
        <v/>
      </c>
      <c r="H251" s="14">
        <f>IF(OR(G251="Passed",G251="Accepted Exception"),"GREEN",IF(OR(G251="Not Started",G251="Failed"),"RED","AMBER"))</f>
        <v/>
      </c>
      <c r="I251" s="15">
        <f>IFERROR('[Documentation.xlsx]AU-2'!E20,"Non commencé")</f>
        <v/>
      </c>
      <c r="J251" s="16">
        <f>IF(OR(I251="Réussi",I251="Exception acceptée"),"GREEN",IF(OR(I251="Non commencé",I251="Échec"),"RED","AMBER"))</f>
        <v/>
      </c>
      <c r="K251" s="12" t="inlineStr"/>
      <c r="L251" s="12" t="inlineStr"/>
      <c r="M251" s="17" t="inlineStr"/>
    </row>
    <row r="252" ht="18" customHeight="1">
      <c r="A252" s="18" t="inlineStr">
        <is>
          <t>AU-3</t>
        </is>
      </c>
      <c r="B252" s="19" t="inlineStr">
        <is>
          <t>Content of Audit Records</t>
        </is>
      </c>
      <c r="C252" s="19" t="inlineStr">
        <is>
          <t>Documentation</t>
        </is>
      </c>
      <c r="D252" s="18" t="inlineStr">
        <is>
          <t>AU</t>
        </is>
      </c>
      <c r="E252" s="19" t="inlineStr">
        <is>
          <t>Documentation</t>
        </is>
      </c>
      <c r="F252" s="19" t="inlineStr">
        <is>
          <t>AU-3</t>
        </is>
      </c>
      <c r="G252" s="20">
        <f>IFERROR('[Documentation.xlsx]AU-3'!B20,"Not Started")</f>
        <v/>
      </c>
      <c r="H252" s="14">
        <f>IF(OR(G252="Passed",G252="Accepted Exception"),"GREEN",IF(OR(G252="Not Started",G252="Failed"),"RED","AMBER"))</f>
        <v/>
      </c>
      <c r="I252" s="21">
        <f>IFERROR('[Documentation.xlsx]AU-3'!E20,"Non commencé")</f>
        <v/>
      </c>
      <c r="J252" s="16">
        <f>IF(OR(I252="Réussi",I252="Exception acceptée"),"GREEN",IF(OR(I252="Non commencé",I252="Échec"),"RED","AMBER"))</f>
        <v/>
      </c>
      <c r="K252" s="19" t="inlineStr"/>
      <c r="L252" s="19" t="inlineStr"/>
      <c r="M252" s="22" t="inlineStr"/>
    </row>
    <row r="253" ht="18" customHeight="1">
      <c r="A253" s="11" t="inlineStr">
        <is>
          <t>AU-6</t>
        </is>
      </c>
      <c r="B253" s="12" t="inlineStr">
        <is>
          <t>Audit Review, Analysis, and Reporting</t>
        </is>
      </c>
      <c r="C253" s="12" t="inlineStr">
        <is>
          <t>Documentation</t>
        </is>
      </c>
      <c r="D253" s="11" t="inlineStr">
        <is>
          <t>AU</t>
        </is>
      </c>
      <c r="E253" s="12" t="inlineStr">
        <is>
          <t>Documentation</t>
        </is>
      </c>
      <c r="F253" s="12" t="inlineStr">
        <is>
          <t>AU-6</t>
        </is>
      </c>
      <c r="G253" s="13">
        <f>IFERROR('[Documentation.xlsx]AU-6'!B20,"Not Started")</f>
        <v/>
      </c>
      <c r="H253" s="14">
        <f>IF(OR(G253="Passed",G253="Accepted Exception"),"GREEN",IF(OR(G253="Not Started",G253="Failed"),"RED","AMBER"))</f>
        <v/>
      </c>
      <c r="I253" s="15">
        <f>IFERROR('[Documentation.xlsx]AU-6'!E20,"Non commencé")</f>
        <v/>
      </c>
      <c r="J253" s="16">
        <f>IF(OR(I253="Réussi",I253="Exception acceptée"),"GREEN",IF(OR(I253="Non commencé",I253="Échec"),"RED","AMBER"))</f>
        <v/>
      </c>
      <c r="K253" s="12" t="inlineStr"/>
      <c r="L253" s="12" t="inlineStr"/>
      <c r="M253" s="17" t="inlineStr"/>
    </row>
    <row r="254" ht="18" customHeight="1">
      <c r="A254" s="18" t="inlineStr">
        <is>
          <t>AU-9(4)</t>
        </is>
      </c>
      <c r="B254" s="19" t="inlineStr">
        <is>
          <t>Protection of Audit Information</t>
        </is>
      </c>
      <c r="C254" s="19" t="inlineStr">
        <is>
          <t>Documentation</t>
        </is>
      </c>
      <c r="D254" s="18" t="inlineStr">
        <is>
          <t>AU</t>
        </is>
      </c>
      <c r="E254" s="19" t="inlineStr">
        <is>
          <t>Documentation</t>
        </is>
      </c>
      <c r="F254" s="19" t="inlineStr">
        <is>
          <t>AU-9-4</t>
        </is>
      </c>
      <c r="G254" s="20">
        <f>IFERROR('[Documentation.xlsx]AU-9-4'!B20,"Not Started")</f>
        <v/>
      </c>
      <c r="H254" s="14">
        <f>IF(OR(G254="Passed",G254="Accepted Exception"),"GREEN",IF(OR(G254="Not Started",G254="Failed"),"RED","AMBER"))</f>
        <v/>
      </c>
      <c r="I254" s="21">
        <f>IFERROR('[Documentation.xlsx]AU-9-4'!E20,"Non commencé")</f>
        <v/>
      </c>
      <c r="J254" s="16">
        <f>IF(OR(I254="Réussi",I254="Exception acceptée"),"GREEN",IF(OR(I254="Non commencé",I254="Échec"),"RED","AMBER"))</f>
        <v/>
      </c>
      <c r="K254" s="19" t="inlineStr"/>
      <c r="L254" s="19" t="inlineStr"/>
      <c r="M254" s="22" t="inlineStr"/>
    </row>
    <row r="255" ht="18" customHeight="1">
      <c r="A255" s="11" t="inlineStr">
        <is>
          <t>CA-1</t>
        </is>
      </c>
      <c r="B255" s="12" t="inlineStr">
        <is>
          <t>Security Assessment and Authorization Policies and Procedures</t>
        </is>
      </c>
      <c r="C255" s="12" t="inlineStr">
        <is>
          <t>Documentation</t>
        </is>
      </c>
      <c r="D255" s="11" t="inlineStr">
        <is>
          <t>CA</t>
        </is>
      </c>
      <c r="E255" s="12" t="inlineStr">
        <is>
          <t>Documentation</t>
        </is>
      </c>
      <c r="F255" s="12" t="inlineStr">
        <is>
          <t>CA-1</t>
        </is>
      </c>
      <c r="G255" s="13">
        <f>IFERROR('[Documentation.xlsx]CA-1'!B20,"Not Started")</f>
        <v/>
      </c>
      <c r="H255" s="14">
        <f>IF(OR(G255="Passed",G255="Accepted Exception"),"GREEN",IF(OR(G255="Not Started",G255="Failed"),"RED","AMBER"))</f>
        <v/>
      </c>
      <c r="I255" s="15">
        <f>IFERROR('[Documentation.xlsx]CA-1'!E20,"Non commencé")</f>
        <v/>
      </c>
      <c r="J255" s="16">
        <f>IF(OR(I255="Réussi",I255="Exception acceptée"),"GREEN",IF(OR(I255="Non commencé",I255="Échec"),"RED","AMBER"))</f>
        <v/>
      </c>
      <c r="K255" s="12" t="inlineStr"/>
      <c r="L255" s="12" t="inlineStr"/>
      <c r="M255" s="17" t="inlineStr"/>
    </row>
    <row r="256" ht="18" customHeight="1">
      <c r="A256" s="18" t="inlineStr">
        <is>
          <t>CA-2</t>
        </is>
      </c>
      <c r="B256" s="19" t="inlineStr">
        <is>
          <t>Security Assessments</t>
        </is>
      </c>
      <c r="C256" s="19" t="inlineStr">
        <is>
          <t>Documentation</t>
        </is>
      </c>
      <c r="D256" s="18" t="inlineStr">
        <is>
          <t>CA</t>
        </is>
      </c>
      <c r="E256" s="19" t="inlineStr">
        <is>
          <t>Documentation</t>
        </is>
      </c>
      <c r="F256" s="19" t="inlineStr">
        <is>
          <t>CA-2</t>
        </is>
      </c>
      <c r="G256" s="20">
        <f>IFERROR('[Documentation.xlsx]CA-2'!B20,"Not Started")</f>
        <v/>
      </c>
      <c r="H256" s="14">
        <f>IF(OR(G256="Passed",G256="Accepted Exception"),"GREEN",IF(OR(G256="Not Started",G256="Failed"),"RED","AMBER"))</f>
        <v/>
      </c>
      <c r="I256" s="21">
        <f>IFERROR('[Documentation.xlsx]CA-2'!E20,"Non commencé")</f>
        <v/>
      </c>
      <c r="J256" s="16">
        <f>IF(OR(I256="Réussi",I256="Exception acceptée"),"GREEN",IF(OR(I256="Non commencé",I256="Échec"),"RED","AMBER"))</f>
        <v/>
      </c>
      <c r="K256" s="19" t="inlineStr"/>
      <c r="L256" s="19" t="inlineStr"/>
      <c r="M256" s="22" t="inlineStr"/>
    </row>
    <row r="257" ht="18" customHeight="1">
      <c r="A257" s="11" t="inlineStr">
        <is>
          <t>CA-2(1)</t>
        </is>
      </c>
      <c r="B257" s="12" t="inlineStr">
        <is>
          <t>Security Assessments</t>
        </is>
      </c>
      <c r="C257" s="12" t="inlineStr">
        <is>
          <t>Documentation</t>
        </is>
      </c>
      <c r="D257" s="11" t="inlineStr">
        <is>
          <t>CA</t>
        </is>
      </c>
      <c r="E257" s="12" t="inlineStr">
        <is>
          <t>Documentation</t>
        </is>
      </c>
      <c r="F257" s="12" t="inlineStr">
        <is>
          <t>CA-2-1</t>
        </is>
      </c>
      <c r="G257" s="13">
        <f>IFERROR('[Documentation.xlsx]CA-2-1'!B20,"Not Started")</f>
        <v/>
      </c>
      <c r="H257" s="14">
        <f>IF(OR(G257="Passed",G257="Accepted Exception"),"GREEN",IF(OR(G257="Not Started",G257="Failed"),"RED","AMBER"))</f>
        <v/>
      </c>
      <c r="I257" s="15">
        <f>IFERROR('[Documentation.xlsx]CA-2-1'!E20,"Non commencé")</f>
        <v/>
      </c>
      <c r="J257" s="16">
        <f>IF(OR(I257="Réussi",I257="Exception acceptée"),"GREEN",IF(OR(I257="Non commencé",I257="Échec"),"RED","AMBER"))</f>
        <v/>
      </c>
      <c r="K257" s="12" t="inlineStr"/>
      <c r="L257" s="12" t="inlineStr"/>
      <c r="M257" s="17" t="inlineStr"/>
    </row>
    <row r="258" ht="18" customHeight="1">
      <c r="A258" s="18" t="inlineStr">
        <is>
          <t>CA-2(2)</t>
        </is>
      </c>
      <c r="B258" s="19" t="inlineStr">
        <is>
          <t>Security Assessments</t>
        </is>
      </c>
      <c r="C258" s="19" t="inlineStr">
        <is>
          <t>Documentation</t>
        </is>
      </c>
      <c r="D258" s="18" t="inlineStr">
        <is>
          <t>CA</t>
        </is>
      </c>
      <c r="E258" s="19" t="inlineStr">
        <is>
          <t>Documentation</t>
        </is>
      </c>
      <c r="F258" s="19" t="inlineStr">
        <is>
          <t>CA-2-2</t>
        </is>
      </c>
      <c r="G258" s="20">
        <f>IFERROR('[Documentation.xlsx]CA-2-2'!B20,"Not Started")</f>
        <v/>
      </c>
      <c r="H258" s="14">
        <f>IF(OR(G258="Passed",G258="Accepted Exception"),"GREEN",IF(OR(G258="Not Started",G258="Failed"),"RED","AMBER"))</f>
        <v/>
      </c>
      <c r="I258" s="21">
        <f>IFERROR('[Documentation.xlsx]CA-2-2'!E20,"Non commencé")</f>
        <v/>
      </c>
      <c r="J258" s="16">
        <f>IF(OR(I258="Réussi",I258="Exception acceptée"),"GREEN",IF(OR(I258="Non commencé",I258="Échec"),"RED","AMBER"))</f>
        <v/>
      </c>
      <c r="K258" s="19" t="inlineStr"/>
      <c r="L258" s="19" t="inlineStr"/>
      <c r="M258" s="22" t="inlineStr"/>
    </row>
    <row r="259" ht="18" customHeight="1">
      <c r="A259" s="11" t="inlineStr">
        <is>
          <t>CA-2(3)</t>
        </is>
      </c>
      <c r="B259" s="12" t="inlineStr">
        <is>
          <t>Security Assessments</t>
        </is>
      </c>
      <c r="C259" s="12" t="inlineStr">
        <is>
          <t>Documentation</t>
        </is>
      </c>
      <c r="D259" s="11" t="inlineStr">
        <is>
          <t>CA</t>
        </is>
      </c>
      <c r="E259" s="12" t="inlineStr">
        <is>
          <t>Documentation</t>
        </is>
      </c>
      <c r="F259" s="12" t="inlineStr">
        <is>
          <t>CA-2-3</t>
        </is>
      </c>
      <c r="G259" s="13">
        <f>IFERROR('[Documentation.xlsx]CA-2-3'!B20,"Not Started")</f>
        <v/>
      </c>
      <c r="H259" s="14">
        <f>IF(OR(G259="Passed",G259="Accepted Exception"),"GREEN",IF(OR(G259="Not Started",G259="Failed"),"RED","AMBER"))</f>
        <v/>
      </c>
      <c r="I259" s="15">
        <f>IFERROR('[Documentation.xlsx]CA-2-3'!E20,"Non commencé")</f>
        <v/>
      </c>
      <c r="J259" s="16">
        <f>IF(OR(I259="Réussi",I259="Exception acceptée"),"GREEN",IF(OR(I259="Non commencé",I259="Échec"),"RED","AMBER"))</f>
        <v/>
      </c>
      <c r="K259" s="12" t="inlineStr"/>
      <c r="L259" s="12" t="inlineStr"/>
      <c r="M259" s="17" t="inlineStr"/>
    </row>
    <row r="260" ht="18" customHeight="1">
      <c r="A260" s="18" t="inlineStr">
        <is>
          <t>CA-3</t>
        </is>
      </c>
      <c r="B260" s="19" t="inlineStr">
        <is>
          <t>Information System Connections</t>
        </is>
      </c>
      <c r="C260" s="19" t="inlineStr">
        <is>
          <t>Documentation</t>
        </is>
      </c>
      <c r="D260" s="18" t="inlineStr">
        <is>
          <t>CA</t>
        </is>
      </c>
      <c r="E260" s="19" t="inlineStr">
        <is>
          <t>Documentation</t>
        </is>
      </c>
      <c r="F260" s="19" t="inlineStr">
        <is>
          <t>CA-3</t>
        </is>
      </c>
      <c r="G260" s="20">
        <f>IFERROR('[Documentation.xlsx]CA-3'!B20,"Not Started")</f>
        <v/>
      </c>
      <c r="H260" s="14">
        <f>IF(OR(G260="Passed",G260="Accepted Exception"),"GREEN",IF(OR(G260="Not Started",G260="Failed"),"RED","AMBER"))</f>
        <v/>
      </c>
      <c r="I260" s="21">
        <f>IFERROR('[Documentation.xlsx]CA-3'!E20,"Non commencé")</f>
        <v/>
      </c>
      <c r="J260" s="16">
        <f>IF(OR(I260="Réussi",I260="Exception acceptée"),"GREEN",IF(OR(I260="Non commencé",I260="Échec"),"RED","AMBER"))</f>
        <v/>
      </c>
      <c r="K260" s="19" t="inlineStr"/>
      <c r="L260" s="19" t="inlineStr"/>
      <c r="M260" s="22" t="inlineStr"/>
    </row>
    <row r="261" ht="18" customHeight="1">
      <c r="A261" s="11" t="inlineStr">
        <is>
          <t>CA-3(3)</t>
        </is>
      </c>
      <c r="B261" s="12" t="inlineStr">
        <is>
          <t>Information System Connections</t>
        </is>
      </c>
      <c r="C261" s="12" t="inlineStr">
        <is>
          <t>Documentation</t>
        </is>
      </c>
      <c r="D261" s="11" t="inlineStr">
        <is>
          <t>CA</t>
        </is>
      </c>
      <c r="E261" s="12" t="inlineStr">
        <is>
          <t>Documentation</t>
        </is>
      </c>
      <c r="F261" s="12" t="inlineStr">
        <is>
          <t>CA-3-3</t>
        </is>
      </c>
      <c r="G261" s="13">
        <f>IFERROR('[Documentation.xlsx]CA-3-3'!B20,"Not Started")</f>
        <v/>
      </c>
      <c r="H261" s="14">
        <f>IF(OR(G261="Passed",G261="Accepted Exception"),"GREEN",IF(OR(G261="Not Started",G261="Failed"),"RED","AMBER"))</f>
        <v/>
      </c>
      <c r="I261" s="15">
        <f>IFERROR('[Documentation.xlsx]CA-3-3'!E20,"Non commencé")</f>
        <v/>
      </c>
      <c r="J261" s="16">
        <f>IF(OR(I261="Réussi",I261="Exception acceptée"),"GREEN",IF(OR(I261="Non commencé",I261="Échec"),"RED","AMBER"))</f>
        <v/>
      </c>
      <c r="K261" s="12" t="inlineStr"/>
      <c r="L261" s="12" t="inlineStr"/>
      <c r="M261" s="17" t="inlineStr"/>
    </row>
    <row r="262" ht="18" customHeight="1">
      <c r="A262" s="18" t="inlineStr">
        <is>
          <t>CA-3(5)</t>
        </is>
      </c>
      <c r="B262" s="19" t="inlineStr">
        <is>
          <t>Information System Connections</t>
        </is>
      </c>
      <c r="C262" s="19" t="inlineStr">
        <is>
          <t>Documentation</t>
        </is>
      </c>
      <c r="D262" s="18" t="inlineStr">
        <is>
          <t>CA</t>
        </is>
      </c>
      <c r="E262" s="19" t="inlineStr">
        <is>
          <t>Documentation</t>
        </is>
      </c>
      <c r="F262" s="19" t="inlineStr">
        <is>
          <t>CA-3-5</t>
        </is>
      </c>
      <c r="G262" s="20">
        <f>IFERROR('[Documentation.xlsx]CA-3-5'!B20,"Not Started")</f>
        <v/>
      </c>
      <c r="H262" s="14">
        <f>IF(OR(G262="Passed",G262="Accepted Exception"),"GREEN",IF(OR(G262="Not Started",G262="Failed"),"RED","AMBER"))</f>
        <v/>
      </c>
      <c r="I262" s="21">
        <f>IFERROR('[Documentation.xlsx]CA-3-5'!E20,"Non commencé")</f>
        <v/>
      </c>
      <c r="J262" s="16">
        <f>IF(OR(I262="Réussi",I262="Exception acceptée"),"GREEN",IF(OR(I262="Non commencé",I262="Échec"),"RED","AMBER"))</f>
        <v/>
      </c>
      <c r="K262" s="19" t="inlineStr"/>
      <c r="L262" s="19" t="inlineStr"/>
      <c r="M262" s="22" t="inlineStr"/>
    </row>
    <row r="263" ht="18" customHeight="1">
      <c r="A263" s="11" t="inlineStr">
        <is>
          <t>CA-5</t>
        </is>
      </c>
      <c r="B263" s="12" t="inlineStr">
        <is>
          <t>Plan of Action and Milestones</t>
        </is>
      </c>
      <c r="C263" s="12" t="inlineStr">
        <is>
          <t>Documentation</t>
        </is>
      </c>
      <c r="D263" s="11" t="inlineStr">
        <is>
          <t>CA</t>
        </is>
      </c>
      <c r="E263" s="12" t="inlineStr">
        <is>
          <t>Documentation</t>
        </is>
      </c>
      <c r="F263" s="12" t="inlineStr">
        <is>
          <t>CA-5</t>
        </is>
      </c>
      <c r="G263" s="13">
        <f>IFERROR('[Documentation.xlsx]CA-5'!B20,"Not Started")</f>
        <v/>
      </c>
      <c r="H263" s="14">
        <f>IF(OR(G263="Passed",G263="Accepted Exception"),"GREEN",IF(OR(G263="Not Started",G263="Failed"),"RED","AMBER"))</f>
        <v/>
      </c>
      <c r="I263" s="15">
        <f>IFERROR('[Documentation.xlsx]CA-5'!E20,"Non commencé")</f>
        <v/>
      </c>
      <c r="J263" s="16">
        <f>IF(OR(I263="Réussi",I263="Exception acceptée"),"GREEN",IF(OR(I263="Non commencé",I263="Échec"),"RED","AMBER"))</f>
        <v/>
      </c>
      <c r="K263" s="12" t="inlineStr"/>
      <c r="L263" s="12" t="inlineStr"/>
      <c r="M263" s="17" t="inlineStr"/>
    </row>
    <row r="264" ht="18" customHeight="1">
      <c r="A264" s="18" t="inlineStr">
        <is>
          <t>CA-6</t>
        </is>
      </c>
      <c r="B264" s="19" t="inlineStr">
        <is>
          <t>Security Authorization</t>
        </is>
      </c>
      <c r="C264" s="19" t="inlineStr">
        <is>
          <t>Documentation</t>
        </is>
      </c>
      <c r="D264" s="18" t="inlineStr">
        <is>
          <t>CA</t>
        </is>
      </c>
      <c r="E264" s="19" t="inlineStr">
        <is>
          <t>Documentation</t>
        </is>
      </c>
      <c r="F264" s="19" t="inlineStr">
        <is>
          <t>CA-6</t>
        </is>
      </c>
      <c r="G264" s="20">
        <f>IFERROR('[Documentation.xlsx]CA-6'!B20,"Not Started")</f>
        <v/>
      </c>
      <c r="H264" s="14">
        <f>IF(OR(G264="Passed",G264="Accepted Exception"),"GREEN",IF(OR(G264="Not Started",G264="Failed"),"RED","AMBER"))</f>
        <v/>
      </c>
      <c r="I264" s="21">
        <f>IFERROR('[Documentation.xlsx]CA-6'!E20,"Non commencé")</f>
        <v/>
      </c>
      <c r="J264" s="16">
        <f>IF(OR(I264="Réussi",I264="Exception acceptée"),"GREEN",IF(OR(I264="Non commencé",I264="Échec"),"RED","AMBER"))</f>
        <v/>
      </c>
      <c r="K264" s="19" t="inlineStr"/>
      <c r="L264" s="19" t="inlineStr"/>
      <c r="M264" s="22" t="inlineStr"/>
    </row>
    <row r="265" ht="18" customHeight="1">
      <c r="A265" s="11" t="inlineStr">
        <is>
          <t>CA-7</t>
        </is>
      </c>
      <c r="B265" s="12" t="inlineStr">
        <is>
          <t>Continuous Monitoring</t>
        </is>
      </c>
      <c r="C265" s="12" t="inlineStr">
        <is>
          <t>Documentation</t>
        </is>
      </c>
      <c r="D265" s="11" t="inlineStr">
        <is>
          <t>CA</t>
        </is>
      </c>
      <c r="E265" s="12" t="inlineStr">
        <is>
          <t>Documentation</t>
        </is>
      </c>
      <c r="F265" s="12" t="inlineStr">
        <is>
          <t>CA-7</t>
        </is>
      </c>
      <c r="G265" s="13">
        <f>IFERROR('[Documentation.xlsx]CA-7'!B20,"Not Started")</f>
        <v/>
      </c>
      <c r="H265" s="14">
        <f>IF(OR(G265="Passed",G265="Accepted Exception"),"GREEN",IF(OR(G265="Not Started",G265="Failed"),"RED","AMBER"))</f>
        <v/>
      </c>
      <c r="I265" s="15">
        <f>IFERROR('[Documentation.xlsx]CA-7'!E20,"Non commencé")</f>
        <v/>
      </c>
      <c r="J265" s="16">
        <f>IF(OR(I265="Réussi",I265="Exception acceptée"),"GREEN",IF(OR(I265="Non commencé",I265="Échec"),"RED","AMBER"))</f>
        <v/>
      </c>
      <c r="K265" s="12" t="inlineStr"/>
      <c r="L265" s="12" t="inlineStr"/>
      <c r="M265" s="17" t="inlineStr"/>
    </row>
    <row r="266" ht="18" customHeight="1">
      <c r="A266" s="18" t="inlineStr">
        <is>
          <t>CA-7(1)</t>
        </is>
      </c>
      <c r="B266" s="19" t="inlineStr">
        <is>
          <t>Continuous Monitoring</t>
        </is>
      </c>
      <c r="C266" s="19" t="inlineStr">
        <is>
          <t>Documentation</t>
        </is>
      </c>
      <c r="D266" s="18" t="inlineStr">
        <is>
          <t>CA</t>
        </is>
      </c>
      <c r="E266" s="19" t="inlineStr">
        <is>
          <t>Documentation</t>
        </is>
      </c>
      <c r="F266" s="19" t="inlineStr">
        <is>
          <t>CA-7-1</t>
        </is>
      </c>
      <c r="G266" s="20">
        <f>IFERROR('[Documentation.xlsx]CA-7-1'!B20,"Not Started")</f>
        <v/>
      </c>
      <c r="H266" s="14">
        <f>IF(OR(G266="Passed",G266="Accepted Exception"),"GREEN",IF(OR(G266="Not Started",G266="Failed"),"RED","AMBER"))</f>
        <v/>
      </c>
      <c r="I266" s="21">
        <f>IFERROR('[Documentation.xlsx]CA-7-1'!E20,"Non commencé")</f>
        <v/>
      </c>
      <c r="J266" s="16">
        <f>IF(OR(I266="Réussi",I266="Exception acceptée"),"GREEN",IF(OR(I266="Non commencé",I266="Échec"),"RED","AMBER"))</f>
        <v/>
      </c>
      <c r="K266" s="19" t="inlineStr"/>
      <c r="L266" s="19" t="inlineStr"/>
      <c r="M266" s="22" t="inlineStr"/>
    </row>
    <row r="267" ht="18" customHeight="1">
      <c r="A267" s="11" t="inlineStr">
        <is>
          <t>CA-8</t>
        </is>
      </c>
      <c r="B267" s="12" t="inlineStr">
        <is>
          <t>Penetration Testing</t>
        </is>
      </c>
      <c r="C267" s="12" t="inlineStr">
        <is>
          <t>Documentation</t>
        </is>
      </c>
      <c r="D267" s="11" t="inlineStr">
        <is>
          <t>CA</t>
        </is>
      </c>
      <c r="E267" s="12" t="inlineStr">
        <is>
          <t>Documentation</t>
        </is>
      </c>
      <c r="F267" s="12" t="inlineStr">
        <is>
          <t>CA-8</t>
        </is>
      </c>
      <c r="G267" s="13">
        <f>IFERROR('[Documentation.xlsx]CA-8'!B20,"Not Started")</f>
        <v/>
      </c>
      <c r="H267" s="14">
        <f>IF(OR(G267="Passed",G267="Accepted Exception"),"GREEN",IF(OR(G267="Not Started",G267="Failed"),"RED","AMBER"))</f>
        <v/>
      </c>
      <c r="I267" s="15">
        <f>IFERROR('[Documentation.xlsx]CA-8'!E20,"Non commencé")</f>
        <v/>
      </c>
      <c r="J267" s="16">
        <f>IF(OR(I267="Réussi",I267="Exception acceptée"),"GREEN",IF(OR(I267="Non commencé",I267="Échec"),"RED","AMBER"))</f>
        <v/>
      </c>
      <c r="K267" s="12" t="inlineStr"/>
      <c r="L267" s="12" t="inlineStr"/>
      <c r="M267" s="17" t="inlineStr"/>
    </row>
    <row r="268" ht="18" customHeight="1">
      <c r="A268" s="18" t="inlineStr">
        <is>
          <t>CA-8(1)</t>
        </is>
      </c>
      <c r="B268" s="19" t="inlineStr">
        <is>
          <t>Penetration Testing</t>
        </is>
      </c>
      <c r="C268" s="19" t="inlineStr">
        <is>
          <t>Documentation</t>
        </is>
      </c>
      <c r="D268" s="18" t="inlineStr">
        <is>
          <t>CA</t>
        </is>
      </c>
      <c r="E268" s="19" t="inlineStr">
        <is>
          <t>Documentation</t>
        </is>
      </c>
      <c r="F268" s="19" t="inlineStr">
        <is>
          <t>CA-8-1</t>
        </is>
      </c>
      <c r="G268" s="20">
        <f>IFERROR('[Documentation.xlsx]CA-8-1'!B20,"Not Started")</f>
        <v/>
      </c>
      <c r="H268" s="14">
        <f>IF(OR(G268="Passed",G268="Accepted Exception"),"GREEN",IF(OR(G268="Not Started",G268="Failed"),"RED","AMBER"))</f>
        <v/>
      </c>
      <c r="I268" s="21">
        <f>IFERROR('[Documentation.xlsx]CA-8-1'!E20,"Non commencé")</f>
        <v/>
      </c>
      <c r="J268" s="16">
        <f>IF(OR(I268="Réussi",I268="Exception acceptée"),"GREEN",IF(OR(I268="Non commencé",I268="Échec"),"RED","AMBER"))</f>
        <v/>
      </c>
      <c r="K268" s="19" t="inlineStr"/>
      <c r="L268" s="19" t="inlineStr"/>
      <c r="M268" s="22" t="inlineStr"/>
    </row>
    <row r="269" ht="18" customHeight="1">
      <c r="A269" s="11" t="inlineStr">
        <is>
          <t>CA-9</t>
        </is>
      </c>
      <c r="B269" s="12" t="inlineStr">
        <is>
          <t>Internal System Connections</t>
        </is>
      </c>
      <c r="C269" s="12" t="inlineStr">
        <is>
          <t>Documentation</t>
        </is>
      </c>
      <c r="D269" s="11" t="inlineStr">
        <is>
          <t>CA</t>
        </is>
      </c>
      <c r="E269" s="12" t="inlineStr">
        <is>
          <t>Documentation</t>
        </is>
      </c>
      <c r="F269" s="12" t="inlineStr">
        <is>
          <t>CA-9</t>
        </is>
      </c>
      <c r="G269" s="13">
        <f>IFERROR('[Documentation.xlsx]CA-9'!B20,"Not Started")</f>
        <v/>
      </c>
      <c r="H269" s="14">
        <f>IF(OR(G269="Passed",G269="Accepted Exception"),"GREEN",IF(OR(G269="Not Started",G269="Failed"),"RED","AMBER"))</f>
        <v/>
      </c>
      <c r="I269" s="15">
        <f>IFERROR('[Documentation.xlsx]CA-9'!E20,"Non commencé")</f>
        <v/>
      </c>
      <c r="J269" s="16">
        <f>IF(OR(I269="Réussi",I269="Exception acceptée"),"GREEN",IF(OR(I269="Non commencé",I269="Échec"),"RED","AMBER"))</f>
        <v/>
      </c>
      <c r="K269" s="12" t="inlineStr"/>
      <c r="L269" s="12" t="inlineStr"/>
      <c r="M269" s="17" t="inlineStr"/>
    </row>
    <row r="270" ht="18" customHeight="1">
      <c r="A270" s="18" t="inlineStr">
        <is>
          <t>CM-1</t>
        </is>
      </c>
      <c r="B270" s="19" t="inlineStr">
        <is>
          <t>Configuration Management Policy and Procedures</t>
        </is>
      </c>
      <c r="C270" s="19" t="inlineStr">
        <is>
          <t>Documentation</t>
        </is>
      </c>
      <c r="D270" s="18" t="inlineStr">
        <is>
          <t>CM</t>
        </is>
      </c>
      <c r="E270" s="19" t="inlineStr">
        <is>
          <t>Documentation</t>
        </is>
      </c>
      <c r="F270" s="19" t="inlineStr">
        <is>
          <t>CM-1</t>
        </is>
      </c>
      <c r="G270" s="20">
        <f>IFERROR('[Documentation.xlsx]CM-1'!B20,"Not Started")</f>
        <v/>
      </c>
      <c r="H270" s="14">
        <f>IF(OR(G270="Passed",G270="Accepted Exception"),"GREEN",IF(OR(G270="Not Started",G270="Failed"),"RED","AMBER"))</f>
        <v/>
      </c>
      <c r="I270" s="21">
        <f>IFERROR('[Documentation.xlsx]CM-1'!E20,"Non commencé")</f>
        <v/>
      </c>
      <c r="J270" s="16">
        <f>IF(OR(I270="Réussi",I270="Exception acceptée"),"GREEN",IF(OR(I270="Non commencé",I270="Échec"),"RED","AMBER"))</f>
        <v/>
      </c>
      <c r="K270" s="19" t="inlineStr"/>
      <c r="L270" s="19" t="inlineStr"/>
      <c r="M270" s="22" t="inlineStr"/>
    </row>
    <row r="271" ht="18" customHeight="1">
      <c r="A271" s="11" t="inlineStr">
        <is>
          <t>CM-2</t>
        </is>
      </c>
      <c r="B271" s="12" t="inlineStr">
        <is>
          <t>Baseline Configuration</t>
        </is>
      </c>
      <c r="C271" s="12" t="inlineStr">
        <is>
          <t>Documentation</t>
        </is>
      </c>
      <c r="D271" s="11" t="inlineStr">
        <is>
          <t>CM</t>
        </is>
      </c>
      <c r="E271" s="12" t="inlineStr">
        <is>
          <t>Documentation</t>
        </is>
      </c>
      <c r="F271" s="12" t="inlineStr">
        <is>
          <t>CM-2</t>
        </is>
      </c>
      <c r="G271" s="13">
        <f>IFERROR('[Documentation.xlsx]CM-2'!B20,"Not Started")</f>
        <v/>
      </c>
      <c r="H271" s="14">
        <f>IF(OR(G271="Passed",G271="Accepted Exception"),"GREEN",IF(OR(G271="Not Started",G271="Failed"),"RED","AMBER"))</f>
        <v/>
      </c>
      <c r="I271" s="15">
        <f>IFERROR('[Documentation.xlsx]CM-2'!E20,"Non commencé")</f>
        <v/>
      </c>
      <c r="J271" s="16">
        <f>IF(OR(I271="Réussi",I271="Exception acceptée"),"GREEN",IF(OR(I271="Non commencé",I271="Échec"),"RED","AMBER"))</f>
        <v/>
      </c>
      <c r="K271" s="12" t="inlineStr"/>
      <c r="L271" s="12" t="inlineStr"/>
      <c r="M271" s="17" t="inlineStr"/>
    </row>
    <row r="272" ht="18" customHeight="1">
      <c r="A272" s="18" t="inlineStr">
        <is>
          <t>CM-2(1)</t>
        </is>
      </c>
      <c r="B272" s="19" t="inlineStr">
        <is>
          <t>Baseline Configuration</t>
        </is>
      </c>
      <c r="C272" s="19" t="inlineStr">
        <is>
          <t>Documentation</t>
        </is>
      </c>
      <c r="D272" s="18" t="inlineStr">
        <is>
          <t>CM</t>
        </is>
      </c>
      <c r="E272" s="19" t="inlineStr">
        <is>
          <t>Documentation</t>
        </is>
      </c>
      <c r="F272" s="19" t="inlineStr">
        <is>
          <t>CM-2-1</t>
        </is>
      </c>
      <c r="G272" s="20">
        <f>IFERROR('[Documentation.xlsx]CM-2-1'!B20,"Not Started")</f>
        <v/>
      </c>
      <c r="H272" s="14">
        <f>IF(OR(G272="Passed",G272="Accepted Exception"),"GREEN",IF(OR(G272="Not Started",G272="Failed"),"RED","AMBER"))</f>
        <v/>
      </c>
      <c r="I272" s="21">
        <f>IFERROR('[Documentation.xlsx]CM-2-1'!E20,"Non commencé")</f>
        <v/>
      </c>
      <c r="J272" s="16">
        <f>IF(OR(I272="Réussi",I272="Exception acceptée"),"GREEN",IF(OR(I272="Non commencé",I272="Échec"),"RED","AMBER"))</f>
        <v/>
      </c>
      <c r="K272" s="19" t="inlineStr"/>
      <c r="L272" s="19" t="inlineStr"/>
      <c r="M272" s="22" t="inlineStr"/>
    </row>
    <row r="273" ht="18" customHeight="1">
      <c r="A273" s="11" t="inlineStr">
        <is>
          <t>CM-2(7)</t>
        </is>
      </c>
      <c r="B273" s="12" t="inlineStr">
        <is>
          <t>Baseline Configuration</t>
        </is>
      </c>
      <c r="C273" s="12" t="inlineStr">
        <is>
          <t>Documentation</t>
        </is>
      </c>
      <c r="D273" s="11" t="inlineStr">
        <is>
          <t>CM</t>
        </is>
      </c>
      <c r="E273" s="12" t="inlineStr">
        <is>
          <t>Documentation</t>
        </is>
      </c>
      <c r="F273" s="12" t="inlineStr">
        <is>
          <t>CM-2-7</t>
        </is>
      </c>
      <c r="G273" s="13">
        <f>IFERROR('[Documentation.xlsx]CM-2-7'!B20,"Not Started")</f>
        <v/>
      </c>
      <c r="H273" s="14">
        <f>IF(OR(G273="Passed",G273="Accepted Exception"),"GREEN",IF(OR(G273="Not Started",G273="Failed"),"RED","AMBER"))</f>
        <v/>
      </c>
      <c r="I273" s="15">
        <f>IFERROR('[Documentation.xlsx]CM-2-7'!E20,"Non commencé")</f>
        <v/>
      </c>
      <c r="J273" s="16">
        <f>IF(OR(I273="Réussi",I273="Exception acceptée"),"GREEN",IF(OR(I273="Non commencé",I273="Échec"),"RED","AMBER"))</f>
        <v/>
      </c>
      <c r="K273" s="12" t="inlineStr"/>
      <c r="L273" s="12" t="inlineStr"/>
      <c r="M273" s="17" t="inlineStr"/>
    </row>
    <row r="274" ht="18" customHeight="1">
      <c r="A274" s="18" t="inlineStr">
        <is>
          <t>CM-3</t>
        </is>
      </c>
      <c r="B274" s="19" t="inlineStr">
        <is>
          <t>Configuration Change Control</t>
        </is>
      </c>
      <c r="C274" s="19" t="inlineStr">
        <is>
          <t>Documentation</t>
        </is>
      </c>
      <c r="D274" s="18" t="inlineStr">
        <is>
          <t>CM</t>
        </is>
      </c>
      <c r="E274" s="19" t="inlineStr">
        <is>
          <t>Documentation</t>
        </is>
      </c>
      <c r="F274" s="19" t="inlineStr">
        <is>
          <t>CM-3</t>
        </is>
      </c>
      <c r="G274" s="20">
        <f>IFERROR('[Documentation.xlsx]CM-3'!B20,"Not Started")</f>
        <v/>
      </c>
      <c r="H274" s="14">
        <f>IF(OR(G274="Passed",G274="Accepted Exception"),"GREEN",IF(OR(G274="Not Started",G274="Failed"),"RED","AMBER"))</f>
        <v/>
      </c>
      <c r="I274" s="21">
        <f>IFERROR('[Documentation.xlsx]CM-3'!E20,"Non commencé")</f>
        <v/>
      </c>
      <c r="J274" s="16">
        <f>IF(OR(I274="Réussi",I274="Exception acceptée"),"GREEN",IF(OR(I274="Non commencé",I274="Échec"),"RED","AMBER"))</f>
        <v/>
      </c>
      <c r="K274" s="19" t="inlineStr"/>
      <c r="L274" s="19" t="inlineStr"/>
      <c r="M274" s="22" t="inlineStr"/>
    </row>
    <row r="275" ht="18" customHeight="1">
      <c r="A275" s="11" t="inlineStr">
        <is>
          <t>CM-3(4)</t>
        </is>
      </c>
      <c r="B275" s="12" t="inlineStr">
        <is>
          <t>Configuration Change Control</t>
        </is>
      </c>
      <c r="C275" s="12" t="inlineStr">
        <is>
          <t>Documentation</t>
        </is>
      </c>
      <c r="D275" s="11" t="inlineStr">
        <is>
          <t>CM</t>
        </is>
      </c>
      <c r="E275" s="12" t="inlineStr">
        <is>
          <t>Documentation</t>
        </is>
      </c>
      <c r="F275" s="12" t="inlineStr">
        <is>
          <t>CM-3-4</t>
        </is>
      </c>
      <c r="G275" s="13">
        <f>IFERROR('[Documentation.xlsx]CM-3-4'!B20,"Not Started")</f>
        <v/>
      </c>
      <c r="H275" s="14">
        <f>IF(OR(G275="Passed",G275="Accepted Exception"),"GREEN",IF(OR(G275="Not Started",G275="Failed"),"RED","AMBER"))</f>
        <v/>
      </c>
      <c r="I275" s="15">
        <f>IFERROR('[Documentation.xlsx]CM-3-4'!E20,"Non commencé")</f>
        <v/>
      </c>
      <c r="J275" s="16">
        <f>IF(OR(I275="Réussi",I275="Exception acceptée"),"GREEN",IF(OR(I275="Non commencé",I275="Échec"),"RED","AMBER"))</f>
        <v/>
      </c>
      <c r="K275" s="12" t="inlineStr"/>
      <c r="L275" s="12" t="inlineStr"/>
      <c r="M275" s="17" t="inlineStr"/>
    </row>
    <row r="276" ht="18" customHeight="1">
      <c r="A276" s="18" t="inlineStr">
        <is>
          <t>CM-4</t>
        </is>
      </c>
      <c r="B276" s="19" t="inlineStr">
        <is>
          <t>Security Impact Analysis</t>
        </is>
      </c>
      <c r="C276" s="19" t="inlineStr">
        <is>
          <t>Documentation</t>
        </is>
      </c>
      <c r="D276" s="18" t="inlineStr">
        <is>
          <t>CM</t>
        </is>
      </c>
      <c r="E276" s="19" t="inlineStr">
        <is>
          <t>Documentation</t>
        </is>
      </c>
      <c r="F276" s="19" t="inlineStr">
        <is>
          <t>CM-4</t>
        </is>
      </c>
      <c r="G276" s="20">
        <f>IFERROR('[Documentation.xlsx]CM-4'!B20,"Not Started")</f>
        <v/>
      </c>
      <c r="H276" s="14">
        <f>IF(OR(G276="Passed",G276="Accepted Exception"),"GREEN",IF(OR(G276="Not Started",G276="Failed"),"RED","AMBER"))</f>
        <v/>
      </c>
      <c r="I276" s="21">
        <f>IFERROR('[Documentation.xlsx]CM-4'!E20,"Non commencé")</f>
        <v/>
      </c>
      <c r="J276" s="16">
        <f>IF(OR(I276="Réussi",I276="Exception acceptée"),"GREEN",IF(OR(I276="Non commencé",I276="Échec"),"RED","AMBER"))</f>
        <v/>
      </c>
      <c r="K276" s="19" t="inlineStr"/>
      <c r="L276" s="19" t="inlineStr"/>
      <c r="M276" s="22" t="inlineStr"/>
    </row>
    <row r="277" ht="18" customHeight="1">
      <c r="A277" s="11" t="inlineStr">
        <is>
          <t>CM-5</t>
        </is>
      </c>
      <c r="B277" s="12" t="inlineStr">
        <is>
          <t>Access Restrictions for Change</t>
        </is>
      </c>
      <c r="C277" s="12" t="inlineStr">
        <is>
          <t>Documentation</t>
        </is>
      </c>
      <c r="D277" s="11" t="inlineStr">
        <is>
          <t>CM</t>
        </is>
      </c>
      <c r="E277" s="12" t="inlineStr">
        <is>
          <t>Documentation</t>
        </is>
      </c>
      <c r="F277" s="12" t="inlineStr">
        <is>
          <t>CM-5</t>
        </is>
      </c>
      <c r="G277" s="13">
        <f>IFERROR('[Documentation.xlsx]CM-5'!B20,"Not Started")</f>
        <v/>
      </c>
      <c r="H277" s="14">
        <f>IF(OR(G277="Passed",G277="Accepted Exception"),"GREEN",IF(OR(G277="Not Started",G277="Failed"),"RED","AMBER"))</f>
        <v/>
      </c>
      <c r="I277" s="15">
        <f>IFERROR('[Documentation.xlsx]CM-5'!E20,"Non commencé")</f>
        <v/>
      </c>
      <c r="J277" s="16">
        <f>IF(OR(I277="Réussi",I277="Exception acceptée"),"GREEN",IF(OR(I277="Non commencé",I277="Échec"),"RED","AMBER"))</f>
        <v/>
      </c>
      <c r="K277" s="12" t="inlineStr"/>
      <c r="L277" s="12" t="inlineStr"/>
      <c r="M277" s="17" t="inlineStr"/>
    </row>
    <row r="278" ht="18" customHeight="1">
      <c r="A278" s="18" t="inlineStr">
        <is>
          <t>CM-5(5)</t>
        </is>
      </c>
      <c r="B278" s="19" t="inlineStr">
        <is>
          <t>Access Restrictions for Change</t>
        </is>
      </c>
      <c r="C278" s="19" t="inlineStr">
        <is>
          <t>Documentation</t>
        </is>
      </c>
      <c r="D278" s="18" t="inlineStr">
        <is>
          <t>CM</t>
        </is>
      </c>
      <c r="E278" s="19" t="inlineStr">
        <is>
          <t>Documentation</t>
        </is>
      </c>
      <c r="F278" s="19" t="inlineStr">
        <is>
          <t>CM-5-5</t>
        </is>
      </c>
      <c r="G278" s="20">
        <f>IFERROR('[Documentation.xlsx]CM-5-5'!B20,"Not Started")</f>
        <v/>
      </c>
      <c r="H278" s="14">
        <f>IF(OR(G278="Passed",G278="Accepted Exception"),"GREEN",IF(OR(G278="Not Started",G278="Failed"),"RED","AMBER"))</f>
        <v/>
      </c>
      <c r="I278" s="21">
        <f>IFERROR('[Documentation.xlsx]CM-5-5'!E20,"Non commencé")</f>
        <v/>
      </c>
      <c r="J278" s="16">
        <f>IF(OR(I278="Réussi",I278="Exception acceptée"),"GREEN",IF(OR(I278="Non commencé",I278="Échec"),"RED","AMBER"))</f>
        <v/>
      </c>
      <c r="K278" s="19" t="inlineStr"/>
      <c r="L278" s="19" t="inlineStr"/>
      <c r="M278" s="22" t="inlineStr"/>
    </row>
    <row r="279" ht="18" customHeight="1">
      <c r="A279" s="11" t="inlineStr">
        <is>
          <t>CM-6</t>
        </is>
      </c>
      <c r="B279" s="12" t="inlineStr">
        <is>
          <t>Configuration Settings</t>
        </is>
      </c>
      <c r="C279" s="12" t="inlineStr">
        <is>
          <t>Documentation</t>
        </is>
      </c>
      <c r="D279" s="11" t="inlineStr">
        <is>
          <t>CM</t>
        </is>
      </c>
      <c r="E279" s="12" t="inlineStr">
        <is>
          <t>Documentation</t>
        </is>
      </c>
      <c r="F279" s="12" t="inlineStr">
        <is>
          <t>CM-6</t>
        </is>
      </c>
      <c r="G279" s="13">
        <f>IFERROR('[Documentation.xlsx]CM-6'!B20,"Not Started")</f>
        <v/>
      </c>
      <c r="H279" s="14">
        <f>IF(OR(G279="Passed",G279="Accepted Exception"),"GREEN",IF(OR(G279="Not Started",G279="Failed"),"RED","AMBER"))</f>
        <v/>
      </c>
      <c r="I279" s="15">
        <f>IFERROR('[Documentation.xlsx]CM-6'!E20,"Non commencé")</f>
        <v/>
      </c>
      <c r="J279" s="16">
        <f>IF(OR(I279="Réussi",I279="Exception acceptée"),"GREEN",IF(OR(I279="Non commencé",I279="Échec"),"RED","AMBER"))</f>
        <v/>
      </c>
      <c r="K279" s="12" t="inlineStr"/>
      <c r="L279" s="12" t="inlineStr"/>
      <c r="M279" s="17" t="inlineStr"/>
    </row>
    <row r="280" ht="18" customHeight="1">
      <c r="A280" s="18" t="inlineStr">
        <is>
          <t>CM-6(2)</t>
        </is>
      </c>
      <c r="B280" s="19" t="inlineStr">
        <is>
          <t>Configuration Settings</t>
        </is>
      </c>
      <c r="C280" s="19" t="inlineStr">
        <is>
          <t>Documentation</t>
        </is>
      </c>
      <c r="D280" s="18" t="inlineStr">
        <is>
          <t>CM</t>
        </is>
      </c>
      <c r="E280" s="19" t="inlineStr">
        <is>
          <t>Documentation</t>
        </is>
      </c>
      <c r="F280" s="19" t="inlineStr">
        <is>
          <t>CM-6-2</t>
        </is>
      </c>
      <c r="G280" s="20">
        <f>IFERROR('[Documentation.xlsx]CM-6-2'!B20,"Not Started")</f>
        <v/>
      </c>
      <c r="H280" s="14">
        <f>IF(OR(G280="Passed",G280="Accepted Exception"),"GREEN",IF(OR(G280="Not Started",G280="Failed"),"RED","AMBER"))</f>
        <v/>
      </c>
      <c r="I280" s="21">
        <f>IFERROR('[Documentation.xlsx]CM-6-2'!E20,"Non commencé")</f>
        <v/>
      </c>
      <c r="J280" s="16">
        <f>IF(OR(I280="Réussi",I280="Exception acceptée"),"GREEN",IF(OR(I280="Non commencé",I280="Échec"),"RED","AMBER"))</f>
        <v/>
      </c>
      <c r="K280" s="19" t="inlineStr"/>
      <c r="L280" s="19" t="inlineStr"/>
      <c r="M280" s="22" t="inlineStr"/>
    </row>
    <row r="281" ht="18" customHeight="1">
      <c r="A281" s="11" t="inlineStr">
        <is>
          <t>CM-7</t>
        </is>
      </c>
      <c r="B281" s="12" t="inlineStr">
        <is>
          <t>Least Functionality</t>
        </is>
      </c>
      <c r="C281" s="12" t="inlineStr">
        <is>
          <t>Documentation</t>
        </is>
      </c>
      <c r="D281" s="11" t="inlineStr">
        <is>
          <t>CM</t>
        </is>
      </c>
      <c r="E281" s="12" t="inlineStr">
        <is>
          <t>Documentation</t>
        </is>
      </c>
      <c r="F281" s="12" t="inlineStr">
        <is>
          <t>CM-7</t>
        </is>
      </c>
      <c r="G281" s="13">
        <f>IFERROR('[Documentation.xlsx]CM-7'!B20,"Not Started")</f>
        <v/>
      </c>
      <c r="H281" s="14">
        <f>IF(OR(G281="Passed",G281="Accepted Exception"),"GREEN",IF(OR(G281="Not Started",G281="Failed"),"RED","AMBER"))</f>
        <v/>
      </c>
      <c r="I281" s="15">
        <f>IFERROR('[Documentation.xlsx]CM-7'!E20,"Non commencé")</f>
        <v/>
      </c>
      <c r="J281" s="16">
        <f>IF(OR(I281="Réussi",I281="Exception acceptée"),"GREEN",IF(OR(I281="Non commencé",I281="Échec"),"RED","AMBER"))</f>
        <v/>
      </c>
      <c r="K281" s="12" t="inlineStr"/>
      <c r="L281" s="12" t="inlineStr"/>
      <c r="M281" s="17" t="inlineStr"/>
    </row>
    <row r="282" ht="18" customHeight="1">
      <c r="A282" s="18" t="inlineStr">
        <is>
          <t>CM-7(1)</t>
        </is>
      </c>
      <c r="B282" s="19" t="inlineStr">
        <is>
          <t>Least Functionality</t>
        </is>
      </c>
      <c r="C282" s="19" t="inlineStr">
        <is>
          <t>Documentation</t>
        </is>
      </c>
      <c r="D282" s="18" t="inlineStr">
        <is>
          <t>CM</t>
        </is>
      </c>
      <c r="E282" s="19" t="inlineStr">
        <is>
          <t>Documentation</t>
        </is>
      </c>
      <c r="F282" s="19" t="inlineStr">
        <is>
          <t>CM-7-1</t>
        </is>
      </c>
      <c r="G282" s="20">
        <f>IFERROR('[Documentation.xlsx]CM-7-1'!B20,"Not Started")</f>
        <v/>
      </c>
      <c r="H282" s="14">
        <f>IF(OR(G282="Passed",G282="Accepted Exception"),"GREEN",IF(OR(G282="Not Started",G282="Failed"),"RED","AMBER"))</f>
        <v/>
      </c>
      <c r="I282" s="21">
        <f>IFERROR('[Documentation.xlsx]CM-7-1'!E20,"Non commencé")</f>
        <v/>
      </c>
      <c r="J282" s="16">
        <f>IF(OR(I282="Réussi",I282="Exception acceptée"),"GREEN",IF(OR(I282="Non commencé",I282="Échec"),"RED","AMBER"))</f>
        <v/>
      </c>
      <c r="K282" s="19" t="inlineStr"/>
      <c r="L282" s="19" t="inlineStr"/>
      <c r="M282" s="22" t="inlineStr"/>
    </row>
    <row r="283" ht="18" customHeight="1">
      <c r="A283" s="11" t="inlineStr">
        <is>
          <t>CM-7(5)</t>
        </is>
      </c>
      <c r="B283" s="12" t="inlineStr">
        <is>
          <t>Least Functionality</t>
        </is>
      </c>
      <c r="C283" s="12" t="inlineStr">
        <is>
          <t>Documentation</t>
        </is>
      </c>
      <c r="D283" s="11" t="inlineStr">
        <is>
          <t>CM</t>
        </is>
      </c>
      <c r="E283" s="12" t="inlineStr">
        <is>
          <t>Documentation</t>
        </is>
      </c>
      <c r="F283" s="12" t="inlineStr">
        <is>
          <t>CM-7-5</t>
        </is>
      </c>
      <c r="G283" s="13">
        <f>IFERROR('[Documentation.xlsx]CM-7-5'!B20,"Not Started")</f>
        <v/>
      </c>
      <c r="H283" s="14">
        <f>IF(OR(G283="Passed",G283="Accepted Exception"),"GREEN",IF(OR(G283="Not Started",G283="Failed"),"RED","AMBER"))</f>
        <v/>
      </c>
      <c r="I283" s="15">
        <f>IFERROR('[Documentation.xlsx]CM-7-5'!E20,"Non commencé")</f>
        <v/>
      </c>
      <c r="J283" s="16">
        <f>IF(OR(I283="Réussi",I283="Exception acceptée"),"GREEN",IF(OR(I283="Non commencé",I283="Échec"),"RED","AMBER"))</f>
        <v/>
      </c>
      <c r="K283" s="12" t="inlineStr"/>
      <c r="L283" s="12" t="inlineStr"/>
      <c r="M283" s="17" t="inlineStr"/>
    </row>
    <row r="284" ht="18" customHeight="1">
      <c r="A284" s="18" t="inlineStr">
        <is>
          <t>CM-8</t>
        </is>
      </c>
      <c r="B284" s="19" t="inlineStr">
        <is>
          <t>Information System Component Inventory</t>
        </is>
      </c>
      <c r="C284" s="19" t="inlineStr">
        <is>
          <t>Documentation</t>
        </is>
      </c>
      <c r="D284" s="18" t="inlineStr">
        <is>
          <t>CM</t>
        </is>
      </c>
      <c r="E284" s="19" t="inlineStr">
        <is>
          <t>Documentation</t>
        </is>
      </c>
      <c r="F284" s="19" t="inlineStr">
        <is>
          <t>CM-8</t>
        </is>
      </c>
      <c r="G284" s="20">
        <f>IFERROR('[Documentation.xlsx]CM-8'!B20,"Not Started")</f>
        <v/>
      </c>
      <c r="H284" s="14">
        <f>IF(OR(G284="Passed",G284="Accepted Exception"),"GREEN",IF(OR(G284="Not Started",G284="Failed"),"RED","AMBER"))</f>
        <v/>
      </c>
      <c r="I284" s="21">
        <f>IFERROR('[Documentation.xlsx]CM-8'!E20,"Non commencé")</f>
        <v/>
      </c>
      <c r="J284" s="16">
        <f>IF(OR(I284="Réussi",I284="Exception acceptée"),"GREEN",IF(OR(I284="Non commencé",I284="Échec"),"RED","AMBER"))</f>
        <v/>
      </c>
      <c r="K284" s="19" t="inlineStr"/>
      <c r="L284" s="19" t="inlineStr"/>
      <c r="M284" s="22" t="inlineStr"/>
    </row>
    <row r="285" ht="18" customHeight="1">
      <c r="A285" s="11" t="inlineStr">
        <is>
          <t>CM-8(1)</t>
        </is>
      </c>
      <c r="B285" s="12" t="inlineStr">
        <is>
          <t>Information System Component Inventory</t>
        </is>
      </c>
      <c r="C285" s="12" t="inlineStr">
        <is>
          <t>Documentation</t>
        </is>
      </c>
      <c r="D285" s="11" t="inlineStr">
        <is>
          <t>CM</t>
        </is>
      </c>
      <c r="E285" s="12" t="inlineStr">
        <is>
          <t>Documentation</t>
        </is>
      </c>
      <c r="F285" s="12" t="inlineStr">
        <is>
          <t>CM-8-1</t>
        </is>
      </c>
      <c r="G285" s="13">
        <f>IFERROR('[Documentation.xlsx]CM-8-1'!B20,"Not Started")</f>
        <v/>
      </c>
      <c r="H285" s="14">
        <f>IF(OR(G285="Passed",G285="Accepted Exception"),"GREEN",IF(OR(G285="Not Started",G285="Failed"),"RED","AMBER"))</f>
        <v/>
      </c>
      <c r="I285" s="15">
        <f>IFERROR('[Documentation.xlsx]CM-8-1'!E20,"Non commencé")</f>
        <v/>
      </c>
      <c r="J285" s="16">
        <f>IF(OR(I285="Réussi",I285="Exception acceptée"),"GREEN",IF(OR(I285="Non commencé",I285="Échec"),"RED","AMBER"))</f>
        <v/>
      </c>
      <c r="K285" s="12" t="inlineStr"/>
      <c r="L285" s="12" t="inlineStr"/>
      <c r="M285" s="17" t="inlineStr"/>
    </row>
    <row r="286" ht="18" customHeight="1">
      <c r="A286" s="18" t="inlineStr">
        <is>
          <t>CM-8(3)</t>
        </is>
      </c>
      <c r="B286" s="19" t="inlineStr">
        <is>
          <t>Information System Component Inventory</t>
        </is>
      </c>
      <c r="C286" s="19" t="inlineStr">
        <is>
          <t>Documentation</t>
        </is>
      </c>
      <c r="D286" s="18" t="inlineStr">
        <is>
          <t>CM</t>
        </is>
      </c>
      <c r="E286" s="19" t="inlineStr">
        <is>
          <t>Documentation</t>
        </is>
      </c>
      <c r="F286" s="19" t="inlineStr">
        <is>
          <t>CM-8-3</t>
        </is>
      </c>
      <c r="G286" s="20">
        <f>IFERROR('[Documentation.xlsx]CM-8-3'!B20,"Not Started")</f>
        <v/>
      </c>
      <c r="H286" s="14">
        <f>IF(OR(G286="Passed",G286="Accepted Exception"),"GREEN",IF(OR(G286="Not Started",G286="Failed"),"RED","AMBER"))</f>
        <v/>
      </c>
      <c r="I286" s="21">
        <f>IFERROR('[Documentation.xlsx]CM-8-3'!E20,"Non commencé")</f>
        <v/>
      </c>
      <c r="J286" s="16">
        <f>IF(OR(I286="Réussi",I286="Exception acceptée"),"GREEN",IF(OR(I286="Non commencé",I286="Échec"),"RED","AMBER"))</f>
        <v/>
      </c>
      <c r="K286" s="19" t="inlineStr"/>
      <c r="L286" s="19" t="inlineStr"/>
      <c r="M286" s="22" t="inlineStr"/>
    </row>
    <row r="287" ht="18" customHeight="1">
      <c r="A287" s="11" t="inlineStr">
        <is>
          <t>CM-9</t>
        </is>
      </c>
      <c r="B287" s="12" t="inlineStr">
        <is>
          <t>Configuration Management Plan</t>
        </is>
      </c>
      <c r="C287" s="12" t="inlineStr">
        <is>
          <t>Documentation</t>
        </is>
      </c>
      <c r="D287" s="11" t="inlineStr">
        <is>
          <t>CM</t>
        </is>
      </c>
      <c r="E287" s="12" t="inlineStr">
        <is>
          <t>Documentation</t>
        </is>
      </c>
      <c r="F287" s="12" t="inlineStr">
        <is>
          <t>CM-9</t>
        </is>
      </c>
      <c r="G287" s="13">
        <f>IFERROR('[Documentation.xlsx]CM-9'!B20,"Not Started")</f>
        <v/>
      </c>
      <c r="H287" s="14">
        <f>IF(OR(G287="Passed",G287="Accepted Exception"),"GREEN",IF(OR(G287="Not Started",G287="Failed"),"RED","AMBER"))</f>
        <v/>
      </c>
      <c r="I287" s="15">
        <f>IFERROR('[Documentation.xlsx]CM-9'!E20,"Non commencé")</f>
        <v/>
      </c>
      <c r="J287" s="16">
        <f>IF(OR(I287="Réussi",I287="Exception acceptée"),"GREEN",IF(OR(I287="Non commencé",I287="Échec"),"RED","AMBER"))</f>
        <v/>
      </c>
      <c r="K287" s="12" t="inlineStr"/>
      <c r="L287" s="12" t="inlineStr"/>
      <c r="M287" s="17" t="inlineStr"/>
    </row>
    <row r="288" ht="18" customHeight="1">
      <c r="A288" s="18" t="inlineStr">
        <is>
          <t>CM-10</t>
        </is>
      </c>
      <c r="B288" s="19" t="inlineStr">
        <is>
          <t>Software Usage Restrictions</t>
        </is>
      </c>
      <c r="C288" s="19" t="inlineStr">
        <is>
          <t>Documentation</t>
        </is>
      </c>
      <c r="D288" s="18" t="inlineStr">
        <is>
          <t>CM</t>
        </is>
      </c>
      <c r="E288" s="19" t="inlineStr">
        <is>
          <t>Documentation</t>
        </is>
      </c>
      <c r="F288" s="19" t="inlineStr">
        <is>
          <t>CM-10</t>
        </is>
      </c>
      <c r="G288" s="20">
        <f>IFERROR('[Documentation.xlsx]CM-10'!B20,"Not Started")</f>
        <v/>
      </c>
      <c r="H288" s="14">
        <f>IF(OR(G288="Passed",G288="Accepted Exception"),"GREEN",IF(OR(G288="Not Started",G288="Failed"),"RED","AMBER"))</f>
        <v/>
      </c>
      <c r="I288" s="21">
        <f>IFERROR('[Documentation.xlsx]CM-10'!E20,"Non commencé")</f>
        <v/>
      </c>
      <c r="J288" s="16">
        <f>IF(OR(I288="Réussi",I288="Exception acceptée"),"GREEN",IF(OR(I288="Non commencé",I288="Échec"),"RED","AMBER"))</f>
        <v/>
      </c>
      <c r="K288" s="19" t="inlineStr"/>
      <c r="L288" s="19" t="inlineStr"/>
      <c r="M288" s="22" t="inlineStr"/>
    </row>
    <row r="289" ht="18" customHeight="1">
      <c r="A289" s="11" t="inlineStr">
        <is>
          <t>CM-10(1)</t>
        </is>
      </c>
      <c r="B289" s="12" t="inlineStr">
        <is>
          <t>Software Usage Restrictions</t>
        </is>
      </c>
      <c r="C289" s="12" t="inlineStr">
        <is>
          <t>Documentation</t>
        </is>
      </c>
      <c r="D289" s="11" t="inlineStr">
        <is>
          <t>CM</t>
        </is>
      </c>
      <c r="E289" s="12" t="inlineStr">
        <is>
          <t>Documentation</t>
        </is>
      </c>
      <c r="F289" s="12" t="inlineStr">
        <is>
          <t>CM-10-1</t>
        </is>
      </c>
      <c r="G289" s="13">
        <f>IFERROR('[Documentation.xlsx]CM-10-1'!B20,"Not Started")</f>
        <v/>
      </c>
      <c r="H289" s="14">
        <f>IF(OR(G289="Passed",G289="Accepted Exception"),"GREEN",IF(OR(G289="Not Started",G289="Failed"),"RED","AMBER"))</f>
        <v/>
      </c>
      <c r="I289" s="15">
        <f>IFERROR('[Documentation.xlsx]CM-10-1'!E20,"Non commencé")</f>
        <v/>
      </c>
      <c r="J289" s="16">
        <f>IF(OR(I289="Réussi",I289="Exception acceptée"),"GREEN",IF(OR(I289="Non commencé",I289="Échec"),"RED","AMBER"))</f>
        <v/>
      </c>
      <c r="K289" s="12" t="inlineStr"/>
      <c r="L289" s="12" t="inlineStr"/>
      <c r="M289" s="17" t="inlineStr"/>
    </row>
    <row r="290" ht="18" customHeight="1">
      <c r="A290" s="18" t="inlineStr">
        <is>
          <t>CM-11</t>
        </is>
      </c>
      <c r="B290" s="19" t="inlineStr">
        <is>
          <t>User Installed Software</t>
        </is>
      </c>
      <c r="C290" s="19" t="inlineStr">
        <is>
          <t>Documentation</t>
        </is>
      </c>
      <c r="D290" s="18" t="inlineStr">
        <is>
          <t>CM</t>
        </is>
      </c>
      <c r="E290" s="19" t="inlineStr">
        <is>
          <t>Documentation</t>
        </is>
      </c>
      <c r="F290" s="19" t="inlineStr">
        <is>
          <t>CM-11</t>
        </is>
      </c>
      <c r="G290" s="20">
        <f>IFERROR('[Documentation.xlsx]CM-11'!B20,"Not Started")</f>
        <v/>
      </c>
      <c r="H290" s="14">
        <f>IF(OR(G290="Passed",G290="Accepted Exception"),"GREEN",IF(OR(G290="Not Started",G290="Failed"),"RED","AMBER"))</f>
        <v/>
      </c>
      <c r="I290" s="21">
        <f>IFERROR('[Documentation.xlsx]CM-11'!E20,"Non commencé")</f>
        <v/>
      </c>
      <c r="J290" s="16">
        <f>IF(OR(I290="Réussi",I290="Exception acceptée"),"GREEN",IF(OR(I290="Non commencé",I290="Échec"),"RED","AMBER"))</f>
        <v/>
      </c>
      <c r="K290" s="19" t="inlineStr"/>
      <c r="L290" s="19" t="inlineStr"/>
      <c r="M290" s="22" t="inlineStr"/>
    </row>
    <row r="291" ht="18" customHeight="1">
      <c r="A291" s="11" t="inlineStr">
        <is>
          <t>CP-1</t>
        </is>
      </c>
      <c r="B291" s="12" t="inlineStr">
        <is>
          <t>Contingency Planning Policy and Procedures</t>
        </is>
      </c>
      <c r="C291" s="12" t="inlineStr">
        <is>
          <t>Documentation</t>
        </is>
      </c>
      <c r="D291" s="11" t="inlineStr">
        <is>
          <t>CP</t>
        </is>
      </c>
      <c r="E291" s="12" t="inlineStr">
        <is>
          <t>Documentation</t>
        </is>
      </c>
      <c r="F291" s="12" t="inlineStr">
        <is>
          <t>CP-1</t>
        </is>
      </c>
      <c r="G291" s="13">
        <f>IFERROR('[Documentation.xlsx]CP-1'!B20,"Not Started")</f>
        <v/>
      </c>
      <c r="H291" s="14">
        <f>IF(OR(G291="Passed",G291="Accepted Exception"),"GREEN",IF(OR(G291="Not Started",G291="Failed"),"RED","AMBER"))</f>
        <v/>
      </c>
      <c r="I291" s="15">
        <f>IFERROR('[Documentation.xlsx]CP-1'!E20,"Non commencé")</f>
        <v/>
      </c>
      <c r="J291" s="16">
        <f>IF(OR(I291="Réussi",I291="Exception acceptée"),"GREEN",IF(OR(I291="Non commencé",I291="Échec"),"RED","AMBER"))</f>
        <v/>
      </c>
      <c r="K291" s="12" t="inlineStr"/>
      <c r="L291" s="12" t="inlineStr"/>
      <c r="M291" s="17" t="inlineStr"/>
    </row>
    <row r="292" ht="18" customHeight="1">
      <c r="A292" s="18" t="inlineStr">
        <is>
          <t>CP-2</t>
        </is>
      </c>
      <c r="B292" s="19" t="inlineStr">
        <is>
          <t>Contingency Plan</t>
        </is>
      </c>
      <c r="C292" s="19" t="inlineStr">
        <is>
          <t>Documentation</t>
        </is>
      </c>
      <c r="D292" s="18" t="inlineStr">
        <is>
          <t>CP</t>
        </is>
      </c>
      <c r="E292" s="19" t="inlineStr">
        <is>
          <t>Documentation</t>
        </is>
      </c>
      <c r="F292" s="19" t="inlineStr">
        <is>
          <t>CP-2</t>
        </is>
      </c>
      <c r="G292" s="20">
        <f>IFERROR('[Documentation.xlsx]CP-2'!B20,"Not Started")</f>
        <v/>
      </c>
      <c r="H292" s="14">
        <f>IF(OR(G292="Passed",G292="Accepted Exception"),"GREEN",IF(OR(G292="Not Started",G292="Failed"),"RED","AMBER"))</f>
        <v/>
      </c>
      <c r="I292" s="21">
        <f>IFERROR('[Documentation.xlsx]CP-2'!E20,"Non commencé")</f>
        <v/>
      </c>
      <c r="J292" s="16">
        <f>IF(OR(I292="Réussi",I292="Exception acceptée"),"GREEN",IF(OR(I292="Non commencé",I292="Échec"),"RED","AMBER"))</f>
        <v/>
      </c>
      <c r="K292" s="19" t="inlineStr"/>
      <c r="L292" s="19" t="inlineStr"/>
      <c r="M292" s="22" t="inlineStr"/>
    </row>
    <row r="293" ht="18" customHeight="1">
      <c r="A293" s="11" t="inlineStr">
        <is>
          <t>CP-2(1)</t>
        </is>
      </c>
      <c r="B293" s="12" t="inlineStr">
        <is>
          <t>Contingency Plan</t>
        </is>
      </c>
      <c r="C293" s="12" t="inlineStr">
        <is>
          <t>Documentation</t>
        </is>
      </c>
      <c r="D293" s="11" t="inlineStr">
        <is>
          <t>CP</t>
        </is>
      </c>
      <c r="E293" s="12" t="inlineStr">
        <is>
          <t>Documentation</t>
        </is>
      </c>
      <c r="F293" s="12" t="inlineStr">
        <is>
          <t>CP-2-1</t>
        </is>
      </c>
      <c r="G293" s="13">
        <f>IFERROR('[Documentation.xlsx]CP-2-1'!B20,"Not Started")</f>
        <v/>
      </c>
      <c r="H293" s="14">
        <f>IF(OR(G293="Passed",G293="Accepted Exception"),"GREEN",IF(OR(G293="Not Started",G293="Failed"),"RED","AMBER"))</f>
        <v/>
      </c>
      <c r="I293" s="15">
        <f>IFERROR('[Documentation.xlsx]CP-2-1'!E20,"Non commencé")</f>
        <v/>
      </c>
      <c r="J293" s="16">
        <f>IF(OR(I293="Réussi",I293="Exception acceptée"),"GREEN",IF(OR(I293="Non commencé",I293="Échec"),"RED","AMBER"))</f>
        <v/>
      </c>
      <c r="K293" s="12" t="inlineStr"/>
      <c r="L293" s="12" t="inlineStr"/>
      <c r="M293" s="17" t="inlineStr"/>
    </row>
    <row r="294" ht="18" customHeight="1">
      <c r="A294" s="18" t="inlineStr">
        <is>
          <t>CP-2(2)</t>
        </is>
      </c>
      <c r="B294" s="19" t="inlineStr">
        <is>
          <t>Contingency Plan</t>
        </is>
      </c>
      <c r="C294" s="19" t="inlineStr">
        <is>
          <t>Documentation</t>
        </is>
      </c>
      <c r="D294" s="18" t="inlineStr">
        <is>
          <t>CP</t>
        </is>
      </c>
      <c r="E294" s="19" t="inlineStr">
        <is>
          <t>Documentation</t>
        </is>
      </c>
      <c r="F294" s="19" t="inlineStr">
        <is>
          <t>CP-2-2</t>
        </is>
      </c>
      <c r="G294" s="20">
        <f>IFERROR('[Documentation.xlsx]CP-2-2'!B20,"Not Started")</f>
        <v/>
      </c>
      <c r="H294" s="14">
        <f>IF(OR(G294="Passed",G294="Accepted Exception"),"GREEN",IF(OR(G294="Not Started",G294="Failed"),"RED","AMBER"))</f>
        <v/>
      </c>
      <c r="I294" s="21">
        <f>IFERROR('[Documentation.xlsx]CP-2-2'!E20,"Non commencé")</f>
        <v/>
      </c>
      <c r="J294" s="16">
        <f>IF(OR(I294="Réussi",I294="Exception acceptée"),"GREEN",IF(OR(I294="Non commencé",I294="Échec"),"RED","AMBER"))</f>
        <v/>
      </c>
      <c r="K294" s="19" t="inlineStr"/>
      <c r="L294" s="19" t="inlineStr"/>
      <c r="M294" s="22" t="inlineStr"/>
    </row>
    <row r="295" ht="18" customHeight="1">
      <c r="A295" s="11" t="inlineStr">
        <is>
          <t>CP-2(3)</t>
        </is>
      </c>
      <c r="B295" s="12" t="inlineStr">
        <is>
          <t>Contingency Plan</t>
        </is>
      </c>
      <c r="C295" s="12" t="inlineStr">
        <is>
          <t>Documentation</t>
        </is>
      </c>
      <c r="D295" s="11" t="inlineStr">
        <is>
          <t>CP</t>
        </is>
      </c>
      <c r="E295" s="12" t="inlineStr">
        <is>
          <t>Documentation</t>
        </is>
      </c>
      <c r="F295" s="12" t="inlineStr">
        <is>
          <t>CP-2-3</t>
        </is>
      </c>
      <c r="G295" s="13">
        <f>IFERROR('[Documentation.xlsx]CP-2-3'!B20,"Not Started")</f>
        <v/>
      </c>
      <c r="H295" s="14">
        <f>IF(OR(G295="Passed",G295="Accepted Exception"),"GREEN",IF(OR(G295="Not Started",G295="Failed"),"RED","AMBER"))</f>
        <v/>
      </c>
      <c r="I295" s="15">
        <f>IFERROR('[Documentation.xlsx]CP-2-3'!E20,"Non commencé")</f>
        <v/>
      </c>
      <c r="J295" s="16">
        <f>IF(OR(I295="Réussi",I295="Exception acceptée"),"GREEN",IF(OR(I295="Non commencé",I295="Échec"),"RED","AMBER"))</f>
        <v/>
      </c>
      <c r="K295" s="12" t="inlineStr"/>
      <c r="L295" s="12" t="inlineStr"/>
      <c r="M295" s="17" t="inlineStr"/>
    </row>
    <row r="296" ht="18" customHeight="1">
      <c r="A296" s="18" t="inlineStr">
        <is>
          <t>CP-2(4)</t>
        </is>
      </c>
      <c r="B296" s="19" t="inlineStr">
        <is>
          <t>Contingency Plan</t>
        </is>
      </c>
      <c r="C296" s="19" t="inlineStr">
        <is>
          <t>Documentation</t>
        </is>
      </c>
      <c r="D296" s="18" t="inlineStr">
        <is>
          <t>CP</t>
        </is>
      </c>
      <c r="E296" s="19" t="inlineStr">
        <is>
          <t>Documentation</t>
        </is>
      </c>
      <c r="F296" s="19" t="inlineStr">
        <is>
          <t>CP-2-4</t>
        </is>
      </c>
      <c r="G296" s="20">
        <f>IFERROR('[Documentation.xlsx]CP-2-4'!B20,"Not Started")</f>
        <v/>
      </c>
      <c r="H296" s="14">
        <f>IF(OR(G296="Passed",G296="Accepted Exception"),"GREEN",IF(OR(G296="Not Started",G296="Failed"),"RED","AMBER"))</f>
        <v/>
      </c>
      <c r="I296" s="21">
        <f>IFERROR('[Documentation.xlsx]CP-2-4'!E20,"Non commencé")</f>
        <v/>
      </c>
      <c r="J296" s="16">
        <f>IF(OR(I296="Réussi",I296="Exception acceptée"),"GREEN",IF(OR(I296="Non commencé",I296="Échec"),"RED","AMBER"))</f>
        <v/>
      </c>
      <c r="K296" s="19" t="inlineStr"/>
      <c r="L296" s="19" t="inlineStr"/>
      <c r="M296" s="22" t="inlineStr"/>
    </row>
    <row r="297" ht="18" customHeight="1">
      <c r="A297" s="11" t="inlineStr">
        <is>
          <t>CP-2(5)</t>
        </is>
      </c>
      <c r="B297" s="12" t="inlineStr">
        <is>
          <t>Contingency Plan</t>
        </is>
      </c>
      <c r="C297" s="12" t="inlineStr">
        <is>
          <t>Documentation</t>
        </is>
      </c>
      <c r="D297" s="11" t="inlineStr">
        <is>
          <t>CP</t>
        </is>
      </c>
      <c r="E297" s="12" t="inlineStr">
        <is>
          <t>Documentation</t>
        </is>
      </c>
      <c r="F297" s="12" t="inlineStr">
        <is>
          <t>CP-2-5</t>
        </is>
      </c>
      <c r="G297" s="13">
        <f>IFERROR('[Documentation.xlsx]CP-2-5'!B20,"Not Started")</f>
        <v/>
      </c>
      <c r="H297" s="14">
        <f>IF(OR(G297="Passed",G297="Accepted Exception"),"GREEN",IF(OR(G297="Not Started",G297="Failed"),"RED","AMBER"))</f>
        <v/>
      </c>
      <c r="I297" s="15">
        <f>IFERROR('[Documentation.xlsx]CP-2-5'!E20,"Non commencé")</f>
        <v/>
      </c>
      <c r="J297" s="16">
        <f>IF(OR(I297="Réussi",I297="Exception acceptée"),"GREEN",IF(OR(I297="Non commencé",I297="Échec"),"RED","AMBER"))</f>
        <v/>
      </c>
      <c r="K297" s="12" t="inlineStr"/>
      <c r="L297" s="12" t="inlineStr"/>
      <c r="M297" s="17" t="inlineStr"/>
    </row>
    <row r="298" ht="18" customHeight="1">
      <c r="A298" s="18" t="inlineStr">
        <is>
          <t>CP-2(6)</t>
        </is>
      </c>
      <c r="B298" s="19" t="inlineStr">
        <is>
          <t>Contingency Plan</t>
        </is>
      </c>
      <c r="C298" s="19" t="inlineStr">
        <is>
          <t>Documentation</t>
        </is>
      </c>
      <c r="D298" s="18" t="inlineStr">
        <is>
          <t>CP</t>
        </is>
      </c>
      <c r="E298" s="19" t="inlineStr">
        <is>
          <t>Documentation</t>
        </is>
      </c>
      <c r="F298" s="19" t="inlineStr">
        <is>
          <t>CP-2-6</t>
        </is>
      </c>
      <c r="G298" s="20">
        <f>IFERROR('[Documentation.xlsx]CP-2-6'!B20,"Not Started")</f>
        <v/>
      </c>
      <c r="H298" s="14">
        <f>IF(OR(G298="Passed",G298="Accepted Exception"),"GREEN",IF(OR(G298="Not Started",G298="Failed"),"RED","AMBER"))</f>
        <v/>
      </c>
      <c r="I298" s="21">
        <f>IFERROR('[Documentation.xlsx]CP-2-6'!E20,"Non commencé")</f>
        <v/>
      </c>
      <c r="J298" s="16">
        <f>IF(OR(I298="Réussi",I298="Exception acceptée"),"GREEN",IF(OR(I298="Non commencé",I298="Échec"),"RED","AMBER"))</f>
        <v/>
      </c>
      <c r="K298" s="19" t="inlineStr"/>
      <c r="L298" s="19" t="inlineStr"/>
      <c r="M298" s="22" t="inlineStr"/>
    </row>
    <row r="299" ht="18" customHeight="1">
      <c r="A299" s="11" t="inlineStr">
        <is>
          <t>CP-2(8)</t>
        </is>
      </c>
      <c r="B299" s="12" t="inlineStr">
        <is>
          <t>Contingency Plan</t>
        </is>
      </c>
      <c r="C299" s="12" t="inlineStr">
        <is>
          <t>Documentation</t>
        </is>
      </c>
      <c r="D299" s="11" t="inlineStr">
        <is>
          <t>CP</t>
        </is>
      </c>
      <c r="E299" s="12" t="inlineStr">
        <is>
          <t>Documentation</t>
        </is>
      </c>
      <c r="F299" s="12" t="inlineStr">
        <is>
          <t>CP-2-8</t>
        </is>
      </c>
      <c r="G299" s="13">
        <f>IFERROR('[Documentation.xlsx]CP-2-8'!B20,"Not Started")</f>
        <v/>
      </c>
      <c r="H299" s="14">
        <f>IF(OR(G299="Passed",G299="Accepted Exception"),"GREEN",IF(OR(G299="Not Started",G299="Failed"),"RED","AMBER"))</f>
        <v/>
      </c>
      <c r="I299" s="15">
        <f>IFERROR('[Documentation.xlsx]CP-2-8'!E20,"Non commencé")</f>
        <v/>
      </c>
      <c r="J299" s="16">
        <f>IF(OR(I299="Réussi",I299="Exception acceptée"),"GREEN",IF(OR(I299="Non commencé",I299="Échec"),"RED","AMBER"))</f>
        <v/>
      </c>
      <c r="K299" s="12" t="inlineStr"/>
      <c r="L299" s="12" t="inlineStr"/>
      <c r="M299" s="17" t="inlineStr"/>
    </row>
    <row r="300" ht="18" customHeight="1">
      <c r="A300" s="18" t="inlineStr">
        <is>
          <t>CP-3</t>
        </is>
      </c>
      <c r="B300" s="19" t="inlineStr">
        <is>
          <t>Contingency Training</t>
        </is>
      </c>
      <c r="C300" s="19" t="inlineStr">
        <is>
          <t>Documentation</t>
        </is>
      </c>
      <c r="D300" s="18" t="inlineStr">
        <is>
          <t>CP</t>
        </is>
      </c>
      <c r="E300" s="19" t="inlineStr">
        <is>
          <t>Documentation</t>
        </is>
      </c>
      <c r="F300" s="19" t="inlineStr">
        <is>
          <t>CP-3</t>
        </is>
      </c>
      <c r="G300" s="20">
        <f>IFERROR('[Documentation.xlsx]CP-3'!B20,"Not Started")</f>
        <v/>
      </c>
      <c r="H300" s="14">
        <f>IF(OR(G300="Passed",G300="Accepted Exception"),"GREEN",IF(OR(G300="Not Started",G300="Failed"),"RED","AMBER"))</f>
        <v/>
      </c>
      <c r="I300" s="21">
        <f>IFERROR('[Documentation.xlsx]CP-3'!E20,"Non commencé")</f>
        <v/>
      </c>
      <c r="J300" s="16">
        <f>IF(OR(I300="Réussi",I300="Exception acceptée"),"GREEN",IF(OR(I300="Non commencé",I300="Échec"),"RED","AMBER"))</f>
        <v/>
      </c>
      <c r="K300" s="19" t="inlineStr"/>
      <c r="L300" s="19" t="inlineStr"/>
      <c r="M300" s="22" t="inlineStr"/>
    </row>
    <row r="301" ht="18" customHeight="1">
      <c r="A301" s="11" t="inlineStr">
        <is>
          <t>CP-4</t>
        </is>
      </c>
      <c r="B301" s="12" t="inlineStr">
        <is>
          <t>Contingency Plan Testing and Exercises</t>
        </is>
      </c>
      <c r="C301" s="12" t="inlineStr">
        <is>
          <t>Documentation</t>
        </is>
      </c>
      <c r="D301" s="11" t="inlineStr">
        <is>
          <t>CP</t>
        </is>
      </c>
      <c r="E301" s="12" t="inlineStr">
        <is>
          <t>Documentation</t>
        </is>
      </c>
      <c r="F301" s="12" t="inlineStr">
        <is>
          <t>CP-4</t>
        </is>
      </c>
      <c r="G301" s="13">
        <f>IFERROR('[Documentation.xlsx]CP-4'!B20,"Not Started")</f>
        <v/>
      </c>
      <c r="H301" s="14">
        <f>IF(OR(G301="Passed",G301="Accepted Exception"),"GREEN",IF(OR(G301="Not Started",G301="Failed"),"RED","AMBER"))</f>
        <v/>
      </c>
      <c r="I301" s="15">
        <f>IFERROR('[Documentation.xlsx]CP-4'!E20,"Non commencé")</f>
        <v/>
      </c>
      <c r="J301" s="16">
        <f>IF(OR(I301="Réussi",I301="Exception acceptée"),"GREEN",IF(OR(I301="Non commencé",I301="Échec"),"RED","AMBER"))</f>
        <v/>
      </c>
      <c r="K301" s="12" t="inlineStr"/>
      <c r="L301" s="12" t="inlineStr"/>
      <c r="M301" s="17" t="inlineStr"/>
    </row>
    <row r="302" ht="18" customHeight="1">
      <c r="A302" s="18" t="inlineStr">
        <is>
          <t>CP-4(1)</t>
        </is>
      </c>
      <c r="B302" s="19" t="inlineStr">
        <is>
          <t>Contingency Plan Testing and Exercises</t>
        </is>
      </c>
      <c r="C302" s="19" t="inlineStr">
        <is>
          <t>Documentation</t>
        </is>
      </c>
      <c r="D302" s="18" t="inlineStr">
        <is>
          <t>CP</t>
        </is>
      </c>
      <c r="E302" s="19" t="inlineStr">
        <is>
          <t>Documentation</t>
        </is>
      </c>
      <c r="F302" s="19" t="inlineStr">
        <is>
          <t>CP-4-1</t>
        </is>
      </c>
      <c r="G302" s="20">
        <f>IFERROR('[Documentation.xlsx]CP-4-1'!B20,"Not Started")</f>
        <v/>
      </c>
      <c r="H302" s="14">
        <f>IF(OR(G302="Passed",G302="Accepted Exception"),"GREEN",IF(OR(G302="Not Started",G302="Failed"),"RED","AMBER"))</f>
        <v/>
      </c>
      <c r="I302" s="21">
        <f>IFERROR('[Documentation.xlsx]CP-4-1'!E20,"Non commencé")</f>
        <v/>
      </c>
      <c r="J302" s="16">
        <f>IF(OR(I302="Réussi",I302="Exception acceptée"),"GREEN",IF(OR(I302="Non commencé",I302="Échec"),"RED","AMBER"))</f>
        <v/>
      </c>
      <c r="K302" s="19" t="inlineStr"/>
      <c r="L302" s="19" t="inlineStr"/>
      <c r="M302" s="22" t="inlineStr"/>
    </row>
    <row r="303" ht="18" customHeight="1">
      <c r="A303" s="11" t="inlineStr">
        <is>
          <t>CP-4(2)</t>
        </is>
      </c>
      <c r="B303" s="12" t="inlineStr">
        <is>
          <t>Contingency Plan Testing and Exercises</t>
        </is>
      </c>
      <c r="C303" s="12" t="inlineStr">
        <is>
          <t>Documentation</t>
        </is>
      </c>
      <c r="D303" s="11" t="inlineStr">
        <is>
          <t>CP</t>
        </is>
      </c>
      <c r="E303" s="12" t="inlineStr">
        <is>
          <t>Documentation</t>
        </is>
      </c>
      <c r="F303" s="12" t="inlineStr">
        <is>
          <t>CP-4-2</t>
        </is>
      </c>
      <c r="G303" s="13">
        <f>IFERROR('[Documentation.xlsx]CP-4-2'!B20,"Not Started")</f>
        <v/>
      </c>
      <c r="H303" s="14">
        <f>IF(OR(G303="Passed",G303="Accepted Exception"),"GREEN",IF(OR(G303="Not Started",G303="Failed"),"RED","AMBER"))</f>
        <v/>
      </c>
      <c r="I303" s="15">
        <f>IFERROR('[Documentation.xlsx]CP-4-2'!E20,"Non commencé")</f>
        <v/>
      </c>
      <c r="J303" s="16">
        <f>IF(OR(I303="Réussi",I303="Exception acceptée"),"GREEN",IF(OR(I303="Non commencé",I303="Échec"),"RED","AMBER"))</f>
        <v/>
      </c>
      <c r="K303" s="12" t="inlineStr"/>
      <c r="L303" s="12" t="inlineStr"/>
      <c r="M303" s="17" t="inlineStr"/>
    </row>
    <row r="304" ht="18" customHeight="1">
      <c r="A304" s="18" t="inlineStr">
        <is>
          <t>CP-6</t>
        </is>
      </c>
      <c r="B304" s="19" t="inlineStr">
        <is>
          <t>Alternate Storage Site</t>
        </is>
      </c>
      <c r="C304" s="19" t="inlineStr">
        <is>
          <t>Documentation</t>
        </is>
      </c>
      <c r="D304" s="18" t="inlineStr">
        <is>
          <t>CP</t>
        </is>
      </c>
      <c r="E304" s="19" t="inlineStr">
        <is>
          <t>Documentation</t>
        </is>
      </c>
      <c r="F304" s="19" t="inlineStr">
        <is>
          <t>CP-6</t>
        </is>
      </c>
      <c r="G304" s="20">
        <f>IFERROR('[Documentation.xlsx]CP-6'!B20,"Not Started")</f>
        <v/>
      </c>
      <c r="H304" s="14">
        <f>IF(OR(G304="Passed",G304="Accepted Exception"),"GREEN",IF(OR(G304="Not Started",G304="Failed"),"RED","AMBER"))</f>
        <v/>
      </c>
      <c r="I304" s="21">
        <f>IFERROR('[Documentation.xlsx]CP-6'!E20,"Non commencé")</f>
        <v/>
      </c>
      <c r="J304" s="16">
        <f>IF(OR(I304="Réussi",I304="Exception acceptée"),"GREEN",IF(OR(I304="Non commencé",I304="Échec"),"RED","AMBER"))</f>
        <v/>
      </c>
      <c r="K304" s="19" t="inlineStr"/>
      <c r="L304" s="19" t="inlineStr"/>
      <c r="M304" s="22" t="inlineStr"/>
    </row>
    <row r="305" ht="18" customHeight="1">
      <c r="A305" s="11" t="inlineStr">
        <is>
          <t>CP-6(1)</t>
        </is>
      </c>
      <c r="B305" s="12" t="inlineStr">
        <is>
          <t>Alternate Storage Site</t>
        </is>
      </c>
      <c r="C305" s="12" t="inlineStr">
        <is>
          <t>Documentation</t>
        </is>
      </c>
      <c r="D305" s="11" t="inlineStr">
        <is>
          <t>CP</t>
        </is>
      </c>
      <c r="E305" s="12" t="inlineStr">
        <is>
          <t>Documentation</t>
        </is>
      </c>
      <c r="F305" s="12" t="inlineStr">
        <is>
          <t>CP-6-1</t>
        </is>
      </c>
      <c r="G305" s="13">
        <f>IFERROR('[Documentation.xlsx]CP-6-1'!B20,"Not Started")</f>
        <v/>
      </c>
      <c r="H305" s="14">
        <f>IF(OR(G305="Passed",G305="Accepted Exception"),"GREEN",IF(OR(G305="Not Started",G305="Failed"),"RED","AMBER"))</f>
        <v/>
      </c>
      <c r="I305" s="15">
        <f>IFERROR('[Documentation.xlsx]CP-6-1'!E20,"Non commencé")</f>
        <v/>
      </c>
      <c r="J305" s="16">
        <f>IF(OR(I305="Réussi",I305="Exception acceptée"),"GREEN",IF(OR(I305="Non commencé",I305="Échec"),"RED","AMBER"))</f>
        <v/>
      </c>
      <c r="K305" s="12" t="inlineStr"/>
      <c r="L305" s="12" t="inlineStr"/>
      <c r="M305" s="17" t="inlineStr"/>
    </row>
    <row r="306" ht="18" customHeight="1">
      <c r="A306" s="18" t="inlineStr">
        <is>
          <t>CP-6(2)</t>
        </is>
      </c>
      <c r="B306" s="19" t="inlineStr">
        <is>
          <t>Alternate Storage Site</t>
        </is>
      </c>
      <c r="C306" s="19" t="inlineStr">
        <is>
          <t>Documentation</t>
        </is>
      </c>
      <c r="D306" s="18" t="inlineStr">
        <is>
          <t>CP</t>
        </is>
      </c>
      <c r="E306" s="19" t="inlineStr">
        <is>
          <t>Documentation</t>
        </is>
      </c>
      <c r="F306" s="19" t="inlineStr">
        <is>
          <t>CP-6-2</t>
        </is>
      </c>
      <c r="G306" s="20">
        <f>IFERROR('[Documentation.xlsx]CP-6-2'!B20,"Not Started")</f>
        <v/>
      </c>
      <c r="H306" s="14">
        <f>IF(OR(G306="Passed",G306="Accepted Exception"),"GREEN",IF(OR(G306="Not Started",G306="Failed"),"RED","AMBER"))</f>
        <v/>
      </c>
      <c r="I306" s="21">
        <f>IFERROR('[Documentation.xlsx]CP-6-2'!E20,"Non commencé")</f>
        <v/>
      </c>
      <c r="J306" s="16">
        <f>IF(OR(I306="Réussi",I306="Exception acceptée"),"GREEN",IF(OR(I306="Non commencé",I306="Échec"),"RED","AMBER"))</f>
        <v/>
      </c>
      <c r="K306" s="19" t="inlineStr"/>
      <c r="L306" s="19" t="inlineStr"/>
      <c r="M306" s="22" t="inlineStr"/>
    </row>
    <row r="307" ht="18" customHeight="1">
      <c r="A307" s="11" t="inlineStr">
        <is>
          <t>CP-6(3)</t>
        </is>
      </c>
      <c r="B307" s="12" t="inlineStr">
        <is>
          <t>Alternate Storage Site</t>
        </is>
      </c>
      <c r="C307" s="12" t="inlineStr">
        <is>
          <t>Documentation</t>
        </is>
      </c>
      <c r="D307" s="11" t="inlineStr">
        <is>
          <t>CP</t>
        </is>
      </c>
      <c r="E307" s="12" t="inlineStr">
        <is>
          <t>Documentation</t>
        </is>
      </c>
      <c r="F307" s="12" t="inlineStr">
        <is>
          <t>CP-6-3</t>
        </is>
      </c>
      <c r="G307" s="13">
        <f>IFERROR('[Documentation.xlsx]CP-6-3'!B20,"Not Started")</f>
        <v/>
      </c>
      <c r="H307" s="14">
        <f>IF(OR(G307="Passed",G307="Accepted Exception"),"GREEN",IF(OR(G307="Not Started",G307="Failed"),"RED","AMBER"))</f>
        <v/>
      </c>
      <c r="I307" s="15">
        <f>IFERROR('[Documentation.xlsx]CP-6-3'!E20,"Non commencé")</f>
        <v/>
      </c>
      <c r="J307" s="16">
        <f>IF(OR(I307="Réussi",I307="Exception acceptée"),"GREEN",IF(OR(I307="Non commencé",I307="Échec"),"RED","AMBER"))</f>
        <v/>
      </c>
      <c r="K307" s="12" t="inlineStr"/>
      <c r="L307" s="12" t="inlineStr"/>
      <c r="M307" s="17" t="inlineStr"/>
    </row>
    <row r="308" ht="18" customHeight="1">
      <c r="A308" s="18" t="inlineStr">
        <is>
          <t>CP-7</t>
        </is>
      </c>
      <c r="B308" s="19" t="inlineStr">
        <is>
          <t>Alternate Processing Site</t>
        </is>
      </c>
      <c r="C308" s="19" t="inlineStr">
        <is>
          <t>Documentation</t>
        </is>
      </c>
      <c r="D308" s="18" t="inlineStr">
        <is>
          <t>CP</t>
        </is>
      </c>
      <c r="E308" s="19" t="inlineStr">
        <is>
          <t>Documentation</t>
        </is>
      </c>
      <c r="F308" s="19" t="inlineStr">
        <is>
          <t>CP-7</t>
        </is>
      </c>
      <c r="G308" s="20">
        <f>IFERROR('[Documentation.xlsx]CP-7'!B20,"Not Started")</f>
        <v/>
      </c>
      <c r="H308" s="14">
        <f>IF(OR(G308="Passed",G308="Accepted Exception"),"GREEN",IF(OR(G308="Not Started",G308="Failed"),"RED","AMBER"))</f>
        <v/>
      </c>
      <c r="I308" s="21">
        <f>IFERROR('[Documentation.xlsx]CP-7'!E20,"Non commencé")</f>
        <v/>
      </c>
      <c r="J308" s="16">
        <f>IF(OR(I308="Réussi",I308="Exception acceptée"),"GREEN",IF(OR(I308="Non commencé",I308="Échec"),"RED","AMBER"))</f>
        <v/>
      </c>
      <c r="K308" s="19" t="inlineStr"/>
      <c r="L308" s="19" t="inlineStr"/>
      <c r="M308" s="22" t="inlineStr"/>
    </row>
    <row r="309" ht="18" customHeight="1">
      <c r="A309" s="11" t="inlineStr">
        <is>
          <t>CP-7(2)</t>
        </is>
      </c>
      <c r="B309" s="12" t="inlineStr">
        <is>
          <t>Alternate Processing Site</t>
        </is>
      </c>
      <c r="C309" s="12" t="inlineStr">
        <is>
          <t>Documentation</t>
        </is>
      </c>
      <c r="D309" s="11" t="inlineStr">
        <is>
          <t>CP</t>
        </is>
      </c>
      <c r="E309" s="12" t="inlineStr">
        <is>
          <t>Documentation</t>
        </is>
      </c>
      <c r="F309" s="12" t="inlineStr">
        <is>
          <t>CP-7-2</t>
        </is>
      </c>
      <c r="G309" s="13">
        <f>IFERROR('[Documentation.xlsx]CP-7-2'!B20,"Not Started")</f>
        <v/>
      </c>
      <c r="H309" s="14">
        <f>IF(OR(G309="Passed",G309="Accepted Exception"),"GREEN",IF(OR(G309="Not Started",G309="Failed"),"RED","AMBER"))</f>
        <v/>
      </c>
      <c r="I309" s="15">
        <f>IFERROR('[Documentation.xlsx]CP-7-2'!E20,"Non commencé")</f>
        <v/>
      </c>
      <c r="J309" s="16">
        <f>IF(OR(I309="Réussi",I309="Exception acceptée"),"GREEN",IF(OR(I309="Non commencé",I309="Échec"),"RED","AMBER"))</f>
        <v/>
      </c>
      <c r="K309" s="12" t="inlineStr"/>
      <c r="L309" s="12" t="inlineStr"/>
      <c r="M309" s="17" t="inlineStr"/>
    </row>
    <row r="310" ht="18" customHeight="1">
      <c r="A310" s="18" t="inlineStr">
        <is>
          <t>CP-7(4)</t>
        </is>
      </c>
      <c r="B310" s="19" t="inlineStr">
        <is>
          <t>Alternate Processing Site</t>
        </is>
      </c>
      <c r="C310" s="19" t="inlineStr">
        <is>
          <t>Documentation</t>
        </is>
      </c>
      <c r="D310" s="18" t="inlineStr">
        <is>
          <t>CP</t>
        </is>
      </c>
      <c r="E310" s="19" t="inlineStr">
        <is>
          <t>Documentation</t>
        </is>
      </c>
      <c r="F310" s="19" t="inlineStr">
        <is>
          <t>CP-7-4</t>
        </is>
      </c>
      <c r="G310" s="20">
        <f>IFERROR('[Documentation.xlsx]CP-7-4'!B20,"Not Started")</f>
        <v/>
      </c>
      <c r="H310" s="14">
        <f>IF(OR(G310="Passed",G310="Accepted Exception"),"GREEN",IF(OR(G310="Not Started",G310="Failed"),"RED","AMBER"))</f>
        <v/>
      </c>
      <c r="I310" s="21">
        <f>IFERROR('[Documentation.xlsx]CP-7-4'!E20,"Non commencé")</f>
        <v/>
      </c>
      <c r="J310" s="16">
        <f>IF(OR(I310="Réussi",I310="Exception acceptée"),"GREEN",IF(OR(I310="Non commencé",I310="Échec"),"RED","AMBER"))</f>
        <v/>
      </c>
      <c r="K310" s="19" t="inlineStr"/>
      <c r="L310" s="19" t="inlineStr"/>
      <c r="M310" s="22" t="inlineStr"/>
    </row>
    <row r="311" ht="18" customHeight="1">
      <c r="A311" s="11" t="inlineStr">
        <is>
          <t>CP-9</t>
        </is>
      </c>
      <c r="B311" s="12" t="inlineStr">
        <is>
          <t>Information System Backup</t>
        </is>
      </c>
      <c r="C311" s="12" t="inlineStr">
        <is>
          <t>Documentation</t>
        </is>
      </c>
      <c r="D311" s="11" t="inlineStr">
        <is>
          <t>CP</t>
        </is>
      </c>
      <c r="E311" s="12" t="inlineStr">
        <is>
          <t>Documentation</t>
        </is>
      </c>
      <c r="F311" s="12" t="inlineStr">
        <is>
          <t>CP-9</t>
        </is>
      </c>
      <c r="G311" s="13">
        <f>IFERROR('[Documentation.xlsx]CP-9'!B20,"Not Started")</f>
        <v/>
      </c>
      <c r="H311" s="14">
        <f>IF(OR(G311="Passed",G311="Accepted Exception"),"GREEN",IF(OR(G311="Not Started",G311="Failed"),"RED","AMBER"))</f>
        <v/>
      </c>
      <c r="I311" s="15">
        <f>IFERROR('[Documentation.xlsx]CP-9'!E20,"Non commencé")</f>
        <v/>
      </c>
      <c r="J311" s="16">
        <f>IF(OR(I311="Réussi",I311="Exception acceptée"),"GREEN",IF(OR(I311="Non commencé",I311="Échec"),"RED","AMBER"))</f>
        <v/>
      </c>
      <c r="K311" s="12" t="inlineStr"/>
      <c r="L311" s="12" t="inlineStr"/>
      <c r="M311" s="17" t="inlineStr"/>
    </row>
    <row r="312" ht="18" customHeight="1">
      <c r="A312" s="18" t="inlineStr">
        <is>
          <t>CP-9(1)</t>
        </is>
      </c>
      <c r="B312" s="19" t="inlineStr">
        <is>
          <t>Information System Backup</t>
        </is>
      </c>
      <c r="C312" s="19" t="inlineStr">
        <is>
          <t>Documentation</t>
        </is>
      </c>
      <c r="D312" s="18" t="inlineStr">
        <is>
          <t>CP</t>
        </is>
      </c>
      <c r="E312" s="19" t="inlineStr">
        <is>
          <t>Documentation</t>
        </is>
      </c>
      <c r="F312" s="19" t="inlineStr">
        <is>
          <t>CP-9-1</t>
        </is>
      </c>
      <c r="G312" s="20">
        <f>IFERROR('[Documentation.xlsx]CP-9-1'!B20,"Not Started")</f>
        <v/>
      </c>
      <c r="H312" s="14">
        <f>IF(OR(G312="Passed",G312="Accepted Exception"),"GREEN",IF(OR(G312="Not Started",G312="Failed"),"RED","AMBER"))</f>
        <v/>
      </c>
      <c r="I312" s="21">
        <f>IFERROR('[Documentation.xlsx]CP-9-1'!E20,"Non commencé")</f>
        <v/>
      </c>
      <c r="J312" s="16">
        <f>IF(OR(I312="Réussi",I312="Exception acceptée"),"GREEN",IF(OR(I312="Non commencé",I312="Échec"),"RED","AMBER"))</f>
        <v/>
      </c>
      <c r="K312" s="19" t="inlineStr"/>
      <c r="L312" s="19" t="inlineStr"/>
      <c r="M312" s="22" t="inlineStr"/>
    </row>
    <row r="313" ht="18" customHeight="1">
      <c r="A313" s="11" t="inlineStr">
        <is>
          <t>CP-9(2)</t>
        </is>
      </c>
      <c r="B313" s="12" t="inlineStr">
        <is>
          <t>Information System Backup</t>
        </is>
      </c>
      <c r="C313" s="12" t="inlineStr">
        <is>
          <t>Documentation</t>
        </is>
      </c>
      <c r="D313" s="11" t="inlineStr">
        <is>
          <t>CP</t>
        </is>
      </c>
      <c r="E313" s="12" t="inlineStr">
        <is>
          <t>Documentation</t>
        </is>
      </c>
      <c r="F313" s="12" t="inlineStr">
        <is>
          <t>CP-9-2</t>
        </is>
      </c>
      <c r="G313" s="13">
        <f>IFERROR('[Documentation.xlsx]CP-9-2'!B20,"Not Started")</f>
        <v/>
      </c>
      <c r="H313" s="14">
        <f>IF(OR(G313="Passed",G313="Accepted Exception"),"GREEN",IF(OR(G313="Not Started",G313="Failed"),"RED","AMBER"))</f>
        <v/>
      </c>
      <c r="I313" s="15">
        <f>IFERROR('[Documentation.xlsx]CP-9-2'!E20,"Non commencé")</f>
        <v/>
      </c>
      <c r="J313" s="16">
        <f>IF(OR(I313="Réussi",I313="Exception acceptée"),"GREEN",IF(OR(I313="Non commencé",I313="Échec"),"RED","AMBER"))</f>
        <v/>
      </c>
      <c r="K313" s="12" t="inlineStr"/>
      <c r="L313" s="12" t="inlineStr"/>
      <c r="M313" s="17" t="inlineStr"/>
    </row>
    <row r="314" ht="18" customHeight="1">
      <c r="A314" s="18" t="inlineStr">
        <is>
          <t>CP-9(5)</t>
        </is>
      </c>
      <c r="B314" s="19" t="inlineStr">
        <is>
          <t>Information System Backup</t>
        </is>
      </c>
      <c r="C314" s="19" t="inlineStr">
        <is>
          <t>Documentation</t>
        </is>
      </c>
      <c r="D314" s="18" t="inlineStr">
        <is>
          <t>CP</t>
        </is>
      </c>
      <c r="E314" s="19" t="inlineStr">
        <is>
          <t>Documentation</t>
        </is>
      </c>
      <c r="F314" s="19" t="inlineStr">
        <is>
          <t>CP-9-5</t>
        </is>
      </c>
      <c r="G314" s="20">
        <f>IFERROR('[Documentation.xlsx]CP-9-5'!B20,"Not Started")</f>
        <v/>
      </c>
      <c r="H314" s="14">
        <f>IF(OR(G314="Passed",G314="Accepted Exception"),"GREEN",IF(OR(G314="Not Started",G314="Failed"),"RED","AMBER"))</f>
        <v/>
      </c>
      <c r="I314" s="21">
        <f>IFERROR('[Documentation.xlsx]CP-9-5'!E20,"Non commencé")</f>
        <v/>
      </c>
      <c r="J314" s="16">
        <f>IF(OR(I314="Réussi",I314="Exception acceptée"),"GREEN",IF(OR(I314="Non commencé",I314="Échec"),"RED","AMBER"))</f>
        <v/>
      </c>
      <c r="K314" s="19" t="inlineStr"/>
      <c r="L314" s="19" t="inlineStr"/>
      <c r="M314" s="22" t="inlineStr"/>
    </row>
    <row r="315" ht="18" customHeight="1">
      <c r="A315" s="11" t="inlineStr">
        <is>
          <t>CP-10</t>
        </is>
      </c>
      <c r="B315" s="12" t="inlineStr">
        <is>
          <t>Information System Recovery and Reconstitution</t>
        </is>
      </c>
      <c r="C315" s="12" t="inlineStr">
        <is>
          <t>Documentation</t>
        </is>
      </c>
      <c r="D315" s="11" t="inlineStr">
        <is>
          <t>CP</t>
        </is>
      </c>
      <c r="E315" s="12" t="inlineStr">
        <is>
          <t>Documentation</t>
        </is>
      </c>
      <c r="F315" s="12" t="inlineStr">
        <is>
          <t>CP-10</t>
        </is>
      </c>
      <c r="G315" s="13">
        <f>IFERROR('[Documentation.xlsx]CP-10'!B20,"Not Started")</f>
        <v/>
      </c>
      <c r="H315" s="14">
        <f>IF(OR(G315="Passed",G315="Accepted Exception"),"GREEN",IF(OR(G315="Not Started",G315="Failed"),"RED","AMBER"))</f>
        <v/>
      </c>
      <c r="I315" s="15">
        <f>IFERROR('[Documentation.xlsx]CP-10'!E20,"Non commencé")</f>
        <v/>
      </c>
      <c r="J315" s="16">
        <f>IF(OR(I315="Réussi",I315="Exception acceptée"),"GREEN",IF(OR(I315="Non commencé",I315="Échec"),"RED","AMBER"))</f>
        <v/>
      </c>
      <c r="K315" s="12" t="inlineStr"/>
      <c r="L315" s="12" t="inlineStr"/>
      <c r="M315" s="17" t="inlineStr"/>
    </row>
    <row r="316" ht="18" customHeight="1">
      <c r="A316" s="18" t="inlineStr">
        <is>
          <t>CP-10(4)</t>
        </is>
      </c>
      <c r="B316" s="19" t="inlineStr">
        <is>
          <t>Information System Recovery and Reconstitution</t>
        </is>
      </c>
      <c r="C316" s="19" t="inlineStr">
        <is>
          <t>Documentation</t>
        </is>
      </c>
      <c r="D316" s="18" t="inlineStr">
        <is>
          <t>CP</t>
        </is>
      </c>
      <c r="E316" s="19" t="inlineStr">
        <is>
          <t>Documentation</t>
        </is>
      </c>
      <c r="F316" s="19" t="inlineStr">
        <is>
          <t>CP-10-4</t>
        </is>
      </c>
      <c r="G316" s="20">
        <f>IFERROR('[Documentation.xlsx]CP-10-4'!B20,"Not Started")</f>
        <v/>
      </c>
      <c r="H316" s="14">
        <f>IF(OR(G316="Passed",G316="Accepted Exception"),"GREEN",IF(OR(G316="Not Started",G316="Failed"),"RED","AMBER"))</f>
        <v/>
      </c>
      <c r="I316" s="21">
        <f>IFERROR('[Documentation.xlsx]CP-10-4'!E20,"Non commencé")</f>
        <v/>
      </c>
      <c r="J316" s="16">
        <f>IF(OR(I316="Réussi",I316="Exception acceptée"),"GREEN",IF(OR(I316="Non commencé",I316="Échec"),"RED","AMBER"))</f>
        <v/>
      </c>
      <c r="K316" s="19" t="inlineStr"/>
      <c r="L316" s="19" t="inlineStr"/>
      <c r="M316" s="22" t="inlineStr"/>
    </row>
    <row r="317" ht="18" customHeight="1">
      <c r="A317" s="11" t="inlineStr">
        <is>
          <t>IA-1</t>
        </is>
      </c>
      <c r="B317" s="12" t="inlineStr">
        <is>
          <t>Identification and Authentication Policy and Procedures</t>
        </is>
      </c>
      <c r="C317" s="12" t="inlineStr">
        <is>
          <t>Documentation</t>
        </is>
      </c>
      <c r="D317" s="11" t="inlineStr">
        <is>
          <t>IA</t>
        </is>
      </c>
      <c r="E317" s="12" t="inlineStr">
        <is>
          <t>Documentation</t>
        </is>
      </c>
      <c r="F317" s="12" t="inlineStr">
        <is>
          <t>IA-1</t>
        </is>
      </c>
      <c r="G317" s="13">
        <f>IFERROR('[Documentation.xlsx]IA-1'!B20,"Not Started")</f>
        <v/>
      </c>
      <c r="H317" s="14">
        <f>IF(OR(G317="Passed",G317="Accepted Exception"),"GREEN",IF(OR(G317="Not Started",G317="Failed"),"RED","AMBER"))</f>
        <v/>
      </c>
      <c r="I317" s="15">
        <f>IFERROR('[Documentation.xlsx]IA-1'!E20,"Non commencé")</f>
        <v/>
      </c>
      <c r="J317" s="16">
        <f>IF(OR(I317="Réussi",I317="Exception acceptée"),"GREEN",IF(OR(I317="Non commencé",I317="Échec"),"RED","AMBER"))</f>
        <v/>
      </c>
      <c r="K317" s="12" t="inlineStr"/>
      <c r="L317" s="12" t="inlineStr"/>
      <c r="M317" s="17" t="inlineStr"/>
    </row>
    <row r="318" ht="18" customHeight="1">
      <c r="A318" s="18" t="inlineStr">
        <is>
          <t>IA-4</t>
        </is>
      </c>
      <c r="B318" s="19" t="inlineStr">
        <is>
          <t>Identifier Management</t>
        </is>
      </c>
      <c r="C318" s="19" t="inlineStr">
        <is>
          <t>Documentation</t>
        </is>
      </c>
      <c r="D318" s="18" t="inlineStr">
        <is>
          <t>IA</t>
        </is>
      </c>
      <c r="E318" s="19" t="inlineStr">
        <is>
          <t>Documentation</t>
        </is>
      </c>
      <c r="F318" s="19" t="inlineStr">
        <is>
          <t>IA-4</t>
        </is>
      </c>
      <c r="G318" s="20">
        <f>IFERROR('[Documentation.xlsx]IA-4'!B20,"Not Started")</f>
        <v/>
      </c>
      <c r="H318" s="14">
        <f>IF(OR(G318="Passed",G318="Accepted Exception"),"GREEN",IF(OR(G318="Not Started",G318="Failed"),"RED","AMBER"))</f>
        <v/>
      </c>
      <c r="I318" s="21">
        <f>IFERROR('[Documentation.xlsx]IA-4'!E20,"Non commencé")</f>
        <v/>
      </c>
      <c r="J318" s="16">
        <f>IF(OR(I318="Réussi",I318="Exception acceptée"),"GREEN",IF(OR(I318="Non commencé",I318="Échec"),"RED","AMBER"))</f>
        <v/>
      </c>
      <c r="K318" s="19" t="inlineStr"/>
      <c r="L318" s="19" t="inlineStr"/>
      <c r="M318" s="22" t="inlineStr"/>
    </row>
    <row r="319" ht="18" customHeight="1">
      <c r="A319" s="11" t="inlineStr">
        <is>
          <t>IA-4(2)</t>
        </is>
      </c>
      <c r="B319" s="12" t="inlineStr">
        <is>
          <t>Identifier Management</t>
        </is>
      </c>
      <c r="C319" s="12" t="inlineStr">
        <is>
          <t>Documentation</t>
        </is>
      </c>
      <c r="D319" s="11" t="inlineStr">
        <is>
          <t>IA</t>
        </is>
      </c>
      <c r="E319" s="12" t="inlineStr">
        <is>
          <t>Documentation</t>
        </is>
      </c>
      <c r="F319" s="12" t="inlineStr">
        <is>
          <t>IA-4-2</t>
        </is>
      </c>
      <c r="G319" s="13">
        <f>IFERROR('[Documentation.xlsx]IA-4-2'!B20,"Not Started")</f>
        <v/>
      </c>
      <c r="H319" s="14">
        <f>IF(OR(G319="Passed",G319="Accepted Exception"),"GREEN",IF(OR(G319="Not Started",G319="Failed"),"RED","AMBER"))</f>
        <v/>
      </c>
      <c r="I319" s="15">
        <f>IFERROR('[Documentation.xlsx]IA-4-2'!E20,"Non commencé")</f>
        <v/>
      </c>
      <c r="J319" s="16">
        <f>IF(OR(I319="Réussi",I319="Exception acceptée"),"GREEN",IF(OR(I319="Non commencé",I319="Échec"),"RED","AMBER"))</f>
        <v/>
      </c>
      <c r="K319" s="12" t="inlineStr"/>
      <c r="L319" s="12" t="inlineStr"/>
      <c r="M319" s="17" t="inlineStr"/>
    </row>
    <row r="320" ht="18" customHeight="1">
      <c r="A320" s="18" t="inlineStr">
        <is>
          <t>IA-4(3)</t>
        </is>
      </c>
      <c r="B320" s="19" t="inlineStr">
        <is>
          <t>Identifier Management</t>
        </is>
      </c>
      <c r="C320" s="19" t="inlineStr">
        <is>
          <t>Documentation</t>
        </is>
      </c>
      <c r="D320" s="18" t="inlineStr">
        <is>
          <t>IA</t>
        </is>
      </c>
      <c r="E320" s="19" t="inlineStr">
        <is>
          <t>Documentation</t>
        </is>
      </c>
      <c r="F320" s="19" t="inlineStr">
        <is>
          <t>IA-4-3</t>
        </is>
      </c>
      <c r="G320" s="20">
        <f>IFERROR('[Documentation.xlsx]IA-4-3'!B20,"Not Started")</f>
        <v/>
      </c>
      <c r="H320" s="14">
        <f>IF(OR(G320="Passed",G320="Accepted Exception"),"GREEN",IF(OR(G320="Not Started",G320="Failed"),"RED","AMBER"))</f>
        <v/>
      </c>
      <c r="I320" s="21">
        <f>IFERROR('[Documentation.xlsx]IA-4-3'!E20,"Non commencé")</f>
        <v/>
      </c>
      <c r="J320" s="16">
        <f>IF(OR(I320="Réussi",I320="Exception acceptée"),"GREEN",IF(OR(I320="Non commencé",I320="Échec"),"RED","AMBER"))</f>
        <v/>
      </c>
      <c r="K320" s="19" t="inlineStr"/>
      <c r="L320" s="19" t="inlineStr"/>
      <c r="M320" s="22" t="inlineStr"/>
    </row>
    <row r="321" ht="18" customHeight="1">
      <c r="A321" s="11" t="inlineStr">
        <is>
          <t>IA-5</t>
        </is>
      </c>
      <c r="B321" s="12" t="inlineStr">
        <is>
          <t>Authenticator Management</t>
        </is>
      </c>
      <c r="C321" s="12" t="inlineStr">
        <is>
          <t>Documentation</t>
        </is>
      </c>
      <c r="D321" s="11" t="inlineStr">
        <is>
          <t>IA</t>
        </is>
      </c>
      <c r="E321" s="12" t="inlineStr">
        <is>
          <t>Documentation</t>
        </is>
      </c>
      <c r="F321" s="12" t="inlineStr">
        <is>
          <t>IA-5</t>
        </is>
      </c>
      <c r="G321" s="13">
        <f>IFERROR('[Documentation.xlsx]IA-5'!B20,"Not Started")</f>
        <v/>
      </c>
      <c r="H321" s="14">
        <f>IF(OR(G321="Passed",G321="Accepted Exception"),"GREEN",IF(OR(G321="Not Started",G321="Failed"),"RED","AMBER"))</f>
        <v/>
      </c>
      <c r="I321" s="15">
        <f>IFERROR('[Documentation.xlsx]IA-5'!E20,"Non commencé")</f>
        <v/>
      </c>
      <c r="J321" s="16">
        <f>IF(OR(I321="Réussi",I321="Exception acceptée"),"GREEN",IF(OR(I321="Non commencé",I321="Échec"),"RED","AMBER"))</f>
        <v/>
      </c>
      <c r="K321" s="12" t="inlineStr"/>
      <c r="L321" s="12" t="inlineStr"/>
      <c r="M321" s="17" t="inlineStr"/>
    </row>
    <row r="322" ht="18" customHeight="1">
      <c r="A322" s="18" t="inlineStr">
        <is>
          <t>IA-5(2)</t>
        </is>
      </c>
      <c r="B322" s="19" t="inlineStr">
        <is>
          <t>Authenticator Management</t>
        </is>
      </c>
      <c r="C322" s="19" t="inlineStr">
        <is>
          <t>Documentation</t>
        </is>
      </c>
      <c r="D322" s="18" t="inlineStr">
        <is>
          <t>IA</t>
        </is>
      </c>
      <c r="E322" s="19" t="inlineStr">
        <is>
          <t>Documentation</t>
        </is>
      </c>
      <c r="F322" s="19" t="inlineStr">
        <is>
          <t>IA-5-2</t>
        </is>
      </c>
      <c r="G322" s="20">
        <f>IFERROR('[Documentation.xlsx]IA-5-2'!B20,"Not Started")</f>
        <v/>
      </c>
      <c r="H322" s="14">
        <f>IF(OR(G322="Passed",G322="Accepted Exception"),"GREEN",IF(OR(G322="Not Started",G322="Failed"),"RED","AMBER"))</f>
        <v/>
      </c>
      <c r="I322" s="21">
        <f>IFERROR('[Documentation.xlsx]IA-5-2'!E20,"Non commencé")</f>
        <v/>
      </c>
      <c r="J322" s="16">
        <f>IF(OR(I322="Réussi",I322="Exception acceptée"),"GREEN",IF(OR(I322="Non commencé",I322="Échec"),"RED","AMBER"))</f>
        <v/>
      </c>
      <c r="K322" s="19" t="inlineStr"/>
      <c r="L322" s="19" t="inlineStr"/>
      <c r="M322" s="22" t="inlineStr"/>
    </row>
    <row r="323" ht="18" customHeight="1">
      <c r="A323" s="11" t="inlineStr">
        <is>
          <t>IA-5(3)</t>
        </is>
      </c>
      <c r="B323" s="12" t="inlineStr">
        <is>
          <t>Authenticator Management</t>
        </is>
      </c>
      <c r="C323" s="12" t="inlineStr">
        <is>
          <t>Documentation</t>
        </is>
      </c>
      <c r="D323" s="11" t="inlineStr">
        <is>
          <t>IA</t>
        </is>
      </c>
      <c r="E323" s="12" t="inlineStr">
        <is>
          <t>Documentation</t>
        </is>
      </c>
      <c r="F323" s="12" t="inlineStr">
        <is>
          <t>IA-5-3</t>
        </is>
      </c>
      <c r="G323" s="13">
        <f>IFERROR('[Documentation.xlsx]IA-5-3'!B20,"Not Started")</f>
        <v/>
      </c>
      <c r="H323" s="14">
        <f>IF(OR(G323="Passed",G323="Accepted Exception"),"GREEN",IF(OR(G323="Not Started",G323="Failed"),"RED","AMBER"))</f>
        <v/>
      </c>
      <c r="I323" s="15">
        <f>IFERROR('[Documentation.xlsx]IA-5-3'!E20,"Non commencé")</f>
        <v/>
      </c>
      <c r="J323" s="16">
        <f>IF(OR(I323="Réussi",I323="Exception acceptée"),"GREEN",IF(OR(I323="Non commencé",I323="Échec"),"RED","AMBER"))</f>
        <v/>
      </c>
      <c r="K323" s="12" t="inlineStr"/>
      <c r="L323" s="12" t="inlineStr"/>
      <c r="M323" s="17" t="inlineStr"/>
    </row>
    <row r="324" ht="18" customHeight="1">
      <c r="A324" s="18" t="inlineStr">
        <is>
          <t>IR-1</t>
        </is>
      </c>
      <c r="B324" s="19" t="inlineStr">
        <is>
          <t>Incident Response Policy and Procedures</t>
        </is>
      </c>
      <c r="C324" s="19" t="inlineStr">
        <is>
          <t>Documentation</t>
        </is>
      </c>
      <c r="D324" s="18" t="inlineStr">
        <is>
          <t>IR</t>
        </is>
      </c>
      <c r="E324" s="19" t="inlineStr">
        <is>
          <t>Documentation</t>
        </is>
      </c>
      <c r="F324" s="19" t="inlineStr">
        <is>
          <t>IR-1</t>
        </is>
      </c>
      <c r="G324" s="20">
        <f>IFERROR('[Documentation.xlsx]IR-1'!B20,"Not Started")</f>
        <v/>
      </c>
      <c r="H324" s="14">
        <f>IF(OR(G324="Passed",G324="Accepted Exception"),"GREEN",IF(OR(G324="Not Started",G324="Failed"),"RED","AMBER"))</f>
        <v/>
      </c>
      <c r="I324" s="21">
        <f>IFERROR('[Documentation.xlsx]IR-1'!E20,"Non commencé")</f>
        <v/>
      </c>
      <c r="J324" s="16">
        <f>IF(OR(I324="Réussi",I324="Exception acceptée"),"GREEN",IF(OR(I324="Non commencé",I324="Échec"),"RED","AMBER"))</f>
        <v/>
      </c>
      <c r="K324" s="19" t="inlineStr"/>
      <c r="L324" s="19" t="inlineStr"/>
      <c r="M324" s="22" t="inlineStr"/>
    </row>
    <row r="325" ht="18" customHeight="1">
      <c r="A325" s="11" t="inlineStr">
        <is>
          <t>IR-2</t>
        </is>
      </c>
      <c r="B325" s="12" t="inlineStr">
        <is>
          <t>Incident Response Training</t>
        </is>
      </c>
      <c r="C325" s="12" t="inlineStr">
        <is>
          <t>Documentation</t>
        </is>
      </c>
      <c r="D325" s="11" t="inlineStr">
        <is>
          <t>IR</t>
        </is>
      </c>
      <c r="E325" s="12" t="inlineStr">
        <is>
          <t>Documentation</t>
        </is>
      </c>
      <c r="F325" s="12" t="inlineStr">
        <is>
          <t>IR-2</t>
        </is>
      </c>
      <c r="G325" s="13">
        <f>IFERROR('[Documentation.xlsx]IR-2'!B20,"Not Started")</f>
        <v/>
      </c>
      <c r="H325" s="14">
        <f>IF(OR(G325="Passed",G325="Accepted Exception"),"GREEN",IF(OR(G325="Not Started",G325="Failed"),"RED","AMBER"))</f>
        <v/>
      </c>
      <c r="I325" s="15">
        <f>IFERROR('[Documentation.xlsx]IR-2'!E20,"Non commencé")</f>
        <v/>
      </c>
      <c r="J325" s="16">
        <f>IF(OR(I325="Réussi",I325="Exception acceptée"),"GREEN",IF(OR(I325="Non commencé",I325="Échec"),"RED","AMBER"))</f>
        <v/>
      </c>
      <c r="K325" s="12" t="inlineStr"/>
      <c r="L325" s="12" t="inlineStr"/>
      <c r="M325" s="17" t="inlineStr"/>
    </row>
    <row r="326" ht="18" customHeight="1">
      <c r="A326" s="18" t="inlineStr">
        <is>
          <t>IR-3</t>
        </is>
      </c>
      <c r="B326" s="19" t="inlineStr">
        <is>
          <t>Incident Response Testing and Exercises</t>
        </is>
      </c>
      <c r="C326" s="19" t="inlineStr">
        <is>
          <t>Documentation</t>
        </is>
      </c>
      <c r="D326" s="18" t="inlineStr">
        <is>
          <t>IR</t>
        </is>
      </c>
      <c r="E326" s="19" t="inlineStr">
        <is>
          <t>Documentation</t>
        </is>
      </c>
      <c r="F326" s="19" t="inlineStr">
        <is>
          <t>IR-3</t>
        </is>
      </c>
      <c r="G326" s="20">
        <f>IFERROR('[Documentation.xlsx]IR-3'!B20,"Not Started")</f>
        <v/>
      </c>
      <c r="H326" s="14">
        <f>IF(OR(G326="Passed",G326="Accepted Exception"),"GREEN",IF(OR(G326="Not Started",G326="Failed"),"RED","AMBER"))</f>
        <v/>
      </c>
      <c r="I326" s="21">
        <f>IFERROR('[Documentation.xlsx]IR-3'!E20,"Non commencé")</f>
        <v/>
      </c>
      <c r="J326" s="16">
        <f>IF(OR(I326="Réussi",I326="Exception acceptée"),"GREEN",IF(OR(I326="Non commencé",I326="Échec"),"RED","AMBER"))</f>
        <v/>
      </c>
      <c r="K326" s="19" t="inlineStr"/>
      <c r="L326" s="19" t="inlineStr"/>
      <c r="M326" s="22" t="inlineStr"/>
    </row>
    <row r="327" ht="18" customHeight="1">
      <c r="A327" s="11" t="inlineStr">
        <is>
          <t>IR-3(2)</t>
        </is>
      </c>
      <c r="B327" s="12" t="inlineStr">
        <is>
          <t>Incident Response Testing and Exercises</t>
        </is>
      </c>
      <c r="C327" s="12" t="inlineStr">
        <is>
          <t>Documentation</t>
        </is>
      </c>
      <c r="D327" s="11" t="inlineStr">
        <is>
          <t>IR</t>
        </is>
      </c>
      <c r="E327" s="12" t="inlineStr">
        <is>
          <t>Documentation</t>
        </is>
      </c>
      <c r="F327" s="12" t="inlineStr">
        <is>
          <t>IR-3-2</t>
        </is>
      </c>
      <c r="G327" s="13">
        <f>IFERROR('[Documentation.xlsx]IR-3-2'!B20,"Not Started")</f>
        <v/>
      </c>
      <c r="H327" s="14">
        <f>IF(OR(G327="Passed",G327="Accepted Exception"),"GREEN",IF(OR(G327="Not Started",G327="Failed"),"RED","AMBER"))</f>
        <v/>
      </c>
      <c r="I327" s="15">
        <f>IFERROR('[Documentation.xlsx]IR-3-2'!E20,"Non commencé")</f>
        <v/>
      </c>
      <c r="J327" s="16">
        <f>IF(OR(I327="Réussi",I327="Exception acceptée"),"GREEN",IF(OR(I327="Non commencé",I327="Échec"),"RED","AMBER"))</f>
        <v/>
      </c>
      <c r="K327" s="12" t="inlineStr"/>
      <c r="L327" s="12" t="inlineStr"/>
      <c r="M327" s="17" t="inlineStr"/>
    </row>
    <row r="328" ht="18" customHeight="1">
      <c r="A328" s="18" t="inlineStr">
        <is>
          <t>IR-4</t>
        </is>
      </c>
      <c r="B328" s="19" t="inlineStr">
        <is>
          <t>Incident Handling</t>
        </is>
      </c>
      <c r="C328" s="19" t="inlineStr">
        <is>
          <t>Documentation</t>
        </is>
      </c>
      <c r="D328" s="18" t="inlineStr">
        <is>
          <t>IR</t>
        </is>
      </c>
      <c r="E328" s="19" t="inlineStr">
        <is>
          <t>Documentation</t>
        </is>
      </c>
      <c r="F328" s="19" t="inlineStr">
        <is>
          <t>IR-4</t>
        </is>
      </c>
      <c r="G328" s="20">
        <f>IFERROR('[Documentation.xlsx]IR-4'!B20,"Not Started")</f>
        <v/>
      </c>
      <c r="H328" s="14">
        <f>IF(OR(G328="Passed",G328="Accepted Exception"),"GREEN",IF(OR(G328="Not Started",G328="Failed"),"RED","AMBER"))</f>
        <v/>
      </c>
      <c r="I328" s="21">
        <f>IFERROR('[Documentation.xlsx]IR-4'!E20,"Non commencé")</f>
        <v/>
      </c>
      <c r="J328" s="16">
        <f>IF(OR(I328="Réussi",I328="Exception acceptée"),"GREEN",IF(OR(I328="Non commencé",I328="Échec"),"RED","AMBER"))</f>
        <v/>
      </c>
      <c r="K328" s="19" t="inlineStr"/>
      <c r="L328" s="19" t="inlineStr"/>
      <c r="M328" s="22" t="inlineStr"/>
    </row>
    <row r="329" ht="18" customHeight="1">
      <c r="A329" s="11" t="inlineStr">
        <is>
          <t>IR-4(3)</t>
        </is>
      </c>
      <c r="B329" s="12" t="inlineStr">
        <is>
          <t>Incident Handling</t>
        </is>
      </c>
      <c r="C329" s="12" t="inlineStr">
        <is>
          <t>Documentation</t>
        </is>
      </c>
      <c r="D329" s="11" t="inlineStr">
        <is>
          <t>IR</t>
        </is>
      </c>
      <c r="E329" s="12" t="inlineStr">
        <is>
          <t>Documentation</t>
        </is>
      </c>
      <c r="F329" s="12" t="inlineStr">
        <is>
          <t>IR-4-3</t>
        </is>
      </c>
      <c r="G329" s="13">
        <f>IFERROR('[Documentation.xlsx]IR-4-3'!B20,"Not Started")</f>
        <v/>
      </c>
      <c r="H329" s="14">
        <f>IF(OR(G329="Passed",G329="Accepted Exception"),"GREEN",IF(OR(G329="Not Started",G329="Failed"),"RED","AMBER"))</f>
        <v/>
      </c>
      <c r="I329" s="15">
        <f>IFERROR('[Documentation.xlsx]IR-4-3'!E20,"Non commencé")</f>
        <v/>
      </c>
      <c r="J329" s="16">
        <f>IF(OR(I329="Réussi",I329="Exception acceptée"),"GREEN",IF(OR(I329="Non commencé",I329="Échec"),"RED","AMBER"))</f>
        <v/>
      </c>
      <c r="K329" s="12" t="inlineStr"/>
      <c r="L329" s="12" t="inlineStr"/>
      <c r="M329" s="17" t="inlineStr"/>
    </row>
    <row r="330" ht="18" customHeight="1">
      <c r="A330" s="18" t="inlineStr">
        <is>
          <t>IR-5</t>
        </is>
      </c>
      <c r="B330" s="19" t="inlineStr">
        <is>
          <t>Incident Monitoring</t>
        </is>
      </c>
      <c r="C330" s="19" t="inlineStr">
        <is>
          <t>Documentation</t>
        </is>
      </c>
      <c r="D330" s="18" t="inlineStr">
        <is>
          <t>IR</t>
        </is>
      </c>
      <c r="E330" s="19" t="inlineStr">
        <is>
          <t>Documentation</t>
        </is>
      </c>
      <c r="F330" s="19" t="inlineStr">
        <is>
          <t>IR-5</t>
        </is>
      </c>
      <c r="G330" s="20">
        <f>IFERROR('[Documentation.xlsx]IR-5'!B20,"Not Started")</f>
        <v/>
      </c>
      <c r="H330" s="14">
        <f>IF(OR(G330="Passed",G330="Accepted Exception"),"GREEN",IF(OR(G330="Not Started",G330="Failed"),"RED","AMBER"))</f>
        <v/>
      </c>
      <c r="I330" s="21">
        <f>IFERROR('[Documentation.xlsx]IR-5'!E20,"Non commencé")</f>
        <v/>
      </c>
      <c r="J330" s="16">
        <f>IF(OR(I330="Réussi",I330="Exception acceptée"),"GREEN",IF(OR(I330="Non commencé",I330="Échec"),"RED","AMBER"))</f>
        <v/>
      </c>
      <c r="K330" s="19" t="inlineStr"/>
      <c r="L330" s="19" t="inlineStr"/>
      <c r="M330" s="22" t="inlineStr"/>
    </row>
    <row r="331" ht="18" customHeight="1">
      <c r="A331" s="11" t="inlineStr">
        <is>
          <t>IR-6</t>
        </is>
      </c>
      <c r="B331" s="12" t="inlineStr">
        <is>
          <t>Incident Reporting</t>
        </is>
      </c>
      <c r="C331" s="12" t="inlineStr">
        <is>
          <t>Documentation</t>
        </is>
      </c>
      <c r="D331" s="11" t="inlineStr">
        <is>
          <t>IR</t>
        </is>
      </c>
      <c r="E331" s="12" t="inlineStr">
        <is>
          <t>Documentation</t>
        </is>
      </c>
      <c r="F331" s="12" t="inlineStr">
        <is>
          <t>IR-6</t>
        </is>
      </c>
      <c r="G331" s="13">
        <f>IFERROR('[Documentation.xlsx]IR-6'!B20,"Not Started")</f>
        <v/>
      </c>
      <c r="H331" s="14">
        <f>IF(OR(G331="Passed",G331="Accepted Exception"),"GREEN",IF(OR(G331="Not Started",G331="Failed"),"RED","AMBER"))</f>
        <v/>
      </c>
      <c r="I331" s="15">
        <f>IFERROR('[Documentation.xlsx]IR-6'!E20,"Non commencé")</f>
        <v/>
      </c>
      <c r="J331" s="16">
        <f>IF(OR(I331="Réussi",I331="Exception acceptée"),"GREEN",IF(OR(I331="Non commencé",I331="Échec"),"RED","AMBER"))</f>
        <v/>
      </c>
      <c r="K331" s="12" t="inlineStr"/>
      <c r="L331" s="12" t="inlineStr"/>
      <c r="M331" s="17" t="inlineStr"/>
    </row>
    <row r="332" ht="18" customHeight="1">
      <c r="A332" s="18" t="inlineStr">
        <is>
          <t>IR-7</t>
        </is>
      </c>
      <c r="B332" s="19" t="inlineStr">
        <is>
          <t>Incident Response Assistance</t>
        </is>
      </c>
      <c r="C332" s="19" t="inlineStr">
        <is>
          <t>Documentation</t>
        </is>
      </c>
      <c r="D332" s="18" t="inlineStr">
        <is>
          <t>IR</t>
        </is>
      </c>
      <c r="E332" s="19" t="inlineStr">
        <is>
          <t>Documentation</t>
        </is>
      </c>
      <c r="F332" s="19" t="inlineStr">
        <is>
          <t>IR-7</t>
        </is>
      </c>
      <c r="G332" s="20">
        <f>IFERROR('[Documentation.xlsx]IR-7'!B20,"Not Started")</f>
        <v/>
      </c>
      <c r="H332" s="14">
        <f>IF(OR(G332="Passed",G332="Accepted Exception"),"GREEN",IF(OR(G332="Not Started",G332="Failed"),"RED","AMBER"))</f>
        <v/>
      </c>
      <c r="I332" s="21">
        <f>IFERROR('[Documentation.xlsx]IR-7'!E20,"Non commencé")</f>
        <v/>
      </c>
      <c r="J332" s="16">
        <f>IF(OR(I332="Réussi",I332="Exception acceptée"),"GREEN",IF(OR(I332="Non commencé",I332="Échec"),"RED","AMBER"))</f>
        <v/>
      </c>
      <c r="K332" s="19" t="inlineStr"/>
      <c r="L332" s="19" t="inlineStr"/>
      <c r="M332" s="22" t="inlineStr"/>
    </row>
    <row r="333" ht="18" customHeight="1">
      <c r="A333" s="11" t="inlineStr">
        <is>
          <t>IR-7(2)</t>
        </is>
      </c>
      <c r="B333" s="12" t="inlineStr">
        <is>
          <t>Incident Response Assistance</t>
        </is>
      </c>
      <c r="C333" s="12" t="inlineStr">
        <is>
          <t>Documentation</t>
        </is>
      </c>
      <c r="D333" s="11" t="inlineStr">
        <is>
          <t>IR</t>
        </is>
      </c>
      <c r="E333" s="12" t="inlineStr">
        <is>
          <t>Documentation</t>
        </is>
      </c>
      <c r="F333" s="12" t="inlineStr">
        <is>
          <t>IR-7-2</t>
        </is>
      </c>
      <c r="G333" s="13">
        <f>IFERROR('[Documentation.xlsx]IR-7-2'!B20,"Not Started")</f>
        <v/>
      </c>
      <c r="H333" s="14">
        <f>IF(OR(G333="Passed",G333="Accepted Exception"),"GREEN",IF(OR(G333="Not Started",G333="Failed"),"RED","AMBER"))</f>
        <v/>
      </c>
      <c r="I333" s="15">
        <f>IFERROR('[Documentation.xlsx]IR-7-2'!E20,"Non commencé")</f>
        <v/>
      </c>
      <c r="J333" s="16">
        <f>IF(OR(I333="Réussi",I333="Exception acceptée"),"GREEN",IF(OR(I333="Non commencé",I333="Échec"),"RED","AMBER"))</f>
        <v/>
      </c>
      <c r="K333" s="12" t="inlineStr"/>
      <c r="L333" s="12" t="inlineStr"/>
      <c r="M333" s="17" t="inlineStr"/>
    </row>
    <row r="334" ht="18" customHeight="1">
      <c r="A334" s="18" t="inlineStr">
        <is>
          <t>IR-8</t>
        </is>
      </c>
      <c r="B334" s="19" t="inlineStr">
        <is>
          <t>Incident Response Plan</t>
        </is>
      </c>
      <c r="C334" s="19" t="inlineStr">
        <is>
          <t>Documentation</t>
        </is>
      </c>
      <c r="D334" s="18" t="inlineStr">
        <is>
          <t>IR</t>
        </is>
      </c>
      <c r="E334" s="19" t="inlineStr">
        <is>
          <t>Documentation</t>
        </is>
      </c>
      <c r="F334" s="19" t="inlineStr">
        <is>
          <t>IR-8</t>
        </is>
      </c>
      <c r="G334" s="20">
        <f>IFERROR('[Documentation.xlsx]IR-8'!B20,"Not Started")</f>
        <v/>
      </c>
      <c r="H334" s="14">
        <f>IF(OR(G334="Passed",G334="Accepted Exception"),"GREEN",IF(OR(G334="Not Started",G334="Failed"),"RED","AMBER"))</f>
        <v/>
      </c>
      <c r="I334" s="21">
        <f>IFERROR('[Documentation.xlsx]IR-8'!E20,"Non commencé")</f>
        <v/>
      </c>
      <c r="J334" s="16">
        <f>IF(OR(I334="Réussi",I334="Exception acceptée"),"GREEN",IF(OR(I334="Non commencé",I334="Échec"),"RED","AMBER"))</f>
        <v/>
      </c>
      <c r="K334" s="19" t="inlineStr"/>
      <c r="L334" s="19" t="inlineStr"/>
      <c r="M334" s="22" t="inlineStr"/>
    </row>
    <row r="335" ht="18" customHeight="1">
      <c r="A335" s="11" t="inlineStr">
        <is>
          <t>IR-9</t>
        </is>
      </c>
      <c r="B335" s="12" t="inlineStr">
        <is>
          <t>Information Spillage Response</t>
        </is>
      </c>
      <c r="C335" s="12" t="inlineStr">
        <is>
          <t>Documentation</t>
        </is>
      </c>
      <c r="D335" s="11" t="inlineStr">
        <is>
          <t>IR</t>
        </is>
      </c>
      <c r="E335" s="12" t="inlineStr">
        <is>
          <t>Documentation</t>
        </is>
      </c>
      <c r="F335" s="12" t="inlineStr">
        <is>
          <t>IR-9</t>
        </is>
      </c>
      <c r="G335" s="13">
        <f>IFERROR('[Documentation.xlsx]IR-9'!B20,"Not Started")</f>
        <v/>
      </c>
      <c r="H335" s="14">
        <f>IF(OR(G335="Passed",G335="Accepted Exception"),"GREEN",IF(OR(G335="Not Started",G335="Failed"),"RED","AMBER"))</f>
        <v/>
      </c>
      <c r="I335" s="15">
        <f>IFERROR('[Documentation.xlsx]IR-9'!E20,"Non commencé")</f>
        <v/>
      </c>
      <c r="J335" s="16">
        <f>IF(OR(I335="Réussi",I335="Exception acceptée"),"GREEN",IF(OR(I335="Non commencé",I335="Échec"),"RED","AMBER"))</f>
        <v/>
      </c>
      <c r="K335" s="12" t="inlineStr"/>
      <c r="L335" s="12" t="inlineStr"/>
      <c r="M335" s="17" t="inlineStr"/>
    </row>
    <row r="336" ht="18" customHeight="1">
      <c r="A336" s="18" t="inlineStr">
        <is>
          <t>IR-9(1)</t>
        </is>
      </c>
      <c r="B336" s="19" t="inlineStr">
        <is>
          <t>Information Spillage Response</t>
        </is>
      </c>
      <c r="C336" s="19" t="inlineStr">
        <is>
          <t>Documentation</t>
        </is>
      </c>
      <c r="D336" s="18" t="inlineStr">
        <is>
          <t>IR</t>
        </is>
      </c>
      <c r="E336" s="19" t="inlineStr">
        <is>
          <t>Documentation</t>
        </is>
      </c>
      <c r="F336" s="19" t="inlineStr">
        <is>
          <t>IR-9-1</t>
        </is>
      </c>
      <c r="G336" s="20">
        <f>IFERROR('[Documentation.xlsx]IR-9-1'!B20,"Not Started")</f>
        <v/>
      </c>
      <c r="H336" s="14">
        <f>IF(OR(G336="Passed",G336="Accepted Exception"),"GREEN",IF(OR(G336="Not Started",G336="Failed"),"RED","AMBER"))</f>
        <v/>
      </c>
      <c r="I336" s="21">
        <f>IFERROR('[Documentation.xlsx]IR-9-1'!E20,"Non commencé")</f>
        <v/>
      </c>
      <c r="J336" s="16">
        <f>IF(OR(I336="Réussi",I336="Exception acceptée"),"GREEN",IF(OR(I336="Non commencé",I336="Échec"),"RED","AMBER"))</f>
        <v/>
      </c>
      <c r="K336" s="19" t="inlineStr"/>
      <c r="L336" s="19" t="inlineStr"/>
      <c r="M336" s="22" t="inlineStr"/>
    </row>
    <row r="337" ht="18" customHeight="1">
      <c r="A337" s="11" t="inlineStr">
        <is>
          <t>IR-9(2)</t>
        </is>
      </c>
      <c r="B337" s="12" t="inlineStr">
        <is>
          <t>Information Spillage Response</t>
        </is>
      </c>
      <c r="C337" s="12" t="inlineStr">
        <is>
          <t>Documentation</t>
        </is>
      </c>
      <c r="D337" s="11" t="inlineStr">
        <is>
          <t>IR</t>
        </is>
      </c>
      <c r="E337" s="12" t="inlineStr">
        <is>
          <t>Documentation</t>
        </is>
      </c>
      <c r="F337" s="12" t="inlineStr">
        <is>
          <t>IR-9-2</t>
        </is>
      </c>
      <c r="G337" s="13">
        <f>IFERROR('[Documentation.xlsx]IR-9-2'!B20,"Not Started")</f>
        <v/>
      </c>
      <c r="H337" s="14">
        <f>IF(OR(G337="Passed",G337="Accepted Exception"),"GREEN",IF(OR(G337="Not Started",G337="Failed"),"RED","AMBER"))</f>
        <v/>
      </c>
      <c r="I337" s="15">
        <f>IFERROR('[Documentation.xlsx]IR-9-2'!E20,"Non commencé")</f>
        <v/>
      </c>
      <c r="J337" s="16">
        <f>IF(OR(I337="Réussi",I337="Exception acceptée"),"GREEN",IF(OR(I337="Non commencé",I337="Échec"),"RED","AMBER"))</f>
        <v/>
      </c>
      <c r="K337" s="12" t="inlineStr"/>
      <c r="L337" s="12" t="inlineStr"/>
      <c r="M337" s="17" t="inlineStr"/>
    </row>
    <row r="338" ht="18" customHeight="1">
      <c r="A338" s="18" t="inlineStr">
        <is>
          <t>IR-9(3)</t>
        </is>
      </c>
      <c r="B338" s="19" t="inlineStr">
        <is>
          <t>Information Spillage Response</t>
        </is>
      </c>
      <c r="C338" s="19" t="inlineStr">
        <is>
          <t>Documentation</t>
        </is>
      </c>
      <c r="D338" s="18" t="inlineStr">
        <is>
          <t>IR</t>
        </is>
      </c>
      <c r="E338" s="19" t="inlineStr">
        <is>
          <t>Documentation</t>
        </is>
      </c>
      <c r="F338" s="19" t="inlineStr">
        <is>
          <t>IR-9-3</t>
        </is>
      </c>
      <c r="G338" s="20">
        <f>IFERROR('[Documentation.xlsx]IR-9-3'!B20,"Not Started")</f>
        <v/>
      </c>
      <c r="H338" s="14">
        <f>IF(OR(G338="Passed",G338="Accepted Exception"),"GREEN",IF(OR(G338="Not Started",G338="Failed"),"RED","AMBER"))</f>
        <v/>
      </c>
      <c r="I338" s="21">
        <f>IFERROR('[Documentation.xlsx]IR-9-3'!E20,"Non commencé")</f>
        <v/>
      </c>
      <c r="J338" s="16">
        <f>IF(OR(I338="Réussi",I338="Exception acceptée"),"GREEN",IF(OR(I338="Non commencé",I338="Échec"),"RED","AMBER"))</f>
        <v/>
      </c>
      <c r="K338" s="19" t="inlineStr"/>
      <c r="L338" s="19" t="inlineStr"/>
      <c r="M338" s="22" t="inlineStr"/>
    </row>
    <row r="339" ht="18" customHeight="1">
      <c r="A339" s="11" t="inlineStr">
        <is>
          <t>IR-9(4)</t>
        </is>
      </c>
      <c r="B339" s="12" t="inlineStr">
        <is>
          <t>Information Spillage Response</t>
        </is>
      </c>
      <c r="C339" s="12" t="inlineStr">
        <is>
          <t>Documentation</t>
        </is>
      </c>
      <c r="D339" s="11" t="inlineStr">
        <is>
          <t>IR</t>
        </is>
      </c>
      <c r="E339" s="12" t="inlineStr">
        <is>
          <t>Documentation</t>
        </is>
      </c>
      <c r="F339" s="12" t="inlineStr">
        <is>
          <t>IR-9-4</t>
        </is>
      </c>
      <c r="G339" s="13">
        <f>IFERROR('[Documentation.xlsx]IR-9-4'!B20,"Not Started")</f>
        <v/>
      </c>
      <c r="H339" s="14">
        <f>IF(OR(G339="Passed",G339="Accepted Exception"),"GREEN",IF(OR(G339="Not Started",G339="Failed"),"RED","AMBER"))</f>
        <v/>
      </c>
      <c r="I339" s="15">
        <f>IFERROR('[Documentation.xlsx]IR-9-4'!E20,"Non commencé")</f>
        <v/>
      </c>
      <c r="J339" s="16">
        <f>IF(OR(I339="Réussi",I339="Exception acceptée"),"GREEN",IF(OR(I339="Non commencé",I339="Échec"),"RED","AMBER"))</f>
        <v/>
      </c>
      <c r="K339" s="12" t="inlineStr"/>
      <c r="L339" s="12" t="inlineStr"/>
      <c r="M339" s="17" t="inlineStr"/>
    </row>
    <row r="340" ht="18" customHeight="1">
      <c r="A340" s="18" t="inlineStr">
        <is>
          <t>MA-1</t>
        </is>
      </c>
      <c r="B340" s="19" t="inlineStr">
        <is>
          <t>System Maintenance Policy and Procedures</t>
        </is>
      </c>
      <c r="C340" s="19" t="inlineStr">
        <is>
          <t>Documentation</t>
        </is>
      </c>
      <c r="D340" s="18" t="inlineStr">
        <is>
          <t>MA</t>
        </is>
      </c>
      <c r="E340" s="19" t="inlineStr">
        <is>
          <t>Documentation</t>
        </is>
      </c>
      <c r="F340" s="19" t="inlineStr">
        <is>
          <t>MA-1</t>
        </is>
      </c>
      <c r="G340" s="20">
        <f>IFERROR('[Documentation.xlsx]MA-1'!B20,"Not Started")</f>
        <v/>
      </c>
      <c r="H340" s="14">
        <f>IF(OR(G340="Passed",G340="Accepted Exception"),"GREEN",IF(OR(G340="Not Started",G340="Failed"),"RED","AMBER"))</f>
        <v/>
      </c>
      <c r="I340" s="21">
        <f>IFERROR('[Documentation.xlsx]MA-1'!E20,"Non commencé")</f>
        <v/>
      </c>
      <c r="J340" s="16">
        <f>IF(OR(I340="Réussi",I340="Exception acceptée"),"GREEN",IF(OR(I340="Non commencé",I340="Échec"),"RED","AMBER"))</f>
        <v/>
      </c>
      <c r="K340" s="19" t="inlineStr"/>
      <c r="L340" s="19" t="inlineStr"/>
      <c r="M340" s="22" t="inlineStr"/>
    </row>
    <row r="341" ht="18" customHeight="1">
      <c r="A341" s="11" t="inlineStr">
        <is>
          <t>MA-2</t>
        </is>
      </c>
      <c r="B341" s="12" t="inlineStr">
        <is>
          <t>Controlled Maintenance</t>
        </is>
      </c>
      <c r="C341" s="12" t="inlineStr">
        <is>
          <t>Documentation</t>
        </is>
      </c>
      <c r="D341" s="11" t="inlineStr">
        <is>
          <t>MA</t>
        </is>
      </c>
      <c r="E341" s="12" t="inlineStr">
        <is>
          <t>Documentation</t>
        </is>
      </c>
      <c r="F341" s="12" t="inlineStr">
        <is>
          <t>MA-2</t>
        </is>
      </c>
      <c r="G341" s="13">
        <f>IFERROR('[Documentation.xlsx]MA-2'!B20,"Not Started")</f>
        <v/>
      </c>
      <c r="H341" s="14">
        <f>IF(OR(G341="Passed",G341="Accepted Exception"),"GREEN",IF(OR(G341="Not Started",G341="Failed"),"RED","AMBER"))</f>
        <v/>
      </c>
      <c r="I341" s="15">
        <f>IFERROR('[Documentation.xlsx]MA-2'!E20,"Non commencé")</f>
        <v/>
      </c>
      <c r="J341" s="16">
        <f>IF(OR(I341="Réussi",I341="Exception acceptée"),"GREEN",IF(OR(I341="Non commencé",I341="Échec"),"RED","AMBER"))</f>
        <v/>
      </c>
      <c r="K341" s="12" t="inlineStr"/>
      <c r="L341" s="12" t="inlineStr"/>
      <c r="M341" s="17" t="inlineStr"/>
    </row>
    <row r="342" ht="18" customHeight="1">
      <c r="A342" s="18" t="inlineStr">
        <is>
          <t>MA-3</t>
        </is>
      </c>
      <c r="B342" s="19" t="inlineStr">
        <is>
          <t>Maintenance Tools</t>
        </is>
      </c>
      <c r="C342" s="19" t="inlineStr">
        <is>
          <t>Documentation</t>
        </is>
      </c>
      <c r="D342" s="18" t="inlineStr">
        <is>
          <t>MA</t>
        </is>
      </c>
      <c r="E342" s="19" t="inlineStr">
        <is>
          <t>Documentation</t>
        </is>
      </c>
      <c r="F342" s="19" t="inlineStr">
        <is>
          <t>MA-3</t>
        </is>
      </c>
      <c r="G342" s="20">
        <f>IFERROR('[Documentation.xlsx]MA-3'!B20,"Not Started")</f>
        <v/>
      </c>
      <c r="H342" s="14">
        <f>IF(OR(G342="Passed",G342="Accepted Exception"),"GREEN",IF(OR(G342="Not Started",G342="Failed"),"RED","AMBER"))</f>
        <v/>
      </c>
      <c r="I342" s="21">
        <f>IFERROR('[Documentation.xlsx]MA-3'!E20,"Non commencé")</f>
        <v/>
      </c>
      <c r="J342" s="16">
        <f>IF(OR(I342="Réussi",I342="Exception acceptée"),"GREEN",IF(OR(I342="Non commencé",I342="Échec"),"RED","AMBER"))</f>
        <v/>
      </c>
      <c r="K342" s="19" t="inlineStr"/>
      <c r="L342" s="19" t="inlineStr"/>
      <c r="M342" s="22" t="inlineStr"/>
    </row>
    <row r="343" ht="18" customHeight="1">
      <c r="A343" s="11" t="inlineStr">
        <is>
          <t>MA-3(1)</t>
        </is>
      </c>
      <c r="B343" s="12" t="inlineStr">
        <is>
          <t>Maintenance Tools</t>
        </is>
      </c>
      <c r="C343" s="12" t="inlineStr">
        <is>
          <t>Documentation</t>
        </is>
      </c>
      <c r="D343" s="11" t="inlineStr">
        <is>
          <t>MA</t>
        </is>
      </c>
      <c r="E343" s="12" t="inlineStr">
        <is>
          <t>Documentation</t>
        </is>
      </c>
      <c r="F343" s="12" t="inlineStr">
        <is>
          <t>MA-3-1</t>
        </is>
      </c>
      <c r="G343" s="13">
        <f>IFERROR('[Documentation.xlsx]MA-3-1'!B20,"Not Started")</f>
        <v/>
      </c>
      <c r="H343" s="14">
        <f>IF(OR(G343="Passed",G343="Accepted Exception"),"GREEN",IF(OR(G343="Not Started",G343="Failed"),"RED","AMBER"))</f>
        <v/>
      </c>
      <c r="I343" s="15">
        <f>IFERROR('[Documentation.xlsx]MA-3-1'!E20,"Non commencé")</f>
        <v/>
      </c>
      <c r="J343" s="16">
        <f>IF(OR(I343="Réussi",I343="Exception acceptée"),"GREEN",IF(OR(I343="Non commencé",I343="Échec"),"RED","AMBER"))</f>
        <v/>
      </c>
      <c r="K343" s="12" t="inlineStr"/>
      <c r="L343" s="12" t="inlineStr"/>
      <c r="M343" s="17" t="inlineStr"/>
    </row>
    <row r="344" ht="18" customHeight="1">
      <c r="A344" s="18" t="inlineStr">
        <is>
          <t>MA-3(2)</t>
        </is>
      </c>
      <c r="B344" s="19" t="inlineStr">
        <is>
          <t>Maintenance Tools</t>
        </is>
      </c>
      <c r="C344" s="19" t="inlineStr">
        <is>
          <t>Documentation</t>
        </is>
      </c>
      <c r="D344" s="18" t="inlineStr">
        <is>
          <t>MA</t>
        </is>
      </c>
      <c r="E344" s="19" t="inlineStr">
        <is>
          <t>Documentation</t>
        </is>
      </c>
      <c r="F344" s="19" t="inlineStr">
        <is>
          <t>MA-3-2</t>
        </is>
      </c>
      <c r="G344" s="20">
        <f>IFERROR('[Documentation.xlsx]MA-3-2'!B20,"Not Started")</f>
        <v/>
      </c>
      <c r="H344" s="14">
        <f>IF(OR(G344="Passed",G344="Accepted Exception"),"GREEN",IF(OR(G344="Not Started",G344="Failed"),"RED","AMBER"))</f>
        <v/>
      </c>
      <c r="I344" s="21">
        <f>IFERROR('[Documentation.xlsx]MA-3-2'!E20,"Non commencé")</f>
        <v/>
      </c>
      <c r="J344" s="16">
        <f>IF(OR(I344="Réussi",I344="Exception acceptée"),"GREEN",IF(OR(I344="Non commencé",I344="Échec"),"RED","AMBER"))</f>
        <v/>
      </c>
      <c r="K344" s="19" t="inlineStr"/>
      <c r="L344" s="19" t="inlineStr"/>
      <c r="M344" s="22" t="inlineStr"/>
    </row>
    <row r="345" ht="18" customHeight="1">
      <c r="A345" s="11" t="inlineStr">
        <is>
          <t>MA-3(3)</t>
        </is>
      </c>
      <c r="B345" s="12" t="inlineStr">
        <is>
          <t>Maintenance Tools</t>
        </is>
      </c>
      <c r="C345" s="12" t="inlineStr">
        <is>
          <t>Documentation</t>
        </is>
      </c>
      <c r="D345" s="11" t="inlineStr">
        <is>
          <t>MA</t>
        </is>
      </c>
      <c r="E345" s="12" t="inlineStr">
        <is>
          <t>Documentation</t>
        </is>
      </c>
      <c r="F345" s="12" t="inlineStr">
        <is>
          <t>MA-3-3</t>
        </is>
      </c>
      <c r="G345" s="13">
        <f>IFERROR('[Documentation.xlsx]MA-3-3'!B20,"Not Started")</f>
        <v/>
      </c>
      <c r="H345" s="14">
        <f>IF(OR(G345="Passed",G345="Accepted Exception"),"GREEN",IF(OR(G345="Not Started",G345="Failed"),"RED","AMBER"))</f>
        <v/>
      </c>
      <c r="I345" s="15">
        <f>IFERROR('[Documentation.xlsx]MA-3-3'!E20,"Non commencé")</f>
        <v/>
      </c>
      <c r="J345" s="16">
        <f>IF(OR(I345="Réussi",I345="Exception acceptée"),"GREEN",IF(OR(I345="Non commencé",I345="Échec"),"RED","AMBER"))</f>
        <v/>
      </c>
      <c r="K345" s="12" t="inlineStr"/>
      <c r="L345" s="12" t="inlineStr"/>
      <c r="M345" s="17" t="inlineStr"/>
    </row>
    <row r="346" ht="18" customHeight="1">
      <c r="A346" s="18" t="inlineStr">
        <is>
          <t>MA-4</t>
        </is>
      </c>
      <c r="B346" s="19" t="inlineStr">
        <is>
          <t>Non-Local Maintenance</t>
        </is>
      </c>
      <c r="C346" s="19" t="inlineStr">
        <is>
          <t>Documentation</t>
        </is>
      </c>
      <c r="D346" s="18" t="inlineStr">
        <is>
          <t>MA</t>
        </is>
      </c>
      <c r="E346" s="19" t="inlineStr">
        <is>
          <t>Documentation</t>
        </is>
      </c>
      <c r="F346" s="19" t="inlineStr">
        <is>
          <t>MA-4</t>
        </is>
      </c>
      <c r="G346" s="20">
        <f>IFERROR('[Documentation.xlsx]MA-4'!B20,"Not Started")</f>
        <v/>
      </c>
      <c r="H346" s="14">
        <f>IF(OR(G346="Passed",G346="Accepted Exception"),"GREEN",IF(OR(G346="Not Started",G346="Failed"),"RED","AMBER"))</f>
        <v/>
      </c>
      <c r="I346" s="21">
        <f>IFERROR('[Documentation.xlsx]MA-4'!E20,"Non commencé")</f>
        <v/>
      </c>
      <c r="J346" s="16">
        <f>IF(OR(I346="Réussi",I346="Exception acceptée"),"GREEN",IF(OR(I346="Non commencé",I346="Échec"),"RED","AMBER"))</f>
        <v/>
      </c>
      <c r="K346" s="19" t="inlineStr"/>
      <c r="L346" s="19" t="inlineStr"/>
      <c r="M346" s="22" t="inlineStr"/>
    </row>
    <row r="347" ht="18" customHeight="1">
      <c r="A347" s="11" t="inlineStr">
        <is>
          <t>MA-4(1)</t>
        </is>
      </c>
      <c r="B347" s="12" t="inlineStr">
        <is>
          <t>Non-Local Maintenance</t>
        </is>
      </c>
      <c r="C347" s="12" t="inlineStr">
        <is>
          <t>Documentation</t>
        </is>
      </c>
      <c r="D347" s="11" t="inlineStr">
        <is>
          <t>MA</t>
        </is>
      </c>
      <c r="E347" s="12" t="inlineStr">
        <is>
          <t>Documentation</t>
        </is>
      </c>
      <c r="F347" s="12" t="inlineStr">
        <is>
          <t>MA-4-1</t>
        </is>
      </c>
      <c r="G347" s="13">
        <f>IFERROR('[Documentation.xlsx]MA-4-1'!B20,"Not Started")</f>
        <v/>
      </c>
      <c r="H347" s="14">
        <f>IF(OR(G347="Passed",G347="Accepted Exception"),"GREEN",IF(OR(G347="Not Started",G347="Failed"),"RED","AMBER"))</f>
        <v/>
      </c>
      <c r="I347" s="15">
        <f>IFERROR('[Documentation.xlsx]MA-4-1'!E20,"Non commencé")</f>
        <v/>
      </c>
      <c r="J347" s="16">
        <f>IF(OR(I347="Réussi",I347="Exception acceptée"),"GREEN",IF(OR(I347="Non commencé",I347="Échec"),"RED","AMBER"))</f>
        <v/>
      </c>
      <c r="K347" s="12" t="inlineStr"/>
      <c r="L347" s="12" t="inlineStr"/>
      <c r="M347" s="17" t="inlineStr"/>
    </row>
    <row r="348" ht="18" customHeight="1">
      <c r="A348" s="18" t="inlineStr">
        <is>
          <t>MA-4(2)</t>
        </is>
      </c>
      <c r="B348" s="19" t="inlineStr">
        <is>
          <t>Non-Local Maintenance</t>
        </is>
      </c>
      <c r="C348" s="19" t="inlineStr">
        <is>
          <t>Documentation</t>
        </is>
      </c>
      <c r="D348" s="18" t="inlineStr">
        <is>
          <t>MA</t>
        </is>
      </c>
      <c r="E348" s="19" t="inlineStr">
        <is>
          <t>Documentation</t>
        </is>
      </c>
      <c r="F348" s="19" t="inlineStr">
        <is>
          <t>MA-4-2</t>
        </is>
      </c>
      <c r="G348" s="20">
        <f>IFERROR('[Documentation.xlsx]MA-4-2'!B20,"Not Started")</f>
        <v/>
      </c>
      <c r="H348" s="14">
        <f>IF(OR(G348="Passed",G348="Accepted Exception"),"GREEN",IF(OR(G348="Not Started",G348="Failed"),"RED","AMBER"))</f>
        <v/>
      </c>
      <c r="I348" s="21">
        <f>IFERROR('[Documentation.xlsx]MA-4-2'!E20,"Non commencé")</f>
        <v/>
      </c>
      <c r="J348" s="16">
        <f>IF(OR(I348="Réussi",I348="Exception acceptée"),"GREEN",IF(OR(I348="Non commencé",I348="Échec"),"RED","AMBER"))</f>
        <v/>
      </c>
      <c r="K348" s="19" t="inlineStr"/>
      <c r="L348" s="19" t="inlineStr"/>
      <c r="M348" s="22" t="inlineStr"/>
    </row>
    <row r="349" ht="18" customHeight="1">
      <c r="A349" s="11" t="inlineStr">
        <is>
          <t>MA-4(3)</t>
        </is>
      </c>
      <c r="B349" s="12" t="inlineStr">
        <is>
          <t>Non-Local Maintenance</t>
        </is>
      </c>
      <c r="C349" s="12" t="inlineStr">
        <is>
          <t>Documentation</t>
        </is>
      </c>
      <c r="D349" s="11" t="inlineStr">
        <is>
          <t>MA</t>
        </is>
      </c>
      <c r="E349" s="12" t="inlineStr">
        <is>
          <t>Documentation</t>
        </is>
      </c>
      <c r="F349" s="12" t="inlineStr">
        <is>
          <t>MA-4-3</t>
        </is>
      </c>
      <c r="G349" s="13">
        <f>IFERROR('[Documentation.xlsx]MA-4-3'!B20,"Not Started")</f>
        <v/>
      </c>
      <c r="H349" s="14">
        <f>IF(OR(G349="Passed",G349="Accepted Exception"),"GREEN",IF(OR(G349="Not Started",G349="Failed"),"RED","AMBER"))</f>
        <v/>
      </c>
      <c r="I349" s="15">
        <f>IFERROR('[Documentation.xlsx]MA-4-3'!E20,"Non commencé")</f>
        <v/>
      </c>
      <c r="J349" s="16">
        <f>IF(OR(I349="Réussi",I349="Exception acceptée"),"GREEN",IF(OR(I349="Non commencé",I349="Échec"),"RED","AMBER"))</f>
        <v/>
      </c>
      <c r="K349" s="12" t="inlineStr"/>
      <c r="L349" s="12" t="inlineStr"/>
      <c r="M349" s="17" t="inlineStr"/>
    </row>
    <row r="350" ht="18" customHeight="1">
      <c r="A350" s="18" t="inlineStr">
        <is>
          <t>MA-5</t>
        </is>
      </c>
      <c r="B350" s="19" t="inlineStr">
        <is>
          <t>Maintenance Personnel</t>
        </is>
      </c>
      <c r="C350" s="19" t="inlineStr">
        <is>
          <t>Documentation</t>
        </is>
      </c>
      <c r="D350" s="18" t="inlineStr">
        <is>
          <t>MA</t>
        </is>
      </c>
      <c r="E350" s="19" t="inlineStr">
        <is>
          <t>Documentation</t>
        </is>
      </c>
      <c r="F350" s="19" t="inlineStr">
        <is>
          <t>MA-5</t>
        </is>
      </c>
      <c r="G350" s="20">
        <f>IFERROR('[Documentation.xlsx]MA-5'!B20,"Not Started")</f>
        <v/>
      </c>
      <c r="H350" s="14">
        <f>IF(OR(G350="Passed",G350="Accepted Exception"),"GREEN",IF(OR(G350="Not Started",G350="Failed"),"RED","AMBER"))</f>
        <v/>
      </c>
      <c r="I350" s="21">
        <f>IFERROR('[Documentation.xlsx]MA-5'!E20,"Non commencé")</f>
        <v/>
      </c>
      <c r="J350" s="16">
        <f>IF(OR(I350="Réussi",I350="Exception acceptée"),"GREEN",IF(OR(I350="Non commencé",I350="Échec"),"RED","AMBER"))</f>
        <v/>
      </c>
      <c r="K350" s="19" t="inlineStr"/>
      <c r="L350" s="19" t="inlineStr"/>
      <c r="M350" s="22" t="inlineStr"/>
    </row>
    <row r="351" ht="18" customHeight="1">
      <c r="A351" s="11" t="inlineStr">
        <is>
          <t>MA-5(1)</t>
        </is>
      </c>
      <c r="B351" s="12" t="inlineStr">
        <is>
          <t>Maintenance Personnel</t>
        </is>
      </c>
      <c r="C351" s="12" t="inlineStr">
        <is>
          <t>Documentation</t>
        </is>
      </c>
      <c r="D351" s="11" t="inlineStr">
        <is>
          <t>MA</t>
        </is>
      </c>
      <c r="E351" s="12" t="inlineStr">
        <is>
          <t>Documentation</t>
        </is>
      </c>
      <c r="F351" s="12" t="inlineStr">
        <is>
          <t>MA-5-1</t>
        </is>
      </c>
      <c r="G351" s="13">
        <f>IFERROR('[Documentation.xlsx]MA-5-1'!B20,"Not Started")</f>
        <v/>
      </c>
      <c r="H351" s="14">
        <f>IF(OR(G351="Passed",G351="Accepted Exception"),"GREEN",IF(OR(G351="Not Started",G351="Failed"),"RED","AMBER"))</f>
        <v/>
      </c>
      <c r="I351" s="15">
        <f>IFERROR('[Documentation.xlsx]MA-5-1'!E20,"Non commencé")</f>
        <v/>
      </c>
      <c r="J351" s="16">
        <f>IF(OR(I351="Réussi",I351="Exception acceptée"),"GREEN",IF(OR(I351="Non commencé",I351="Échec"),"RED","AMBER"))</f>
        <v/>
      </c>
      <c r="K351" s="12" t="inlineStr"/>
      <c r="L351" s="12" t="inlineStr"/>
      <c r="M351" s="17" t="inlineStr"/>
    </row>
    <row r="352" ht="18" customHeight="1">
      <c r="A352" s="18" t="inlineStr">
        <is>
          <t>MP-1</t>
        </is>
      </c>
      <c r="B352" s="19" t="inlineStr">
        <is>
          <t>Media Protection Policy and Procedures</t>
        </is>
      </c>
      <c r="C352" s="19" t="inlineStr">
        <is>
          <t>Documentation</t>
        </is>
      </c>
      <c r="D352" s="18" t="inlineStr">
        <is>
          <t>MP</t>
        </is>
      </c>
      <c r="E352" s="19" t="inlineStr">
        <is>
          <t>Documentation</t>
        </is>
      </c>
      <c r="F352" s="19" t="inlineStr">
        <is>
          <t>MP-1</t>
        </is>
      </c>
      <c r="G352" s="20">
        <f>IFERROR('[Documentation.xlsx]MP-1'!B20,"Not Started")</f>
        <v/>
      </c>
      <c r="H352" s="14">
        <f>IF(OR(G352="Passed",G352="Accepted Exception"),"GREEN",IF(OR(G352="Not Started",G352="Failed"),"RED","AMBER"))</f>
        <v/>
      </c>
      <c r="I352" s="21">
        <f>IFERROR('[Documentation.xlsx]MP-1'!E20,"Non commencé")</f>
        <v/>
      </c>
      <c r="J352" s="16">
        <f>IF(OR(I352="Réussi",I352="Exception acceptée"),"GREEN",IF(OR(I352="Non commencé",I352="Échec"),"RED","AMBER"))</f>
        <v/>
      </c>
      <c r="K352" s="19" t="inlineStr"/>
      <c r="L352" s="19" t="inlineStr"/>
      <c r="M352" s="22" t="inlineStr"/>
    </row>
    <row r="353" ht="18" customHeight="1">
      <c r="A353" s="11" t="inlineStr">
        <is>
          <t>MP-2</t>
        </is>
      </c>
      <c r="B353" s="12" t="inlineStr">
        <is>
          <t>Media Access</t>
        </is>
      </c>
      <c r="C353" s="12" t="inlineStr">
        <is>
          <t>Documentation</t>
        </is>
      </c>
      <c r="D353" s="11" t="inlineStr">
        <is>
          <t>MP</t>
        </is>
      </c>
      <c r="E353" s="12" t="inlineStr">
        <is>
          <t>Documentation</t>
        </is>
      </c>
      <c r="F353" s="12" t="inlineStr">
        <is>
          <t>MP-2</t>
        </is>
      </c>
      <c r="G353" s="13">
        <f>IFERROR('[Documentation.xlsx]MP-2'!B20,"Not Started")</f>
        <v/>
      </c>
      <c r="H353" s="14">
        <f>IF(OR(G353="Passed",G353="Accepted Exception"),"GREEN",IF(OR(G353="Not Started",G353="Failed"),"RED","AMBER"))</f>
        <v/>
      </c>
      <c r="I353" s="15">
        <f>IFERROR('[Documentation.xlsx]MP-2'!E20,"Non commencé")</f>
        <v/>
      </c>
      <c r="J353" s="16">
        <f>IF(OR(I353="Réussi",I353="Exception acceptée"),"GREEN",IF(OR(I353="Non commencé",I353="Échec"),"RED","AMBER"))</f>
        <v/>
      </c>
      <c r="K353" s="12" t="inlineStr"/>
      <c r="L353" s="12" t="inlineStr"/>
      <c r="M353" s="17" t="inlineStr"/>
    </row>
    <row r="354" ht="18" customHeight="1">
      <c r="A354" s="18" t="inlineStr">
        <is>
          <t>MP-3</t>
        </is>
      </c>
      <c r="B354" s="19" t="inlineStr">
        <is>
          <t>Media Marking</t>
        </is>
      </c>
      <c r="C354" s="19" t="inlineStr">
        <is>
          <t>Documentation</t>
        </is>
      </c>
      <c r="D354" s="18" t="inlineStr">
        <is>
          <t>MP</t>
        </is>
      </c>
      <c r="E354" s="19" t="inlineStr">
        <is>
          <t>Documentation</t>
        </is>
      </c>
      <c r="F354" s="19" t="inlineStr">
        <is>
          <t>MP-3</t>
        </is>
      </c>
      <c r="G354" s="20">
        <f>IFERROR('[Documentation.xlsx]MP-3'!B20,"Not Started")</f>
        <v/>
      </c>
      <c r="H354" s="14">
        <f>IF(OR(G354="Passed",G354="Accepted Exception"),"GREEN",IF(OR(G354="Not Started",G354="Failed"),"RED","AMBER"))</f>
        <v/>
      </c>
      <c r="I354" s="21">
        <f>IFERROR('[Documentation.xlsx]MP-3'!E20,"Non commencé")</f>
        <v/>
      </c>
      <c r="J354" s="16">
        <f>IF(OR(I354="Réussi",I354="Exception acceptée"),"GREEN",IF(OR(I354="Non commencé",I354="Échec"),"RED","AMBER"))</f>
        <v/>
      </c>
      <c r="K354" s="19" t="inlineStr"/>
      <c r="L354" s="19" t="inlineStr"/>
      <c r="M354" s="22" t="inlineStr"/>
    </row>
    <row r="355" ht="18" customHeight="1">
      <c r="A355" s="11" t="inlineStr">
        <is>
          <t>MP-6</t>
        </is>
      </c>
      <c r="B355" s="12" t="inlineStr">
        <is>
          <t>Media Sanitization</t>
        </is>
      </c>
      <c r="C355" s="12" t="inlineStr">
        <is>
          <t>Documentation</t>
        </is>
      </c>
      <c r="D355" s="11" t="inlineStr">
        <is>
          <t>MP</t>
        </is>
      </c>
      <c r="E355" s="12" t="inlineStr">
        <is>
          <t>Documentation</t>
        </is>
      </c>
      <c r="F355" s="12" t="inlineStr">
        <is>
          <t>MP-6</t>
        </is>
      </c>
      <c r="G355" s="13">
        <f>IFERROR('[Documentation.xlsx]MP-6'!B20,"Not Started")</f>
        <v/>
      </c>
      <c r="H355" s="14">
        <f>IF(OR(G355="Passed",G355="Accepted Exception"),"GREEN",IF(OR(G355="Not Started",G355="Failed"),"RED","AMBER"))</f>
        <v/>
      </c>
      <c r="I355" s="15">
        <f>IFERROR('[Documentation.xlsx]MP-6'!E20,"Non commencé")</f>
        <v/>
      </c>
      <c r="J355" s="16">
        <f>IF(OR(I355="Réussi",I355="Exception acceptée"),"GREEN",IF(OR(I355="Non commencé",I355="Échec"),"RED","AMBER"))</f>
        <v/>
      </c>
      <c r="K355" s="12" t="inlineStr"/>
      <c r="L355" s="12" t="inlineStr"/>
      <c r="M355" s="17" t="inlineStr"/>
    </row>
    <row r="356" ht="18" customHeight="1">
      <c r="A356" s="18" t="inlineStr">
        <is>
          <t>MP-6(1)</t>
        </is>
      </c>
      <c r="B356" s="19" t="inlineStr">
        <is>
          <t>Media Sanitization</t>
        </is>
      </c>
      <c r="C356" s="19" t="inlineStr">
        <is>
          <t>Documentation</t>
        </is>
      </c>
      <c r="D356" s="18" t="inlineStr">
        <is>
          <t>MP</t>
        </is>
      </c>
      <c r="E356" s="19" t="inlineStr">
        <is>
          <t>Documentation</t>
        </is>
      </c>
      <c r="F356" s="19" t="inlineStr">
        <is>
          <t>MP-6-1</t>
        </is>
      </c>
      <c r="G356" s="20">
        <f>IFERROR('[Documentation.xlsx]MP-6-1'!B20,"Not Started")</f>
        <v/>
      </c>
      <c r="H356" s="14">
        <f>IF(OR(G356="Passed",G356="Accepted Exception"),"GREEN",IF(OR(G356="Not Started",G356="Failed"),"RED","AMBER"))</f>
        <v/>
      </c>
      <c r="I356" s="21">
        <f>IFERROR('[Documentation.xlsx]MP-6-1'!E20,"Non commencé")</f>
        <v/>
      </c>
      <c r="J356" s="16">
        <f>IF(OR(I356="Réussi",I356="Exception acceptée"),"GREEN",IF(OR(I356="Non commencé",I356="Échec"),"RED","AMBER"))</f>
        <v/>
      </c>
      <c r="K356" s="19" t="inlineStr"/>
      <c r="L356" s="19" t="inlineStr"/>
      <c r="M356" s="22" t="inlineStr"/>
    </row>
    <row r="357" ht="18" customHeight="1">
      <c r="A357" s="11" t="inlineStr">
        <is>
          <t>MP-8</t>
        </is>
      </c>
      <c r="B357" s="12" t="inlineStr">
        <is>
          <t>Media Downgrading</t>
        </is>
      </c>
      <c r="C357" s="12" t="inlineStr">
        <is>
          <t>Documentation</t>
        </is>
      </c>
      <c r="D357" s="11" t="inlineStr">
        <is>
          <t>MP</t>
        </is>
      </c>
      <c r="E357" s="12" t="inlineStr">
        <is>
          <t>Documentation</t>
        </is>
      </c>
      <c r="F357" s="12" t="inlineStr">
        <is>
          <t>MP-8</t>
        </is>
      </c>
      <c r="G357" s="13">
        <f>IFERROR('[Documentation.xlsx]MP-8'!B20,"Not Started")</f>
        <v/>
      </c>
      <c r="H357" s="14">
        <f>IF(OR(G357="Passed",G357="Accepted Exception"),"GREEN",IF(OR(G357="Not Started",G357="Failed"),"RED","AMBER"))</f>
        <v/>
      </c>
      <c r="I357" s="15">
        <f>IFERROR('[Documentation.xlsx]MP-8'!E20,"Non commencé")</f>
        <v/>
      </c>
      <c r="J357" s="16">
        <f>IF(OR(I357="Réussi",I357="Exception acceptée"),"GREEN",IF(OR(I357="Non commencé",I357="Échec"),"RED","AMBER"))</f>
        <v/>
      </c>
      <c r="K357" s="12" t="inlineStr"/>
      <c r="L357" s="12" t="inlineStr"/>
      <c r="M357" s="17" t="inlineStr"/>
    </row>
    <row r="358" ht="18" customHeight="1">
      <c r="A358" s="18" t="inlineStr">
        <is>
          <t>MP-8(1)</t>
        </is>
      </c>
      <c r="B358" s="19" t="inlineStr">
        <is>
          <t>Media Downgrading</t>
        </is>
      </c>
      <c r="C358" s="19" t="inlineStr">
        <is>
          <t>Documentation</t>
        </is>
      </c>
      <c r="D358" s="18" t="inlineStr">
        <is>
          <t>MP</t>
        </is>
      </c>
      <c r="E358" s="19" t="inlineStr">
        <is>
          <t>Documentation</t>
        </is>
      </c>
      <c r="F358" s="19" t="inlineStr">
        <is>
          <t>MP-8-1</t>
        </is>
      </c>
      <c r="G358" s="20">
        <f>IFERROR('[Documentation.xlsx]MP-8-1'!B20,"Not Started")</f>
        <v/>
      </c>
      <c r="H358" s="14">
        <f>IF(OR(G358="Passed",G358="Accepted Exception"),"GREEN",IF(OR(G358="Not Started",G358="Failed"),"RED","AMBER"))</f>
        <v/>
      </c>
      <c r="I358" s="21">
        <f>IFERROR('[Documentation.xlsx]MP-8-1'!E20,"Non commencé")</f>
        <v/>
      </c>
      <c r="J358" s="16">
        <f>IF(OR(I358="Réussi",I358="Exception acceptée"),"GREEN",IF(OR(I358="Non commencé",I358="Échec"),"RED","AMBER"))</f>
        <v/>
      </c>
      <c r="K358" s="19" t="inlineStr"/>
      <c r="L358" s="19" t="inlineStr"/>
      <c r="M358" s="22" t="inlineStr"/>
    </row>
    <row r="359" ht="18" customHeight="1">
      <c r="A359" s="11" t="inlineStr">
        <is>
          <t>PL-1</t>
        </is>
      </c>
      <c r="B359" s="12" t="inlineStr">
        <is>
          <t>Security Planning Policy and Procedures</t>
        </is>
      </c>
      <c r="C359" s="12" t="inlineStr">
        <is>
          <t>Documentation</t>
        </is>
      </c>
      <c r="D359" s="11" t="inlineStr">
        <is>
          <t>PL</t>
        </is>
      </c>
      <c r="E359" s="12" t="inlineStr">
        <is>
          <t>Documentation</t>
        </is>
      </c>
      <c r="F359" s="12" t="inlineStr">
        <is>
          <t>PL-1</t>
        </is>
      </c>
      <c r="G359" s="13">
        <f>IFERROR('[Documentation.xlsx]PL-1'!B20,"Not Started")</f>
        <v/>
      </c>
      <c r="H359" s="14">
        <f>IF(OR(G359="Passed",G359="Accepted Exception"),"GREEN",IF(OR(G359="Not Started",G359="Failed"),"RED","AMBER"))</f>
        <v/>
      </c>
      <c r="I359" s="15">
        <f>IFERROR('[Documentation.xlsx]PL-1'!E20,"Non commencé")</f>
        <v/>
      </c>
      <c r="J359" s="16">
        <f>IF(OR(I359="Réussi",I359="Exception acceptée"),"GREEN",IF(OR(I359="Non commencé",I359="Échec"),"RED","AMBER"))</f>
        <v/>
      </c>
      <c r="K359" s="12" t="inlineStr"/>
      <c r="L359" s="12" t="inlineStr"/>
      <c r="M359" s="17" t="inlineStr"/>
    </row>
    <row r="360" ht="18" customHeight="1">
      <c r="A360" s="18" t="inlineStr">
        <is>
          <t>PL-2</t>
        </is>
      </c>
      <c r="B360" s="19" t="inlineStr">
        <is>
          <t>System Security Plan</t>
        </is>
      </c>
      <c r="C360" s="19" t="inlineStr">
        <is>
          <t>Documentation</t>
        </is>
      </c>
      <c r="D360" s="18" t="inlineStr">
        <is>
          <t>PL</t>
        </is>
      </c>
      <c r="E360" s="19" t="inlineStr">
        <is>
          <t>Documentation</t>
        </is>
      </c>
      <c r="F360" s="19" t="inlineStr">
        <is>
          <t>PL-2</t>
        </is>
      </c>
      <c r="G360" s="20">
        <f>IFERROR('[Documentation.xlsx]PL-2'!B20,"Not Started")</f>
        <v/>
      </c>
      <c r="H360" s="14">
        <f>IF(OR(G360="Passed",G360="Accepted Exception"),"GREEN",IF(OR(G360="Not Started",G360="Failed"),"RED","AMBER"))</f>
        <v/>
      </c>
      <c r="I360" s="21">
        <f>IFERROR('[Documentation.xlsx]PL-2'!E20,"Non commencé")</f>
        <v/>
      </c>
      <c r="J360" s="16">
        <f>IF(OR(I360="Réussi",I360="Exception acceptée"),"GREEN",IF(OR(I360="Non commencé",I360="Échec"),"RED","AMBER"))</f>
        <v/>
      </c>
      <c r="K360" s="19" t="inlineStr"/>
      <c r="L360" s="19" t="inlineStr"/>
      <c r="M360" s="22" t="inlineStr"/>
    </row>
    <row r="361" ht="18" customHeight="1">
      <c r="A361" s="11" t="inlineStr">
        <is>
          <t>PL-2(3)</t>
        </is>
      </c>
      <c r="B361" s="12" t="inlineStr">
        <is>
          <t>System Security Plan</t>
        </is>
      </c>
      <c r="C361" s="12" t="inlineStr">
        <is>
          <t>Documentation</t>
        </is>
      </c>
      <c r="D361" s="11" t="inlineStr">
        <is>
          <t>PL</t>
        </is>
      </c>
      <c r="E361" s="12" t="inlineStr">
        <is>
          <t>Documentation</t>
        </is>
      </c>
      <c r="F361" s="12" t="inlineStr">
        <is>
          <t>PL-2-3</t>
        </is>
      </c>
      <c r="G361" s="13">
        <f>IFERROR('[Documentation.xlsx]PL-2-3'!B20,"Not Started")</f>
        <v/>
      </c>
      <c r="H361" s="14">
        <f>IF(OR(G361="Passed",G361="Accepted Exception"),"GREEN",IF(OR(G361="Not Started",G361="Failed"),"RED","AMBER"))</f>
        <v/>
      </c>
      <c r="I361" s="15">
        <f>IFERROR('[Documentation.xlsx]PL-2-3'!E20,"Non commencé")</f>
        <v/>
      </c>
      <c r="J361" s="16">
        <f>IF(OR(I361="Réussi",I361="Exception acceptée"),"GREEN",IF(OR(I361="Non commencé",I361="Échec"),"RED","AMBER"))</f>
        <v/>
      </c>
      <c r="K361" s="12" t="inlineStr"/>
      <c r="L361" s="12" t="inlineStr"/>
      <c r="M361" s="17" t="inlineStr"/>
    </row>
    <row r="362" ht="18" customHeight="1">
      <c r="A362" s="18" t="inlineStr">
        <is>
          <t>PL-4</t>
        </is>
      </c>
      <c r="B362" s="19" t="inlineStr">
        <is>
          <t>Rules of Behaviour</t>
        </is>
      </c>
      <c r="C362" s="19" t="inlineStr">
        <is>
          <t>Documentation</t>
        </is>
      </c>
      <c r="D362" s="18" t="inlineStr">
        <is>
          <t>PL</t>
        </is>
      </c>
      <c r="E362" s="19" t="inlineStr">
        <is>
          <t>Documentation</t>
        </is>
      </c>
      <c r="F362" s="19" t="inlineStr">
        <is>
          <t>PL-4</t>
        </is>
      </c>
      <c r="G362" s="20">
        <f>IFERROR('[Documentation.xlsx]PL-4'!B20,"Not Started")</f>
        <v/>
      </c>
      <c r="H362" s="14">
        <f>IF(OR(G362="Passed",G362="Accepted Exception"),"GREEN",IF(OR(G362="Not Started",G362="Failed"),"RED","AMBER"))</f>
        <v/>
      </c>
      <c r="I362" s="21">
        <f>IFERROR('[Documentation.xlsx]PL-4'!E20,"Non commencé")</f>
        <v/>
      </c>
      <c r="J362" s="16">
        <f>IF(OR(I362="Réussi",I362="Exception acceptée"),"GREEN",IF(OR(I362="Non commencé",I362="Échec"),"RED","AMBER"))</f>
        <v/>
      </c>
      <c r="K362" s="19" t="inlineStr"/>
      <c r="L362" s="19" t="inlineStr"/>
      <c r="M362" s="22" t="inlineStr"/>
    </row>
    <row r="363" ht="18" customHeight="1">
      <c r="A363" s="11" t="inlineStr">
        <is>
          <t>PL-4(1)</t>
        </is>
      </c>
      <c r="B363" s="12" t="inlineStr">
        <is>
          <t>Rules of Behaviour</t>
        </is>
      </c>
      <c r="C363" s="12" t="inlineStr">
        <is>
          <t>Documentation</t>
        </is>
      </c>
      <c r="D363" s="11" t="inlineStr">
        <is>
          <t>PL</t>
        </is>
      </c>
      <c r="E363" s="12" t="inlineStr">
        <is>
          <t>Documentation</t>
        </is>
      </c>
      <c r="F363" s="12" t="inlineStr">
        <is>
          <t>PL-4-1</t>
        </is>
      </c>
      <c r="G363" s="13">
        <f>IFERROR('[Documentation.xlsx]PL-4-1'!B20,"Not Started")</f>
        <v/>
      </c>
      <c r="H363" s="14">
        <f>IF(OR(G363="Passed",G363="Accepted Exception"),"GREEN",IF(OR(G363="Not Started",G363="Failed"),"RED","AMBER"))</f>
        <v/>
      </c>
      <c r="I363" s="15">
        <f>IFERROR('[Documentation.xlsx]PL-4-1'!E20,"Non commencé")</f>
        <v/>
      </c>
      <c r="J363" s="16">
        <f>IF(OR(I363="Réussi",I363="Exception acceptée"),"GREEN",IF(OR(I363="Non commencé",I363="Échec"),"RED","AMBER"))</f>
        <v/>
      </c>
      <c r="K363" s="12" t="inlineStr"/>
      <c r="L363" s="12" t="inlineStr"/>
      <c r="M363" s="17" t="inlineStr"/>
    </row>
    <row r="364" ht="18" customHeight="1">
      <c r="A364" s="18" t="inlineStr">
        <is>
          <t>PL-8</t>
        </is>
      </c>
      <c r="B364" s="19" t="inlineStr">
        <is>
          <t>Information Security Architecture</t>
        </is>
      </c>
      <c r="C364" s="19" t="inlineStr">
        <is>
          <t>Documentation</t>
        </is>
      </c>
      <c r="D364" s="18" t="inlineStr">
        <is>
          <t>PL</t>
        </is>
      </c>
      <c r="E364" s="19" t="inlineStr">
        <is>
          <t>Documentation</t>
        </is>
      </c>
      <c r="F364" s="19" t="inlineStr">
        <is>
          <t>PL-8</t>
        </is>
      </c>
      <c r="G364" s="20">
        <f>IFERROR('[Documentation.xlsx]PL-8'!B20,"Not Started")</f>
        <v/>
      </c>
      <c r="H364" s="14">
        <f>IF(OR(G364="Passed",G364="Accepted Exception"),"GREEN",IF(OR(G364="Not Started",G364="Failed"),"RED","AMBER"))</f>
        <v/>
      </c>
      <c r="I364" s="21">
        <f>IFERROR('[Documentation.xlsx]PL-8'!E20,"Non commencé")</f>
        <v/>
      </c>
      <c r="J364" s="16">
        <f>IF(OR(I364="Réussi",I364="Exception acceptée"),"GREEN",IF(OR(I364="Non commencé",I364="Échec"),"RED","AMBER"))</f>
        <v/>
      </c>
      <c r="K364" s="19" t="inlineStr"/>
      <c r="L364" s="19" t="inlineStr"/>
      <c r="M364" s="22" t="inlineStr"/>
    </row>
    <row r="365" ht="18" customHeight="1">
      <c r="A365" s="11" t="inlineStr">
        <is>
          <t>PS-1</t>
        </is>
      </c>
      <c r="B365" s="12" t="inlineStr">
        <is>
          <t>Personnel Security Policy and Procedures</t>
        </is>
      </c>
      <c r="C365" s="12" t="inlineStr">
        <is>
          <t>Documentation</t>
        </is>
      </c>
      <c r="D365" s="11" t="inlineStr">
        <is>
          <t>PS</t>
        </is>
      </c>
      <c r="E365" s="12" t="inlineStr">
        <is>
          <t>Documentation</t>
        </is>
      </c>
      <c r="F365" s="12" t="inlineStr">
        <is>
          <t>PS-1</t>
        </is>
      </c>
      <c r="G365" s="13">
        <f>IFERROR('[Documentation.xlsx]PS-1'!B20,"Not Started")</f>
        <v/>
      </c>
      <c r="H365" s="14">
        <f>IF(OR(G365="Passed",G365="Accepted Exception"),"GREEN",IF(OR(G365="Not Started",G365="Failed"),"RED","AMBER"))</f>
        <v/>
      </c>
      <c r="I365" s="15">
        <f>IFERROR('[Documentation.xlsx]PS-1'!E20,"Non commencé")</f>
        <v/>
      </c>
      <c r="J365" s="16">
        <f>IF(OR(I365="Réussi",I365="Exception acceptée"),"GREEN",IF(OR(I365="Non commencé",I365="Échec"),"RED","AMBER"))</f>
        <v/>
      </c>
      <c r="K365" s="12" t="inlineStr"/>
      <c r="L365" s="12" t="inlineStr"/>
      <c r="M365" s="17" t="inlineStr"/>
    </row>
    <row r="366" ht="18" customHeight="1">
      <c r="A366" s="18" t="inlineStr">
        <is>
          <t>PS-2</t>
        </is>
      </c>
      <c r="B366" s="19" t="inlineStr">
        <is>
          <t>Position Categorization</t>
        </is>
      </c>
      <c r="C366" s="19" t="inlineStr">
        <is>
          <t>Documentation</t>
        </is>
      </c>
      <c r="D366" s="18" t="inlineStr">
        <is>
          <t>PS</t>
        </is>
      </c>
      <c r="E366" s="19" t="inlineStr">
        <is>
          <t>Documentation</t>
        </is>
      </c>
      <c r="F366" s="19" t="inlineStr">
        <is>
          <t>PS-2</t>
        </is>
      </c>
      <c r="G366" s="20">
        <f>IFERROR('[Documentation.xlsx]PS-2'!B20,"Not Started")</f>
        <v/>
      </c>
      <c r="H366" s="14">
        <f>IF(OR(G366="Passed",G366="Accepted Exception"),"GREEN",IF(OR(G366="Not Started",G366="Failed"),"RED","AMBER"))</f>
        <v/>
      </c>
      <c r="I366" s="21">
        <f>IFERROR('[Documentation.xlsx]PS-2'!E20,"Non commencé")</f>
        <v/>
      </c>
      <c r="J366" s="16">
        <f>IF(OR(I366="Réussi",I366="Exception acceptée"),"GREEN",IF(OR(I366="Non commencé",I366="Échec"),"RED","AMBER"))</f>
        <v/>
      </c>
      <c r="K366" s="19" t="inlineStr"/>
      <c r="L366" s="19" t="inlineStr"/>
      <c r="M366" s="22" t="inlineStr"/>
    </row>
    <row r="367" ht="18" customHeight="1">
      <c r="A367" s="11" t="inlineStr">
        <is>
          <t>PS-3</t>
        </is>
      </c>
      <c r="B367" s="12" t="inlineStr">
        <is>
          <t>Personnel Screening</t>
        </is>
      </c>
      <c r="C367" s="12" t="inlineStr">
        <is>
          <t>Documentation</t>
        </is>
      </c>
      <c r="D367" s="11" t="inlineStr">
        <is>
          <t>PS</t>
        </is>
      </c>
      <c r="E367" s="12" t="inlineStr">
        <is>
          <t>Documentation</t>
        </is>
      </c>
      <c r="F367" s="12" t="inlineStr">
        <is>
          <t>PS-3</t>
        </is>
      </c>
      <c r="G367" s="13">
        <f>IFERROR('[Documentation.xlsx]PS-3'!B20,"Not Started")</f>
        <v/>
      </c>
      <c r="H367" s="14">
        <f>IF(OR(G367="Passed",G367="Accepted Exception"),"GREEN",IF(OR(G367="Not Started",G367="Failed"),"RED","AMBER"))</f>
        <v/>
      </c>
      <c r="I367" s="15">
        <f>IFERROR('[Documentation.xlsx]PS-3'!E20,"Non commencé")</f>
        <v/>
      </c>
      <c r="J367" s="16">
        <f>IF(OR(I367="Réussi",I367="Exception acceptée"),"GREEN",IF(OR(I367="Non commencé",I367="Échec"),"RED","AMBER"))</f>
        <v/>
      </c>
      <c r="K367" s="12" t="inlineStr"/>
      <c r="L367" s="12" t="inlineStr"/>
      <c r="M367" s="17" t="inlineStr"/>
    </row>
    <row r="368" ht="18" customHeight="1">
      <c r="A368" s="18" t="inlineStr">
        <is>
          <t>PS-3(3)</t>
        </is>
      </c>
      <c r="B368" s="19" t="inlineStr">
        <is>
          <t>Personnel Screening</t>
        </is>
      </c>
      <c r="C368" s="19" t="inlineStr">
        <is>
          <t>Documentation</t>
        </is>
      </c>
      <c r="D368" s="18" t="inlineStr">
        <is>
          <t>PS</t>
        </is>
      </c>
      <c r="E368" s="19" t="inlineStr">
        <is>
          <t>Documentation</t>
        </is>
      </c>
      <c r="F368" s="19" t="inlineStr">
        <is>
          <t>PS-3-3</t>
        </is>
      </c>
      <c r="G368" s="20">
        <f>IFERROR('[Documentation.xlsx]PS-3-3'!B20,"Not Started")</f>
        <v/>
      </c>
      <c r="H368" s="14">
        <f>IF(OR(G368="Passed",G368="Accepted Exception"),"GREEN",IF(OR(G368="Not Started",G368="Failed"),"RED","AMBER"))</f>
        <v/>
      </c>
      <c r="I368" s="21">
        <f>IFERROR('[Documentation.xlsx]PS-3-3'!E20,"Non commencé")</f>
        <v/>
      </c>
      <c r="J368" s="16">
        <f>IF(OR(I368="Réussi",I368="Exception acceptée"),"GREEN",IF(OR(I368="Non commencé",I368="Échec"),"RED","AMBER"))</f>
        <v/>
      </c>
      <c r="K368" s="19" t="inlineStr"/>
      <c r="L368" s="19" t="inlineStr"/>
      <c r="M368" s="22" t="inlineStr"/>
    </row>
    <row r="369" ht="18" customHeight="1">
      <c r="A369" s="11" t="inlineStr">
        <is>
          <t>PS-4</t>
        </is>
      </c>
      <c r="B369" s="12" t="inlineStr">
        <is>
          <t>Personnel Termination</t>
        </is>
      </c>
      <c r="C369" s="12" t="inlineStr">
        <is>
          <t>Documentation</t>
        </is>
      </c>
      <c r="D369" s="11" t="inlineStr">
        <is>
          <t>PS</t>
        </is>
      </c>
      <c r="E369" s="12" t="inlineStr">
        <is>
          <t>Documentation</t>
        </is>
      </c>
      <c r="F369" s="12" t="inlineStr">
        <is>
          <t>PS-4</t>
        </is>
      </c>
      <c r="G369" s="13">
        <f>IFERROR('[Documentation.xlsx]PS-4'!B20,"Not Started")</f>
        <v/>
      </c>
      <c r="H369" s="14">
        <f>IF(OR(G369="Passed",G369="Accepted Exception"),"GREEN",IF(OR(G369="Not Started",G369="Failed"),"RED","AMBER"))</f>
        <v/>
      </c>
      <c r="I369" s="15">
        <f>IFERROR('[Documentation.xlsx]PS-4'!E20,"Non commencé")</f>
        <v/>
      </c>
      <c r="J369" s="16">
        <f>IF(OR(I369="Réussi",I369="Exception acceptée"),"GREEN",IF(OR(I369="Non commencé",I369="Échec"),"RED","AMBER"))</f>
        <v/>
      </c>
      <c r="K369" s="12" t="inlineStr"/>
      <c r="L369" s="12" t="inlineStr"/>
      <c r="M369" s="17" t="inlineStr"/>
    </row>
    <row r="370" ht="18" customHeight="1">
      <c r="A370" s="18" t="inlineStr">
        <is>
          <t>PS-5</t>
        </is>
      </c>
      <c r="B370" s="19" t="inlineStr">
        <is>
          <t>Personnel Transfer</t>
        </is>
      </c>
      <c r="C370" s="19" t="inlineStr">
        <is>
          <t>Documentation</t>
        </is>
      </c>
      <c r="D370" s="18" t="inlineStr">
        <is>
          <t>PS</t>
        </is>
      </c>
      <c r="E370" s="19" t="inlineStr">
        <is>
          <t>Documentation</t>
        </is>
      </c>
      <c r="F370" s="19" t="inlineStr">
        <is>
          <t>PS-5</t>
        </is>
      </c>
      <c r="G370" s="20">
        <f>IFERROR('[Documentation.xlsx]PS-5'!B20,"Not Started")</f>
        <v/>
      </c>
      <c r="H370" s="14">
        <f>IF(OR(G370="Passed",G370="Accepted Exception"),"GREEN",IF(OR(G370="Not Started",G370="Failed"),"RED","AMBER"))</f>
        <v/>
      </c>
      <c r="I370" s="21">
        <f>IFERROR('[Documentation.xlsx]PS-5'!E20,"Non commencé")</f>
        <v/>
      </c>
      <c r="J370" s="16">
        <f>IF(OR(I370="Réussi",I370="Exception acceptée"),"GREEN",IF(OR(I370="Non commencé",I370="Échec"),"RED","AMBER"))</f>
        <v/>
      </c>
      <c r="K370" s="19" t="inlineStr"/>
      <c r="L370" s="19" t="inlineStr"/>
      <c r="M370" s="22" t="inlineStr"/>
    </row>
    <row r="371" ht="18" customHeight="1">
      <c r="A371" s="11" t="inlineStr">
        <is>
          <t>PS-6</t>
        </is>
      </c>
      <c r="B371" s="12" t="inlineStr">
        <is>
          <t>Access Agreements</t>
        </is>
      </c>
      <c r="C371" s="12" t="inlineStr">
        <is>
          <t>Documentation</t>
        </is>
      </c>
      <c r="D371" s="11" t="inlineStr">
        <is>
          <t>PS</t>
        </is>
      </c>
      <c r="E371" s="12" t="inlineStr">
        <is>
          <t>Documentation</t>
        </is>
      </c>
      <c r="F371" s="12" t="inlineStr">
        <is>
          <t>PS-6</t>
        </is>
      </c>
      <c r="G371" s="13">
        <f>IFERROR('[Documentation.xlsx]PS-6'!B20,"Not Started")</f>
        <v/>
      </c>
      <c r="H371" s="14">
        <f>IF(OR(G371="Passed",G371="Accepted Exception"),"GREEN",IF(OR(G371="Not Started",G371="Failed"),"RED","AMBER"))</f>
        <v/>
      </c>
      <c r="I371" s="15">
        <f>IFERROR('[Documentation.xlsx]PS-6'!E20,"Non commencé")</f>
        <v/>
      </c>
      <c r="J371" s="16">
        <f>IF(OR(I371="Réussi",I371="Exception acceptée"),"GREEN",IF(OR(I371="Non commencé",I371="Échec"),"RED","AMBER"))</f>
        <v/>
      </c>
      <c r="K371" s="12" t="inlineStr"/>
      <c r="L371" s="12" t="inlineStr"/>
      <c r="M371" s="17" t="inlineStr"/>
    </row>
    <row r="372" ht="18" customHeight="1">
      <c r="A372" s="18" t="inlineStr">
        <is>
          <t>PS-7</t>
        </is>
      </c>
      <c r="B372" s="19" t="inlineStr">
        <is>
          <t>Third-Party Personnel Security</t>
        </is>
      </c>
      <c r="C372" s="19" t="inlineStr">
        <is>
          <t>Documentation</t>
        </is>
      </c>
      <c r="D372" s="18" t="inlineStr">
        <is>
          <t>PS</t>
        </is>
      </c>
      <c r="E372" s="19" t="inlineStr">
        <is>
          <t>Documentation</t>
        </is>
      </c>
      <c r="F372" s="19" t="inlineStr">
        <is>
          <t>PS-7</t>
        </is>
      </c>
      <c r="G372" s="20">
        <f>IFERROR('[Documentation.xlsx]PS-7'!B20,"Not Started")</f>
        <v/>
      </c>
      <c r="H372" s="14">
        <f>IF(OR(G372="Passed",G372="Accepted Exception"),"GREEN",IF(OR(G372="Not Started",G372="Failed"),"RED","AMBER"))</f>
        <v/>
      </c>
      <c r="I372" s="21">
        <f>IFERROR('[Documentation.xlsx]PS-7'!E20,"Non commencé")</f>
        <v/>
      </c>
      <c r="J372" s="16">
        <f>IF(OR(I372="Réussi",I372="Exception acceptée"),"GREEN",IF(OR(I372="Non commencé",I372="Échec"),"RED","AMBER"))</f>
        <v/>
      </c>
      <c r="K372" s="19" t="inlineStr"/>
      <c r="L372" s="19" t="inlineStr"/>
      <c r="M372" s="22" t="inlineStr"/>
    </row>
    <row r="373" ht="18" customHeight="1">
      <c r="A373" s="11" t="inlineStr">
        <is>
          <t>PS-8</t>
        </is>
      </c>
      <c r="B373" s="12" t="inlineStr">
        <is>
          <t>Personnel Sanctions</t>
        </is>
      </c>
      <c r="C373" s="12" t="inlineStr">
        <is>
          <t>Documentation</t>
        </is>
      </c>
      <c r="D373" s="11" t="inlineStr">
        <is>
          <t>PS</t>
        </is>
      </c>
      <c r="E373" s="12" t="inlineStr">
        <is>
          <t>Documentation</t>
        </is>
      </c>
      <c r="F373" s="12" t="inlineStr">
        <is>
          <t>PS-8</t>
        </is>
      </c>
      <c r="G373" s="13">
        <f>IFERROR('[Documentation.xlsx]PS-8'!B20,"Not Started")</f>
        <v/>
      </c>
      <c r="H373" s="14">
        <f>IF(OR(G373="Passed",G373="Accepted Exception"),"GREEN",IF(OR(G373="Not Started",G373="Failed"),"RED","AMBER"))</f>
        <v/>
      </c>
      <c r="I373" s="15">
        <f>IFERROR('[Documentation.xlsx]PS-8'!E20,"Non commencé")</f>
        <v/>
      </c>
      <c r="J373" s="16">
        <f>IF(OR(I373="Réussi",I373="Exception acceptée"),"GREEN",IF(OR(I373="Non commencé",I373="Échec"),"RED","AMBER"))</f>
        <v/>
      </c>
      <c r="K373" s="12" t="inlineStr"/>
      <c r="L373" s="12" t="inlineStr"/>
      <c r="M373" s="17" t="inlineStr"/>
    </row>
    <row r="374" ht="18" customHeight="1">
      <c r="A374" s="18" t="inlineStr">
        <is>
          <t>RA-1</t>
        </is>
      </c>
      <c r="B374" s="19" t="inlineStr">
        <is>
          <t>Risk Assessment Policy and Procedures</t>
        </is>
      </c>
      <c r="C374" s="19" t="inlineStr">
        <is>
          <t>Documentation</t>
        </is>
      </c>
      <c r="D374" s="18" t="inlineStr">
        <is>
          <t>RA</t>
        </is>
      </c>
      <c r="E374" s="19" t="inlineStr">
        <is>
          <t>Documentation</t>
        </is>
      </c>
      <c r="F374" s="19" t="inlineStr">
        <is>
          <t>RA-1</t>
        </is>
      </c>
      <c r="G374" s="20">
        <f>IFERROR('[Documentation.xlsx]RA-1'!B20,"Not Started")</f>
        <v/>
      </c>
      <c r="H374" s="14">
        <f>IF(OR(G374="Passed",G374="Accepted Exception"),"GREEN",IF(OR(G374="Not Started",G374="Failed"),"RED","AMBER"))</f>
        <v/>
      </c>
      <c r="I374" s="21">
        <f>IFERROR('[Documentation.xlsx]RA-1'!E20,"Non commencé")</f>
        <v/>
      </c>
      <c r="J374" s="16">
        <f>IF(OR(I374="Réussi",I374="Exception acceptée"),"GREEN",IF(OR(I374="Non commencé",I374="Échec"),"RED","AMBER"))</f>
        <v/>
      </c>
      <c r="K374" s="19" t="inlineStr"/>
      <c r="L374" s="19" t="inlineStr"/>
      <c r="M374" s="22" t="inlineStr"/>
    </row>
    <row r="375" ht="18" customHeight="1">
      <c r="A375" s="11" t="inlineStr">
        <is>
          <t>RA-2</t>
        </is>
      </c>
      <c r="B375" s="12" t="inlineStr">
        <is>
          <t>Security Categorization</t>
        </is>
      </c>
      <c r="C375" s="12" t="inlineStr">
        <is>
          <t>Documentation</t>
        </is>
      </c>
      <c r="D375" s="11" t="inlineStr">
        <is>
          <t>RA</t>
        </is>
      </c>
      <c r="E375" s="12" t="inlineStr">
        <is>
          <t>Documentation</t>
        </is>
      </c>
      <c r="F375" s="12" t="inlineStr">
        <is>
          <t>RA-2</t>
        </is>
      </c>
      <c r="G375" s="13">
        <f>IFERROR('[Documentation.xlsx]RA-2'!B20,"Not Started")</f>
        <v/>
      </c>
      <c r="H375" s="14">
        <f>IF(OR(G375="Passed",G375="Accepted Exception"),"GREEN",IF(OR(G375="Not Started",G375="Failed"),"RED","AMBER"))</f>
        <v/>
      </c>
      <c r="I375" s="15">
        <f>IFERROR('[Documentation.xlsx]RA-2'!E20,"Non commencé")</f>
        <v/>
      </c>
      <c r="J375" s="16">
        <f>IF(OR(I375="Réussi",I375="Exception acceptée"),"GREEN",IF(OR(I375="Non commencé",I375="Échec"),"RED","AMBER"))</f>
        <v/>
      </c>
      <c r="K375" s="12" t="inlineStr"/>
      <c r="L375" s="12" t="inlineStr"/>
      <c r="M375" s="17" t="inlineStr"/>
    </row>
    <row r="376" ht="18" customHeight="1">
      <c r="A376" s="18" t="inlineStr">
        <is>
          <t>RA-3</t>
        </is>
      </c>
      <c r="B376" s="19" t="inlineStr">
        <is>
          <t>Risk Assessment</t>
        </is>
      </c>
      <c r="C376" s="19" t="inlineStr">
        <is>
          <t>Documentation</t>
        </is>
      </c>
      <c r="D376" s="18" t="inlineStr">
        <is>
          <t>RA</t>
        </is>
      </c>
      <c r="E376" s="19" t="inlineStr">
        <is>
          <t>Documentation</t>
        </is>
      </c>
      <c r="F376" s="19" t="inlineStr">
        <is>
          <t>RA-3</t>
        </is>
      </c>
      <c r="G376" s="20">
        <f>IFERROR('[Documentation.xlsx]RA-3'!B20,"Not Started")</f>
        <v/>
      </c>
      <c r="H376" s="14">
        <f>IF(OR(G376="Passed",G376="Accepted Exception"),"GREEN",IF(OR(G376="Not Started",G376="Failed"),"RED","AMBER"))</f>
        <v/>
      </c>
      <c r="I376" s="21">
        <f>IFERROR('[Documentation.xlsx]RA-3'!E20,"Non commencé")</f>
        <v/>
      </c>
      <c r="J376" s="16">
        <f>IF(OR(I376="Réussi",I376="Exception acceptée"),"GREEN",IF(OR(I376="Non commencé",I376="Échec"),"RED","AMBER"))</f>
        <v/>
      </c>
      <c r="K376" s="19" t="inlineStr"/>
      <c r="L376" s="19" t="inlineStr"/>
      <c r="M376" s="22" t="inlineStr"/>
    </row>
    <row r="377" ht="18" customHeight="1">
      <c r="A377" s="11" t="inlineStr">
        <is>
          <t>RA-5</t>
        </is>
      </c>
      <c r="B377" s="12" t="inlineStr">
        <is>
          <t>Vulnerability Scanning</t>
        </is>
      </c>
      <c r="C377" s="12" t="inlineStr">
        <is>
          <t>Documentation</t>
        </is>
      </c>
      <c r="D377" s="11" t="inlineStr">
        <is>
          <t>RA</t>
        </is>
      </c>
      <c r="E377" s="12" t="inlineStr">
        <is>
          <t>Documentation</t>
        </is>
      </c>
      <c r="F377" s="12" t="inlineStr">
        <is>
          <t>RA-5</t>
        </is>
      </c>
      <c r="G377" s="13">
        <f>IFERROR('[Documentation.xlsx]RA-5'!B20,"Not Started")</f>
        <v/>
      </c>
      <c r="H377" s="14">
        <f>IF(OR(G377="Passed",G377="Accepted Exception"),"GREEN",IF(OR(G377="Not Started",G377="Failed"),"RED","AMBER"))</f>
        <v/>
      </c>
      <c r="I377" s="15">
        <f>IFERROR('[Documentation.xlsx]RA-5'!E20,"Non commencé")</f>
        <v/>
      </c>
      <c r="J377" s="16">
        <f>IF(OR(I377="Réussi",I377="Exception acceptée"),"GREEN",IF(OR(I377="Non commencé",I377="Échec"),"RED","AMBER"))</f>
        <v/>
      </c>
      <c r="K377" s="12" t="inlineStr"/>
      <c r="L377" s="12" t="inlineStr"/>
      <c r="M377" s="17" t="inlineStr"/>
    </row>
    <row r="378" ht="18" customHeight="1">
      <c r="A378" s="18" t="inlineStr">
        <is>
          <t>SA-1</t>
        </is>
      </c>
      <c r="B378" s="19" t="inlineStr">
        <is>
          <t>System and Services Acquisition Policy and Procedures</t>
        </is>
      </c>
      <c r="C378" s="19" t="inlineStr">
        <is>
          <t>Documentation</t>
        </is>
      </c>
      <c r="D378" s="18" t="inlineStr">
        <is>
          <t>SA</t>
        </is>
      </c>
      <c r="E378" s="19" t="inlineStr">
        <is>
          <t>Documentation</t>
        </is>
      </c>
      <c r="F378" s="19" t="inlineStr">
        <is>
          <t>SA-1</t>
        </is>
      </c>
      <c r="G378" s="20">
        <f>IFERROR('[Documentation.xlsx]SA-1'!B20,"Not Started")</f>
        <v/>
      </c>
      <c r="H378" s="14">
        <f>IF(OR(G378="Passed",G378="Accepted Exception"),"GREEN",IF(OR(G378="Not Started",G378="Failed"),"RED","AMBER"))</f>
        <v/>
      </c>
      <c r="I378" s="21">
        <f>IFERROR('[Documentation.xlsx]SA-1'!E20,"Non commencé")</f>
        <v/>
      </c>
      <c r="J378" s="16">
        <f>IF(OR(I378="Réussi",I378="Exception acceptée"),"GREEN",IF(OR(I378="Non commencé",I378="Échec"),"RED","AMBER"))</f>
        <v/>
      </c>
      <c r="K378" s="19" t="inlineStr"/>
      <c r="L378" s="19" t="inlineStr"/>
      <c r="M378" s="22" t="inlineStr"/>
    </row>
    <row r="379" ht="18" customHeight="1">
      <c r="A379" s="11" t="inlineStr">
        <is>
          <t>SA-2</t>
        </is>
      </c>
      <c r="B379" s="12" t="inlineStr">
        <is>
          <t>Allocation of Resources</t>
        </is>
      </c>
      <c r="C379" s="12" t="inlineStr">
        <is>
          <t>Documentation</t>
        </is>
      </c>
      <c r="D379" s="11" t="inlineStr">
        <is>
          <t>SA</t>
        </is>
      </c>
      <c r="E379" s="12" t="inlineStr">
        <is>
          <t>Documentation</t>
        </is>
      </c>
      <c r="F379" s="12" t="inlineStr">
        <is>
          <t>SA-2</t>
        </is>
      </c>
      <c r="G379" s="13">
        <f>IFERROR('[Documentation.xlsx]SA-2'!B20,"Not Started")</f>
        <v/>
      </c>
      <c r="H379" s="14">
        <f>IF(OR(G379="Passed",G379="Accepted Exception"),"GREEN",IF(OR(G379="Not Started",G379="Failed"),"RED","AMBER"))</f>
        <v/>
      </c>
      <c r="I379" s="15">
        <f>IFERROR('[Documentation.xlsx]SA-2'!E20,"Non commencé")</f>
        <v/>
      </c>
      <c r="J379" s="16">
        <f>IF(OR(I379="Réussi",I379="Exception acceptée"),"GREEN",IF(OR(I379="Non commencé",I379="Échec"),"RED","AMBER"))</f>
        <v/>
      </c>
      <c r="K379" s="12" t="inlineStr"/>
      <c r="L379" s="12" t="inlineStr"/>
      <c r="M379" s="17" t="inlineStr"/>
    </row>
    <row r="380" ht="18" customHeight="1">
      <c r="A380" s="18" t="inlineStr">
        <is>
          <t>SA-3</t>
        </is>
      </c>
      <c r="B380" s="19" t="inlineStr">
        <is>
          <t>System Development Lifecycle</t>
        </is>
      </c>
      <c r="C380" s="19" t="inlineStr">
        <is>
          <t>Documentation</t>
        </is>
      </c>
      <c r="D380" s="18" t="inlineStr">
        <is>
          <t>SA</t>
        </is>
      </c>
      <c r="E380" s="19" t="inlineStr">
        <is>
          <t>Documentation</t>
        </is>
      </c>
      <c r="F380" s="19" t="inlineStr">
        <is>
          <t>SA-3</t>
        </is>
      </c>
      <c r="G380" s="20">
        <f>IFERROR('[Documentation.xlsx]SA-3'!B20,"Not Started")</f>
        <v/>
      </c>
      <c r="H380" s="14">
        <f>IF(OR(G380="Passed",G380="Accepted Exception"),"GREEN",IF(OR(G380="Not Started",G380="Failed"),"RED","AMBER"))</f>
        <v/>
      </c>
      <c r="I380" s="21">
        <f>IFERROR('[Documentation.xlsx]SA-3'!E20,"Non commencé")</f>
        <v/>
      </c>
      <c r="J380" s="16">
        <f>IF(OR(I380="Réussi",I380="Exception acceptée"),"GREEN",IF(OR(I380="Non commencé",I380="Échec"),"RED","AMBER"))</f>
        <v/>
      </c>
      <c r="K380" s="19" t="inlineStr"/>
      <c r="L380" s="19" t="inlineStr"/>
      <c r="M380" s="22" t="inlineStr"/>
    </row>
    <row r="381" ht="18" customHeight="1">
      <c r="A381" s="11" t="inlineStr">
        <is>
          <t>SA-4</t>
        </is>
      </c>
      <c r="B381" s="12" t="inlineStr">
        <is>
          <t>Acquisition Process</t>
        </is>
      </c>
      <c r="C381" s="12" t="inlineStr">
        <is>
          <t>Documentation</t>
        </is>
      </c>
      <c r="D381" s="11" t="inlineStr">
        <is>
          <t>SA</t>
        </is>
      </c>
      <c r="E381" s="12" t="inlineStr">
        <is>
          <t>Documentation</t>
        </is>
      </c>
      <c r="F381" s="12" t="inlineStr">
        <is>
          <t>SA-4</t>
        </is>
      </c>
      <c r="G381" s="13">
        <f>IFERROR('[Documentation.xlsx]SA-4'!B20,"Not Started")</f>
        <v/>
      </c>
      <c r="H381" s="14">
        <f>IF(OR(G381="Passed",G381="Accepted Exception"),"GREEN",IF(OR(G381="Not Started",G381="Failed"),"RED","AMBER"))</f>
        <v/>
      </c>
      <c r="I381" s="15">
        <f>IFERROR('[Documentation.xlsx]SA-4'!E20,"Non commencé")</f>
        <v/>
      </c>
      <c r="J381" s="16">
        <f>IF(OR(I381="Réussi",I381="Exception acceptée"),"GREEN",IF(OR(I381="Non commencé",I381="Échec"),"RED","AMBER"))</f>
        <v/>
      </c>
      <c r="K381" s="12" t="inlineStr"/>
      <c r="L381" s="12" t="inlineStr"/>
      <c r="M381" s="17" t="inlineStr"/>
    </row>
    <row r="382" ht="18" customHeight="1">
      <c r="A382" s="18" t="inlineStr">
        <is>
          <t>SA-4(1)</t>
        </is>
      </c>
      <c r="B382" s="19" t="inlineStr">
        <is>
          <t>Acquisition Process</t>
        </is>
      </c>
      <c r="C382" s="19" t="inlineStr">
        <is>
          <t>Documentation</t>
        </is>
      </c>
      <c r="D382" s="18" t="inlineStr">
        <is>
          <t>SA</t>
        </is>
      </c>
      <c r="E382" s="19" t="inlineStr">
        <is>
          <t>Documentation</t>
        </is>
      </c>
      <c r="F382" s="19" t="inlineStr">
        <is>
          <t>SA-4-1</t>
        </is>
      </c>
      <c r="G382" s="20">
        <f>IFERROR('[Documentation.xlsx]SA-4-1'!B20,"Not Started")</f>
        <v/>
      </c>
      <c r="H382" s="14">
        <f>IF(OR(G382="Passed",G382="Accepted Exception"),"GREEN",IF(OR(G382="Not Started",G382="Failed"),"RED","AMBER"))</f>
        <v/>
      </c>
      <c r="I382" s="21">
        <f>IFERROR('[Documentation.xlsx]SA-4-1'!E20,"Non commencé")</f>
        <v/>
      </c>
      <c r="J382" s="16">
        <f>IF(OR(I382="Réussi",I382="Exception acceptée"),"GREEN",IF(OR(I382="Non commencé",I382="Échec"),"RED","AMBER"))</f>
        <v/>
      </c>
      <c r="K382" s="19" t="inlineStr"/>
      <c r="L382" s="19" t="inlineStr"/>
      <c r="M382" s="22" t="inlineStr"/>
    </row>
    <row r="383" ht="18" customHeight="1">
      <c r="A383" s="11" t="inlineStr">
        <is>
          <t>SA-4(2)</t>
        </is>
      </c>
      <c r="B383" s="12" t="inlineStr">
        <is>
          <t>Acquisition Process</t>
        </is>
      </c>
      <c r="C383" s="12" t="inlineStr">
        <is>
          <t>Documentation</t>
        </is>
      </c>
      <c r="D383" s="11" t="inlineStr">
        <is>
          <t>SA</t>
        </is>
      </c>
      <c r="E383" s="12" t="inlineStr">
        <is>
          <t>Documentation</t>
        </is>
      </c>
      <c r="F383" s="12" t="inlineStr">
        <is>
          <t>SA-4-2</t>
        </is>
      </c>
      <c r="G383" s="13">
        <f>IFERROR('[Documentation.xlsx]SA-4-2'!B20,"Not Started")</f>
        <v/>
      </c>
      <c r="H383" s="14">
        <f>IF(OR(G383="Passed",G383="Accepted Exception"),"GREEN",IF(OR(G383="Not Started",G383="Failed"),"RED","AMBER"))</f>
        <v/>
      </c>
      <c r="I383" s="15">
        <f>IFERROR('[Documentation.xlsx]SA-4-2'!E20,"Non commencé")</f>
        <v/>
      </c>
      <c r="J383" s="16">
        <f>IF(OR(I383="Réussi",I383="Exception acceptée"),"GREEN",IF(OR(I383="Non commencé",I383="Échec"),"RED","AMBER"))</f>
        <v/>
      </c>
      <c r="K383" s="12" t="inlineStr"/>
      <c r="L383" s="12" t="inlineStr"/>
      <c r="M383" s="17" t="inlineStr"/>
    </row>
    <row r="384" ht="18" customHeight="1">
      <c r="A384" s="18" t="inlineStr">
        <is>
          <t>SA-4(8)</t>
        </is>
      </c>
      <c r="B384" s="19" t="inlineStr">
        <is>
          <t>Acquisition Process</t>
        </is>
      </c>
      <c r="C384" s="19" t="inlineStr">
        <is>
          <t>Documentation</t>
        </is>
      </c>
      <c r="D384" s="18" t="inlineStr">
        <is>
          <t>SA</t>
        </is>
      </c>
      <c r="E384" s="19" t="inlineStr">
        <is>
          <t>Documentation</t>
        </is>
      </c>
      <c r="F384" s="19" t="inlineStr">
        <is>
          <t>SA-4-8</t>
        </is>
      </c>
      <c r="G384" s="20">
        <f>IFERROR('[Documentation.xlsx]SA-4-8'!B20,"Not Started")</f>
        <v/>
      </c>
      <c r="H384" s="14">
        <f>IF(OR(G384="Passed",G384="Accepted Exception"),"GREEN",IF(OR(G384="Not Started",G384="Failed"),"RED","AMBER"))</f>
        <v/>
      </c>
      <c r="I384" s="21">
        <f>IFERROR('[Documentation.xlsx]SA-4-8'!E20,"Non commencé")</f>
        <v/>
      </c>
      <c r="J384" s="16">
        <f>IF(OR(I384="Réussi",I384="Exception acceptée"),"GREEN",IF(OR(I384="Non commencé",I384="Échec"),"RED","AMBER"))</f>
        <v/>
      </c>
      <c r="K384" s="19" t="inlineStr"/>
      <c r="L384" s="19" t="inlineStr"/>
      <c r="M384" s="22" t="inlineStr"/>
    </row>
    <row r="385" ht="18" customHeight="1">
      <c r="A385" s="11" t="inlineStr">
        <is>
          <t>SA-4(9)</t>
        </is>
      </c>
      <c r="B385" s="12" t="inlineStr">
        <is>
          <t>Acquisition Process</t>
        </is>
      </c>
      <c r="C385" s="12" t="inlineStr">
        <is>
          <t>Documentation</t>
        </is>
      </c>
      <c r="D385" s="11" t="inlineStr">
        <is>
          <t>SA</t>
        </is>
      </c>
      <c r="E385" s="12" t="inlineStr">
        <is>
          <t>Documentation</t>
        </is>
      </c>
      <c r="F385" s="12" t="inlineStr">
        <is>
          <t>SA-4-9</t>
        </is>
      </c>
      <c r="G385" s="13">
        <f>IFERROR('[Documentation.xlsx]SA-4-9'!B20,"Not Started")</f>
        <v/>
      </c>
      <c r="H385" s="14">
        <f>IF(OR(G385="Passed",G385="Accepted Exception"),"GREEN",IF(OR(G385="Not Started",G385="Failed"),"RED","AMBER"))</f>
        <v/>
      </c>
      <c r="I385" s="15">
        <f>IFERROR('[Documentation.xlsx]SA-4-9'!E20,"Non commencé")</f>
        <v/>
      </c>
      <c r="J385" s="16">
        <f>IF(OR(I385="Réussi",I385="Exception acceptée"),"GREEN",IF(OR(I385="Non commencé",I385="Échec"),"RED","AMBER"))</f>
        <v/>
      </c>
      <c r="K385" s="12" t="inlineStr"/>
      <c r="L385" s="12" t="inlineStr"/>
      <c r="M385" s="17" t="inlineStr"/>
    </row>
    <row r="386" ht="18" customHeight="1">
      <c r="A386" s="18" t="inlineStr">
        <is>
          <t>SA-5</t>
        </is>
      </c>
      <c r="B386" s="19" t="inlineStr">
        <is>
          <t>Information System Documentation</t>
        </is>
      </c>
      <c r="C386" s="19" t="inlineStr">
        <is>
          <t>Documentation</t>
        </is>
      </c>
      <c r="D386" s="18" t="inlineStr">
        <is>
          <t>SA</t>
        </is>
      </c>
      <c r="E386" s="19" t="inlineStr">
        <is>
          <t>Documentation</t>
        </is>
      </c>
      <c r="F386" s="19" t="inlineStr">
        <is>
          <t>SA-5</t>
        </is>
      </c>
      <c r="G386" s="20">
        <f>IFERROR('[Documentation.xlsx]SA-5'!B20,"Not Started")</f>
        <v/>
      </c>
      <c r="H386" s="14">
        <f>IF(OR(G386="Passed",G386="Accepted Exception"),"GREEN",IF(OR(G386="Not Started",G386="Failed"),"RED","AMBER"))</f>
        <v/>
      </c>
      <c r="I386" s="21">
        <f>IFERROR('[Documentation.xlsx]SA-5'!E20,"Non commencé")</f>
        <v/>
      </c>
      <c r="J386" s="16">
        <f>IF(OR(I386="Réussi",I386="Exception acceptée"),"GREEN",IF(OR(I386="Non commencé",I386="Échec"),"RED","AMBER"))</f>
        <v/>
      </c>
      <c r="K386" s="19" t="inlineStr"/>
      <c r="L386" s="19" t="inlineStr"/>
      <c r="M386" s="22" t="inlineStr"/>
    </row>
    <row r="387" ht="18" customHeight="1">
      <c r="A387" s="11" t="inlineStr">
        <is>
          <t>SA-8</t>
        </is>
      </c>
      <c r="B387" s="12" t="inlineStr">
        <is>
          <t>Security Engineering Principles</t>
        </is>
      </c>
      <c r="C387" s="12" t="inlineStr">
        <is>
          <t>Documentation</t>
        </is>
      </c>
      <c r="D387" s="11" t="inlineStr">
        <is>
          <t>SA</t>
        </is>
      </c>
      <c r="E387" s="12" t="inlineStr">
        <is>
          <t>Documentation</t>
        </is>
      </c>
      <c r="F387" s="12" t="inlineStr">
        <is>
          <t>SA-8</t>
        </is>
      </c>
      <c r="G387" s="13">
        <f>IFERROR('[Documentation.xlsx]SA-8'!B20,"Not Started")</f>
        <v/>
      </c>
      <c r="H387" s="14">
        <f>IF(OR(G387="Passed",G387="Accepted Exception"),"GREEN",IF(OR(G387="Not Started",G387="Failed"),"RED","AMBER"))</f>
        <v/>
      </c>
      <c r="I387" s="15">
        <f>IFERROR('[Documentation.xlsx]SA-8'!E20,"Non commencé")</f>
        <v/>
      </c>
      <c r="J387" s="16">
        <f>IF(OR(I387="Réussi",I387="Exception acceptée"),"GREEN",IF(OR(I387="Non commencé",I387="Échec"),"RED","AMBER"))</f>
        <v/>
      </c>
      <c r="K387" s="12" t="inlineStr"/>
      <c r="L387" s="12" t="inlineStr"/>
      <c r="M387" s="17" t="inlineStr"/>
    </row>
    <row r="388" ht="18" customHeight="1">
      <c r="A388" s="18" t="inlineStr">
        <is>
          <t>SA-9</t>
        </is>
      </c>
      <c r="B388" s="19" t="inlineStr">
        <is>
          <t>External Information System Services</t>
        </is>
      </c>
      <c r="C388" s="19" t="inlineStr">
        <is>
          <t>Documentation</t>
        </is>
      </c>
      <c r="D388" s="18" t="inlineStr">
        <is>
          <t>SA</t>
        </is>
      </c>
      <c r="E388" s="19" t="inlineStr">
        <is>
          <t>Documentation</t>
        </is>
      </c>
      <c r="F388" s="19" t="inlineStr">
        <is>
          <t>SA-9</t>
        </is>
      </c>
      <c r="G388" s="20">
        <f>IFERROR('[Documentation.xlsx]SA-9'!B20,"Not Started")</f>
        <v/>
      </c>
      <c r="H388" s="14">
        <f>IF(OR(G388="Passed",G388="Accepted Exception"),"GREEN",IF(OR(G388="Not Started",G388="Failed"),"RED","AMBER"))</f>
        <v/>
      </c>
      <c r="I388" s="21">
        <f>IFERROR('[Documentation.xlsx]SA-9'!E20,"Non commencé")</f>
        <v/>
      </c>
      <c r="J388" s="16">
        <f>IF(OR(I388="Réussi",I388="Exception acceptée"),"GREEN",IF(OR(I388="Non commencé",I388="Échec"),"RED","AMBER"))</f>
        <v/>
      </c>
      <c r="K388" s="19" t="inlineStr"/>
      <c r="L388" s="19" t="inlineStr"/>
      <c r="M388" s="22" t="inlineStr"/>
    </row>
    <row r="389" ht="18" customHeight="1">
      <c r="A389" s="11" t="inlineStr">
        <is>
          <t>SA-9(1)</t>
        </is>
      </c>
      <c r="B389" s="12" t="inlineStr">
        <is>
          <t>External Information System Services</t>
        </is>
      </c>
      <c r="C389" s="12" t="inlineStr">
        <is>
          <t>Documentation</t>
        </is>
      </c>
      <c r="D389" s="11" t="inlineStr">
        <is>
          <t>SA</t>
        </is>
      </c>
      <c r="E389" s="12" t="inlineStr">
        <is>
          <t>Documentation</t>
        </is>
      </c>
      <c r="F389" s="12" t="inlineStr">
        <is>
          <t>SA-9-1</t>
        </is>
      </c>
      <c r="G389" s="13">
        <f>IFERROR('[Documentation.xlsx]SA-9-1'!B20,"Not Started")</f>
        <v/>
      </c>
      <c r="H389" s="14">
        <f>IF(OR(G389="Passed",G389="Accepted Exception"),"GREEN",IF(OR(G389="Not Started",G389="Failed"),"RED","AMBER"))</f>
        <v/>
      </c>
      <c r="I389" s="15">
        <f>IFERROR('[Documentation.xlsx]SA-9-1'!E20,"Non commencé")</f>
        <v/>
      </c>
      <c r="J389" s="16">
        <f>IF(OR(I389="Réussi",I389="Exception acceptée"),"GREEN",IF(OR(I389="Non commencé",I389="Échec"),"RED","AMBER"))</f>
        <v/>
      </c>
      <c r="K389" s="12" t="inlineStr"/>
      <c r="L389" s="12" t="inlineStr"/>
      <c r="M389" s="17" t="inlineStr"/>
    </row>
    <row r="390" ht="18" customHeight="1">
      <c r="A390" s="18" t="inlineStr">
        <is>
          <t>SA-9(2)</t>
        </is>
      </c>
      <c r="B390" s="19" t="inlineStr">
        <is>
          <t>External Information System Services</t>
        </is>
      </c>
      <c r="C390" s="19" t="inlineStr">
        <is>
          <t>Documentation</t>
        </is>
      </c>
      <c r="D390" s="18" t="inlineStr">
        <is>
          <t>SA</t>
        </is>
      </c>
      <c r="E390" s="19" t="inlineStr">
        <is>
          <t>Documentation</t>
        </is>
      </c>
      <c r="F390" s="19" t="inlineStr">
        <is>
          <t>SA-9-2</t>
        </is>
      </c>
      <c r="G390" s="20">
        <f>IFERROR('[Documentation.xlsx]SA-9-2'!B20,"Not Started")</f>
        <v/>
      </c>
      <c r="H390" s="14">
        <f>IF(OR(G390="Passed",G390="Accepted Exception"),"GREEN",IF(OR(G390="Not Started",G390="Failed"),"RED","AMBER"))</f>
        <v/>
      </c>
      <c r="I390" s="21">
        <f>IFERROR('[Documentation.xlsx]SA-9-2'!E20,"Non commencé")</f>
        <v/>
      </c>
      <c r="J390" s="16">
        <f>IF(OR(I390="Réussi",I390="Exception acceptée"),"GREEN",IF(OR(I390="Non commencé",I390="Échec"),"RED","AMBER"))</f>
        <v/>
      </c>
      <c r="K390" s="19" t="inlineStr"/>
      <c r="L390" s="19" t="inlineStr"/>
      <c r="M390" s="22" t="inlineStr"/>
    </row>
    <row r="391" ht="18" customHeight="1">
      <c r="A391" s="11" t="inlineStr">
        <is>
          <t>SA-9(4)</t>
        </is>
      </c>
      <c r="B391" s="12" t="inlineStr">
        <is>
          <t>External Information System Services</t>
        </is>
      </c>
      <c r="C391" s="12" t="inlineStr">
        <is>
          <t>Documentation</t>
        </is>
      </c>
      <c r="D391" s="11" t="inlineStr">
        <is>
          <t>SA</t>
        </is>
      </c>
      <c r="E391" s="12" t="inlineStr">
        <is>
          <t>Documentation</t>
        </is>
      </c>
      <c r="F391" s="12" t="inlineStr">
        <is>
          <t>SA-9-4</t>
        </is>
      </c>
      <c r="G391" s="13">
        <f>IFERROR('[Documentation.xlsx]SA-9-4'!B20,"Not Started")</f>
        <v/>
      </c>
      <c r="H391" s="14">
        <f>IF(OR(G391="Passed",G391="Accepted Exception"),"GREEN",IF(OR(G391="Not Started",G391="Failed"),"RED","AMBER"))</f>
        <v/>
      </c>
      <c r="I391" s="15">
        <f>IFERROR('[Documentation.xlsx]SA-9-4'!E20,"Non commencé")</f>
        <v/>
      </c>
      <c r="J391" s="16">
        <f>IF(OR(I391="Réussi",I391="Exception acceptée"),"GREEN",IF(OR(I391="Non commencé",I391="Échec"),"RED","AMBER"))</f>
        <v/>
      </c>
      <c r="K391" s="12" t="inlineStr"/>
      <c r="L391" s="12" t="inlineStr"/>
      <c r="M391" s="17" t="inlineStr"/>
    </row>
    <row r="392" ht="18" customHeight="1">
      <c r="A392" s="18" t="inlineStr">
        <is>
          <t>SA-9(5)</t>
        </is>
      </c>
      <c r="B392" s="19" t="inlineStr">
        <is>
          <t>External Information System Services</t>
        </is>
      </c>
      <c r="C392" s="19" t="inlineStr">
        <is>
          <t>Documentation</t>
        </is>
      </c>
      <c r="D392" s="18" t="inlineStr">
        <is>
          <t>SA</t>
        </is>
      </c>
      <c r="E392" s="19" t="inlineStr">
        <is>
          <t>Documentation</t>
        </is>
      </c>
      <c r="F392" s="19" t="inlineStr">
        <is>
          <t>SA-9-5</t>
        </is>
      </c>
      <c r="G392" s="20">
        <f>IFERROR('[Documentation.xlsx]SA-9-5'!B20,"Not Started")</f>
        <v/>
      </c>
      <c r="H392" s="14">
        <f>IF(OR(G392="Passed",G392="Accepted Exception"),"GREEN",IF(OR(G392="Not Started",G392="Failed"),"RED","AMBER"))</f>
        <v/>
      </c>
      <c r="I392" s="21">
        <f>IFERROR('[Documentation.xlsx]SA-9-5'!E20,"Non commencé")</f>
        <v/>
      </c>
      <c r="J392" s="16">
        <f>IF(OR(I392="Réussi",I392="Exception acceptée"),"GREEN",IF(OR(I392="Non commencé",I392="Échec"),"RED","AMBER"))</f>
        <v/>
      </c>
      <c r="K392" s="19" t="inlineStr"/>
      <c r="L392" s="19" t="inlineStr"/>
      <c r="M392" s="22" t="inlineStr"/>
    </row>
    <row r="393" ht="18" customHeight="1">
      <c r="A393" s="11" t="inlineStr">
        <is>
          <t>SA-10</t>
        </is>
      </c>
      <c r="B393" s="12" t="inlineStr">
        <is>
          <t>Developer Configuration Management</t>
        </is>
      </c>
      <c r="C393" s="12" t="inlineStr">
        <is>
          <t>Documentation</t>
        </is>
      </c>
      <c r="D393" s="11" t="inlineStr">
        <is>
          <t>SA</t>
        </is>
      </c>
      <c r="E393" s="12" t="inlineStr">
        <is>
          <t>Documentation</t>
        </is>
      </c>
      <c r="F393" s="12" t="inlineStr">
        <is>
          <t>SA-10</t>
        </is>
      </c>
      <c r="G393" s="13">
        <f>IFERROR('[Documentation.xlsx]SA-10'!B20,"Not Started")</f>
        <v/>
      </c>
      <c r="H393" s="14">
        <f>IF(OR(G393="Passed",G393="Accepted Exception"),"GREEN",IF(OR(G393="Not Started",G393="Failed"),"RED","AMBER"))</f>
        <v/>
      </c>
      <c r="I393" s="15">
        <f>IFERROR('[Documentation.xlsx]SA-10'!E20,"Non commencé")</f>
        <v/>
      </c>
      <c r="J393" s="16">
        <f>IF(OR(I393="Réussi",I393="Exception acceptée"),"GREEN",IF(OR(I393="Non commencé",I393="Échec"),"RED","AMBER"))</f>
        <v/>
      </c>
      <c r="K393" s="12" t="inlineStr"/>
      <c r="L393" s="12" t="inlineStr"/>
      <c r="M393" s="17" t="inlineStr"/>
    </row>
    <row r="394" ht="18" customHeight="1">
      <c r="A394" s="18" t="inlineStr">
        <is>
          <t>SA-11</t>
        </is>
      </c>
      <c r="B394" s="19" t="inlineStr">
        <is>
          <t>Developer Security Testing</t>
        </is>
      </c>
      <c r="C394" s="19" t="inlineStr">
        <is>
          <t>Documentation</t>
        </is>
      </c>
      <c r="D394" s="18" t="inlineStr">
        <is>
          <t>SA</t>
        </is>
      </c>
      <c r="E394" s="19" t="inlineStr">
        <is>
          <t>Documentation</t>
        </is>
      </c>
      <c r="F394" s="19" t="inlineStr">
        <is>
          <t>SA-11</t>
        </is>
      </c>
      <c r="G394" s="20">
        <f>IFERROR('[Documentation.xlsx]SA-11'!B20,"Not Started")</f>
        <v/>
      </c>
      <c r="H394" s="14">
        <f>IF(OR(G394="Passed",G394="Accepted Exception"),"GREEN",IF(OR(G394="Not Started",G394="Failed"),"RED","AMBER"))</f>
        <v/>
      </c>
      <c r="I394" s="21">
        <f>IFERROR('[Documentation.xlsx]SA-11'!E20,"Non commencé")</f>
        <v/>
      </c>
      <c r="J394" s="16">
        <f>IF(OR(I394="Réussi",I394="Exception acceptée"),"GREEN",IF(OR(I394="Non commencé",I394="Échec"),"RED","AMBER"))</f>
        <v/>
      </c>
      <c r="K394" s="19" t="inlineStr"/>
      <c r="L394" s="19" t="inlineStr"/>
      <c r="M394" s="22" t="inlineStr"/>
    </row>
    <row r="395" ht="18" customHeight="1">
      <c r="A395" s="11" t="inlineStr">
        <is>
          <t>SA-15</t>
        </is>
      </c>
      <c r="B395" s="12" t="inlineStr">
        <is>
          <t>Development Process, Standards, and Tool</t>
        </is>
      </c>
      <c r="C395" s="12" t="inlineStr">
        <is>
          <t>Documentation</t>
        </is>
      </c>
      <c r="D395" s="11" t="inlineStr">
        <is>
          <t>SA</t>
        </is>
      </c>
      <c r="E395" s="12" t="inlineStr">
        <is>
          <t>Documentation</t>
        </is>
      </c>
      <c r="F395" s="12" t="inlineStr">
        <is>
          <t>SA-15</t>
        </is>
      </c>
      <c r="G395" s="13">
        <f>IFERROR('[Documentation.xlsx]SA-15'!B20,"Not Started")</f>
        <v/>
      </c>
      <c r="H395" s="14">
        <f>IF(OR(G395="Passed",G395="Accepted Exception"),"GREEN",IF(OR(G395="Not Started",G395="Failed"),"RED","AMBER"))</f>
        <v/>
      </c>
      <c r="I395" s="15">
        <f>IFERROR('[Documentation.xlsx]SA-15'!E20,"Non commencé")</f>
        <v/>
      </c>
      <c r="J395" s="16">
        <f>IF(OR(I395="Réussi",I395="Exception acceptée"),"GREEN",IF(OR(I395="Non commencé",I395="Échec"),"RED","AMBER"))</f>
        <v/>
      </c>
      <c r="K395" s="12" t="inlineStr"/>
      <c r="L395" s="12" t="inlineStr"/>
      <c r="M395" s="17" t="inlineStr"/>
    </row>
    <row r="396" ht="18" customHeight="1">
      <c r="A396" s="18" t="inlineStr">
        <is>
          <t>SC-1</t>
        </is>
      </c>
      <c r="B396" s="19" t="inlineStr">
        <is>
          <t>System and Communications Protection Policy and Procedures</t>
        </is>
      </c>
      <c r="C396" s="19" t="inlineStr">
        <is>
          <t>Documentation</t>
        </is>
      </c>
      <c r="D396" s="18" t="inlineStr">
        <is>
          <t>SC</t>
        </is>
      </c>
      <c r="E396" s="19" t="inlineStr">
        <is>
          <t>Documentation</t>
        </is>
      </c>
      <c r="F396" s="19" t="inlineStr">
        <is>
          <t>SC-1</t>
        </is>
      </c>
      <c r="G396" s="20">
        <f>IFERROR('[Documentation.xlsx]SC-1'!B20,"Not Started")</f>
        <v/>
      </c>
      <c r="H396" s="14">
        <f>IF(OR(G396="Passed",G396="Accepted Exception"),"GREEN",IF(OR(G396="Not Started",G396="Failed"),"RED","AMBER"))</f>
        <v/>
      </c>
      <c r="I396" s="21">
        <f>IFERROR('[Documentation.xlsx]SC-1'!E20,"Non commencé")</f>
        <v/>
      </c>
      <c r="J396" s="16">
        <f>IF(OR(I396="Réussi",I396="Exception acceptée"),"GREEN",IF(OR(I396="Non commencé",I396="Échec"),"RED","AMBER"))</f>
        <v/>
      </c>
      <c r="K396" s="19" t="inlineStr"/>
      <c r="L396" s="19" t="inlineStr"/>
      <c r="M396" s="22" t="inlineStr"/>
    </row>
    <row r="397" ht="18" customHeight="1">
      <c r="A397" s="11" t="inlineStr">
        <is>
          <t>SC-7(3)</t>
        </is>
      </c>
      <c r="B397" s="12" t="inlineStr">
        <is>
          <t>Boundary Protection</t>
        </is>
      </c>
      <c r="C397" s="12" t="inlineStr">
        <is>
          <t>Documentation</t>
        </is>
      </c>
      <c r="D397" s="11" t="inlineStr">
        <is>
          <t>SC</t>
        </is>
      </c>
      <c r="E397" s="12" t="inlineStr">
        <is>
          <t>Documentation</t>
        </is>
      </c>
      <c r="F397" s="12" t="inlineStr">
        <is>
          <t>SC-7-3</t>
        </is>
      </c>
      <c r="G397" s="13">
        <f>IFERROR('[Documentation.xlsx]SC-7-3'!B20,"Not Started")</f>
        <v/>
      </c>
      <c r="H397" s="14">
        <f>IF(OR(G397="Passed",G397="Accepted Exception"),"GREEN",IF(OR(G397="Not Started",G397="Failed"),"RED","AMBER"))</f>
        <v/>
      </c>
      <c r="I397" s="15">
        <f>IFERROR('[Documentation.xlsx]SC-7-3'!E20,"Non commencé")</f>
        <v/>
      </c>
      <c r="J397" s="16">
        <f>IF(OR(I397="Réussi",I397="Exception acceptée"),"GREEN",IF(OR(I397="Non commencé",I397="Échec"),"RED","AMBER"))</f>
        <v/>
      </c>
      <c r="K397" s="12" t="inlineStr"/>
      <c r="L397" s="12" t="inlineStr"/>
      <c r="M397" s="17" t="inlineStr"/>
    </row>
    <row r="398" ht="18" customHeight="1">
      <c r="A398" s="18" t="inlineStr">
        <is>
          <t>SC-7(4)</t>
        </is>
      </c>
      <c r="B398" s="19" t="inlineStr">
        <is>
          <t>Boundary Protection</t>
        </is>
      </c>
      <c r="C398" s="19" t="inlineStr">
        <is>
          <t>Documentation</t>
        </is>
      </c>
      <c r="D398" s="18" t="inlineStr">
        <is>
          <t>SC</t>
        </is>
      </c>
      <c r="E398" s="19" t="inlineStr">
        <is>
          <t>Documentation</t>
        </is>
      </c>
      <c r="F398" s="19" t="inlineStr">
        <is>
          <t>SC-7-4</t>
        </is>
      </c>
      <c r="G398" s="20">
        <f>IFERROR('[Documentation.xlsx]SC-7-4'!B20,"Not Started")</f>
        <v/>
      </c>
      <c r="H398" s="14">
        <f>IF(OR(G398="Passed",G398="Accepted Exception"),"GREEN",IF(OR(G398="Not Started",G398="Failed"),"RED","AMBER"))</f>
        <v/>
      </c>
      <c r="I398" s="21">
        <f>IFERROR('[Documentation.xlsx]SC-7-4'!E20,"Non commencé")</f>
        <v/>
      </c>
      <c r="J398" s="16">
        <f>IF(OR(I398="Réussi",I398="Exception acceptée"),"GREEN",IF(OR(I398="Non commencé",I398="Échec"),"RED","AMBER"))</f>
        <v/>
      </c>
      <c r="K398" s="19" t="inlineStr"/>
      <c r="L398" s="19" t="inlineStr"/>
      <c r="M398" s="22" t="inlineStr"/>
    </row>
    <row r="399" ht="18" customHeight="1">
      <c r="A399" s="11" t="inlineStr">
        <is>
          <t>SC-18</t>
        </is>
      </c>
      <c r="B399" s="12" t="inlineStr">
        <is>
          <t>Mobile Code</t>
        </is>
      </c>
      <c r="C399" s="12" t="inlineStr">
        <is>
          <t>Documentation</t>
        </is>
      </c>
      <c r="D399" s="11" t="inlineStr">
        <is>
          <t>SC</t>
        </is>
      </c>
      <c r="E399" s="12" t="inlineStr">
        <is>
          <t>Documentation</t>
        </is>
      </c>
      <c r="F399" s="12" t="inlineStr">
        <is>
          <t>SC-18</t>
        </is>
      </c>
      <c r="G399" s="13">
        <f>IFERROR('[Documentation.xlsx]SC-18'!B20,"Not Started")</f>
        <v/>
      </c>
      <c r="H399" s="14">
        <f>IF(OR(G399="Passed",G399="Accepted Exception"),"GREEN",IF(OR(G399="Not Started",G399="Failed"),"RED","AMBER"))</f>
        <v/>
      </c>
      <c r="I399" s="15">
        <f>IFERROR('[Documentation.xlsx]SC-18'!E20,"Non commencé")</f>
        <v/>
      </c>
      <c r="J399" s="16">
        <f>IF(OR(I399="Réussi",I399="Exception acceptée"),"GREEN",IF(OR(I399="Non commencé",I399="Échec"),"RED","AMBER"))</f>
        <v/>
      </c>
      <c r="K399" s="12" t="inlineStr"/>
      <c r="L399" s="12" t="inlineStr"/>
      <c r="M399" s="17" t="inlineStr"/>
    </row>
    <row r="400" ht="18" customHeight="1">
      <c r="A400" s="18" t="inlineStr">
        <is>
          <t>SC-19</t>
        </is>
      </c>
      <c r="B400" s="19" t="inlineStr">
        <is>
          <t>Voice Over Internet Protocol</t>
        </is>
      </c>
      <c r="C400" s="19" t="inlineStr">
        <is>
          <t>Documentation</t>
        </is>
      </c>
      <c r="D400" s="18" t="inlineStr">
        <is>
          <t>SC</t>
        </is>
      </c>
      <c r="E400" s="19" t="inlineStr">
        <is>
          <t>Documentation</t>
        </is>
      </c>
      <c r="F400" s="19" t="inlineStr">
        <is>
          <t>SC-19</t>
        </is>
      </c>
      <c r="G400" s="20">
        <f>IFERROR('[Documentation.xlsx]SC-19'!B20,"Not Started")</f>
        <v/>
      </c>
      <c r="H400" s="14">
        <f>IF(OR(G400="Passed",G400="Accepted Exception"),"GREEN",IF(OR(G400="Not Started",G400="Failed"),"RED","AMBER"))</f>
        <v/>
      </c>
      <c r="I400" s="21">
        <f>IFERROR('[Documentation.xlsx]SC-19'!E20,"Non commencé")</f>
        <v/>
      </c>
      <c r="J400" s="16">
        <f>IF(OR(I400="Réussi",I400="Exception acceptée"),"GREEN",IF(OR(I400="Non commencé",I400="Échec"),"RED","AMBER"))</f>
        <v/>
      </c>
      <c r="K400" s="19" t="inlineStr"/>
      <c r="L400" s="19" t="inlineStr"/>
      <c r="M400" s="22" t="inlineStr"/>
    </row>
    <row r="401" ht="18" customHeight="1">
      <c r="A401" s="11" t="inlineStr">
        <is>
          <t>SC-28</t>
        </is>
      </c>
      <c r="B401" s="12" t="inlineStr">
        <is>
          <t>Protection of Information At Rest</t>
        </is>
      </c>
      <c r="C401" s="12" t="inlineStr">
        <is>
          <t>Documentation</t>
        </is>
      </c>
      <c r="D401" s="11" t="inlineStr">
        <is>
          <t>SC</t>
        </is>
      </c>
      <c r="E401" s="12" t="inlineStr">
        <is>
          <t>Documentation</t>
        </is>
      </c>
      <c r="F401" s="12" t="inlineStr">
        <is>
          <t>SC-28</t>
        </is>
      </c>
      <c r="G401" s="13">
        <f>IFERROR('[Documentation.xlsx]SC-28'!B20,"Not Started")</f>
        <v/>
      </c>
      <c r="H401" s="14">
        <f>IF(OR(G401="Passed",G401="Accepted Exception"),"GREEN",IF(OR(G401="Not Started",G401="Failed"),"RED","AMBER"))</f>
        <v/>
      </c>
      <c r="I401" s="15">
        <f>IFERROR('[Documentation.xlsx]SC-28'!E20,"Non commencé")</f>
        <v/>
      </c>
      <c r="J401" s="16">
        <f>IF(OR(I401="Réussi",I401="Exception acceptée"),"GREEN",IF(OR(I401="Non commencé",I401="Échec"),"RED","AMBER"))</f>
        <v/>
      </c>
      <c r="K401" s="12" t="inlineStr"/>
      <c r="L401" s="12" t="inlineStr"/>
      <c r="M401" s="17" t="inlineStr"/>
    </row>
    <row r="402" ht="18" customHeight="1">
      <c r="A402" s="18" t="inlineStr">
        <is>
          <t>SI-1</t>
        </is>
      </c>
      <c r="B402" s="19" t="inlineStr">
        <is>
          <t>System and Information Integrity Policy and Procedures</t>
        </is>
      </c>
      <c r="C402" s="19" t="inlineStr">
        <is>
          <t>Documentation</t>
        </is>
      </c>
      <c r="D402" s="18" t="inlineStr">
        <is>
          <t>SI</t>
        </is>
      </c>
      <c r="E402" s="19" t="inlineStr">
        <is>
          <t>Documentation</t>
        </is>
      </c>
      <c r="F402" s="19" t="inlineStr">
        <is>
          <t>SI-1</t>
        </is>
      </c>
      <c r="G402" s="20">
        <f>IFERROR('[Documentation.xlsx]SI-1'!B20,"Not Started")</f>
        <v/>
      </c>
      <c r="H402" s="14">
        <f>IF(OR(G402="Passed",G402="Accepted Exception"),"GREEN",IF(OR(G402="Not Started",G402="Failed"),"RED","AMBER"))</f>
        <v/>
      </c>
      <c r="I402" s="21">
        <f>IFERROR('[Documentation.xlsx]SI-1'!E20,"Non commencé")</f>
        <v/>
      </c>
      <c r="J402" s="16">
        <f>IF(OR(I402="Réussi",I402="Exception acceptée"),"GREEN",IF(OR(I402="Non commencé",I402="Échec"),"RED","AMBER"))</f>
        <v/>
      </c>
      <c r="K402" s="19" t="inlineStr"/>
      <c r="L402" s="19" t="inlineStr"/>
      <c r="M402" s="22" t="inlineStr"/>
    </row>
    <row r="403" ht="18" customHeight="1">
      <c r="A403" s="11" t="inlineStr">
        <is>
          <t>SI-2</t>
        </is>
      </c>
      <c r="B403" s="12" t="inlineStr">
        <is>
          <t>Flaw Remediation</t>
        </is>
      </c>
      <c r="C403" s="12" t="inlineStr">
        <is>
          <t>Documentation</t>
        </is>
      </c>
      <c r="D403" s="11" t="inlineStr">
        <is>
          <t>SI</t>
        </is>
      </c>
      <c r="E403" s="12" t="inlineStr">
        <is>
          <t>Documentation</t>
        </is>
      </c>
      <c r="F403" s="12" t="inlineStr">
        <is>
          <t>SI-2</t>
        </is>
      </c>
      <c r="G403" s="13">
        <f>IFERROR('[Documentation.xlsx]SI-2'!B20,"Not Started")</f>
        <v/>
      </c>
      <c r="H403" s="14">
        <f>IF(OR(G403="Passed",G403="Accepted Exception"),"GREEN",IF(OR(G403="Not Started",G403="Failed"),"RED","AMBER"))</f>
        <v/>
      </c>
      <c r="I403" s="15">
        <f>IFERROR('[Documentation.xlsx]SI-2'!E20,"Non commencé")</f>
        <v/>
      </c>
      <c r="J403" s="16">
        <f>IF(OR(I403="Réussi",I403="Exception acceptée"),"GREEN",IF(OR(I403="Non commencé",I403="Échec"),"RED","AMBER"))</f>
        <v/>
      </c>
      <c r="K403" s="12" t="inlineStr"/>
      <c r="L403" s="12" t="inlineStr"/>
      <c r="M403" s="17" t="inlineStr"/>
    </row>
    <row r="404" ht="18" customHeight="1">
      <c r="A404" s="18" t="inlineStr">
        <is>
          <t>SI-2(3)</t>
        </is>
      </c>
      <c r="B404" s="19" t="inlineStr">
        <is>
          <t>Flaw Remediation</t>
        </is>
      </c>
      <c r="C404" s="19" t="inlineStr">
        <is>
          <t>Documentation</t>
        </is>
      </c>
      <c r="D404" s="18" t="inlineStr">
        <is>
          <t>SI</t>
        </is>
      </c>
      <c r="E404" s="19" t="inlineStr">
        <is>
          <t>Documentation</t>
        </is>
      </c>
      <c r="F404" s="19" t="inlineStr">
        <is>
          <t>SI-2-3</t>
        </is>
      </c>
      <c r="G404" s="20">
        <f>IFERROR('[Documentation.xlsx]SI-2-3'!B20,"Not Started")</f>
        <v/>
      </c>
      <c r="H404" s="14">
        <f>IF(OR(G404="Passed",G404="Accepted Exception"),"GREEN",IF(OR(G404="Not Started",G404="Failed"),"RED","AMBER"))</f>
        <v/>
      </c>
      <c r="I404" s="21">
        <f>IFERROR('[Documentation.xlsx]SI-2-3'!E20,"Non commencé")</f>
        <v/>
      </c>
      <c r="J404" s="16">
        <f>IF(OR(I404="Réussi",I404="Exception acceptée"),"GREEN",IF(OR(I404="Non commencé",I404="Échec"),"RED","AMBER"))</f>
        <v/>
      </c>
      <c r="K404" s="19" t="inlineStr"/>
      <c r="L404" s="19" t="inlineStr"/>
      <c r="M404" s="22" t="inlineStr"/>
    </row>
    <row r="405" ht="18" customHeight="1">
      <c r="A405" s="11" t="inlineStr">
        <is>
          <t>SI-3</t>
        </is>
      </c>
      <c r="B405" s="12" t="inlineStr">
        <is>
          <t>Malicious Code Protection</t>
        </is>
      </c>
      <c r="C405" s="12" t="inlineStr">
        <is>
          <t>Documentation</t>
        </is>
      </c>
      <c r="D405" s="11" t="inlineStr">
        <is>
          <t>SI</t>
        </is>
      </c>
      <c r="E405" s="12" t="inlineStr">
        <is>
          <t>Documentation</t>
        </is>
      </c>
      <c r="F405" s="12" t="inlineStr">
        <is>
          <t>SI-3</t>
        </is>
      </c>
      <c r="G405" s="13">
        <f>IFERROR('[Documentation.xlsx]SI-3'!B20,"Not Started")</f>
        <v/>
      </c>
      <c r="H405" s="14">
        <f>IF(OR(G405="Passed",G405="Accepted Exception"),"GREEN",IF(OR(G405="Not Started",G405="Failed"),"RED","AMBER"))</f>
        <v/>
      </c>
      <c r="I405" s="15">
        <f>IFERROR('[Documentation.xlsx]SI-3'!E20,"Non commencé")</f>
        <v/>
      </c>
      <c r="J405" s="16">
        <f>IF(OR(I405="Réussi",I405="Exception acceptée"),"GREEN",IF(OR(I405="Non commencé",I405="Échec"),"RED","AMBER"))</f>
        <v/>
      </c>
      <c r="K405" s="12" t="inlineStr"/>
      <c r="L405" s="12" t="inlineStr"/>
      <c r="M405" s="17" t="inlineStr"/>
    </row>
    <row r="406" ht="18" customHeight="1">
      <c r="A406" s="18" t="inlineStr">
        <is>
          <t>SI-4</t>
        </is>
      </c>
      <c r="B406" s="19" t="inlineStr">
        <is>
          <t>Information System Monitoring</t>
        </is>
      </c>
      <c r="C406" s="19" t="inlineStr">
        <is>
          <t>Documentation</t>
        </is>
      </c>
      <c r="D406" s="18" t="inlineStr">
        <is>
          <t>SI</t>
        </is>
      </c>
      <c r="E406" s="19" t="inlineStr">
        <is>
          <t>Documentation</t>
        </is>
      </c>
      <c r="F406" s="19" t="inlineStr">
        <is>
          <t>SI-4</t>
        </is>
      </c>
      <c r="G406" s="20">
        <f>IFERROR('[Documentation.xlsx]SI-4'!B20,"Not Started")</f>
        <v/>
      </c>
      <c r="H406" s="14">
        <f>IF(OR(G406="Passed",G406="Accepted Exception"),"GREEN",IF(OR(G406="Not Started",G406="Failed"),"RED","AMBER"))</f>
        <v/>
      </c>
      <c r="I406" s="21">
        <f>IFERROR('[Documentation.xlsx]SI-4'!E20,"Non commencé")</f>
        <v/>
      </c>
      <c r="J406" s="16">
        <f>IF(OR(I406="Réussi",I406="Exception acceptée"),"GREEN",IF(OR(I406="Non commencé",I406="Échec"),"RED","AMBER"))</f>
        <v/>
      </c>
      <c r="K406" s="19" t="inlineStr"/>
      <c r="L406" s="19" t="inlineStr"/>
      <c r="M406" s="22" t="inlineStr"/>
    </row>
    <row r="407" ht="18" customHeight="1">
      <c r="A407" s="11" t="inlineStr">
        <is>
          <t>SI-4(5)</t>
        </is>
      </c>
      <c r="B407" s="12" t="inlineStr">
        <is>
          <t>Information System Monitoring</t>
        </is>
      </c>
      <c r="C407" s="12" t="inlineStr">
        <is>
          <t>Documentation</t>
        </is>
      </c>
      <c r="D407" s="11" t="inlineStr">
        <is>
          <t>SI</t>
        </is>
      </c>
      <c r="E407" s="12" t="inlineStr">
        <is>
          <t>Documentation</t>
        </is>
      </c>
      <c r="F407" s="12" t="inlineStr">
        <is>
          <t>SI-4-5</t>
        </is>
      </c>
      <c r="G407" s="13">
        <f>IFERROR('[Documentation.xlsx]SI-4-5'!B20,"Not Started")</f>
        <v/>
      </c>
      <c r="H407" s="14">
        <f>IF(OR(G407="Passed",G407="Accepted Exception"),"GREEN",IF(OR(G407="Not Started",G407="Failed"),"RED","AMBER"))</f>
        <v/>
      </c>
      <c r="I407" s="15">
        <f>IFERROR('[Documentation.xlsx]SI-4-5'!E20,"Non commencé")</f>
        <v/>
      </c>
      <c r="J407" s="16">
        <f>IF(OR(I407="Réussi",I407="Exception acceptée"),"GREEN",IF(OR(I407="Non commencé",I407="Échec"),"RED","AMBER"))</f>
        <v/>
      </c>
      <c r="K407" s="12" t="inlineStr"/>
      <c r="L407" s="12" t="inlineStr"/>
      <c r="M407" s="17" t="inlineStr"/>
    </row>
    <row r="408" ht="18" customHeight="1">
      <c r="A408" s="18" t="inlineStr">
        <is>
          <t>SI-4(7)</t>
        </is>
      </c>
      <c r="B408" s="19" t="inlineStr">
        <is>
          <t>Information System Monitoring</t>
        </is>
      </c>
      <c r="C408" s="19" t="inlineStr">
        <is>
          <t>Documentation</t>
        </is>
      </c>
      <c r="D408" s="18" t="inlineStr">
        <is>
          <t>SI</t>
        </is>
      </c>
      <c r="E408" s="19" t="inlineStr">
        <is>
          <t>Documentation</t>
        </is>
      </c>
      <c r="F408" s="19" t="inlineStr">
        <is>
          <t>SI-4-7</t>
        </is>
      </c>
      <c r="G408" s="20">
        <f>IFERROR('[Documentation.xlsx]SI-4-7'!B20,"Not Started")</f>
        <v/>
      </c>
      <c r="H408" s="14">
        <f>IF(OR(G408="Passed",G408="Accepted Exception"),"GREEN",IF(OR(G408="Not Started",G408="Failed"),"RED","AMBER"))</f>
        <v/>
      </c>
      <c r="I408" s="21">
        <f>IFERROR('[Documentation.xlsx]SI-4-7'!E20,"Non commencé")</f>
        <v/>
      </c>
      <c r="J408" s="16">
        <f>IF(OR(I408="Réussi",I408="Exception acceptée"),"GREEN",IF(OR(I408="Non commencé",I408="Échec"),"RED","AMBER"))</f>
        <v/>
      </c>
      <c r="K408" s="19" t="inlineStr"/>
      <c r="L408" s="19" t="inlineStr"/>
      <c r="M408" s="22" t="inlineStr"/>
    </row>
    <row r="409" ht="18" customHeight="1">
      <c r="A409" s="11" t="inlineStr">
        <is>
          <t>SI-4(16)</t>
        </is>
      </c>
      <c r="B409" s="12" t="inlineStr">
        <is>
          <t>Information System Monitoring</t>
        </is>
      </c>
      <c r="C409" s="12" t="inlineStr">
        <is>
          <t>Documentation</t>
        </is>
      </c>
      <c r="D409" s="11" t="inlineStr">
        <is>
          <t>SI</t>
        </is>
      </c>
      <c r="E409" s="12" t="inlineStr">
        <is>
          <t>Documentation</t>
        </is>
      </c>
      <c r="F409" s="12" t="inlineStr">
        <is>
          <t>SI-4-16</t>
        </is>
      </c>
      <c r="G409" s="13">
        <f>IFERROR('[Documentation.xlsx]SI-4-16'!B20,"Not Started")</f>
        <v/>
      </c>
      <c r="H409" s="14">
        <f>IF(OR(G409="Passed",G409="Accepted Exception"),"GREEN",IF(OR(G409="Not Started",G409="Failed"),"RED","AMBER"))</f>
        <v/>
      </c>
      <c r="I409" s="15">
        <f>IFERROR('[Documentation.xlsx]SI-4-16'!E20,"Non commencé")</f>
        <v/>
      </c>
      <c r="J409" s="16">
        <f>IF(OR(I409="Réussi",I409="Exception acceptée"),"GREEN",IF(OR(I409="Non commencé",I409="Échec"),"RED","AMBER"))</f>
        <v/>
      </c>
      <c r="K409" s="12" t="inlineStr"/>
      <c r="L409" s="12" t="inlineStr"/>
      <c r="M409" s="17" t="inlineStr"/>
    </row>
    <row r="410" ht="18" customHeight="1">
      <c r="A410" s="18" t="inlineStr">
        <is>
          <t>SI-4(20)</t>
        </is>
      </c>
      <c r="B410" s="19" t="inlineStr">
        <is>
          <t>Information System Monitoring</t>
        </is>
      </c>
      <c r="C410" s="19" t="inlineStr">
        <is>
          <t>Documentation</t>
        </is>
      </c>
      <c r="D410" s="18" t="inlineStr">
        <is>
          <t>SI</t>
        </is>
      </c>
      <c r="E410" s="19" t="inlineStr">
        <is>
          <t>Documentation</t>
        </is>
      </c>
      <c r="F410" s="19" t="inlineStr">
        <is>
          <t>SI-4-20</t>
        </is>
      </c>
      <c r="G410" s="20">
        <f>IFERROR('[Documentation.xlsx]SI-4-20'!B20,"Not Started")</f>
        <v/>
      </c>
      <c r="H410" s="14">
        <f>IF(OR(G410="Passed",G410="Accepted Exception"),"GREEN",IF(OR(G410="Not Started",G410="Failed"),"RED","AMBER"))</f>
        <v/>
      </c>
      <c r="I410" s="21">
        <f>IFERROR('[Documentation.xlsx]SI-4-20'!E20,"Non commencé")</f>
        <v/>
      </c>
      <c r="J410" s="16">
        <f>IF(OR(I410="Réussi",I410="Exception acceptée"),"GREEN",IF(OR(I410="Non commencé",I410="Échec"),"RED","AMBER"))</f>
        <v/>
      </c>
      <c r="K410" s="19" t="inlineStr"/>
      <c r="L410" s="19" t="inlineStr"/>
      <c r="M410" s="22" t="inlineStr"/>
    </row>
    <row r="411" ht="18" customHeight="1">
      <c r="A411" s="11" t="inlineStr">
        <is>
          <t>SI-5</t>
        </is>
      </c>
      <c r="B411" s="12" t="inlineStr">
        <is>
          <t>Security Alerts, Advisories, and Directives</t>
        </is>
      </c>
      <c r="C411" s="12" t="inlineStr">
        <is>
          <t>Documentation</t>
        </is>
      </c>
      <c r="D411" s="11" t="inlineStr">
        <is>
          <t>SI</t>
        </is>
      </c>
      <c r="E411" s="12" t="inlineStr">
        <is>
          <t>Documentation</t>
        </is>
      </c>
      <c r="F411" s="12" t="inlineStr">
        <is>
          <t>SI-5</t>
        </is>
      </c>
      <c r="G411" s="13">
        <f>IFERROR('[Documentation.xlsx]SI-5'!B20,"Not Started")</f>
        <v/>
      </c>
      <c r="H411" s="14">
        <f>IF(OR(G411="Passed",G411="Accepted Exception"),"GREEN",IF(OR(G411="Not Started",G411="Failed"),"RED","AMBER"))</f>
        <v/>
      </c>
      <c r="I411" s="15">
        <f>IFERROR('[Documentation.xlsx]SI-5'!E20,"Non commencé")</f>
        <v/>
      </c>
      <c r="J411" s="16">
        <f>IF(OR(I411="Réussi",I411="Exception acceptée"),"GREEN",IF(OR(I411="Non commencé",I411="Échec"),"RED","AMBER"))</f>
        <v/>
      </c>
      <c r="K411" s="12" t="inlineStr"/>
      <c r="L411" s="12" t="inlineStr"/>
      <c r="M411" s="17" t="inlineStr"/>
    </row>
    <row r="412" ht="18" customHeight="1">
      <c r="A412" s="18" t="inlineStr">
        <is>
          <t>SI-6</t>
        </is>
      </c>
      <c r="B412" s="19" t="inlineStr">
        <is>
          <t>Security Functional Verification</t>
        </is>
      </c>
      <c r="C412" s="19" t="inlineStr">
        <is>
          <t>Documentation</t>
        </is>
      </c>
      <c r="D412" s="18" t="inlineStr">
        <is>
          <t>SI</t>
        </is>
      </c>
      <c r="E412" s="19" t="inlineStr">
        <is>
          <t>Documentation</t>
        </is>
      </c>
      <c r="F412" s="19" t="inlineStr">
        <is>
          <t>SI-6</t>
        </is>
      </c>
      <c r="G412" s="20">
        <f>IFERROR('[Documentation.xlsx]SI-6'!B20,"Not Started")</f>
        <v/>
      </c>
      <c r="H412" s="14">
        <f>IF(OR(G412="Passed",G412="Accepted Exception"),"GREEN",IF(OR(G412="Not Started",G412="Failed"),"RED","AMBER"))</f>
        <v/>
      </c>
      <c r="I412" s="21">
        <f>IFERROR('[Documentation.xlsx]SI-6'!E20,"Non commencé")</f>
        <v/>
      </c>
      <c r="J412" s="16">
        <f>IF(OR(I412="Réussi",I412="Exception acceptée"),"GREEN",IF(OR(I412="Non commencé",I412="Échec"),"RED","AMBER"))</f>
        <v/>
      </c>
      <c r="K412" s="19" t="inlineStr"/>
      <c r="L412" s="19" t="inlineStr"/>
      <c r="M412" s="22" t="inlineStr"/>
    </row>
    <row r="413" ht="18" customHeight="1">
      <c r="A413" s="11" t="inlineStr">
        <is>
          <t>SI-7(7)</t>
        </is>
      </c>
      <c r="B413" s="12" t="inlineStr">
        <is>
          <t>Software, Firmware, and Information Integrity</t>
        </is>
      </c>
      <c r="C413" s="12" t="inlineStr">
        <is>
          <t>Documentation</t>
        </is>
      </c>
      <c r="D413" s="11" t="inlineStr">
        <is>
          <t>SI</t>
        </is>
      </c>
      <c r="E413" s="12" t="inlineStr">
        <is>
          <t>Documentation</t>
        </is>
      </c>
      <c r="F413" s="12" t="inlineStr">
        <is>
          <t>SI-7-7</t>
        </is>
      </c>
      <c r="G413" s="13">
        <f>IFERROR('[Documentation.xlsx]SI-7-7'!B20,"Not Started")</f>
        <v/>
      </c>
      <c r="H413" s="14">
        <f>IF(OR(G413="Passed",G413="Accepted Exception"),"GREEN",IF(OR(G413="Not Started",G413="Failed"),"RED","AMBER"))</f>
        <v/>
      </c>
      <c r="I413" s="15">
        <f>IFERROR('[Documentation.xlsx]SI-7-7'!E20,"Non commencé")</f>
        <v/>
      </c>
      <c r="J413" s="16">
        <f>IF(OR(I413="Réussi",I413="Exception acceptée"),"GREEN",IF(OR(I413="Non commencé",I413="Échec"),"RED","AMBER"))</f>
        <v/>
      </c>
      <c r="K413" s="12" t="inlineStr"/>
      <c r="L413" s="12" t="inlineStr"/>
      <c r="M413" s="17" t="inlineStr"/>
    </row>
    <row r="414" ht="18" customHeight="1">
      <c r="A414" s="18" t="inlineStr">
        <is>
          <t>SI-12</t>
        </is>
      </c>
      <c r="B414" s="19" t="inlineStr">
        <is>
          <t>Information Output Handling and Retention</t>
        </is>
      </c>
      <c r="C414" s="19" t="inlineStr">
        <is>
          <t>Documentation</t>
        </is>
      </c>
      <c r="D414" s="18" t="inlineStr">
        <is>
          <t>SI</t>
        </is>
      </c>
      <c r="E414" s="19" t="inlineStr">
        <is>
          <t>Documentation</t>
        </is>
      </c>
      <c r="F414" s="19" t="inlineStr">
        <is>
          <t>SI-12</t>
        </is>
      </c>
      <c r="G414" s="20">
        <f>IFERROR('[Documentation.xlsx]SI-12'!B20,"Not Started")</f>
        <v/>
      </c>
      <c r="H414" s="14">
        <f>IF(OR(G414="Passed",G414="Accepted Exception"),"GREEN",IF(OR(G414="Not Started",G414="Failed"),"RED","AMBER"))</f>
        <v/>
      </c>
      <c r="I414" s="21">
        <f>IFERROR('[Documentation.xlsx]SI-12'!E20,"Non commencé")</f>
        <v/>
      </c>
      <c r="J414" s="16">
        <f>IF(OR(I414="Réussi",I414="Exception acceptée"),"GREEN",IF(OR(I414="Non commencé",I414="Échec"),"RED","AMBER"))</f>
        <v/>
      </c>
      <c r="K414" s="19" t="inlineStr"/>
      <c r="L414" s="19" t="inlineStr"/>
      <c r="M414" s="22" t="inlineStr"/>
    </row>
    <row r="415" ht="18" customHeight="1">
      <c r="A415" s="11" t="inlineStr">
        <is>
          <t>AC-2(4)</t>
        </is>
      </c>
      <c r="B415" s="12" t="inlineStr">
        <is>
          <t>Account Management</t>
        </is>
      </c>
      <c r="C415" s="12" t="inlineStr">
        <is>
          <t>Hybrid + Multicloud</t>
        </is>
      </c>
      <c r="D415" s="11" t="inlineStr">
        <is>
          <t>AC</t>
        </is>
      </c>
      <c r="E415" s="12" t="inlineStr">
        <is>
          <t>Hybrid and Multicloud</t>
        </is>
      </c>
      <c r="F415" s="12" t="inlineStr">
        <is>
          <t>AC-2-4</t>
        </is>
      </c>
      <c r="G415" s="13">
        <f>IFERROR('[Hybrid_and_Multicloud.xlsx]AC-2-4'!B20,"Not Started")</f>
        <v/>
      </c>
      <c r="H415" s="14">
        <f>IF(OR(G415="Passed",G415="Accepted Exception"),"GREEN",IF(OR(G415="Not Started",G415="Failed"),"RED","AMBER"))</f>
        <v/>
      </c>
      <c r="I415" s="15">
        <f>IFERROR('[Hybrid_and_Multicloud.xlsx]AC-2-4'!E20,"Non commencé")</f>
        <v/>
      </c>
      <c r="J415" s="16">
        <f>IF(OR(I415="Réussi",I415="Exception acceptée"),"GREEN",IF(OR(I415="Non commencé",I415="Échec"),"RED","AMBER"))</f>
        <v/>
      </c>
      <c r="K415" s="12" t="inlineStr"/>
      <c r="L415" s="12" t="inlineStr"/>
      <c r="M415" s="17" t="inlineStr"/>
    </row>
    <row r="416" ht="18" customHeight="1">
      <c r="A416" s="18" t="inlineStr">
        <is>
          <t>AC-2(5)</t>
        </is>
      </c>
      <c r="B416" s="19" t="inlineStr">
        <is>
          <t>Account Management</t>
        </is>
      </c>
      <c r="C416" s="19" t="inlineStr">
        <is>
          <t>Hybrid + Multicloud</t>
        </is>
      </c>
      <c r="D416" s="18" t="inlineStr">
        <is>
          <t>AC</t>
        </is>
      </c>
      <c r="E416" s="19" t="inlineStr">
        <is>
          <t>Hybrid and Multicloud</t>
        </is>
      </c>
      <c r="F416" s="19" t="inlineStr">
        <is>
          <t>AC-2-5</t>
        </is>
      </c>
      <c r="G416" s="20">
        <f>IFERROR('[Hybrid_and_Multicloud.xlsx]AC-2-5'!B20,"Not Started")</f>
        <v/>
      </c>
      <c r="H416" s="14">
        <f>IF(OR(G416="Passed",G416="Accepted Exception"),"GREEN",IF(OR(G416="Not Started",G416="Failed"),"RED","AMBER"))</f>
        <v/>
      </c>
      <c r="I416" s="21">
        <f>IFERROR('[Hybrid_and_Multicloud.xlsx]AC-2-5'!E20,"Non commencé")</f>
        <v/>
      </c>
      <c r="J416" s="16">
        <f>IF(OR(I416="Réussi",I416="Exception acceptée"),"GREEN",IF(OR(I416="Non commencé",I416="Échec"),"RED","AMBER"))</f>
        <v/>
      </c>
      <c r="K416" s="19" t="inlineStr"/>
      <c r="L416" s="19" t="inlineStr"/>
      <c r="M416" s="22" t="inlineStr"/>
    </row>
    <row r="417" ht="18" customHeight="1">
      <c r="A417" s="11" t="inlineStr">
        <is>
          <t>AC-2(7)</t>
        </is>
      </c>
      <c r="B417" s="12" t="inlineStr">
        <is>
          <t>Account Management</t>
        </is>
      </c>
      <c r="C417" s="12" t="inlineStr">
        <is>
          <t>Hybrid + Multicloud</t>
        </is>
      </c>
      <c r="D417" s="11" t="inlineStr">
        <is>
          <t>AC</t>
        </is>
      </c>
      <c r="E417" s="12" t="inlineStr">
        <is>
          <t>Hybrid and Multicloud</t>
        </is>
      </c>
      <c r="F417" s="12" t="inlineStr">
        <is>
          <t>AC-2-7</t>
        </is>
      </c>
      <c r="G417" s="13">
        <f>IFERROR('[Hybrid_and_Multicloud.xlsx]AC-2-7'!B20,"Not Started")</f>
        <v/>
      </c>
      <c r="H417" s="14">
        <f>IF(OR(G417="Passed",G417="Accepted Exception"),"GREEN",IF(OR(G417="Not Started",G417="Failed"),"RED","AMBER"))</f>
        <v/>
      </c>
      <c r="I417" s="15">
        <f>IFERROR('[Hybrid_and_Multicloud.xlsx]AC-2-7'!E20,"Non commencé")</f>
        <v/>
      </c>
      <c r="J417" s="16">
        <f>IF(OR(I417="Réussi",I417="Exception acceptée"),"GREEN",IF(OR(I417="Non commencé",I417="Échec"),"RED","AMBER"))</f>
        <v/>
      </c>
      <c r="K417" s="12" t="inlineStr"/>
      <c r="L417" s="12" t="inlineStr"/>
      <c r="M417" s="17" t="inlineStr"/>
    </row>
    <row r="418" ht="18" customHeight="1">
      <c r="A418" s="18" t="inlineStr">
        <is>
          <t>AC-6</t>
        </is>
      </c>
      <c r="B418" s="19" t="inlineStr">
        <is>
          <t>Least Privilege</t>
        </is>
      </c>
      <c r="C418" s="19" t="inlineStr">
        <is>
          <t>Hybrid + Multicloud</t>
        </is>
      </c>
      <c r="D418" s="18" t="inlineStr">
        <is>
          <t>AC</t>
        </is>
      </c>
      <c r="E418" s="19" t="inlineStr">
        <is>
          <t>Hybrid and Multicloud</t>
        </is>
      </c>
      <c r="F418" s="19" t="inlineStr">
        <is>
          <t>AC-6</t>
        </is>
      </c>
      <c r="G418" s="20">
        <f>IFERROR('[Hybrid_and_Multicloud.xlsx]AC-6'!B20,"Not Started")</f>
        <v/>
      </c>
      <c r="H418" s="14">
        <f>IF(OR(G418="Passed",G418="Accepted Exception"),"GREEN",IF(OR(G418="Not Started",G418="Failed"),"RED","AMBER"))</f>
        <v/>
      </c>
      <c r="I418" s="21">
        <f>IFERROR('[Hybrid_and_Multicloud.xlsx]AC-6'!E20,"Non commencé")</f>
        <v/>
      </c>
      <c r="J418" s="16">
        <f>IF(OR(I418="Réussi",I418="Exception acceptée"),"GREEN",IF(OR(I418="Non commencé",I418="Échec"),"RED","AMBER"))</f>
        <v/>
      </c>
      <c r="K418" s="19" t="inlineStr"/>
      <c r="L418" s="19" t="inlineStr"/>
      <c r="M418" s="22" t="inlineStr"/>
    </row>
    <row r="419" ht="18" customHeight="1">
      <c r="A419" s="11" t="inlineStr">
        <is>
          <t>AC-6(1)</t>
        </is>
      </c>
      <c r="B419" s="12" t="inlineStr">
        <is>
          <t>Least Privilege</t>
        </is>
      </c>
      <c r="C419" s="12" t="inlineStr">
        <is>
          <t>Hybrid + Multicloud</t>
        </is>
      </c>
      <c r="D419" s="11" t="inlineStr">
        <is>
          <t>AC</t>
        </is>
      </c>
      <c r="E419" s="12" t="inlineStr">
        <is>
          <t>Hybrid and Multicloud</t>
        </is>
      </c>
      <c r="F419" s="12" t="inlineStr">
        <is>
          <t>AC-6-1</t>
        </is>
      </c>
      <c r="G419" s="13">
        <f>IFERROR('[Hybrid_and_Multicloud.xlsx]AC-6-1'!B20,"Not Started")</f>
        <v/>
      </c>
      <c r="H419" s="14">
        <f>IF(OR(G419="Passed",G419="Accepted Exception"),"GREEN",IF(OR(G419="Not Started",G419="Failed"),"RED","AMBER"))</f>
        <v/>
      </c>
      <c r="I419" s="15">
        <f>IFERROR('[Hybrid_and_Multicloud.xlsx]AC-6-1'!E20,"Non commencé")</f>
        <v/>
      </c>
      <c r="J419" s="16">
        <f>IF(OR(I419="Réussi",I419="Exception acceptée"),"GREEN",IF(OR(I419="Non commencé",I419="Échec"),"RED","AMBER"))</f>
        <v/>
      </c>
      <c r="K419" s="12" t="inlineStr"/>
      <c r="L419" s="12" t="inlineStr"/>
      <c r="M419" s="17" t="inlineStr"/>
    </row>
    <row r="420" ht="18" customHeight="1">
      <c r="A420" s="18" t="inlineStr">
        <is>
          <t>AC-6(9)</t>
        </is>
      </c>
      <c r="B420" s="19" t="inlineStr">
        <is>
          <t>Least Privilege</t>
        </is>
      </c>
      <c r="C420" s="19" t="inlineStr">
        <is>
          <t>Hybrid + Multicloud</t>
        </is>
      </c>
      <c r="D420" s="18" t="inlineStr">
        <is>
          <t>AC</t>
        </is>
      </c>
      <c r="E420" s="19" t="inlineStr">
        <is>
          <t>Hybrid and Multicloud</t>
        </is>
      </c>
      <c r="F420" s="19" t="inlineStr">
        <is>
          <t>AC-6-9</t>
        </is>
      </c>
      <c r="G420" s="20">
        <f>IFERROR('[Hybrid_and_Multicloud.xlsx]AC-6-9'!B20,"Not Started")</f>
        <v/>
      </c>
      <c r="H420" s="14">
        <f>IF(OR(G420="Passed",G420="Accepted Exception"),"GREEN",IF(OR(G420="Not Started",G420="Failed"),"RED","AMBER"))</f>
        <v/>
      </c>
      <c r="I420" s="21">
        <f>IFERROR('[Hybrid_and_Multicloud.xlsx]AC-6-9'!E20,"Non commencé")</f>
        <v/>
      </c>
      <c r="J420" s="16">
        <f>IF(OR(I420="Réussi",I420="Exception acceptée"),"GREEN",IF(OR(I420="Non commencé",I420="Échec"),"RED","AMBER"))</f>
        <v/>
      </c>
      <c r="K420" s="19" t="inlineStr"/>
      <c r="L420" s="19" t="inlineStr"/>
      <c r="M420" s="22" t="inlineStr"/>
    </row>
    <row r="421" ht="18" customHeight="1">
      <c r="A421" s="11" t="inlineStr">
        <is>
          <t>AC-17(1)</t>
        </is>
      </c>
      <c r="B421" s="12" t="inlineStr">
        <is>
          <t>Remote Access</t>
        </is>
      </c>
      <c r="C421" s="12" t="inlineStr">
        <is>
          <t>Hybrid + Multicloud</t>
        </is>
      </c>
      <c r="D421" s="11" t="inlineStr">
        <is>
          <t>AC</t>
        </is>
      </c>
      <c r="E421" s="12" t="inlineStr">
        <is>
          <t>Hybrid and Multicloud</t>
        </is>
      </c>
      <c r="F421" s="12" t="inlineStr">
        <is>
          <t>AC-17-1</t>
        </is>
      </c>
      <c r="G421" s="13">
        <f>IFERROR('[Hybrid_and_Multicloud.xlsx]AC-17-1'!B20,"Not Started")</f>
        <v/>
      </c>
      <c r="H421" s="14">
        <f>IF(OR(G421="Passed",G421="Accepted Exception"),"GREEN",IF(OR(G421="Not Started",G421="Failed"),"RED","AMBER"))</f>
        <v/>
      </c>
      <c r="I421" s="15">
        <f>IFERROR('[Hybrid_and_Multicloud.xlsx]AC-17-1'!E20,"Non commencé")</f>
        <v/>
      </c>
      <c r="J421" s="16">
        <f>IF(OR(I421="Réussi",I421="Exception acceptée"),"GREEN",IF(OR(I421="Non commencé",I421="Échec"),"RED","AMBER"))</f>
        <v/>
      </c>
      <c r="K421" s="12" t="inlineStr"/>
      <c r="L421" s="12" t="inlineStr"/>
      <c r="M421" s="17" t="inlineStr"/>
    </row>
    <row r="422" ht="18" customHeight="1">
      <c r="A422" s="18" t="inlineStr">
        <is>
          <t>AU-2</t>
        </is>
      </c>
      <c r="B422" s="19" t="inlineStr">
        <is>
          <t>Auditable Events</t>
        </is>
      </c>
      <c r="C422" s="19" t="inlineStr">
        <is>
          <t>Hybrid + Multicloud</t>
        </is>
      </c>
      <c r="D422" s="18" t="inlineStr">
        <is>
          <t>AU</t>
        </is>
      </c>
      <c r="E422" s="19" t="inlineStr">
        <is>
          <t>Hybrid and Multicloud</t>
        </is>
      </c>
      <c r="F422" s="19" t="inlineStr">
        <is>
          <t>AU-2</t>
        </is>
      </c>
      <c r="G422" s="20">
        <f>IFERROR('[Hybrid_and_Multicloud.xlsx]AU-2'!B20,"Not Started")</f>
        <v/>
      </c>
      <c r="H422" s="14">
        <f>IF(OR(G422="Passed",G422="Accepted Exception"),"GREEN",IF(OR(G422="Not Started",G422="Failed"),"RED","AMBER"))</f>
        <v/>
      </c>
      <c r="I422" s="21">
        <f>IFERROR('[Hybrid_and_Multicloud.xlsx]AU-2'!E20,"Non commencé")</f>
        <v/>
      </c>
      <c r="J422" s="16">
        <f>IF(OR(I422="Réussi",I422="Exception acceptée"),"GREEN",IF(OR(I422="Non commencé",I422="Échec"),"RED","AMBER"))</f>
        <v/>
      </c>
      <c r="K422" s="19" t="inlineStr"/>
      <c r="L422" s="19" t="inlineStr"/>
      <c r="M422" s="22" t="inlineStr"/>
    </row>
    <row r="423" ht="18" customHeight="1">
      <c r="A423" s="11" t="inlineStr">
        <is>
          <t>AU-3</t>
        </is>
      </c>
      <c r="B423" s="12" t="inlineStr">
        <is>
          <t>Content of Audit Records</t>
        </is>
      </c>
      <c r="C423" s="12" t="inlineStr">
        <is>
          <t>Hybrid + Multicloud</t>
        </is>
      </c>
      <c r="D423" s="11" t="inlineStr">
        <is>
          <t>AU</t>
        </is>
      </c>
      <c r="E423" s="12" t="inlineStr">
        <is>
          <t>Hybrid and Multicloud</t>
        </is>
      </c>
      <c r="F423" s="12" t="inlineStr">
        <is>
          <t>AU-3</t>
        </is>
      </c>
      <c r="G423" s="13">
        <f>IFERROR('[Hybrid_and_Multicloud.xlsx]AU-3'!B20,"Not Started")</f>
        <v/>
      </c>
      <c r="H423" s="14">
        <f>IF(OR(G423="Passed",G423="Accepted Exception"),"GREEN",IF(OR(G423="Not Started",G423="Failed"),"RED","AMBER"))</f>
        <v/>
      </c>
      <c r="I423" s="15">
        <f>IFERROR('[Hybrid_and_Multicloud.xlsx]AU-3'!E20,"Non commencé")</f>
        <v/>
      </c>
      <c r="J423" s="16">
        <f>IF(OR(I423="Réussi",I423="Exception acceptée"),"GREEN",IF(OR(I423="Non commencé",I423="Échec"),"RED","AMBER"))</f>
        <v/>
      </c>
      <c r="K423" s="12" t="inlineStr"/>
      <c r="L423" s="12" t="inlineStr"/>
      <c r="M423" s="17" t="inlineStr"/>
    </row>
    <row r="424" ht="18" customHeight="1">
      <c r="A424" s="18" t="inlineStr">
        <is>
          <t>AU-3(1)</t>
        </is>
      </c>
      <c r="B424" s="19" t="inlineStr">
        <is>
          <t>Content of Audit Records</t>
        </is>
      </c>
      <c r="C424" s="19" t="inlineStr">
        <is>
          <t>Hybrid + Multicloud</t>
        </is>
      </c>
      <c r="D424" s="18" t="inlineStr">
        <is>
          <t>AU</t>
        </is>
      </c>
      <c r="E424" s="19" t="inlineStr">
        <is>
          <t>Hybrid and Multicloud</t>
        </is>
      </c>
      <c r="F424" s="19" t="inlineStr">
        <is>
          <t>AU-3-1</t>
        </is>
      </c>
      <c r="G424" s="20">
        <f>IFERROR('[Hybrid_and_Multicloud.xlsx]AU-3-1'!B20,"Not Started")</f>
        <v/>
      </c>
      <c r="H424" s="14">
        <f>IF(OR(G424="Passed",G424="Accepted Exception"),"GREEN",IF(OR(G424="Not Started",G424="Failed"),"RED","AMBER"))</f>
        <v/>
      </c>
      <c r="I424" s="21">
        <f>IFERROR('[Hybrid_and_Multicloud.xlsx]AU-3-1'!E20,"Non commencé")</f>
        <v/>
      </c>
      <c r="J424" s="16">
        <f>IF(OR(I424="Réussi",I424="Exception acceptée"),"GREEN",IF(OR(I424="Non commencé",I424="Échec"),"RED","AMBER"))</f>
        <v/>
      </c>
      <c r="K424" s="19" t="inlineStr"/>
      <c r="L424" s="19" t="inlineStr"/>
      <c r="M424" s="22" t="inlineStr"/>
    </row>
    <row r="425" ht="18" customHeight="1">
      <c r="A425" s="11" t="inlineStr">
        <is>
          <t>AU-5</t>
        </is>
      </c>
      <c r="B425" s="12" t="inlineStr">
        <is>
          <t>Response To Audit Processing Failures</t>
        </is>
      </c>
      <c r="C425" s="12" t="inlineStr">
        <is>
          <t>Hybrid + Multicloud</t>
        </is>
      </c>
      <c r="D425" s="11" t="inlineStr">
        <is>
          <t>AU</t>
        </is>
      </c>
      <c r="E425" s="12" t="inlineStr">
        <is>
          <t>Hybrid and Multicloud</t>
        </is>
      </c>
      <c r="F425" s="12" t="inlineStr">
        <is>
          <t>AU-5</t>
        </is>
      </c>
      <c r="G425" s="13">
        <f>IFERROR('[Hybrid_and_Multicloud.xlsx]AU-5'!B20,"Not Started")</f>
        <v/>
      </c>
      <c r="H425" s="14">
        <f>IF(OR(G425="Passed",G425="Accepted Exception"),"GREEN",IF(OR(G425="Not Started",G425="Failed"),"RED","AMBER"))</f>
        <v/>
      </c>
      <c r="I425" s="15">
        <f>IFERROR('[Hybrid_and_Multicloud.xlsx]AU-5'!E20,"Non commencé")</f>
        <v/>
      </c>
      <c r="J425" s="16">
        <f>IF(OR(I425="Réussi",I425="Exception acceptée"),"GREEN",IF(OR(I425="Non commencé",I425="Échec"),"RED","AMBER"))</f>
        <v/>
      </c>
      <c r="K425" s="12" t="inlineStr"/>
      <c r="L425" s="12" t="inlineStr"/>
      <c r="M425" s="17" t="inlineStr"/>
    </row>
    <row r="426" ht="18" customHeight="1">
      <c r="A426" s="18" t="inlineStr">
        <is>
          <t>AU-6(1)</t>
        </is>
      </c>
      <c r="B426" s="19" t="inlineStr">
        <is>
          <t>Audit Review, Analysis, and Reporting</t>
        </is>
      </c>
      <c r="C426" s="19" t="inlineStr">
        <is>
          <t>Hybrid + Multicloud</t>
        </is>
      </c>
      <c r="D426" s="18" t="inlineStr">
        <is>
          <t>AU</t>
        </is>
      </c>
      <c r="E426" s="19" t="inlineStr">
        <is>
          <t>Hybrid and Multicloud</t>
        </is>
      </c>
      <c r="F426" s="19" t="inlineStr">
        <is>
          <t>AU-6-1</t>
        </is>
      </c>
      <c r="G426" s="20">
        <f>IFERROR('[Hybrid_and_Multicloud.xlsx]AU-6-1'!B20,"Not Started")</f>
        <v/>
      </c>
      <c r="H426" s="14">
        <f>IF(OR(G426="Passed",G426="Accepted Exception"),"GREEN",IF(OR(G426="Not Started",G426="Failed"),"RED","AMBER"))</f>
        <v/>
      </c>
      <c r="I426" s="21">
        <f>IFERROR('[Hybrid_and_Multicloud.xlsx]AU-6-1'!E20,"Non commencé")</f>
        <v/>
      </c>
      <c r="J426" s="16">
        <f>IF(OR(I426="Réussi",I426="Exception acceptée"),"GREEN",IF(OR(I426="Non commencé",I426="Échec"),"RED","AMBER"))</f>
        <v/>
      </c>
      <c r="K426" s="19" t="inlineStr"/>
      <c r="L426" s="19" t="inlineStr"/>
      <c r="M426" s="22" t="inlineStr"/>
    </row>
    <row r="427" ht="18" customHeight="1">
      <c r="A427" s="11" t="inlineStr">
        <is>
          <t>AU-6(3)</t>
        </is>
      </c>
      <c r="B427" s="12" t="inlineStr">
        <is>
          <t>Audit Review, Analysis, and Reporting</t>
        </is>
      </c>
      <c r="C427" s="12" t="inlineStr">
        <is>
          <t>Hybrid + Multicloud</t>
        </is>
      </c>
      <c r="D427" s="11" t="inlineStr">
        <is>
          <t>AU</t>
        </is>
      </c>
      <c r="E427" s="12" t="inlineStr">
        <is>
          <t>Hybrid and Multicloud</t>
        </is>
      </c>
      <c r="F427" s="12" t="inlineStr">
        <is>
          <t>AU-6-3</t>
        </is>
      </c>
      <c r="G427" s="13">
        <f>IFERROR('[Hybrid_and_Multicloud.xlsx]AU-6-3'!B20,"Not Started")</f>
        <v/>
      </c>
      <c r="H427" s="14">
        <f>IF(OR(G427="Passed",G427="Accepted Exception"),"GREEN",IF(OR(G427="Not Started",G427="Failed"),"RED","AMBER"))</f>
        <v/>
      </c>
      <c r="I427" s="15">
        <f>IFERROR('[Hybrid_and_Multicloud.xlsx]AU-6-3'!E20,"Non commencé")</f>
        <v/>
      </c>
      <c r="J427" s="16">
        <f>IF(OR(I427="Réussi",I427="Exception acceptée"),"GREEN",IF(OR(I427="Non commencé",I427="Échec"),"RED","AMBER"))</f>
        <v/>
      </c>
      <c r="K427" s="12" t="inlineStr"/>
      <c r="L427" s="12" t="inlineStr"/>
      <c r="M427" s="17" t="inlineStr"/>
    </row>
    <row r="428" ht="18" customHeight="1">
      <c r="A428" s="18" t="inlineStr">
        <is>
          <t>AU-7</t>
        </is>
      </c>
      <c r="B428" s="19" t="inlineStr">
        <is>
          <t>Audit Reduction and Report Generation</t>
        </is>
      </c>
      <c r="C428" s="19" t="inlineStr">
        <is>
          <t>Hybrid + Multicloud</t>
        </is>
      </c>
      <c r="D428" s="18" t="inlineStr">
        <is>
          <t>AU</t>
        </is>
      </c>
      <c r="E428" s="19" t="inlineStr">
        <is>
          <t>Hybrid and Multicloud</t>
        </is>
      </c>
      <c r="F428" s="19" t="inlineStr">
        <is>
          <t>AU-7</t>
        </is>
      </c>
      <c r="G428" s="20">
        <f>IFERROR('[Hybrid_and_Multicloud.xlsx]AU-7'!B20,"Not Started")</f>
        <v/>
      </c>
      <c r="H428" s="14">
        <f>IF(OR(G428="Passed",G428="Accepted Exception"),"GREEN",IF(OR(G428="Not Started",G428="Failed"),"RED","AMBER"))</f>
        <v/>
      </c>
      <c r="I428" s="21">
        <f>IFERROR('[Hybrid_and_Multicloud.xlsx]AU-7'!E20,"Non commencé")</f>
        <v/>
      </c>
      <c r="J428" s="16">
        <f>IF(OR(I428="Réussi",I428="Exception acceptée"),"GREEN",IF(OR(I428="Non commencé",I428="Échec"),"RED","AMBER"))</f>
        <v/>
      </c>
      <c r="K428" s="19" t="inlineStr"/>
      <c r="L428" s="19" t="inlineStr"/>
      <c r="M428" s="22" t="inlineStr"/>
    </row>
    <row r="429" ht="18" customHeight="1">
      <c r="A429" s="11" t="inlineStr">
        <is>
          <t>AU-7(1)</t>
        </is>
      </c>
      <c r="B429" s="12" t="inlineStr">
        <is>
          <t>Audit Reduction and Report Generation</t>
        </is>
      </c>
      <c r="C429" s="12" t="inlineStr">
        <is>
          <t>Hybrid + Multicloud</t>
        </is>
      </c>
      <c r="D429" s="11" t="inlineStr">
        <is>
          <t>AU</t>
        </is>
      </c>
      <c r="E429" s="12" t="inlineStr">
        <is>
          <t>Hybrid and Multicloud</t>
        </is>
      </c>
      <c r="F429" s="12" t="inlineStr">
        <is>
          <t>AU-7-1</t>
        </is>
      </c>
      <c r="G429" s="13">
        <f>IFERROR('[Hybrid_and_Multicloud.xlsx]AU-7-1'!B20,"Not Started")</f>
        <v/>
      </c>
      <c r="H429" s="14">
        <f>IF(OR(G429="Passed",G429="Accepted Exception"),"GREEN",IF(OR(G429="Not Started",G429="Failed"),"RED","AMBER"))</f>
        <v/>
      </c>
      <c r="I429" s="15">
        <f>IFERROR('[Hybrid_and_Multicloud.xlsx]AU-7-1'!E20,"Non commencé")</f>
        <v/>
      </c>
      <c r="J429" s="16">
        <f>IF(OR(I429="Réussi",I429="Exception acceptée"),"GREEN",IF(OR(I429="Non commencé",I429="Échec"),"RED","AMBER"))</f>
        <v/>
      </c>
      <c r="K429" s="12" t="inlineStr"/>
      <c r="L429" s="12" t="inlineStr"/>
      <c r="M429" s="17" t="inlineStr"/>
    </row>
    <row r="430" ht="18" customHeight="1">
      <c r="A430" s="18" t="inlineStr">
        <is>
          <t>AU-8</t>
        </is>
      </c>
      <c r="B430" s="19" t="inlineStr">
        <is>
          <t>Time Stamps</t>
        </is>
      </c>
      <c r="C430" s="19" t="inlineStr">
        <is>
          <t>Hybrid + Multicloud</t>
        </is>
      </c>
      <c r="D430" s="18" t="inlineStr">
        <is>
          <t>AU</t>
        </is>
      </c>
      <c r="E430" s="19" t="inlineStr">
        <is>
          <t>Hybrid and Multicloud</t>
        </is>
      </c>
      <c r="F430" s="19" t="inlineStr">
        <is>
          <t>AU-8</t>
        </is>
      </c>
      <c r="G430" s="20">
        <f>IFERROR('[Hybrid_and_Multicloud.xlsx]AU-8'!B20,"Not Started")</f>
        <v/>
      </c>
      <c r="H430" s="14">
        <f>IF(OR(G430="Passed",G430="Accepted Exception"),"GREEN",IF(OR(G430="Not Started",G430="Failed"),"RED","AMBER"))</f>
        <v/>
      </c>
      <c r="I430" s="21">
        <f>IFERROR('[Hybrid_and_Multicloud.xlsx]AU-8'!E20,"Non commencé")</f>
        <v/>
      </c>
      <c r="J430" s="16">
        <f>IF(OR(I430="Réussi",I430="Exception acceptée"),"GREEN",IF(OR(I430="Non commencé",I430="Échec"),"RED","AMBER"))</f>
        <v/>
      </c>
      <c r="K430" s="19" t="inlineStr"/>
      <c r="L430" s="19" t="inlineStr"/>
      <c r="M430" s="22" t="inlineStr"/>
    </row>
    <row r="431" ht="18" customHeight="1">
      <c r="A431" s="11" t="inlineStr">
        <is>
          <t>AU-8(1)</t>
        </is>
      </c>
      <c r="B431" s="12" t="inlineStr">
        <is>
          <t>Time Stamps</t>
        </is>
      </c>
      <c r="C431" s="12" t="inlineStr">
        <is>
          <t>Hybrid + Multicloud</t>
        </is>
      </c>
      <c r="D431" s="11" t="inlineStr">
        <is>
          <t>AU</t>
        </is>
      </c>
      <c r="E431" s="12" t="inlineStr">
        <is>
          <t>Hybrid and Multicloud</t>
        </is>
      </c>
      <c r="F431" s="12" t="inlineStr">
        <is>
          <t>AU-8-1</t>
        </is>
      </c>
      <c r="G431" s="13">
        <f>IFERROR('[Hybrid_and_Multicloud.xlsx]AU-8-1'!B20,"Not Started")</f>
        <v/>
      </c>
      <c r="H431" s="14">
        <f>IF(OR(G431="Passed",G431="Accepted Exception"),"GREEN",IF(OR(G431="Not Started",G431="Failed"),"RED","AMBER"))</f>
        <v/>
      </c>
      <c r="I431" s="15">
        <f>IFERROR('[Hybrid_and_Multicloud.xlsx]AU-8-1'!E20,"Non commencé")</f>
        <v/>
      </c>
      <c r="J431" s="16">
        <f>IF(OR(I431="Réussi",I431="Exception acceptée"),"GREEN",IF(OR(I431="Non commencé",I431="Échec"),"RED","AMBER"))</f>
        <v/>
      </c>
      <c r="K431" s="12" t="inlineStr"/>
      <c r="L431" s="12" t="inlineStr"/>
      <c r="M431" s="17" t="inlineStr"/>
    </row>
    <row r="432" ht="18" customHeight="1">
      <c r="A432" s="18" t="inlineStr">
        <is>
          <t>AU-9</t>
        </is>
      </c>
      <c r="B432" s="19" t="inlineStr">
        <is>
          <t>Protection of Audit Information</t>
        </is>
      </c>
      <c r="C432" s="19" t="inlineStr">
        <is>
          <t>Hybrid + Multicloud</t>
        </is>
      </c>
      <c r="D432" s="18" t="inlineStr">
        <is>
          <t>AU</t>
        </is>
      </c>
      <c r="E432" s="19" t="inlineStr">
        <is>
          <t>Hybrid and Multicloud</t>
        </is>
      </c>
      <c r="F432" s="19" t="inlineStr">
        <is>
          <t>AU-9</t>
        </is>
      </c>
      <c r="G432" s="20">
        <f>IFERROR('[Hybrid_and_Multicloud.xlsx]AU-9'!B20,"Not Started")</f>
        <v/>
      </c>
      <c r="H432" s="14">
        <f>IF(OR(G432="Passed",G432="Accepted Exception"),"GREEN",IF(OR(G432="Not Started",G432="Failed"),"RED","AMBER"))</f>
        <v/>
      </c>
      <c r="I432" s="21">
        <f>IFERROR('[Hybrid_and_Multicloud.xlsx]AU-9'!E20,"Non commencé")</f>
        <v/>
      </c>
      <c r="J432" s="16">
        <f>IF(OR(I432="Réussi",I432="Exception acceptée"),"GREEN",IF(OR(I432="Non commencé",I432="Échec"),"RED","AMBER"))</f>
        <v/>
      </c>
      <c r="K432" s="19" t="inlineStr"/>
      <c r="L432" s="19" t="inlineStr"/>
      <c r="M432" s="22" t="inlineStr"/>
    </row>
    <row r="433" ht="18" customHeight="1">
      <c r="A433" s="11" t="inlineStr">
        <is>
          <t>AU-9(2)</t>
        </is>
      </c>
      <c r="B433" s="12" t="inlineStr">
        <is>
          <t>Protection of Audit Information</t>
        </is>
      </c>
      <c r="C433" s="12" t="inlineStr">
        <is>
          <t>Hybrid + Multicloud</t>
        </is>
      </c>
      <c r="D433" s="11" t="inlineStr">
        <is>
          <t>AU</t>
        </is>
      </c>
      <c r="E433" s="12" t="inlineStr">
        <is>
          <t>Hybrid and Multicloud</t>
        </is>
      </c>
      <c r="F433" s="12" t="inlineStr">
        <is>
          <t>AU-9-2</t>
        </is>
      </c>
      <c r="G433" s="13">
        <f>IFERROR('[Hybrid_and_Multicloud.xlsx]AU-9-2'!B20,"Not Started")</f>
        <v/>
      </c>
      <c r="H433" s="14">
        <f>IF(OR(G433="Passed",G433="Accepted Exception"),"GREEN",IF(OR(G433="Not Started",G433="Failed"),"RED","AMBER"))</f>
        <v/>
      </c>
      <c r="I433" s="15">
        <f>IFERROR('[Hybrid_and_Multicloud.xlsx]AU-9-2'!E20,"Non commencé")</f>
        <v/>
      </c>
      <c r="J433" s="16">
        <f>IF(OR(I433="Réussi",I433="Exception acceptée"),"GREEN",IF(OR(I433="Non commencé",I433="Échec"),"RED","AMBER"))</f>
        <v/>
      </c>
      <c r="K433" s="12" t="inlineStr"/>
      <c r="L433" s="12" t="inlineStr"/>
      <c r="M433" s="17" t="inlineStr"/>
    </row>
    <row r="434" ht="18" customHeight="1">
      <c r="A434" s="18" t="inlineStr">
        <is>
          <t>AU-9(4)</t>
        </is>
      </c>
      <c r="B434" s="19" t="inlineStr">
        <is>
          <t>Protection of Audit Information</t>
        </is>
      </c>
      <c r="C434" s="19" t="inlineStr">
        <is>
          <t>Hybrid + Multicloud</t>
        </is>
      </c>
      <c r="D434" s="18" t="inlineStr">
        <is>
          <t>AU</t>
        </is>
      </c>
      <c r="E434" s="19" t="inlineStr">
        <is>
          <t>Hybrid and Multicloud</t>
        </is>
      </c>
      <c r="F434" s="19" t="inlineStr">
        <is>
          <t>AU-9-4</t>
        </is>
      </c>
      <c r="G434" s="20">
        <f>IFERROR('[Hybrid_and_Multicloud.xlsx]AU-9-4'!B20,"Not Started")</f>
        <v/>
      </c>
      <c r="H434" s="14">
        <f>IF(OR(G434="Passed",G434="Accepted Exception"),"GREEN",IF(OR(G434="Not Started",G434="Failed"),"RED","AMBER"))</f>
        <v/>
      </c>
      <c r="I434" s="21">
        <f>IFERROR('[Hybrid_and_Multicloud.xlsx]AU-9-4'!E20,"Non commencé")</f>
        <v/>
      </c>
      <c r="J434" s="16">
        <f>IF(OR(I434="Réussi",I434="Exception acceptée"),"GREEN",IF(OR(I434="Non commencé",I434="Échec"),"RED","AMBER"))</f>
        <v/>
      </c>
      <c r="K434" s="19" t="inlineStr"/>
      <c r="L434" s="19" t="inlineStr"/>
      <c r="M434" s="22" t="inlineStr"/>
    </row>
    <row r="435" ht="18" customHeight="1">
      <c r="A435" s="11" t="inlineStr">
        <is>
          <t>AU-11</t>
        </is>
      </c>
      <c r="B435" s="12" t="inlineStr">
        <is>
          <t>Audit Record Retention</t>
        </is>
      </c>
      <c r="C435" s="12" t="inlineStr">
        <is>
          <t>Hybrid + Multicloud</t>
        </is>
      </c>
      <c r="D435" s="11" t="inlineStr">
        <is>
          <t>AU</t>
        </is>
      </c>
      <c r="E435" s="12" t="inlineStr">
        <is>
          <t>Hybrid and Multicloud</t>
        </is>
      </c>
      <c r="F435" s="12" t="inlineStr">
        <is>
          <t>AU-11</t>
        </is>
      </c>
      <c r="G435" s="13">
        <f>IFERROR('[Hybrid_and_Multicloud.xlsx]AU-11'!B20,"Not Started")</f>
        <v/>
      </c>
      <c r="H435" s="14">
        <f>IF(OR(G435="Passed",G435="Accepted Exception"),"GREEN",IF(OR(G435="Not Started",G435="Failed"),"RED","AMBER"))</f>
        <v/>
      </c>
      <c r="I435" s="15">
        <f>IFERROR('[Hybrid_and_Multicloud.xlsx]AU-11'!E20,"Non commencé")</f>
        <v/>
      </c>
      <c r="J435" s="16">
        <f>IF(OR(I435="Réussi",I435="Exception acceptée"),"GREEN",IF(OR(I435="Non commencé",I435="Échec"),"RED","AMBER"))</f>
        <v/>
      </c>
      <c r="K435" s="12" t="inlineStr"/>
      <c r="L435" s="12" t="inlineStr"/>
      <c r="M435" s="17" t="inlineStr"/>
    </row>
    <row r="436" ht="18" customHeight="1">
      <c r="A436" s="18" t="inlineStr">
        <is>
          <t>AU-12</t>
        </is>
      </c>
      <c r="B436" s="19" t="inlineStr">
        <is>
          <t>Audit Generation</t>
        </is>
      </c>
      <c r="C436" s="19" t="inlineStr">
        <is>
          <t>Hybrid + Multicloud</t>
        </is>
      </c>
      <c r="D436" s="18" t="inlineStr">
        <is>
          <t>AU</t>
        </is>
      </c>
      <c r="E436" s="19" t="inlineStr">
        <is>
          <t>Hybrid and Multicloud</t>
        </is>
      </c>
      <c r="F436" s="19" t="inlineStr">
        <is>
          <t>AU-12</t>
        </is>
      </c>
      <c r="G436" s="20">
        <f>IFERROR('[Hybrid_and_Multicloud.xlsx]AU-12'!B20,"Not Started")</f>
        <v/>
      </c>
      <c r="H436" s="14">
        <f>IF(OR(G436="Passed",G436="Accepted Exception"),"GREEN",IF(OR(G436="Not Started",G436="Failed"),"RED","AMBER"))</f>
        <v/>
      </c>
      <c r="I436" s="21">
        <f>IFERROR('[Hybrid_and_Multicloud.xlsx]AU-12'!E20,"Non commencé")</f>
        <v/>
      </c>
      <c r="J436" s="16">
        <f>IF(OR(I436="Réussi",I436="Exception acceptée"),"GREEN",IF(OR(I436="Non commencé",I436="Échec"),"RED","AMBER"))</f>
        <v/>
      </c>
      <c r="K436" s="19" t="inlineStr"/>
      <c r="L436" s="19" t="inlineStr"/>
      <c r="M436" s="22" t="inlineStr"/>
    </row>
    <row r="437" ht="18" customHeight="1">
      <c r="A437" s="11" t="inlineStr">
        <is>
          <t>CA-9</t>
        </is>
      </c>
      <c r="B437" s="12" t="inlineStr">
        <is>
          <t>Internal System Connections</t>
        </is>
      </c>
      <c r="C437" s="12" t="inlineStr">
        <is>
          <t>Hybrid + Multicloud</t>
        </is>
      </c>
      <c r="D437" s="11" t="inlineStr">
        <is>
          <t>CA</t>
        </is>
      </c>
      <c r="E437" s="12" t="inlineStr">
        <is>
          <t>Hybrid and Multicloud</t>
        </is>
      </c>
      <c r="F437" s="12" t="inlineStr">
        <is>
          <t>CA-9</t>
        </is>
      </c>
      <c r="G437" s="13">
        <f>IFERROR('[Hybrid_and_Multicloud.xlsx]CA-9'!B20,"Not Started")</f>
        <v/>
      </c>
      <c r="H437" s="14">
        <f>IF(OR(G437="Passed",G437="Accepted Exception"),"GREEN",IF(OR(G437="Not Started",G437="Failed"),"RED","AMBER"))</f>
        <v/>
      </c>
      <c r="I437" s="15">
        <f>IFERROR('[Hybrid_and_Multicloud.xlsx]CA-9'!E20,"Non commencé")</f>
        <v/>
      </c>
      <c r="J437" s="16">
        <f>IF(OR(I437="Réussi",I437="Exception acceptée"),"GREEN",IF(OR(I437="Non commencé",I437="Échec"),"RED","AMBER"))</f>
        <v/>
      </c>
      <c r="K437" s="12" t="inlineStr"/>
      <c r="L437" s="12" t="inlineStr"/>
      <c r="M437" s="17" t="inlineStr"/>
    </row>
    <row r="438" ht="18" customHeight="1">
      <c r="A438" s="18" t="inlineStr">
        <is>
          <t>CM-5(1)</t>
        </is>
      </c>
      <c r="B438" s="19" t="inlineStr">
        <is>
          <t>Access Restrictions for Change</t>
        </is>
      </c>
      <c r="C438" s="19" t="inlineStr">
        <is>
          <t>Hybrid + Multicloud</t>
        </is>
      </c>
      <c r="D438" s="18" t="inlineStr">
        <is>
          <t>CM</t>
        </is>
      </c>
      <c r="E438" s="19" t="inlineStr">
        <is>
          <t>Hybrid and Multicloud</t>
        </is>
      </c>
      <c r="F438" s="19" t="inlineStr">
        <is>
          <t>CM-5-1</t>
        </is>
      </c>
      <c r="G438" s="20">
        <f>IFERROR('[Hybrid_and_Multicloud.xlsx]CM-5-1'!B20,"Not Started")</f>
        <v/>
      </c>
      <c r="H438" s="14">
        <f>IF(OR(G438="Passed",G438="Accepted Exception"),"GREEN",IF(OR(G438="Not Started",G438="Failed"),"RED","AMBER"))</f>
        <v/>
      </c>
      <c r="I438" s="21">
        <f>IFERROR('[Hybrid_and_Multicloud.xlsx]CM-5-1'!E20,"Non commencé")</f>
        <v/>
      </c>
      <c r="J438" s="16">
        <f>IF(OR(I438="Réussi",I438="Exception acceptée"),"GREEN",IF(OR(I438="Non commencé",I438="Échec"),"RED","AMBER"))</f>
        <v/>
      </c>
      <c r="K438" s="19" t="inlineStr"/>
      <c r="L438" s="19" t="inlineStr"/>
      <c r="M438" s="22" t="inlineStr"/>
    </row>
    <row r="439" ht="18" customHeight="1">
      <c r="A439" s="11" t="inlineStr">
        <is>
          <t>CM-5(6)</t>
        </is>
      </c>
      <c r="B439" s="12" t="inlineStr">
        <is>
          <t>Access Restrictions for Change</t>
        </is>
      </c>
      <c r="C439" s="12" t="inlineStr">
        <is>
          <t>Hybrid + Multicloud</t>
        </is>
      </c>
      <c r="D439" s="11" t="inlineStr">
        <is>
          <t>CM</t>
        </is>
      </c>
      <c r="E439" s="12" t="inlineStr">
        <is>
          <t>Hybrid and Multicloud</t>
        </is>
      </c>
      <c r="F439" s="12" t="inlineStr">
        <is>
          <t>CM-5-6</t>
        </is>
      </c>
      <c r="G439" s="13">
        <f>IFERROR('[Hybrid_and_Multicloud.xlsx]CM-5-6'!B20,"Not Started")</f>
        <v/>
      </c>
      <c r="H439" s="14">
        <f>IF(OR(G439="Passed",G439="Accepted Exception"),"GREEN",IF(OR(G439="Not Started",G439="Failed"),"RED","AMBER"))</f>
        <v/>
      </c>
      <c r="I439" s="15">
        <f>IFERROR('[Hybrid_and_Multicloud.xlsx]CM-5-6'!E20,"Non commencé")</f>
        <v/>
      </c>
      <c r="J439" s="16">
        <f>IF(OR(I439="Réussi",I439="Exception acceptée"),"GREEN",IF(OR(I439="Non commencé",I439="Échec"),"RED","AMBER"))</f>
        <v/>
      </c>
      <c r="K439" s="12" t="inlineStr"/>
      <c r="L439" s="12" t="inlineStr"/>
      <c r="M439" s="17" t="inlineStr"/>
    </row>
    <row r="440" ht="18" customHeight="1">
      <c r="A440" s="18" t="inlineStr">
        <is>
          <t>CM-6</t>
        </is>
      </c>
      <c r="B440" s="19" t="inlineStr">
        <is>
          <t>Configuration Settings</t>
        </is>
      </c>
      <c r="C440" s="19" t="inlineStr">
        <is>
          <t>Hybrid + Multicloud</t>
        </is>
      </c>
      <c r="D440" s="18" t="inlineStr">
        <is>
          <t>CM</t>
        </is>
      </c>
      <c r="E440" s="19" t="inlineStr">
        <is>
          <t>Hybrid and Multicloud</t>
        </is>
      </c>
      <c r="F440" s="19" t="inlineStr">
        <is>
          <t>CM-6</t>
        </is>
      </c>
      <c r="G440" s="20">
        <f>IFERROR('[Hybrid_and_Multicloud.xlsx]CM-6'!B20,"Not Started")</f>
        <v/>
      </c>
      <c r="H440" s="14">
        <f>IF(OR(G440="Passed",G440="Accepted Exception"),"GREEN",IF(OR(G440="Not Started",G440="Failed"),"RED","AMBER"))</f>
        <v/>
      </c>
      <c r="I440" s="21">
        <f>IFERROR('[Hybrid_and_Multicloud.xlsx]CM-6'!E20,"Non commencé")</f>
        <v/>
      </c>
      <c r="J440" s="16">
        <f>IF(OR(I440="Réussi",I440="Exception acceptée"),"GREEN",IF(OR(I440="Non commencé",I440="Échec"),"RED","AMBER"))</f>
        <v/>
      </c>
      <c r="K440" s="19" t="inlineStr"/>
      <c r="L440" s="19" t="inlineStr"/>
      <c r="M440" s="22" t="inlineStr"/>
    </row>
    <row r="441" ht="18" customHeight="1">
      <c r="A441" s="11" t="inlineStr">
        <is>
          <t>CM-7</t>
        </is>
      </c>
      <c r="B441" s="12" t="inlineStr">
        <is>
          <t>Least Functionality</t>
        </is>
      </c>
      <c r="C441" s="12" t="inlineStr">
        <is>
          <t>Hybrid + Multicloud</t>
        </is>
      </c>
      <c r="D441" s="11" t="inlineStr">
        <is>
          <t>CM</t>
        </is>
      </c>
      <c r="E441" s="12" t="inlineStr">
        <is>
          <t>Hybrid and Multicloud</t>
        </is>
      </c>
      <c r="F441" s="12" t="inlineStr">
        <is>
          <t>CM-7</t>
        </is>
      </c>
      <c r="G441" s="13">
        <f>IFERROR('[Hybrid_and_Multicloud.xlsx]CM-7'!B20,"Not Started")</f>
        <v/>
      </c>
      <c r="H441" s="14">
        <f>IF(OR(G441="Passed",G441="Accepted Exception"),"GREEN",IF(OR(G441="Not Started",G441="Failed"),"RED","AMBER"))</f>
        <v/>
      </c>
      <c r="I441" s="15">
        <f>IFERROR('[Hybrid_and_Multicloud.xlsx]CM-7'!E20,"Non commencé")</f>
        <v/>
      </c>
      <c r="J441" s="16">
        <f>IF(OR(I441="Réussi",I441="Exception acceptée"),"GREEN",IF(OR(I441="Non commencé",I441="Échec"),"RED","AMBER"))</f>
        <v/>
      </c>
      <c r="K441" s="12" t="inlineStr"/>
      <c r="L441" s="12" t="inlineStr"/>
      <c r="M441" s="17" t="inlineStr"/>
    </row>
    <row r="442" ht="18" customHeight="1">
      <c r="A442" s="18" t="inlineStr">
        <is>
          <t>CM-7(1)</t>
        </is>
      </c>
      <c r="B442" s="19" t="inlineStr">
        <is>
          <t>Least Functionality</t>
        </is>
      </c>
      <c r="C442" s="19" t="inlineStr">
        <is>
          <t>Hybrid + Multicloud</t>
        </is>
      </c>
      <c r="D442" s="18" t="inlineStr">
        <is>
          <t>CM</t>
        </is>
      </c>
      <c r="E442" s="19" t="inlineStr">
        <is>
          <t>Hybrid and Multicloud</t>
        </is>
      </c>
      <c r="F442" s="19" t="inlineStr">
        <is>
          <t>CM-7-1</t>
        </is>
      </c>
      <c r="G442" s="20">
        <f>IFERROR('[Hybrid_and_Multicloud.xlsx]CM-7-1'!B20,"Not Started")</f>
        <v/>
      </c>
      <c r="H442" s="14">
        <f>IF(OR(G442="Passed",G442="Accepted Exception"),"GREEN",IF(OR(G442="Not Started",G442="Failed"),"RED","AMBER"))</f>
        <v/>
      </c>
      <c r="I442" s="21">
        <f>IFERROR('[Hybrid_and_Multicloud.xlsx]CM-7-1'!E20,"Non commencé")</f>
        <v/>
      </c>
      <c r="J442" s="16">
        <f>IF(OR(I442="Réussi",I442="Exception acceptée"),"GREEN",IF(OR(I442="Non commencé",I442="Échec"),"RED","AMBER"))</f>
        <v/>
      </c>
      <c r="K442" s="19" t="inlineStr"/>
      <c r="L442" s="19" t="inlineStr"/>
      <c r="M442" s="22" t="inlineStr"/>
    </row>
    <row r="443" ht="18" customHeight="1">
      <c r="A443" s="11" t="inlineStr">
        <is>
          <t>CP-6</t>
        </is>
      </c>
      <c r="B443" s="12" t="inlineStr">
        <is>
          <t>Alternate Storage Site</t>
        </is>
      </c>
      <c r="C443" s="12" t="inlineStr">
        <is>
          <t>Hybrid + Multicloud</t>
        </is>
      </c>
      <c r="D443" s="11" t="inlineStr">
        <is>
          <t>CP</t>
        </is>
      </c>
      <c r="E443" s="12" t="inlineStr">
        <is>
          <t>Hybrid and Multicloud</t>
        </is>
      </c>
      <c r="F443" s="12" t="inlineStr">
        <is>
          <t>CP-6</t>
        </is>
      </c>
      <c r="G443" s="13">
        <f>IFERROR('[Hybrid_and_Multicloud.xlsx]CP-6'!B20,"Not Started")</f>
        <v/>
      </c>
      <c r="H443" s="14">
        <f>IF(OR(G443="Passed",G443="Accepted Exception"),"GREEN",IF(OR(G443="Not Started",G443="Failed"),"RED","AMBER"))</f>
        <v/>
      </c>
      <c r="I443" s="15">
        <f>IFERROR('[Hybrid_and_Multicloud.xlsx]CP-6'!E20,"Non commencé")</f>
        <v/>
      </c>
      <c r="J443" s="16">
        <f>IF(OR(I443="Réussi",I443="Exception acceptée"),"GREEN",IF(OR(I443="Non commencé",I443="Échec"),"RED","AMBER"))</f>
        <v/>
      </c>
      <c r="K443" s="12" t="inlineStr"/>
      <c r="L443" s="12" t="inlineStr"/>
      <c r="M443" s="17" t="inlineStr"/>
    </row>
    <row r="444" ht="18" customHeight="1">
      <c r="A444" s="18" t="inlineStr">
        <is>
          <t>CP-6(2)</t>
        </is>
      </c>
      <c r="B444" s="19" t="inlineStr">
        <is>
          <t>Alternate Storage Site</t>
        </is>
      </c>
      <c r="C444" s="19" t="inlineStr">
        <is>
          <t>Hybrid + Multicloud</t>
        </is>
      </c>
      <c r="D444" s="18" t="inlineStr">
        <is>
          <t>CP</t>
        </is>
      </c>
      <c r="E444" s="19" t="inlineStr">
        <is>
          <t>Hybrid and Multicloud</t>
        </is>
      </c>
      <c r="F444" s="19" t="inlineStr">
        <is>
          <t>CP-6-2</t>
        </is>
      </c>
      <c r="G444" s="20">
        <f>IFERROR('[Hybrid_and_Multicloud.xlsx]CP-6-2'!B20,"Not Started")</f>
        <v/>
      </c>
      <c r="H444" s="14">
        <f>IF(OR(G444="Passed",G444="Accepted Exception"),"GREEN",IF(OR(G444="Not Started",G444="Failed"),"RED","AMBER"))</f>
        <v/>
      </c>
      <c r="I444" s="21">
        <f>IFERROR('[Hybrid_and_Multicloud.xlsx]CP-6-2'!E20,"Non commencé")</f>
        <v/>
      </c>
      <c r="J444" s="16">
        <f>IF(OR(I444="Réussi",I444="Exception acceptée"),"GREEN",IF(OR(I444="Non commencé",I444="Échec"),"RED","AMBER"))</f>
        <v/>
      </c>
      <c r="K444" s="19" t="inlineStr"/>
      <c r="L444" s="19" t="inlineStr"/>
      <c r="M444" s="22" t="inlineStr"/>
    </row>
    <row r="445" ht="18" customHeight="1">
      <c r="A445" s="11" t="inlineStr">
        <is>
          <t>CP-7</t>
        </is>
      </c>
      <c r="B445" s="12" t="inlineStr">
        <is>
          <t>Alternate Processing Site</t>
        </is>
      </c>
      <c r="C445" s="12" t="inlineStr">
        <is>
          <t>Hybrid + Multicloud</t>
        </is>
      </c>
      <c r="D445" s="11" t="inlineStr">
        <is>
          <t>CP</t>
        </is>
      </c>
      <c r="E445" s="12" t="inlineStr">
        <is>
          <t>Hybrid and Multicloud</t>
        </is>
      </c>
      <c r="F445" s="12" t="inlineStr">
        <is>
          <t>CP-7</t>
        </is>
      </c>
      <c r="G445" s="13">
        <f>IFERROR('[Hybrid_and_Multicloud.xlsx]CP-7'!B20,"Not Started")</f>
        <v/>
      </c>
      <c r="H445" s="14">
        <f>IF(OR(G445="Passed",G445="Accepted Exception"),"GREEN",IF(OR(G445="Not Started",G445="Failed"),"RED","AMBER"))</f>
        <v/>
      </c>
      <c r="I445" s="15">
        <f>IFERROR('[Hybrid_and_Multicloud.xlsx]CP-7'!E20,"Non commencé")</f>
        <v/>
      </c>
      <c r="J445" s="16">
        <f>IF(OR(I445="Réussi",I445="Exception acceptée"),"GREEN",IF(OR(I445="Non commencé",I445="Échec"),"RED","AMBER"))</f>
        <v/>
      </c>
      <c r="K445" s="12" t="inlineStr"/>
      <c r="L445" s="12" t="inlineStr"/>
      <c r="M445" s="17" t="inlineStr"/>
    </row>
    <row r="446" ht="18" customHeight="1">
      <c r="A446" s="18" t="inlineStr">
        <is>
          <t>CP-7(4)</t>
        </is>
      </c>
      <c r="B446" s="19" t="inlineStr">
        <is>
          <t>Alternate Processing Site</t>
        </is>
      </c>
      <c r="C446" s="19" t="inlineStr">
        <is>
          <t>Hybrid + Multicloud</t>
        </is>
      </c>
      <c r="D446" s="18" t="inlineStr">
        <is>
          <t>CP</t>
        </is>
      </c>
      <c r="E446" s="19" t="inlineStr">
        <is>
          <t>Hybrid and Multicloud</t>
        </is>
      </c>
      <c r="F446" s="19" t="inlineStr">
        <is>
          <t>CP-7-4</t>
        </is>
      </c>
      <c r="G446" s="20">
        <f>IFERROR('[Hybrid_and_Multicloud.xlsx]CP-7-4'!B20,"Not Started")</f>
        <v/>
      </c>
      <c r="H446" s="14">
        <f>IF(OR(G446="Passed",G446="Accepted Exception"),"GREEN",IF(OR(G446="Not Started",G446="Failed"),"RED","AMBER"))</f>
        <v/>
      </c>
      <c r="I446" s="21">
        <f>IFERROR('[Hybrid_and_Multicloud.xlsx]CP-7-4'!E20,"Non commencé")</f>
        <v/>
      </c>
      <c r="J446" s="16">
        <f>IF(OR(I446="Réussi",I446="Exception acceptée"),"GREEN",IF(OR(I446="Non commencé",I446="Échec"),"RED","AMBER"))</f>
        <v/>
      </c>
      <c r="K446" s="19" t="inlineStr"/>
      <c r="L446" s="19" t="inlineStr"/>
      <c r="M446" s="22" t="inlineStr"/>
    </row>
    <row r="447" ht="18" customHeight="1">
      <c r="A447" s="11" t="inlineStr">
        <is>
          <t>CP-9</t>
        </is>
      </c>
      <c r="B447" s="12" t="inlineStr">
        <is>
          <t>Information System Backup</t>
        </is>
      </c>
      <c r="C447" s="12" t="inlineStr">
        <is>
          <t>Hybrid + Multicloud</t>
        </is>
      </c>
      <c r="D447" s="11" t="inlineStr">
        <is>
          <t>CP</t>
        </is>
      </c>
      <c r="E447" s="12" t="inlineStr">
        <is>
          <t>Hybrid and Multicloud</t>
        </is>
      </c>
      <c r="F447" s="12" t="inlineStr">
        <is>
          <t>CP-9</t>
        </is>
      </c>
      <c r="G447" s="13">
        <f>IFERROR('[Hybrid_and_Multicloud.xlsx]CP-9'!B20,"Not Started")</f>
        <v/>
      </c>
      <c r="H447" s="14">
        <f>IF(OR(G447="Passed",G447="Accepted Exception"),"GREEN",IF(OR(G447="Not Started",G447="Failed"),"RED","AMBER"))</f>
        <v/>
      </c>
      <c r="I447" s="15">
        <f>IFERROR('[Hybrid_and_Multicloud.xlsx]CP-9'!E20,"Non commencé")</f>
        <v/>
      </c>
      <c r="J447" s="16">
        <f>IF(OR(I447="Réussi",I447="Exception acceptée"),"GREEN",IF(OR(I447="Non commencé",I447="Échec"),"RED","AMBER"))</f>
        <v/>
      </c>
      <c r="K447" s="12" t="inlineStr"/>
      <c r="L447" s="12" t="inlineStr"/>
      <c r="M447" s="17" t="inlineStr"/>
    </row>
    <row r="448" ht="18" customHeight="1">
      <c r="A448" s="18" t="inlineStr">
        <is>
          <t>CP-9(1)</t>
        </is>
      </c>
      <c r="B448" s="19" t="inlineStr">
        <is>
          <t>Information System Backup</t>
        </is>
      </c>
      <c r="C448" s="19" t="inlineStr">
        <is>
          <t>Hybrid + Multicloud</t>
        </is>
      </c>
      <c r="D448" s="18" t="inlineStr">
        <is>
          <t>CP</t>
        </is>
      </c>
      <c r="E448" s="19" t="inlineStr">
        <is>
          <t>Hybrid and Multicloud</t>
        </is>
      </c>
      <c r="F448" s="19" t="inlineStr">
        <is>
          <t>CP-9-1</t>
        </is>
      </c>
      <c r="G448" s="20">
        <f>IFERROR('[Hybrid_and_Multicloud.xlsx]CP-9-1'!B20,"Not Started")</f>
        <v/>
      </c>
      <c r="H448" s="14">
        <f>IF(OR(G448="Passed",G448="Accepted Exception"),"GREEN",IF(OR(G448="Not Started",G448="Failed"),"RED","AMBER"))</f>
        <v/>
      </c>
      <c r="I448" s="21">
        <f>IFERROR('[Hybrid_and_Multicloud.xlsx]CP-9-1'!E20,"Non commencé")</f>
        <v/>
      </c>
      <c r="J448" s="16">
        <f>IF(OR(I448="Réussi",I448="Exception acceptée"),"GREEN",IF(OR(I448="Non commencé",I448="Échec"),"RED","AMBER"))</f>
        <v/>
      </c>
      <c r="K448" s="19" t="inlineStr"/>
      <c r="L448" s="19" t="inlineStr"/>
      <c r="M448" s="22" t="inlineStr"/>
    </row>
    <row r="449" ht="18" customHeight="1">
      <c r="A449" s="11" t="inlineStr">
        <is>
          <t>CP-9(2)</t>
        </is>
      </c>
      <c r="B449" s="12" t="inlineStr">
        <is>
          <t>Information System Backup</t>
        </is>
      </c>
      <c r="C449" s="12" t="inlineStr">
        <is>
          <t>Hybrid + Multicloud</t>
        </is>
      </c>
      <c r="D449" s="11" t="inlineStr">
        <is>
          <t>CP</t>
        </is>
      </c>
      <c r="E449" s="12" t="inlineStr">
        <is>
          <t>Hybrid and Multicloud</t>
        </is>
      </c>
      <c r="F449" s="12" t="inlineStr">
        <is>
          <t>CP-9-2</t>
        </is>
      </c>
      <c r="G449" s="13">
        <f>IFERROR('[Hybrid_and_Multicloud.xlsx]CP-9-2'!B20,"Not Started")</f>
        <v/>
      </c>
      <c r="H449" s="14">
        <f>IF(OR(G449="Passed",G449="Accepted Exception"),"GREEN",IF(OR(G449="Not Started",G449="Failed"),"RED","AMBER"))</f>
        <v/>
      </c>
      <c r="I449" s="15">
        <f>IFERROR('[Hybrid_and_Multicloud.xlsx]CP-9-2'!E20,"Non commencé")</f>
        <v/>
      </c>
      <c r="J449" s="16">
        <f>IF(OR(I449="Réussi",I449="Exception acceptée"),"GREEN",IF(OR(I449="Non commencé",I449="Échec"),"RED","AMBER"))</f>
        <v/>
      </c>
      <c r="K449" s="12" t="inlineStr"/>
      <c r="L449" s="12" t="inlineStr"/>
      <c r="M449" s="17" t="inlineStr"/>
    </row>
    <row r="450" ht="18" customHeight="1">
      <c r="A450" s="18" t="inlineStr">
        <is>
          <t>CP-9(5)</t>
        </is>
      </c>
      <c r="B450" s="19" t="inlineStr">
        <is>
          <t>Information System Backup</t>
        </is>
      </c>
      <c r="C450" s="19" t="inlineStr">
        <is>
          <t>Hybrid + Multicloud</t>
        </is>
      </c>
      <c r="D450" s="18" t="inlineStr">
        <is>
          <t>CP</t>
        </is>
      </c>
      <c r="E450" s="19" t="inlineStr">
        <is>
          <t>Hybrid and Multicloud</t>
        </is>
      </c>
      <c r="F450" s="19" t="inlineStr">
        <is>
          <t>CP-9-5</t>
        </is>
      </c>
      <c r="G450" s="20">
        <f>IFERROR('[Hybrid_and_Multicloud.xlsx]CP-9-5'!B20,"Not Started")</f>
        <v/>
      </c>
      <c r="H450" s="14">
        <f>IF(OR(G450="Passed",G450="Accepted Exception"),"GREEN",IF(OR(G450="Not Started",G450="Failed"),"RED","AMBER"))</f>
        <v/>
      </c>
      <c r="I450" s="21">
        <f>IFERROR('[Hybrid_and_Multicloud.xlsx]CP-9-5'!E20,"Non commencé")</f>
        <v/>
      </c>
      <c r="J450" s="16">
        <f>IF(OR(I450="Réussi",I450="Exception acceptée"),"GREEN",IF(OR(I450="Non commencé",I450="Échec"),"RED","AMBER"))</f>
        <v/>
      </c>
      <c r="K450" s="19" t="inlineStr"/>
      <c r="L450" s="19" t="inlineStr"/>
      <c r="M450" s="22" t="inlineStr"/>
    </row>
    <row r="451" ht="18" customHeight="1">
      <c r="A451" s="11" t="inlineStr">
        <is>
          <t>CP-10</t>
        </is>
      </c>
      <c r="B451" s="12" t="inlineStr">
        <is>
          <t>Information System Recovery and Reconstitution</t>
        </is>
      </c>
      <c r="C451" s="12" t="inlineStr">
        <is>
          <t>Hybrid + Multicloud</t>
        </is>
      </c>
      <c r="D451" s="11" t="inlineStr">
        <is>
          <t>CP</t>
        </is>
      </c>
      <c r="E451" s="12" t="inlineStr">
        <is>
          <t>Hybrid and Multicloud</t>
        </is>
      </c>
      <c r="F451" s="12" t="inlineStr">
        <is>
          <t>CP-10</t>
        </is>
      </c>
      <c r="G451" s="13">
        <f>IFERROR('[Hybrid_and_Multicloud.xlsx]CP-10'!B20,"Not Started")</f>
        <v/>
      </c>
      <c r="H451" s="14">
        <f>IF(OR(G451="Passed",G451="Accepted Exception"),"GREEN",IF(OR(G451="Not Started",G451="Failed"),"RED","AMBER"))</f>
        <v/>
      </c>
      <c r="I451" s="15">
        <f>IFERROR('[Hybrid_and_Multicloud.xlsx]CP-10'!E20,"Non commencé")</f>
        <v/>
      </c>
      <c r="J451" s="16">
        <f>IF(OR(I451="Réussi",I451="Exception acceptée"),"GREEN",IF(OR(I451="Non commencé",I451="Échec"),"RED","AMBER"))</f>
        <v/>
      </c>
      <c r="K451" s="12" t="inlineStr"/>
      <c r="L451" s="12" t="inlineStr"/>
      <c r="M451" s="17" t="inlineStr"/>
    </row>
    <row r="452" ht="18" customHeight="1">
      <c r="A452" s="18" t="inlineStr">
        <is>
          <t>CP-10(2)</t>
        </is>
      </c>
      <c r="B452" s="19" t="inlineStr">
        <is>
          <t>Information System Recovery and Reconstitution</t>
        </is>
      </c>
      <c r="C452" s="19" t="inlineStr">
        <is>
          <t>Hybrid + Multicloud</t>
        </is>
      </c>
      <c r="D452" s="18" t="inlineStr">
        <is>
          <t>CP</t>
        </is>
      </c>
      <c r="E452" s="19" t="inlineStr">
        <is>
          <t>Hybrid and Multicloud</t>
        </is>
      </c>
      <c r="F452" s="19" t="inlineStr">
        <is>
          <t>CP-10-2</t>
        </is>
      </c>
      <c r="G452" s="20">
        <f>IFERROR('[Hybrid_and_Multicloud.xlsx]CP-10-2'!B20,"Not Started")</f>
        <v/>
      </c>
      <c r="H452" s="14">
        <f>IF(OR(G452="Passed",G452="Accepted Exception"),"GREEN",IF(OR(G452="Not Started",G452="Failed"),"RED","AMBER"))</f>
        <v/>
      </c>
      <c r="I452" s="21">
        <f>IFERROR('[Hybrid_and_Multicloud.xlsx]CP-10-2'!E20,"Non commencé")</f>
        <v/>
      </c>
      <c r="J452" s="16">
        <f>IF(OR(I452="Réussi",I452="Exception acceptée"),"GREEN",IF(OR(I452="Non commencé",I452="Échec"),"RED","AMBER"))</f>
        <v/>
      </c>
      <c r="K452" s="19" t="inlineStr"/>
      <c r="L452" s="19" t="inlineStr"/>
      <c r="M452" s="22" t="inlineStr"/>
    </row>
    <row r="453" ht="18" customHeight="1">
      <c r="A453" s="11" t="inlineStr">
        <is>
          <t>CP-10(4)</t>
        </is>
      </c>
      <c r="B453" s="12" t="inlineStr">
        <is>
          <t>Information System Recovery and Reconstitution</t>
        </is>
      </c>
      <c r="C453" s="12" t="inlineStr">
        <is>
          <t>Hybrid + Multicloud</t>
        </is>
      </c>
      <c r="D453" s="11" t="inlineStr">
        <is>
          <t>CP</t>
        </is>
      </c>
      <c r="E453" s="12" t="inlineStr">
        <is>
          <t>Hybrid and Multicloud</t>
        </is>
      </c>
      <c r="F453" s="12" t="inlineStr">
        <is>
          <t>CP-10-4</t>
        </is>
      </c>
      <c r="G453" s="13">
        <f>IFERROR('[Hybrid_and_Multicloud.xlsx]CP-10-4'!B20,"Not Started")</f>
        <v/>
      </c>
      <c r="H453" s="14">
        <f>IF(OR(G453="Passed",G453="Accepted Exception"),"GREEN",IF(OR(G453="Not Started",G453="Failed"),"RED","AMBER"))</f>
        <v/>
      </c>
      <c r="I453" s="15">
        <f>IFERROR('[Hybrid_and_Multicloud.xlsx]CP-10-4'!E20,"Non commencé")</f>
        <v/>
      </c>
      <c r="J453" s="16">
        <f>IF(OR(I453="Réussi",I453="Exception acceptée"),"GREEN",IF(OR(I453="Non commencé",I453="Échec"),"RED","AMBER"))</f>
        <v/>
      </c>
      <c r="K453" s="12" t="inlineStr"/>
      <c r="L453" s="12" t="inlineStr"/>
      <c r="M453" s="17" t="inlineStr"/>
    </row>
    <row r="454" ht="18" customHeight="1">
      <c r="A454" s="18" t="inlineStr">
        <is>
          <t>IA-5(7)</t>
        </is>
      </c>
      <c r="B454" s="19" t="inlineStr">
        <is>
          <t>Authenticator Management</t>
        </is>
      </c>
      <c r="C454" s="19" t="inlineStr">
        <is>
          <t>Hybrid + Multicloud</t>
        </is>
      </c>
      <c r="D454" s="18" t="inlineStr">
        <is>
          <t>IA</t>
        </is>
      </c>
      <c r="E454" s="19" t="inlineStr">
        <is>
          <t>Hybrid and Multicloud</t>
        </is>
      </c>
      <c r="F454" s="19" t="inlineStr">
        <is>
          <t>IA-5-7</t>
        </is>
      </c>
      <c r="G454" s="20">
        <f>IFERROR('[Hybrid_and_Multicloud.xlsx]IA-5-7'!B20,"Not Started")</f>
        <v/>
      </c>
      <c r="H454" s="14">
        <f>IF(OR(G454="Passed",G454="Accepted Exception"),"GREEN",IF(OR(G454="Not Started",G454="Failed"),"RED","AMBER"))</f>
        <v/>
      </c>
      <c r="I454" s="21">
        <f>IFERROR('[Hybrid_and_Multicloud.xlsx]IA-5-7'!E20,"Non commencé")</f>
        <v/>
      </c>
      <c r="J454" s="16">
        <f>IF(OR(I454="Réussi",I454="Exception acceptée"),"GREEN",IF(OR(I454="Non commencé",I454="Échec"),"RED","AMBER"))</f>
        <v/>
      </c>
      <c r="K454" s="19" t="inlineStr"/>
      <c r="L454" s="19" t="inlineStr"/>
      <c r="M454" s="22" t="inlineStr"/>
    </row>
    <row r="455" ht="18" customHeight="1">
      <c r="A455" s="11" t="inlineStr">
        <is>
          <t>RA-5</t>
        </is>
      </c>
      <c r="B455" s="12" t="inlineStr">
        <is>
          <t>Vulnerability Scanning</t>
        </is>
      </c>
      <c r="C455" s="12" t="inlineStr">
        <is>
          <t>Hybrid + Multicloud</t>
        </is>
      </c>
      <c r="D455" s="11" t="inlineStr">
        <is>
          <t>RA</t>
        </is>
      </c>
      <c r="E455" s="12" t="inlineStr">
        <is>
          <t>Hybrid and Multicloud</t>
        </is>
      </c>
      <c r="F455" s="12" t="inlineStr">
        <is>
          <t>RA-5</t>
        </is>
      </c>
      <c r="G455" s="13">
        <f>IFERROR('[Hybrid_and_Multicloud.xlsx]RA-5'!B20,"Not Started")</f>
        <v/>
      </c>
      <c r="H455" s="14">
        <f>IF(OR(G455="Passed",G455="Accepted Exception"),"GREEN",IF(OR(G455="Not Started",G455="Failed"),"RED","AMBER"))</f>
        <v/>
      </c>
      <c r="I455" s="15">
        <f>IFERROR('[Hybrid_and_Multicloud.xlsx]RA-5'!E20,"Non commencé")</f>
        <v/>
      </c>
      <c r="J455" s="16">
        <f>IF(OR(I455="Réussi",I455="Exception acceptée"),"GREEN",IF(OR(I455="Non commencé",I455="Échec"),"RED","AMBER"))</f>
        <v/>
      </c>
      <c r="K455" s="12" t="inlineStr"/>
      <c r="L455" s="12" t="inlineStr"/>
      <c r="M455" s="17" t="inlineStr"/>
    </row>
    <row r="456" ht="18" customHeight="1">
      <c r="A456" s="18" t="inlineStr">
        <is>
          <t>RA-5(1)</t>
        </is>
      </c>
      <c r="B456" s="19" t="inlineStr">
        <is>
          <t>Vulnerability Scanning</t>
        </is>
      </c>
      <c r="C456" s="19" t="inlineStr">
        <is>
          <t>Hybrid + Multicloud</t>
        </is>
      </c>
      <c r="D456" s="18" t="inlineStr">
        <is>
          <t>RA</t>
        </is>
      </c>
      <c r="E456" s="19" t="inlineStr">
        <is>
          <t>Hybrid and Multicloud</t>
        </is>
      </c>
      <c r="F456" s="19" t="inlineStr">
        <is>
          <t>RA-5-1</t>
        </is>
      </c>
      <c r="G456" s="20">
        <f>IFERROR('[Hybrid_and_Multicloud.xlsx]RA-5-1'!B20,"Not Started")</f>
        <v/>
      </c>
      <c r="H456" s="14">
        <f>IF(OR(G456="Passed",G456="Accepted Exception"),"GREEN",IF(OR(G456="Not Started",G456="Failed"),"RED","AMBER"))</f>
        <v/>
      </c>
      <c r="I456" s="21">
        <f>IFERROR('[Hybrid_and_Multicloud.xlsx]RA-5-1'!E20,"Non commencé")</f>
        <v/>
      </c>
      <c r="J456" s="16">
        <f>IF(OR(I456="Réussi",I456="Exception acceptée"),"GREEN",IF(OR(I456="Non commencé",I456="Échec"),"RED","AMBER"))</f>
        <v/>
      </c>
      <c r="K456" s="19" t="inlineStr"/>
      <c r="L456" s="19" t="inlineStr"/>
      <c r="M456" s="22" t="inlineStr"/>
    </row>
    <row r="457" ht="18" customHeight="1">
      <c r="A457" s="11" t="inlineStr">
        <is>
          <t>RA-5(2)</t>
        </is>
      </c>
      <c r="B457" s="12" t="inlineStr">
        <is>
          <t>Vulnerability Scanning</t>
        </is>
      </c>
      <c r="C457" s="12" t="inlineStr">
        <is>
          <t>Hybrid + Multicloud</t>
        </is>
      </c>
      <c r="D457" s="11" t="inlineStr">
        <is>
          <t>RA</t>
        </is>
      </c>
      <c r="E457" s="12" t="inlineStr">
        <is>
          <t>Hybrid and Multicloud</t>
        </is>
      </c>
      <c r="F457" s="12" t="inlineStr">
        <is>
          <t>RA-5-2</t>
        </is>
      </c>
      <c r="G457" s="13">
        <f>IFERROR('[Hybrid_and_Multicloud.xlsx]RA-5-2'!B20,"Not Started")</f>
        <v/>
      </c>
      <c r="H457" s="14">
        <f>IF(OR(G457="Passed",G457="Accepted Exception"),"GREEN",IF(OR(G457="Not Started",G457="Failed"),"RED","AMBER"))</f>
        <v/>
      </c>
      <c r="I457" s="15">
        <f>IFERROR('[Hybrid_and_Multicloud.xlsx]RA-5-2'!E20,"Non commencé")</f>
        <v/>
      </c>
      <c r="J457" s="16">
        <f>IF(OR(I457="Réussi",I457="Exception acceptée"),"GREEN",IF(OR(I457="Non commencé",I457="Échec"),"RED","AMBER"))</f>
        <v/>
      </c>
      <c r="K457" s="12" t="inlineStr"/>
      <c r="L457" s="12" t="inlineStr"/>
      <c r="M457" s="17" t="inlineStr"/>
    </row>
    <row r="458" ht="18" customHeight="1">
      <c r="A458" s="18" t="inlineStr">
        <is>
          <t>RA-5(3)</t>
        </is>
      </c>
      <c r="B458" s="19" t="inlineStr">
        <is>
          <t>Vulnerability Scanning</t>
        </is>
      </c>
      <c r="C458" s="19" t="inlineStr">
        <is>
          <t>Hybrid + Multicloud</t>
        </is>
      </c>
      <c r="D458" s="18" t="inlineStr">
        <is>
          <t>RA</t>
        </is>
      </c>
      <c r="E458" s="19" t="inlineStr">
        <is>
          <t>Hybrid and Multicloud</t>
        </is>
      </c>
      <c r="F458" s="19" t="inlineStr">
        <is>
          <t>RA-5-3</t>
        </is>
      </c>
      <c r="G458" s="20">
        <f>IFERROR('[Hybrid_and_Multicloud.xlsx]RA-5-3'!B20,"Not Started")</f>
        <v/>
      </c>
      <c r="H458" s="14">
        <f>IF(OR(G458="Passed",G458="Accepted Exception"),"GREEN",IF(OR(G458="Not Started",G458="Failed"),"RED","AMBER"))</f>
        <v/>
      </c>
      <c r="I458" s="21">
        <f>IFERROR('[Hybrid_and_Multicloud.xlsx]RA-5-3'!E20,"Non commencé")</f>
        <v/>
      </c>
      <c r="J458" s="16">
        <f>IF(OR(I458="Réussi",I458="Exception acceptée"),"GREEN",IF(OR(I458="Non commencé",I458="Échec"),"RED","AMBER"))</f>
        <v/>
      </c>
      <c r="K458" s="19" t="inlineStr"/>
      <c r="L458" s="19" t="inlineStr"/>
      <c r="M458" s="22" t="inlineStr"/>
    </row>
    <row r="459" ht="18" customHeight="1">
      <c r="A459" s="11" t="inlineStr">
        <is>
          <t>RA-5(5)</t>
        </is>
      </c>
      <c r="B459" s="12" t="inlineStr">
        <is>
          <t>Vulnerability Scanning</t>
        </is>
      </c>
      <c r="C459" s="12" t="inlineStr">
        <is>
          <t>Hybrid + Multicloud</t>
        </is>
      </c>
      <c r="D459" s="11" t="inlineStr">
        <is>
          <t>RA</t>
        </is>
      </c>
      <c r="E459" s="12" t="inlineStr">
        <is>
          <t>Hybrid and Multicloud</t>
        </is>
      </c>
      <c r="F459" s="12" t="inlineStr">
        <is>
          <t>RA-5-5</t>
        </is>
      </c>
      <c r="G459" s="13">
        <f>IFERROR('[Hybrid_and_Multicloud.xlsx]RA-5-5'!B20,"Not Started")</f>
        <v/>
      </c>
      <c r="H459" s="14">
        <f>IF(OR(G459="Passed",G459="Accepted Exception"),"GREEN",IF(OR(G459="Not Started",G459="Failed"),"RED","AMBER"))</f>
        <v/>
      </c>
      <c r="I459" s="15">
        <f>IFERROR('[Hybrid_and_Multicloud.xlsx]RA-5-5'!E20,"Non commencé")</f>
        <v/>
      </c>
      <c r="J459" s="16">
        <f>IF(OR(I459="Réussi",I459="Exception acceptée"),"GREEN",IF(OR(I459="Non commencé",I459="Échec"),"RED","AMBER"))</f>
        <v/>
      </c>
      <c r="K459" s="12" t="inlineStr"/>
      <c r="L459" s="12" t="inlineStr"/>
      <c r="M459" s="17" t="inlineStr"/>
    </row>
    <row r="460" ht="18" customHeight="1">
      <c r="A460" s="18" t="inlineStr">
        <is>
          <t>RA-5(6)</t>
        </is>
      </c>
      <c r="B460" s="19" t="inlineStr">
        <is>
          <t>Vulnerability Scanning</t>
        </is>
      </c>
      <c r="C460" s="19" t="inlineStr">
        <is>
          <t>Hybrid + Multicloud</t>
        </is>
      </c>
      <c r="D460" s="18" t="inlineStr">
        <is>
          <t>RA</t>
        </is>
      </c>
      <c r="E460" s="19" t="inlineStr">
        <is>
          <t>Hybrid and Multicloud</t>
        </is>
      </c>
      <c r="F460" s="19" t="inlineStr">
        <is>
          <t>RA-5-6</t>
        </is>
      </c>
      <c r="G460" s="20">
        <f>IFERROR('[Hybrid_and_Multicloud.xlsx]RA-5-6'!B20,"Not Started")</f>
        <v/>
      </c>
      <c r="H460" s="14">
        <f>IF(OR(G460="Passed",G460="Accepted Exception"),"GREEN",IF(OR(G460="Not Started",G460="Failed"),"RED","AMBER"))</f>
        <v/>
      </c>
      <c r="I460" s="21">
        <f>IFERROR('[Hybrid_and_Multicloud.xlsx]RA-5-6'!E20,"Non commencé")</f>
        <v/>
      </c>
      <c r="J460" s="16">
        <f>IF(OR(I460="Réussi",I460="Exception acceptée"),"GREEN",IF(OR(I460="Non commencé",I460="Échec"),"RED","AMBER"))</f>
        <v/>
      </c>
      <c r="K460" s="19" t="inlineStr"/>
      <c r="L460" s="19" t="inlineStr"/>
      <c r="M460" s="22" t="inlineStr"/>
    </row>
    <row r="461" ht="18" customHeight="1">
      <c r="A461" s="11" t="inlineStr">
        <is>
          <t>RA-5(8)</t>
        </is>
      </c>
      <c r="B461" s="12" t="inlineStr">
        <is>
          <t>Vulnerability Scanning</t>
        </is>
      </c>
      <c r="C461" s="12" t="inlineStr">
        <is>
          <t>Hybrid + Multicloud</t>
        </is>
      </c>
      <c r="D461" s="11" t="inlineStr">
        <is>
          <t>RA</t>
        </is>
      </c>
      <c r="E461" s="12" t="inlineStr">
        <is>
          <t>Hybrid and Multicloud</t>
        </is>
      </c>
      <c r="F461" s="12" t="inlineStr">
        <is>
          <t>RA-5-8</t>
        </is>
      </c>
      <c r="G461" s="13">
        <f>IFERROR('[Hybrid_and_Multicloud.xlsx]RA-5-8'!B20,"Not Started")</f>
        <v/>
      </c>
      <c r="H461" s="14">
        <f>IF(OR(G461="Passed",G461="Accepted Exception"),"GREEN",IF(OR(G461="Not Started",G461="Failed"),"RED","AMBER"))</f>
        <v/>
      </c>
      <c r="I461" s="15">
        <f>IFERROR('[Hybrid_and_Multicloud.xlsx]RA-5-8'!E20,"Non commencé")</f>
        <v/>
      </c>
      <c r="J461" s="16">
        <f>IF(OR(I461="Réussi",I461="Exception acceptée"),"GREEN",IF(OR(I461="Non commencé",I461="Échec"),"RED","AMBER"))</f>
        <v/>
      </c>
      <c r="K461" s="12" t="inlineStr"/>
      <c r="L461" s="12" t="inlineStr"/>
      <c r="M461" s="17" t="inlineStr"/>
    </row>
    <row r="462" ht="18" customHeight="1">
      <c r="A462" s="18" t="inlineStr">
        <is>
          <t>SA-9(5)</t>
        </is>
      </c>
      <c r="B462" s="19" t="inlineStr">
        <is>
          <t>External Information System Services</t>
        </is>
      </c>
      <c r="C462" s="19" t="inlineStr">
        <is>
          <t>Hybrid + Multicloud</t>
        </is>
      </c>
      <c r="D462" s="18" t="inlineStr">
        <is>
          <t>SA</t>
        </is>
      </c>
      <c r="E462" s="19" t="inlineStr">
        <is>
          <t>Hybrid and Multicloud</t>
        </is>
      </c>
      <c r="F462" s="19" t="inlineStr">
        <is>
          <t>SA-9-5</t>
        </is>
      </c>
      <c r="G462" s="20">
        <f>IFERROR('[Hybrid_and_Multicloud.xlsx]SA-9-5'!B20,"Not Started")</f>
        <v/>
      </c>
      <c r="H462" s="14">
        <f>IF(OR(G462="Passed",G462="Accepted Exception"),"GREEN",IF(OR(G462="Not Started",G462="Failed"),"RED","AMBER"))</f>
        <v/>
      </c>
      <c r="I462" s="21">
        <f>IFERROR('[Hybrid_and_Multicloud.xlsx]SA-9-5'!E20,"Non commencé")</f>
        <v/>
      </c>
      <c r="J462" s="16">
        <f>IF(OR(I462="Réussi",I462="Exception acceptée"),"GREEN",IF(OR(I462="Non commencé",I462="Échec"),"RED","AMBER"))</f>
        <v/>
      </c>
      <c r="K462" s="19" t="inlineStr"/>
      <c r="L462" s="19" t="inlineStr"/>
      <c r="M462" s="22" t="inlineStr"/>
    </row>
    <row r="463" ht="18" customHeight="1">
      <c r="A463" s="11" t="inlineStr">
        <is>
          <t>SA-11(1)</t>
        </is>
      </c>
      <c r="B463" s="12" t="inlineStr">
        <is>
          <t>Developer Security Testing</t>
        </is>
      </c>
      <c r="C463" s="12" t="inlineStr">
        <is>
          <t>Hybrid + Multicloud</t>
        </is>
      </c>
      <c r="D463" s="11" t="inlineStr">
        <is>
          <t>SA</t>
        </is>
      </c>
      <c r="E463" s="12" t="inlineStr">
        <is>
          <t>Hybrid and Multicloud</t>
        </is>
      </c>
      <c r="F463" s="12" t="inlineStr">
        <is>
          <t>SA-11-1</t>
        </is>
      </c>
      <c r="G463" s="13">
        <f>IFERROR('[Hybrid_and_Multicloud.xlsx]SA-11-1'!B20,"Not Started")</f>
        <v/>
      </c>
      <c r="H463" s="14">
        <f>IF(OR(G463="Passed",G463="Accepted Exception"),"GREEN",IF(OR(G463="Not Started",G463="Failed"),"RED","AMBER"))</f>
        <v/>
      </c>
      <c r="I463" s="15">
        <f>IFERROR('[Hybrid_and_Multicloud.xlsx]SA-11-1'!E20,"Non commencé")</f>
        <v/>
      </c>
      <c r="J463" s="16">
        <f>IF(OR(I463="Réussi",I463="Exception acceptée"),"GREEN",IF(OR(I463="Non commencé",I463="Échec"),"RED","AMBER"))</f>
        <v/>
      </c>
      <c r="K463" s="12" t="inlineStr"/>
      <c r="L463" s="12" t="inlineStr"/>
      <c r="M463" s="17" t="inlineStr"/>
    </row>
    <row r="464" ht="18" customHeight="1">
      <c r="A464" s="18" t="inlineStr">
        <is>
          <t>SA-11(8)</t>
        </is>
      </c>
      <c r="B464" s="19" t="inlineStr">
        <is>
          <t>Developer Security Testing</t>
        </is>
      </c>
      <c r="C464" s="19" t="inlineStr">
        <is>
          <t>Hybrid + Multicloud</t>
        </is>
      </c>
      <c r="D464" s="18" t="inlineStr">
        <is>
          <t>SA</t>
        </is>
      </c>
      <c r="E464" s="19" t="inlineStr">
        <is>
          <t>Hybrid and Multicloud</t>
        </is>
      </c>
      <c r="F464" s="19" t="inlineStr">
        <is>
          <t>SA-11-8</t>
        </is>
      </c>
      <c r="G464" s="20">
        <f>IFERROR('[Hybrid_and_Multicloud.xlsx]SA-11-8'!B20,"Not Started")</f>
        <v/>
      </c>
      <c r="H464" s="14">
        <f>IF(OR(G464="Passed",G464="Accepted Exception"),"GREEN",IF(OR(G464="Not Started",G464="Failed"),"RED","AMBER"))</f>
        <v/>
      </c>
      <c r="I464" s="21">
        <f>IFERROR('[Hybrid_and_Multicloud.xlsx]SA-11-8'!E20,"Non commencé")</f>
        <v/>
      </c>
      <c r="J464" s="16">
        <f>IF(OR(I464="Réussi",I464="Exception acceptée"),"GREEN",IF(OR(I464="Non commencé",I464="Échec"),"RED","AMBER"))</f>
        <v/>
      </c>
      <c r="K464" s="19" t="inlineStr"/>
      <c r="L464" s="19" t="inlineStr"/>
      <c r="M464" s="22" t="inlineStr"/>
    </row>
    <row r="465" ht="18" customHeight="1">
      <c r="A465" s="11" t="inlineStr">
        <is>
          <t>SC-5</t>
        </is>
      </c>
      <c r="B465" s="12" t="inlineStr">
        <is>
          <t>Denial of Service Protection</t>
        </is>
      </c>
      <c r="C465" s="12" t="inlineStr">
        <is>
          <t>Hybrid + Multicloud</t>
        </is>
      </c>
      <c r="D465" s="11" t="inlineStr">
        <is>
          <t>SC</t>
        </is>
      </c>
      <c r="E465" s="12" t="inlineStr">
        <is>
          <t>Hybrid and Multicloud</t>
        </is>
      </c>
      <c r="F465" s="12" t="inlineStr">
        <is>
          <t>SC-5</t>
        </is>
      </c>
      <c r="G465" s="13">
        <f>IFERROR('[Hybrid_and_Multicloud.xlsx]SC-5'!B20,"Not Started")</f>
        <v/>
      </c>
      <c r="H465" s="14">
        <f>IF(OR(G465="Passed",G465="Accepted Exception"),"GREEN",IF(OR(G465="Not Started",G465="Failed"),"RED","AMBER"))</f>
        <v/>
      </c>
      <c r="I465" s="15">
        <f>IFERROR('[Hybrid_and_Multicloud.xlsx]SC-5'!E20,"Non commencé")</f>
        <v/>
      </c>
      <c r="J465" s="16">
        <f>IF(OR(I465="Réussi",I465="Exception acceptée"),"GREEN",IF(OR(I465="Non commencé",I465="Échec"),"RED","AMBER"))</f>
        <v/>
      </c>
      <c r="K465" s="12" t="inlineStr"/>
      <c r="L465" s="12" t="inlineStr"/>
      <c r="M465" s="17" t="inlineStr"/>
    </row>
    <row r="466" ht="18" customHeight="1">
      <c r="A466" s="18" t="inlineStr">
        <is>
          <t>SC-7</t>
        </is>
      </c>
      <c r="B466" s="19" t="inlineStr">
        <is>
          <t>Boundary Protection</t>
        </is>
      </c>
      <c r="C466" s="19" t="inlineStr">
        <is>
          <t>Hybrid + Multicloud</t>
        </is>
      </c>
      <c r="D466" s="18" t="inlineStr">
        <is>
          <t>SC</t>
        </is>
      </c>
      <c r="E466" s="19" t="inlineStr">
        <is>
          <t>Hybrid and Multicloud</t>
        </is>
      </c>
      <c r="F466" s="19" t="inlineStr">
        <is>
          <t>SC-7</t>
        </is>
      </c>
      <c r="G466" s="20">
        <f>IFERROR('[Hybrid_and_Multicloud.xlsx]SC-7'!B20,"Not Started")</f>
        <v/>
      </c>
      <c r="H466" s="14">
        <f>IF(OR(G466="Passed",G466="Accepted Exception"),"GREEN",IF(OR(G466="Not Started",G466="Failed"),"RED","AMBER"))</f>
        <v/>
      </c>
      <c r="I466" s="21">
        <f>IFERROR('[Hybrid_and_Multicloud.xlsx]SC-7'!E20,"Non commencé")</f>
        <v/>
      </c>
      <c r="J466" s="16">
        <f>IF(OR(I466="Réussi",I466="Exception acceptée"),"GREEN",IF(OR(I466="Non commencé",I466="Échec"),"RED","AMBER"))</f>
        <v/>
      </c>
      <c r="K466" s="19" t="inlineStr"/>
      <c r="L466" s="19" t="inlineStr"/>
      <c r="M466" s="22" t="inlineStr"/>
    </row>
    <row r="467" ht="18" customHeight="1">
      <c r="A467" s="11" t="inlineStr">
        <is>
          <t>SC-13</t>
        </is>
      </c>
      <c r="B467" s="12" t="inlineStr">
        <is>
          <t>Cryptographic Protection</t>
        </is>
      </c>
      <c r="C467" s="12" t="inlineStr">
        <is>
          <t>Hybrid + Multicloud</t>
        </is>
      </c>
      <c r="D467" s="11" t="inlineStr">
        <is>
          <t>SC</t>
        </is>
      </c>
      <c r="E467" s="12" t="inlineStr">
        <is>
          <t>Hybrid and Multicloud</t>
        </is>
      </c>
      <c r="F467" s="12" t="inlineStr">
        <is>
          <t>SC-13</t>
        </is>
      </c>
      <c r="G467" s="13">
        <f>IFERROR('[Hybrid_and_Multicloud.xlsx]SC-13'!B20,"Not Started")</f>
        <v/>
      </c>
      <c r="H467" s="14">
        <f>IF(OR(G467="Passed",G467="Accepted Exception"),"GREEN",IF(OR(G467="Not Started",G467="Failed"),"RED","AMBER"))</f>
        <v/>
      </c>
      <c r="I467" s="15">
        <f>IFERROR('[Hybrid_and_Multicloud.xlsx]SC-13'!E20,"Non commencé")</f>
        <v/>
      </c>
      <c r="J467" s="16">
        <f>IF(OR(I467="Réussi",I467="Exception acceptée"),"GREEN",IF(OR(I467="Non commencé",I467="Échec"),"RED","AMBER"))</f>
        <v/>
      </c>
      <c r="K467" s="12" t="inlineStr"/>
      <c r="L467" s="12" t="inlineStr"/>
      <c r="M467" s="17" t="inlineStr"/>
    </row>
    <row r="468" ht="18" customHeight="1">
      <c r="A468" s="18" t="inlineStr">
        <is>
          <t>SC-28</t>
        </is>
      </c>
      <c r="B468" s="19" t="inlineStr">
        <is>
          <t>Protection of Information At Rest</t>
        </is>
      </c>
      <c r="C468" s="19" t="inlineStr">
        <is>
          <t>Hybrid + Multicloud</t>
        </is>
      </c>
      <c r="D468" s="18" t="inlineStr">
        <is>
          <t>SC</t>
        </is>
      </c>
      <c r="E468" s="19" t="inlineStr">
        <is>
          <t>Hybrid and Multicloud</t>
        </is>
      </c>
      <c r="F468" s="19" t="inlineStr">
        <is>
          <t>SC-28</t>
        </is>
      </c>
      <c r="G468" s="20">
        <f>IFERROR('[Hybrid_and_Multicloud.xlsx]SC-28'!B20,"Not Started")</f>
        <v/>
      </c>
      <c r="H468" s="14">
        <f>IF(OR(G468="Passed",G468="Accepted Exception"),"GREEN",IF(OR(G468="Not Started",G468="Failed"),"RED","AMBER"))</f>
        <v/>
      </c>
      <c r="I468" s="21">
        <f>IFERROR('[Hybrid_and_Multicloud.xlsx]SC-28'!E20,"Non commencé")</f>
        <v/>
      </c>
      <c r="J468" s="16">
        <f>IF(OR(I468="Réussi",I468="Exception acceptée"),"GREEN",IF(OR(I468="Non commencé",I468="Échec"),"RED","AMBER"))</f>
        <v/>
      </c>
      <c r="K468" s="19" t="inlineStr"/>
      <c r="L468" s="19" t="inlineStr"/>
      <c r="M468" s="22" t="inlineStr"/>
    </row>
    <row r="469" ht="18" customHeight="1">
      <c r="A469" s="11" t="inlineStr">
        <is>
          <t>SC-28(1)</t>
        </is>
      </c>
      <c r="B469" s="12" t="inlineStr">
        <is>
          <t>Protection of Information At Rest</t>
        </is>
      </c>
      <c r="C469" s="12" t="inlineStr">
        <is>
          <t>Hybrid + Multicloud</t>
        </is>
      </c>
      <c r="D469" s="11" t="inlineStr">
        <is>
          <t>SC</t>
        </is>
      </c>
      <c r="E469" s="12" t="inlineStr">
        <is>
          <t>Hybrid and Multicloud</t>
        </is>
      </c>
      <c r="F469" s="12" t="inlineStr">
        <is>
          <t>SC-28-1</t>
        </is>
      </c>
      <c r="G469" s="13">
        <f>IFERROR('[Hybrid_and_Multicloud.xlsx]SC-28-1'!B20,"Not Started")</f>
        <v/>
      </c>
      <c r="H469" s="14">
        <f>IF(OR(G469="Passed",G469="Accepted Exception"),"GREEN",IF(OR(G469="Not Started",G469="Failed"),"RED","AMBER"))</f>
        <v/>
      </c>
      <c r="I469" s="15">
        <f>IFERROR('[Hybrid_and_Multicloud.xlsx]SC-28-1'!E20,"Non commencé")</f>
        <v/>
      </c>
      <c r="J469" s="16">
        <f>IF(OR(I469="Réussi",I469="Exception acceptée"),"GREEN",IF(OR(I469="Non commencé",I469="Échec"),"RED","AMBER"))</f>
        <v/>
      </c>
      <c r="K469" s="12" t="inlineStr"/>
      <c r="L469" s="12" t="inlineStr"/>
      <c r="M469" s="17" t="inlineStr"/>
    </row>
    <row r="470" ht="18" customHeight="1">
      <c r="A470" s="18" t="inlineStr">
        <is>
          <t>SI-2</t>
        </is>
      </c>
      <c r="B470" s="19" t="inlineStr">
        <is>
          <t>Flaw Remediation</t>
        </is>
      </c>
      <c r="C470" s="19" t="inlineStr">
        <is>
          <t>Hybrid + Multicloud</t>
        </is>
      </c>
      <c r="D470" s="18" t="inlineStr">
        <is>
          <t>SI</t>
        </is>
      </c>
      <c r="E470" s="19" t="inlineStr">
        <is>
          <t>Hybrid and Multicloud</t>
        </is>
      </c>
      <c r="F470" s="19" t="inlineStr">
        <is>
          <t>SI-2</t>
        </is>
      </c>
      <c r="G470" s="20">
        <f>IFERROR('[Hybrid_and_Multicloud.xlsx]SI-2'!B20,"Not Started")</f>
        <v/>
      </c>
      <c r="H470" s="14">
        <f>IF(OR(G470="Passed",G470="Accepted Exception"),"GREEN",IF(OR(G470="Not Started",G470="Failed"),"RED","AMBER"))</f>
        <v/>
      </c>
      <c r="I470" s="21">
        <f>IFERROR('[Hybrid_and_Multicloud.xlsx]SI-2'!E20,"Non commencé")</f>
        <v/>
      </c>
      <c r="J470" s="16">
        <f>IF(OR(I470="Réussi",I470="Exception acceptée"),"GREEN",IF(OR(I470="Non commencé",I470="Échec"),"RED","AMBER"))</f>
        <v/>
      </c>
      <c r="K470" s="19" t="inlineStr"/>
      <c r="L470" s="19" t="inlineStr"/>
      <c r="M470" s="22" t="inlineStr"/>
    </row>
    <row r="471" ht="18" customHeight="1">
      <c r="A471" s="11" t="inlineStr">
        <is>
          <t>SI-2(2)</t>
        </is>
      </c>
      <c r="B471" s="12" t="inlineStr">
        <is>
          <t>Flaw Remediation</t>
        </is>
      </c>
      <c r="C471" s="12" t="inlineStr">
        <is>
          <t>Hybrid + Multicloud</t>
        </is>
      </c>
      <c r="D471" s="11" t="inlineStr">
        <is>
          <t>SI</t>
        </is>
      </c>
      <c r="E471" s="12" t="inlineStr">
        <is>
          <t>Hybrid and Multicloud</t>
        </is>
      </c>
      <c r="F471" s="12" t="inlineStr">
        <is>
          <t>SI-2-2</t>
        </is>
      </c>
      <c r="G471" s="13">
        <f>IFERROR('[Hybrid_and_Multicloud.xlsx]SI-2-2'!B20,"Not Started")</f>
        <v/>
      </c>
      <c r="H471" s="14">
        <f>IF(OR(G471="Passed",G471="Accepted Exception"),"GREEN",IF(OR(G471="Not Started",G471="Failed"),"RED","AMBER"))</f>
        <v/>
      </c>
      <c r="I471" s="15">
        <f>IFERROR('[Hybrid_and_Multicloud.xlsx]SI-2-2'!E20,"Non commencé")</f>
        <v/>
      </c>
      <c r="J471" s="16">
        <f>IF(OR(I471="Réussi",I471="Exception acceptée"),"GREEN",IF(OR(I471="Non commencé",I471="Échec"),"RED","AMBER"))</f>
        <v/>
      </c>
      <c r="K471" s="12" t="inlineStr"/>
      <c r="L471" s="12" t="inlineStr"/>
      <c r="M471" s="17" t="inlineStr"/>
    </row>
    <row r="472" ht="18" customHeight="1">
      <c r="A472" s="18" t="inlineStr">
        <is>
          <t>SI-3</t>
        </is>
      </c>
      <c r="B472" s="19" t="inlineStr">
        <is>
          <t>Malicious Code Protection</t>
        </is>
      </c>
      <c r="C472" s="19" t="inlineStr">
        <is>
          <t>Hybrid + Multicloud</t>
        </is>
      </c>
      <c r="D472" s="18" t="inlineStr">
        <is>
          <t>SI</t>
        </is>
      </c>
      <c r="E472" s="19" t="inlineStr">
        <is>
          <t>Hybrid and Multicloud</t>
        </is>
      </c>
      <c r="F472" s="19" t="inlineStr">
        <is>
          <t>SI-3</t>
        </is>
      </c>
      <c r="G472" s="20">
        <f>IFERROR('[Hybrid_and_Multicloud.xlsx]SI-3'!B20,"Not Started")</f>
        <v/>
      </c>
      <c r="H472" s="14">
        <f>IF(OR(G472="Passed",G472="Accepted Exception"),"GREEN",IF(OR(G472="Not Started",G472="Failed"),"RED","AMBER"))</f>
        <v/>
      </c>
      <c r="I472" s="21">
        <f>IFERROR('[Hybrid_and_Multicloud.xlsx]SI-3'!E20,"Non commencé")</f>
        <v/>
      </c>
      <c r="J472" s="16">
        <f>IF(OR(I472="Réussi",I472="Exception acceptée"),"GREEN",IF(OR(I472="Non commencé",I472="Échec"),"RED","AMBER"))</f>
        <v/>
      </c>
      <c r="K472" s="19" t="inlineStr"/>
      <c r="L472" s="19" t="inlineStr"/>
      <c r="M472" s="22" t="inlineStr"/>
    </row>
    <row r="473" ht="18" customHeight="1">
      <c r="A473" s="11" t="inlineStr">
        <is>
          <t>SI-3(1)</t>
        </is>
      </c>
      <c r="B473" s="12" t="inlineStr">
        <is>
          <t>Malicious Code Protection</t>
        </is>
      </c>
      <c r="C473" s="12" t="inlineStr">
        <is>
          <t>Hybrid + Multicloud</t>
        </is>
      </c>
      <c r="D473" s="11" t="inlineStr">
        <is>
          <t>SI</t>
        </is>
      </c>
      <c r="E473" s="12" t="inlineStr">
        <is>
          <t>Hybrid and Multicloud</t>
        </is>
      </c>
      <c r="F473" s="12" t="inlineStr">
        <is>
          <t>SI-3-1</t>
        </is>
      </c>
      <c r="G473" s="13">
        <f>IFERROR('[Hybrid_and_Multicloud.xlsx]SI-3-1'!B20,"Not Started")</f>
        <v/>
      </c>
      <c r="H473" s="14">
        <f>IF(OR(G473="Passed",G473="Accepted Exception"),"GREEN",IF(OR(G473="Not Started",G473="Failed"),"RED","AMBER"))</f>
        <v/>
      </c>
      <c r="I473" s="15">
        <f>IFERROR('[Hybrid_and_Multicloud.xlsx]SI-3-1'!E20,"Non commencé")</f>
        <v/>
      </c>
      <c r="J473" s="16">
        <f>IF(OR(I473="Réussi",I473="Exception acceptée"),"GREEN",IF(OR(I473="Non commencé",I473="Échec"),"RED","AMBER"))</f>
        <v/>
      </c>
      <c r="K473" s="12" t="inlineStr"/>
      <c r="L473" s="12" t="inlineStr"/>
      <c r="M473" s="17" t="inlineStr"/>
    </row>
    <row r="474" ht="18" customHeight="1">
      <c r="A474" s="18" t="inlineStr">
        <is>
          <t>SI-3(2)</t>
        </is>
      </c>
      <c r="B474" s="19" t="inlineStr">
        <is>
          <t>Malicious Code Protection</t>
        </is>
      </c>
      <c r="C474" s="19" t="inlineStr">
        <is>
          <t>Hybrid + Multicloud</t>
        </is>
      </c>
      <c r="D474" s="18" t="inlineStr">
        <is>
          <t>SI</t>
        </is>
      </c>
      <c r="E474" s="19" t="inlineStr">
        <is>
          <t>Hybrid and Multicloud</t>
        </is>
      </c>
      <c r="F474" s="19" t="inlineStr">
        <is>
          <t>SI-3-2</t>
        </is>
      </c>
      <c r="G474" s="20">
        <f>IFERROR('[Hybrid_and_Multicloud.xlsx]SI-3-2'!B20,"Not Started")</f>
        <v/>
      </c>
      <c r="H474" s="14">
        <f>IF(OR(G474="Passed",G474="Accepted Exception"),"GREEN",IF(OR(G474="Not Started",G474="Failed"),"RED","AMBER"))</f>
        <v/>
      </c>
      <c r="I474" s="21">
        <f>IFERROR('[Hybrid_and_Multicloud.xlsx]SI-3-2'!E20,"Non commencé")</f>
        <v/>
      </c>
      <c r="J474" s="16">
        <f>IF(OR(I474="Réussi",I474="Exception acceptée"),"GREEN",IF(OR(I474="Non commencé",I474="Échec"),"RED","AMBER"))</f>
        <v/>
      </c>
      <c r="K474" s="19" t="inlineStr"/>
      <c r="L474" s="19" t="inlineStr"/>
      <c r="M474" s="22" t="inlineStr"/>
    </row>
    <row r="475" ht="18" customHeight="1">
      <c r="A475" s="11" t="inlineStr">
        <is>
          <t>SI-3(7)</t>
        </is>
      </c>
      <c r="B475" s="12" t="inlineStr">
        <is>
          <t>Malicious Code Protection</t>
        </is>
      </c>
      <c r="C475" s="12" t="inlineStr">
        <is>
          <t>Hybrid + Multicloud</t>
        </is>
      </c>
      <c r="D475" s="11" t="inlineStr">
        <is>
          <t>SI</t>
        </is>
      </c>
      <c r="E475" s="12" t="inlineStr">
        <is>
          <t>Hybrid and Multicloud</t>
        </is>
      </c>
      <c r="F475" s="12" t="inlineStr">
        <is>
          <t>SI-3-7</t>
        </is>
      </c>
      <c r="G475" s="13">
        <f>IFERROR('[Hybrid_and_Multicloud.xlsx]SI-3-7'!B20,"Not Started")</f>
        <v/>
      </c>
      <c r="H475" s="14">
        <f>IF(OR(G475="Passed",G475="Accepted Exception"),"GREEN",IF(OR(G475="Not Started",G475="Failed"),"RED","AMBER"))</f>
        <v/>
      </c>
      <c r="I475" s="15">
        <f>IFERROR('[Hybrid_and_Multicloud.xlsx]SI-3-7'!E20,"Non commencé")</f>
        <v/>
      </c>
      <c r="J475" s="16">
        <f>IF(OR(I475="Réussi",I475="Exception acceptée"),"GREEN",IF(OR(I475="Non commencé",I475="Échec"),"RED","AMBER"))</f>
        <v/>
      </c>
      <c r="K475" s="12" t="inlineStr"/>
      <c r="L475" s="12" t="inlineStr"/>
      <c r="M475" s="17" t="inlineStr"/>
    </row>
    <row r="476" ht="18" customHeight="1">
      <c r="A476" s="18" t="inlineStr">
        <is>
          <t>SI-4</t>
        </is>
      </c>
      <c r="B476" s="19" t="inlineStr">
        <is>
          <t>Information System Monitoring</t>
        </is>
      </c>
      <c r="C476" s="19" t="inlineStr">
        <is>
          <t>Hybrid + Multicloud</t>
        </is>
      </c>
      <c r="D476" s="18" t="inlineStr">
        <is>
          <t>SI</t>
        </is>
      </c>
      <c r="E476" s="19" t="inlineStr">
        <is>
          <t>Hybrid and Multicloud</t>
        </is>
      </c>
      <c r="F476" s="19" t="inlineStr">
        <is>
          <t>SI-4</t>
        </is>
      </c>
      <c r="G476" s="20">
        <f>IFERROR('[Hybrid_and_Multicloud.xlsx]SI-4'!B20,"Not Started")</f>
        <v/>
      </c>
      <c r="H476" s="14">
        <f>IF(OR(G476="Passed",G476="Accepted Exception"),"GREEN",IF(OR(G476="Not Started",G476="Failed"),"RED","AMBER"))</f>
        <v/>
      </c>
      <c r="I476" s="21">
        <f>IFERROR('[Hybrid_and_Multicloud.xlsx]SI-4'!E20,"Non commencé")</f>
        <v/>
      </c>
      <c r="J476" s="16">
        <f>IF(OR(I476="Réussi",I476="Exception acceptée"),"GREEN",IF(OR(I476="Non commencé",I476="Échec"),"RED","AMBER"))</f>
        <v/>
      </c>
      <c r="K476" s="19" t="inlineStr"/>
      <c r="L476" s="19" t="inlineStr"/>
      <c r="M476" s="22" t="inlineStr"/>
    </row>
    <row r="477" ht="18" customHeight="1">
      <c r="A477" s="11" t="inlineStr">
        <is>
          <t>SI-4(1)</t>
        </is>
      </c>
      <c r="B477" s="12" t="inlineStr">
        <is>
          <t>Information System Monitoring</t>
        </is>
      </c>
      <c r="C477" s="12" t="inlineStr">
        <is>
          <t>Hybrid + Multicloud</t>
        </is>
      </c>
      <c r="D477" s="11" t="inlineStr">
        <is>
          <t>SI</t>
        </is>
      </c>
      <c r="E477" s="12" t="inlineStr">
        <is>
          <t>Hybrid and Multicloud</t>
        </is>
      </c>
      <c r="F477" s="12" t="inlineStr">
        <is>
          <t>SI-4-1</t>
        </is>
      </c>
      <c r="G477" s="13">
        <f>IFERROR('[Hybrid_and_Multicloud.xlsx]SI-4-1'!B20,"Not Started")</f>
        <v/>
      </c>
      <c r="H477" s="14">
        <f>IF(OR(G477="Passed",G477="Accepted Exception"),"GREEN",IF(OR(G477="Not Started",G477="Failed"),"RED","AMBER"))</f>
        <v/>
      </c>
      <c r="I477" s="15">
        <f>IFERROR('[Hybrid_and_Multicloud.xlsx]SI-4-1'!E20,"Non commencé")</f>
        <v/>
      </c>
      <c r="J477" s="16">
        <f>IF(OR(I477="Réussi",I477="Exception acceptée"),"GREEN",IF(OR(I477="Non commencé",I477="Échec"),"RED","AMBER"))</f>
        <v/>
      </c>
      <c r="K477" s="12" t="inlineStr"/>
      <c r="L477" s="12" t="inlineStr"/>
      <c r="M477" s="17" t="inlineStr"/>
    </row>
    <row r="478" ht="18" customHeight="1">
      <c r="A478" s="18" t="inlineStr">
        <is>
          <t>SI-4(2)</t>
        </is>
      </c>
      <c r="B478" s="19" t="inlineStr">
        <is>
          <t>Information System Monitoring</t>
        </is>
      </c>
      <c r="C478" s="19" t="inlineStr">
        <is>
          <t>Hybrid + Multicloud</t>
        </is>
      </c>
      <c r="D478" s="18" t="inlineStr">
        <is>
          <t>SI</t>
        </is>
      </c>
      <c r="E478" s="19" t="inlineStr">
        <is>
          <t>Hybrid and Multicloud</t>
        </is>
      </c>
      <c r="F478" s="19" t="inlineStr">
        <is>
          <t>SI-4-2</t>
        </is>
      </c>
      <c r="G478" s="20">
        <f>IFERROR('[Hybrid_and_Multicloud.xlsx]SI-4-2'!B20,"Not Started")</f>
        <v/>
      </c>
      <c r="H478" s="14">
        <f>IF(OR(G478="Passed",G478="Accepted Exception"),"GREEN",IF(OR(G478="Not Started",G478="Failed"),"RED","AMBER"))</f>
        <v/>
      </c>
      <c r="I478" s="21">
        <f>IFERROR('[Hybrid_and_Multicloud.xlsx]SI-4-2'!E20,"Non commencé")</f>
        <v/>
      </c>
      <c r="J478" s="16">
        <f>IF(OR(I478="Réussi",I478="Exception acceptée"),"GREEN",IF(OR(I478="Non commencé",I478="Échec"),"RED","AMBER"))</f>
        <v/>
      </c>
      <c r="K478" s="19" t="inlineStr"/>
      <c r="L478" s="19" t="inlineStr"/>
      <c r="M478" s="22" t="inlineStr"/>
    </row>
    <row r="479" ht="18" customHeight="1">
      <c r="A479" s="11" t="inlineStr">
        <is>
          <t>SI-4(4)</t>
        </is>
      </c>
      <c r="B479" s="12" t="inlineStr">
        <is>
          <t>Information System Monitoring</t>
        </is>
      </c>
      <c r="C479" s="12" t="inlineStr">
        <is>
          <t>Hybrid + Multicloud</t>
        </is>
      </c>
      <c r="D479" s="11" t="inlineStr">
        <is>
          <t>SI</t>
        </is>
      </c>
      <c r="E479" s="12" t="inlineStr">
        <is>
          <t>Hybrid and Multicloud</t>
        </is>
      </c>
      <c r="F479" s="12" t="inlineStr">
        <is>
          <t>SI-4-4</t>
        </is>
      </c>
      <c r="G479" s="13">
        <f>IFERROR('[Hybrid_and_Multicloud.xlsx]SI-4-4'!B20,"Not Started")</f>
        <v/>
      </c>
      <c r="H479" s="14">
        <f>IF(OR(G479="Passed",G479="Accepted Exception"),"GREEN",IF(OR(G479="Not Started",G479="Failed"),"RED","AMBER"))</f>
        <v/>
      </c>
      <c r="I479" s="15">
        <f>IFERROR('[Hybrid_and_Multicloud.xlsx]SI-4-4'!E20,"Non commencé")</f>
        <v/>
      </c>
      <c r="J479" s="16">
        <f>IF(OR(I479="Réussi",I479="Exception acceptée"),"GREEN",IF(OR(I479="Non commencé",I479="Échec"),"RED","AMBER"))</f>
        <v/>
      </c>
      <c r="K479" s="12" t="inlineStr"/>
      <c r="L479" s="12" t="inlineStr"/>
      <c r="M479" s="17" t="inlineStr"/>
    </row>
    <row r="480" ht="18" customHeight="1">
      <c r="A480" s="18" t="inlineStr">
        <is>
          <t>SI-4(5)</t>
        </is>
      </c>
      <c r="B480" s="19" t="inlineStr">
        <is>
          <t>Information System Monitoring</t>
        </is>
      </c>
      <c r="C480" s="19" t="inlineStr">
        <is>
          <t>Hybrid + Multicloud</t>
        </is>
      </c>
      <c r="D480" s="18" t="inlineStr">
        <is>
          <t>SI</t>
        </is>
      </c>
      <c r="E480" s="19" t="inlineStr">
        <is>
          <t>Hybrid and Multicloud</t>
        </is>
      </c>
      <c r="F480" s="19" t="inlineStr">
        <is>
          <t>SI-4-5</t>
        </is>
      </c>
      <c r="G480" s="20">
        <f>IFERROR('[Hybrid_and_Multicloud.xlsx]SI-4-5'!B20,"Not Started")</f>
        <v/>
      </c>
      <c r="H480" s="14">
        <f>IF(OR(G480="Passed",G480="Accepted Exception"),"GREEN",IF(OR(G480="Not Started",G480="Failed"),"RED","AMBER"))</f>
        <v/>
      </c>
      <c r="I480" s="21">
        <f>IFERROR('[Hybrid_and_Multicloud.xlsx]SI-4-5'!E20,"Non commencé")</f>
        <v/>
      </c>
      <c r="J480" s="16">
        <f>IF(OR(I480="Réussi",I480="Exception acceptée"),"GREEN",IF(OR(I480="Non commencé",I480="Échec"),"RED","AMBER"))</f>
        <v/>
      </c>
      <c r="K480" s="19" t="inlineStr"/>
      <c r="L480" s="19" t="inlineStr"/>
      <c r="M480" s="22" t="inlineStr"/>
    </row>
    <row r="481" ht="18" customHeight="1">
      <c r="A481" s="11" t="inlineStr">
        <is>
          <t>SI-4(11)</t>
        </is>
      </c>
      <c r="B481" s="12" t="inlineStr">
        <is>
          <t>Information System Monitoring</t>
        </is>
      </c>
      <c r="C481" s="12" t="inlineStr">
        <is>
          <t>Hybrid + Multicloud</t>
        </is>
      </c>
      <c r="D481" s="11" t="inlineStr">
        <is>
          <t>SI</t>
        </is>
      </c>
      <c r="E481" s="12" t="inlineStr">
        <is>
          <t>Hybrid and Multicloud</t>
        </is>
      </c>
      <c r="F481" s="12" t="inlineStr">
        <is>
          <t>SI-4-11</t>
        </is>
      </c>
      <c r="G481" s="13">
        <f>IFERROR('[Hybrid_and_Multicloud.xlsx]SI-4-11'!B20,"Not Started")</f>
        <v/>
      </c>
      <c r="H481" s="14">
        <f>IF(OR(G481="Passed",G481="Accepted Exception"),"GREEN",IF(OR(G481="Not Started",G481="Failed"),"RED","AMBER"))</f>
        <v/>
      </c>
      <c r="I481" s="15">
        <f>IFERROR('[Hybrid_and_Multicloud.xlsx]SI-4-11'!E20,"Non commencé")</f>
        <v/>
      </c>
      <c r="J481" s="16">
        <f>IF(OR(I481="Réussi",I481="Exception acceptée"),"GREEN",IF(OR(I481="Non commencé",I481="Échec"),"RED","AMBER"))</f>
        <v/>
      </c>
      <c r="K481" s="12" t="inlineStr"/>
      <c r="L481" s="12" t="inlineStr"/>
      <c r="M481" s="17" t="inlineStr"/>
    </row>
    <row r="482" ht="18" customHeight="1">
      <c r="A482" s="18" t="inlineStr">
        <is>
          <t>SI-6</t>
        </is>
      </c>
      <c r="B482" s="19" t="inlineStr">
        <is>
          <t>Security Functional Verification</t>
        </is>
      </c>
      <c r="C482" s="19" t="inlineStr">
        <is>
          <t>Hybrid + Multicloud</t>
        </is>
      </c>
      <c r="D482" s="18" t="inlineStr">
        <is>
          <t>SI</t>
        </is>
      </c>
      <c r="E482" s="19" t="inlineStr">
        <is>
          <t>Hybrid and Multicloud</t>
        </is>
      </c>
      <c r="F482" s="19" t="inlineStr">
        <is>
          <t>SI-6</t>
        </is>
      </c>
      <c r="G482" s="20">
        <f>IFERROR('[Hybrid_and_Multicloud.xlsx]SI-6'!B20,"Not Started")</f>
        <v/>
      </c>
      <c r="H482" s="14">
        <f>IF(OR(G482="Passed",G482="Accepted Exception"),"GREEN",IF(OR(G482="Not Started",G482="Failed"),"RED","AMBER"))</f>
        <v/>
      </c>
      <c r="I482" s="21">
        <f>IFERROR('[Hybrid_and_Multicloud.xlsx]SI-6'!E20,"Non commencé")</f>
        <v/>
      </c>
      <c r="J482" s="16">
        <f>IF(OR(I482="Réussi",I482="Exception acceptée"),"GREEN",IF(OR(I482="Non commencé",I482="Échec"),"RED","AMBER"))</f>
        <v/>
      </c>
      <c r="K482" s="19" t="inlineStr"/>
      <c r="L482" s="19" t="inlineStr"/>
      <c r="M482" s="22" t="inlineStr"/>
    </row>
    <row r="483" ht="18" customHeight="1">
      <c r="A483" s="11" t="inlineStr">
        <is>
          <t>SI-7(7)</t>
        </is>
      </c>
      <c r="B483" s="12" t="inlineStr">
        <is>
          <t>Software, Firmware, and Information Integrity</t>
        </is>
      </c>
      <c r="C483" s="12" t="inlineStr">
        <is>
          <t>Hybrid + Multicloud</t>
        </is>
      </c>
      <c r="D483" s="11" t="inlineStr">
        <is>
          <t>SI</t>
        </is>
      </c>
      <c r="E483" s="12" t="inlineStr">
        <is>
          <t>Hybrid and Multicloud</t>
        </is>
      </c>
      <c r="F483" s="12" t="inlineStr">
        <is>
          <t>SI-7-7</t>
        </is>
      </c>
      <c r="G483" s="13">
        <f>IFERROR('[Hybrid_and_Multicloud.xlsx]SI-7-7'!B20,"Not Started")</f>
        <v/>
      </c>
      <c r="H483" s="14">
        <f>IF(OR(G483="Passed",G483="Accepted Exception"),"GREEN",IF(OR(G483="Not Started",G483="Failed"),"RED","AMBER"))</f>
        <v/>
      </c>
      <c r="I483" s="15">
        <f>IFERROR('[Hybrid_and_Multicloud.xlsx]SI-7-7'!E20,"Non commencé")</f>
        <v/>
      </c>
      <c r="J483" s="16">
        <f>IF(OR(I483="Réussi",I483="Exception acceptée"),"GREEN",IF(OR(I483="Non commencé",I483="Échec"),"RED","AMBER"))</f>
        <v/>
      </c>
      <c r="K483" s="12" t="inlineStr"/>
      <c r="L483" s="12" t="inlineStr"/>
      <c r="M483" s="17" t="inlineStr"/>
    </row>
    <row r="484" ht="18" customHeight="1">
      <c r="A484" s="18" t="inlineStr">
        <is>
          <t>SI-11</t>
        </is>
      </c>
      <c r="B484" s="19" t="inlineStr">
        <is>
          <t>Error Handling</t>
        </is>
      </c>
      <c r="C484" s="19" t="inlineStr">
        <is>
          <t>Hybrid + Multicloud</t>
        </is>
      </c>
      <c r="D484" s="18" t="inlineStr">
        <is>
          <t>SI</t>
        </is>
      </c>
      <c r="E484" s="19" t="inlineStr">
        <is>
          <t>Hybrid and Multicloud</t>
        </is>
      </c>
      <c r="F484" s="19" t="inlineStr">
        <is>
          <t>SI-11</t>
        </is>
      </c>
      <c r="G484" s="20">
        <f>IFERROR('[Hybrid_and_Multicloud.xlsx]SI-11'!B20,"Not Started")</f>
        <v/>
      </c>
      <c r="H484" s="14">
        <f>IF(OR(G484="Passed",G484="Accepted Exception"),"GREEN",IF(OR(G484="Not Started",G484="Failed"),"RED","AMBER"))</f>
        <v/>
      </c>
      <c r="I484" s="21">
        <f>IFERROR('[Hybrid_and_Multicloud.xlsx]SI-11'!E20,"Non commencé")</f>
        <v/>
      </c>
      <c r="J484" s="16">
        <f>IF(OR(I484="Réussi",I484="Exception acceptée"),"GREEN",IF(OR(I484="Non commencé",I484="Échec"),"RED","AMBER"))</f>
        <v/>
      </c>
      <c r="K484" s="19" t="inlineStr"/>
      <c r="L484" s="19" t="inlineStr"/>
      <c r="M484" s="22" t="inlineStr"/>
    </row>
    <row r="485" ht="18" customHeight="1">
      <c r="A485" s="11" t="inlineStr">
        <is>
          <t>AC-2</t>
        </is>
      </c>
      <c r="B485" s="12" t="inlineStr">
        <is>
          <t>Account Management</t>
        </is>
      </c>
      <c r="C485" s="12" t="inlineStr">
        <is>
          <t>Identity</t>
        </is>
      </c>
      <c r="D485" s="11" t="inlineStr">
        <is>
          <t>AC</t>
        </is>
      </c>
      <c r="E485" s="12" t="inlineStr">
        <is>
          <t>Identity</t>
        </is>
      </c>
      <c r="F485" s="12" t="inlineStr">
        <is>
          <t>AC-2</t>
        </is>
      </c>
      <c r="G485" s="13">
        <f>IFERROR('[Identity.xlsx]AC-2'!B20,"Not Started")</f>
        <v/>
      </c>
      <c r="H485" s="14">
        <f>IF(OR(G485="Passed",G485="Accepted Exception"),"GREEN",IF(OR(G485="Not Started",G485="Failed"),"RED","AMBER"))</f>
        <v/>
      </c>
      <c r="I485" s="15">
        <f>IFERROR('[Identity.xlsx]AC-2'!E20,"Non commencé")</f>
        <v/>
      </c>
      <c r="J485" s="16">
        <f>IF(OR(I485="Réussi",I485="Exception acceptée"),"GREEN",IF(OR(I485="Non commencé",I485="Échec"),"RED","AMBER"))</f>
        <v/>
      </c>
      <c r="K485" s="12" t="inlineStr"/>
      <c r="L485" s="12" t="inlineStr"/>
      <c r="M485" s="17" t="inlineStr"/>
    </row>
    <row r="486" ht="18" customHeight="1">
      <c r="A486" s="18" t="inlineStr">
        <is>
          <t>AC-2(1)</t>
        </is>
      </c>
      <c r="B486" s="19" t="inlineStr">
        <is>
          <t>Account Management</t>
        </is>
      </c>
      <c r="C486" s="19" t="inlineStr">
        <is>
          <t>Identity</t>
        </is>
      </c>
      <c r="D486" s="18" t="inlineStr">
        <is>
          <t>AC</t>
        </is>
      </c>
      <c r="E486" s="19" t="inlineStr">
        <is>
          <t>Identity</t>
        </is>
      </c>
      <c r="F486" s="19" t="inlineStr">
        <is>
          <t>AC-2-1</t>
        </is>
      </c>
      <c r="G486" s="20">
        <f>IFERROR('[Identity.xlsx]AC-2-1'!B20,"Not Started")</f>
        <v/>
      </c>
      <c r="H486" s="14">
        <f>IF(OR(G486="Passed",G486="Accepted Exception"),"GREEN",IF(OR(G486="Not Started",G486="Failed"),"RED","AMBER"))</f>
        <v/>
      </c>
      <c r="I486" s="21">
        <f>IFERROR('[Identity.xlsx]AC-2-1'!E20,"Non commencé")</f>
        <v/>
      </c>
      <c r="J486" s="16">
        <f>IF(OR(I486="Réussi",I486="Exception acceptée"),"GREEN",IF(OR(I486="Non commencé",I486="Échec"),"RED","AMBER"))</f>
        <v/>
      </c>
      <c r="K486" s="19" t="inlineStr"/>
      <c r="L486" s="19" t="inlineStr"/>
      <c r="M486" s="22" t="inlineStr"/>
    </row>
    <row r="487" ht="18" customHeight="1">
      <c r="A487" s="11" t="inlineStr">
        <is>
          <t>AC-2(2)</t>
        </is>
      </c>
      <c r="B487" s="12" t="inlineStr">
        <is>
          <t>Account Management</t>
        </is>
      </c>
      <c r="C487" s="12" t="inlineStr">
        <is>
          <t>Identity</t>
        </is>
      </c>
      <c r="D487" s="11" t="inlineStr">
        <is>
          <t>AC</t>
        </is>
      </c>
      <c r="E487" s="12" t="inlineStr">
        <is>
          <t>Identity</t>
        </is>
      </c>
      <c r="F487" s="12" t="inlineStr">
        <is>
          <t>AC-2-2</t>
        </is>
      </c>
      <c r="G487" s="13">
        <f>IFERROR('[Identity.xlsx]AC-2-2'!B20,"Not Started")</f>
        <v/>
      </c>
      <c r="H487" s="14">
        <f>IF(OR(G487="Passed",G487="Accepted Exception"),"GREEN",IF(OR(G487="Not Started",G487="Failed"),"RED","AMBER"))</f>
        <v/>
      </c>
      <c r="I487" s="15">
        <f>IFERROR('[Identity.xlsx]AC-2-2'!E20,"Non commencé")</f>
        <v/>
      </c>
      <c r="J487" s="16">
        <f>IF(OR(I487="Réussi",I487="Exception acceptée"),"GREEN",IF(OR(I487="Non commencé",I487="Échec"),"RED","AMBER"))</f>
        <v/>
      </c>
      <c r="K487" s="12" t="inlineStr"/>
      <c r="L487" s="12" t="inlineStr"/>
      <c r="M487" s="17" t="inlineStr"/>
    </row>
    <row r="488" ht="18" customHeight="1">
      <c r="A488" s="18" t="inlineStr">
        <is>
          <t>AC-2(3)</t>
        </is>
      </c>
      <c r="B488" s="19" t="inlineStr">
        <is>
          <t>Account Management</t>
        </is>
      </c>
      <c r="C488" s="19" t="inlineStr">
        <is>
          <t>Identity</t>
        </is>
      </c>
      <c r="D488" s="18" t="inlineStr">
        <is>
          <t>AC</t>
        </is>
      </c>
      <c r="E488" s="19" t="inlineStr">
        <is>
          <t>Identity</t>
        </is>
      </c>
      <c r="F488" s="19" t="inlineStr">
        <is>
          <t>AC-2-3</t>
        </is>
      </c>
      <c r="G488" s="20">
        <f>IFERROR('[Identity.xlsx]AC-2-3'!B20,"Not Started")</f>
        <v/>
      </c>
      <c r="H488" s="14">
        <f>IF(OR(G488="Passed",G488="Accepted Exception"),"GREEN",IF(OR(G488="Not Started",G488="Failed"),"RED","AMBER"))</f>
        <v/>
      </c>
      <c r="I488" s="21">
        <f>IFERROR('[Identity.xlsx]AC-2-3'!E20,"Non commencé")</f>
        <v/>
      </c>
      <c r="J488" s="16">
        <f>IF(OR(I488="Réussi",I488="Exception acceptée"),"GREEN",IF(OR(I488="Non commencé",I488="Échec"),"RED","AMBER"))</f>
        <v/>
      </c>
      <c r="K488" s="19" t="inlineStr"/>
      <c r="L488" s="19" t="inlineStr"/>
      <c r="M488" s="22" t="inlineStr"/>
    </row>
    <row r="489" ht="18" customHeight="1">
      <c r="A489" s="11" t="inlineStr">
        <is>
          <t>AC-2(4)</t>
        </is>
      </c>
      <c r="B489" s="12" t="inlineStr">
        <is>
          <t>Account Management</t>
        </is>
      </c>
      <c r="C489" s="12" t="inlineStr">
        <is>
          <t>Identity</t>
        </is>
      </c>
      <c r="D489" s="11" t="inlineStr">
        <is>
          <t>AC</t>
        </is>
      </c>
      <c r="E489" s="12" t="inlineStr">
        <is>
          <t>Identity</t>
        </is>
      </c>
      <c r="F489" s="12" t="inlineStr">
        <is>
          <t>AC-2-4</t>
        </is>
      </c>
      <c r="G489" s="13">
        <f>IFERROR('[Identity.xlsx]AC-2-4'!B20,"Not Started")</f>
        <v/>
      </c>
      <c r="H489" s="14">
        <f>IF(OR(G489="Passed",G489="Accepted Exception"),"GREEN",IF(OR(G489="Not Started",G489="Failed"),"RED","AMBER"))</f>
        <v/>
      </c>
      <c r="I489" s="15">
        <f>IFERROR('[Identity.xlsx]AC-2-4'!E20,"Non commencé")</f>
        <v/>
      </c>
      <c r="J489" s="16">
        <f>IF(OR(I489="Réussi",I489="Exception acceptée"),"GREEN",IF(OR(I489="Non commencé",I489="Échec"),"RED","AMBER"))</f>
        <v/>
      </c>
      <c r="K489" s="12" t="inlineStr"/>
      <c r="L489" s="12" t="inlineStr"/>
      <c r="M489" s="17" t="inlineStr"/>
    </row>
    <row r="490" ht="18" customHeight="1">
      <c r="A490" s="18" t="inlineStr">
        <is>
          <t>AC-2(5)</t>
        </is>
      </c>
      <c r="B490" s="19" t="inlineStr">
        <is>
          <t>Account Management</t>
        </is>
      </c>
      <c r="C490" s="19" t="inlineStr">
        <is>
          <t>Identity</t>
        </is>
      </c>
      <c r="D490" s="18" t="inlineStr">
        <is>
          <t>AC</t>
        </is>
      </c>
      <c r="E490" s="19" t="inlineStr">
        <is>
          <t>Identity</t>
        </is>
      </c>
      <c r="F490" s="19" t="inlineStr">
        <is>
          <t>AC-2-5</t>
        </is>
      </c>
      <c r="G490" s="20">
        <f>IFERROR('[Identity.xlsx]AC-2-5'!B20,"Not Started")</f>
        <v/>
      </c>
      <c r="H490" s="14">
        <f>IF(OR(G490="Passed",G490="Accepted Exception"),"GREEN",IF(OR(G490="Not Started",G490="Failed"),"RED","AMBER"))</f>
        <v/>
      </c>
      <c r="I490" s="21">
        <f>IFERROR('[Identity.xlsx]AC-2-5'!E20,"Non commencé")</f>
        <v/>
      </c>
      <c r="J490" s="16">
        <f>IF(OR(I490="Réussi",I490="Exception acceptée"),"GREEN",IF(OR(I490="Non commencé",I490="Échec"),"RED","AMBER"))</f>
        <v/>
      </c>
      <c r="K490" s="19" t="inlineStr"/>
      <c r="L490" s="19" t="inlineStr"/>
      <c r="M490" s="22" t="inlineStr"/>
    </row>
    <row r="491" ht="18" customHeight="1">
      <c r="A491" s="11" t="inlineStr">
        <is>
          <t>AC-2(7)</t>
        </is>
      </c>
      <c r="B491" s="12" t="inlineStr">
        <is>
          <t>Account Management</t>
        </is>
      </c>
      <c r="C491" s="12" t="inlineStr">
        <is>
          <t>Identity</t>
        </is>
      </c>
      <c r="D491" s="11" t="inlineStr">
        <is>
          <t>AC</t>
        </is>
      </c>
      <c r="E491" s="12" t="inlineStr">
        <is>
          <t>Identity</t>
        </is>
      </c>
      <c r="F491" s="12" t="inlineStr">
        <is>
          <t>AC-2-7</t>
        </is>
      </c>
      <c r="G491" s="13">
        <f>IFERROR('[Identity.xlsx]AC-2-7'!B20,"Not Started")</f>
        <v/>
      </c>
      <c r="H491" s="14">
        <f>IF(OR(G491="Passed",G491="Accepted Exception"),"GREEN",IF(OR(G491="Not Started",G491="Failed"),"RED","AMBER"))</f>
        <v/>
      </c>
      <c r="I491" s="15">
        <f>IFERROR('[Identity.xlsx]AC-2-7'!E20,"Non commencé")</f>
        <v/>
      </c>
      <c r="J491" s="16">
        <f>IF(OR(I491="Réussi",I491="Exception acceptée"),"GREEN",IF(OR(I491="Non commencé",I491="Échec"),"RED","AMBER"))</f>
        <v/>
      </c>
      <c r="K491" s="12" t="inlineStr"/>
      <c r="L491" s="12" t="inlineStr"/>
      <c r="M491" s="17" t="inlineStr"/>
    </row>
    <row r="492" ht="18" customHeight="1">
      <c r="A492" s="18" t="inlineStr">
        <is>
          <t>AC-3</t>
        </is>
      </c>
      <c r="B492" s="19" t="inlineStr">
        <is>
          <t>Access Enforcement</t>
        </is>
      </c>
      <c r="C492" s="19" t="inlineStr">
        <is>
          <t>Identity</t>
        </is>
      </c>
      <c r="D492" s="18" t="inlineStr">
        <is>
          <t>AC</t>
        </is>
      </c>
      <c r="E492" s="19" t="inlineStr">
        <is>
          <t>Identity</t>
        </is>
      </c>
      <c r="F492" s="19" t="inlineStr">
        <is>
          <t>AC-3</t>
        </is>
      </c>
      <c r="G492" s="20">
        <f>IFERROR('[Identity.xlsx]AC-3'!B20,"Not Started")</f>
        <v/>
      </c>
      <c r="H492" s="14">
        <f>IF(OR(G492="Passed",G492="Accepted Exception"),"GREEN",IF(OR(G492="Not Started",G492="Failed"),"RED","AMBER"))</f>
        <v/>
      </c>
      <c r="I492" s="21">
        <f>IFERROR('[Identity.xlsx]AC-3'!E20,"Non commencé")</f>
        <v/>
      </c>
      <c r="J492" s="16">
        <f>IF(OR(I492="Réussi",I492="Exception acceptée"),"GREEN",IF(OR(I492="Non commencé",I492="Échec"),"RED","AMBER"))</f>
        <v/>
      </c>
      <c r="K492" s="19" t="inlineStr"/>
      <c r="L492" s="19" t="inlineStr"/>
      <c r="M492" s="22" t="inlineStr"/>
    </row>
    <row r="493" ht="18" customHeight="1">
      <c r="A493" s="11" t="inlineStr">
        <is>
          <t>AC-6</t>
        </is>
      </c>
      <c r="B493" s="12" t="inlineStr">
        <is>
          <t>Least Privilege</t>
        </is>
      </c>
      <c r="C493" s="12" t="inlineStr">
        <is>
          <t>Identity</t>
        </is>
      </c>
      <c r="D493" s="11" t="inlineStr">
        <is>
          <t>AC</t>
        </is>
      </c>
      <c r="E493" s="12" t="inlineStr">
        <is>
          <t>Identity</t>
        </is>
      </c>
      <c r="F493" s="12" t="inlineStr">
        <is>
          <t>AC-6</t>
        </is>
      </c>
      <c r="G493" s="13">
        <f>IFERROR('[Identity.xlsx]AC-6'!B20,"Not Started")</f>
        <v/>
      </c>
      <c r="H493" s="14">
        <f>IF(OR(G493="Passed",G493="Accepted Exception"),"GREEN",IF(OR(G493="Not Started",G493="Failed"),"RED","AMBER"))</f>
        <v/>
      </c>
      <c r="I493" s="15">
        <f>IFERROR('[Identity.xlsx]AC-6'!E20,"Non commencé")</f>
        <v/>
      </c>
      <c r="J493" s="16">
        <f>IF(OR(I493="Réussi",I493="Exception acceptée"),"GREEN",IF(OR(I493="Non commencé",I493="Échec"),"RED","AMBER"))</f>
        <v/>
      </c>
      <c r="K493" s="12" t="inlineStr"/>
      <c r="L493" s="12" t="inlineStr"/>
      <c r="M493" s="17" t="inlineStr"/>
    </row>
    <row r="494" ht="18" customHeight="1">
      <c r="A494" s="18" t="inlineStr">
        <is>
          <t>AC-6(1)</t>
        </is>
      </c>
      <c r="B494" s="19" t="inlineStr">
        <is>
          <t>Least Privilege</t>
        </is>
      </c>
      <c r="C494" s="19" t="inlineStr">
        <is>
          <t>Identity</t>
        </is>
      </c>
      <c r="D494" s="18" t="inlineStr">
        <is>
          <t>AC</t>
        </is>
      </c>
      <c r="E494" s="19" t="inlineStr">
        <is>
          <t>Identity</t>
        </is>
      </c>
      <c r="F494" s="19" t="inlineStr">
        <is>
          <t>AC-6-1</t>
        </is>
      </c>
      <c r="G494" s="20">
        <f>IFERROR('[Identity.xlsx]AC-6-1'!B20,"Not Started")</f>
        <v/>
      </c>
      <c r="H494" s="14">
        <f>IF(OR(G494="Passed",G494="Accepted Exception"),"GREEN",IF(OR(G494="Not Started",G494="Failed"),"RED","AMBER"))</f>
        <v/>
      </c>
      <c r="I494" s="21">
        <f>IFERROR('[Identity.xlsx]AC-6-1'!E20,"Non commencé")</f>
        <v/>
      </c>
      <c r="J494" s="16">
        <f>IF(OR(I494="Réussi",I494="Exception acceptée"),"GREEN",IF(OR(I494="Non commencé",I494="Échec"),"RED","AMBER"))</f>
        <v/>
      </c>
      <c r="K494" s="19" t="inlineStr"/>
      <c r="L494" s="19" t="inlineStr"/>
      <c r="M494" s="22" t="inlineStr"/>
    </row>
    <row r="495" ht="18" customHeight="1">
      <c r="A495" s="11" t="inlineStr">
        <is>
          <t>AC-6(9)</t>
        </is>
      </c>
      <c r="B495" s="12" t="inlineStr">
        <is>
          <t>Least Privilege</t>
        </is>
      </c>
      <c r="C495" s="12" t="inlineStr">
        <is>
          <t>Identity</t>
        </is>
      </c>
      <c r="D495" s="11" t="inlineStr">
        <is>
          <t>AC</t>
        </is>
      </c>
      <c r="E495" s="12" t="inlineStr">
        <is>
          <t>Identity</t>
        </is>
      </c>
      <c r="F495" s="12" t="inlineStr">
        <is>
          <t>AC-6-9</t>
        </is>
      </c>
      <c r="G495" s="13">
        <f>IFERROR('[Identity.xlsx]AC-6-9'!B20,"Not Started")</f>
        <v/>
      </c>
      <c r="H495" s="14">
        <f>IF(OR(G495="Passed",G495="Accepted Exception"),"GREEN",IF(OR(G495="Not Started",G495="Failed"),"RED","AMBER"))</f>
        <v/>
      </c>
      <c r="I495" s="15">
        <f>IFERROR('[Identity.xlsx]AC-6-9'!E20,"Non commencé")</f>
        <v/>
      </c>
      <c r="J495" s="16">
        <f>IF(OR(I495="Réussi",I495="Exception acceptée"),"GREEN",IF(OR(I495="Non commencé",I495="Échec"),"RED","AMBER"))</f>
        <v/>
      </c>
      <c r="K495" s="12" t="inlineStr"/>
      <c r="L495" s="12" t="inlineStr"/>
      <c r="M495" s="17" t="inlineStr"/>
    </row>
    <row r="496" ht="18" customHeight="1">
      <c r="A496" s="18" t="inlineStr">
        <is>
          <t>AC-6(10)</t>
        </is>
      </c>
      <c r="B496" s="19" t="inlineStr">
        <is>
          <t>Least Privilege</t>
        </is>
      </c>
      <c r="C496" s="19" t="inlineStr">
        <is>
          <t>Identity</t>
        </is>
      </c>
      <c r="D496" s="18" t="inlineStr">
        <is>
          <t>AC</t>
        </is>
      </c>
      <c r="E496" s="19" t="inlineStr">
        <is>
          <t>Identity</t>
        </is>
      </c>
      <c r="F496" s="19" t="inlineStr">
        <is>
          <t>AC-6-10</t>
        </is>
      </c>
      <c r="G496" s="20">
        <f>IFERROR('[Identity.xlsx]AC-6-10'!B20,"Not Started")</f>
        <v/>
      </c>
      <c r="H496" s="14">
        <f>IF(OR(G496="Passed",G496="Accepted Exception"),"GREEN",IF(OR(G496="Not Started",G496="Failed"),"RED","AMBER"))</f>
        <v/>
      </c>
      <c r="I496" s="21">
        <f>IFERROR('[Identity.xlsx]AC-6-10'!E20,"Non commencé")</f>
        <v/>
      </c>
      <c r="J496" s="16">
        <f>IF(OR(I496="Réussi",I496="Exception acceptée"),"GREEN",IF(OR(I496="Non commencé",I496="Échec"),"RED","AMBER"))</f>
        <v/>
      </c>
      <c r="K496" s="19" t="inlineStr"/>
      <c r="L496" s="19" t="inlineStr"/>
      <c r="M496" s="22" t="inlineStr"/>
    </row>
    <row r="497" ht="18" customHeight="1">
      <c r="A497" s="11" t="inlineStr">
        <is>
          <t>AC-7</t>
        </is>
      </c>
      <c r="B497" s="12" t="inlineStr">
        <is>
          <t>Unsuccessful Login Attempts</t>
        </is>
      </c>
      <c r="C497" s="12" t="inlineStr">
        <is>
          <t>Identity</t>
        </is>
      </c>
      <c r="D497" s="11" t="inlineStr">
        <is>
          <t>AC</t>
        </is>
      </c>
      <c r="E497" s="12" t="inlineStr">
        <is>
          <t>Identity</t>
        </is>
      </c>
      <c r="F497" s="12" t="inlineStr">
        <is>
          <t>AC-7</t>
        </is>
      </c>
      <c r="G497" s="13">
        <f>IFERROR('[Identity.xlsx]AC-7'!B20,"Not Started")</f>
        <v/>
      </c>
      <c r="H497" s="14">
        <f>IF(OR(G497="Passed",G497="Accepted Exception"),"GREEN",IF(OR(G497="Not Started",G497="Failed"),"RED","AMBER"))</f>
        <v/>
      </c>
      <c r="I497" s="15">
        <f>IFERROR('[Identity.xlsx]AC-7'!E20,"Non commencé")</f>
        <v/>
      </c>
      <c r="J497" s="16">
        <f>IF(OR(I497="Réussi",I497="Exception acceptée"),"GREEN",IF(OR(I497="Non commencé",I497="Échec"),"RED","AMBER"))</f>
        <v/>
      </c>
      <c r="K497" s="12" t="inlineStr"/>
      <c r="L497" s="12" t="inlineStr"/>
      <c r="M497" s="17" t="inlineStr"/>
    </row>
    <row r="498" ht="18" customHeight="1">
      <c r="A498" s="18" t="inlineStr">
        <is>
          <t>AC-10</t>
        </is>
      </c>
      <c r="B498" s="19" t="inlineStr">
        <is>
          <t>Concurrent Session Control</t>
        </is>
      </c>
      <c r="C498" s="19" t="inlineStr">
        <is>
          <t>Identity</t>
        </is>
      </c>
      <c r="D498" s="18" t="inlineStr">
        <is>
          <t>AC</t>
        </is>
      </c>
      <c r="E498" s="19" t="inlineStr">
        <is>
          <t>Identity</t>
        </is>
      </c>
      <c r="F498" s="19" t="inlineStr">
        <is>
          <t>AC-10</t>
        </is>
      </c>
      <c r="G498" s="20">
        <f>IFERROR('[Identity.xlsx]AC-10'!B20,"Not Started")</f>
        <v/>
      </c>
      <c r="H498" s="14">
        <f>IF(OR(G498="Passed",G498="Accepted Exception"),"GREEN",IF(OR(G498="Not Started",G498="Failed"),"RED","AMBER"))</f>
        <v/>
      </c>
      <c r="I498" s="21">
        <f>IFERROR('[Identity.xlsx]AC-10'!E20,"Non commencé")</f>
        <v/>
      </c>
      <c r="J498" s="16">
        <f>IF(OR(I498="Réussi",I498="Exception acceptée"),"GREEN",IF(OR(I498="Non commencé",I498="Échec"),"RED","AMBER"))</f>
        <v/>
      </c>
      <c r="K498" s="19" t="inlineStr"/>
      <c r="L498" s="19" t="inlineStr"/>
      <c r="M498" s="22" t="inlineStr"/>
    </row>
    <row r="499" ht="18" customHeight="1">
      <c r="A499" s="11" t="inlineStr">
        <is>
          <t>AC-11</t>
        </is>
      </c>
      <c r="B499" s="12" t="inlineStr">
        <is>
          <t>Session Lock</t>
        </is>
      </c>
      <c r="C499" s="12" t="inlineStr">
        <is>
          <t>Identity</t>
        </is>
      </c>
      <c r="D499" s="11" t="inlineStr">
        <is>
          <t>AC</t>
        </is>
      </c>
      <c r="E499" s="12" t="inlineStr">
        <is>
          <t>Identity</t>
        </is>
      </c>
      <c r="F499" s="12" t="inlineStr">
        <is>
          <t>AC-11</t>
        </is>
      </c>
      <c r="G499" s="13">
        <f>IFERROR('[Identity.xlsx]AC-11'!B20,"Not Started")</f>
        <v/>
      </c>
      <c r="H499" s="14">
        <f>IF(OR(G499="Passed",G499="Accepted Exception"),"GREEN",IF(OR(G499="Not Started",G499="Failed"),"RED","AMBER"))</f>
        <v/>
      </c>
      <c r="I499" s="15">
        <f>IFERROR('[Identity.xlsx]AC-11'!E20,"Non commencé")</f>
        <v/>
      </c>
      <c r="J499" s="16">
        <f>IF(OR(I499="Réussi",I499="Exception acceptée"),"GREEN",IF(OR(I499="Non commencé",I499="Échec"),"RED","AMBER"))</f>
        <v/>
      </c>
      <c r="K499" s="12" t="inlineStr"/>
      <c r="L499" s="12" t="inlineStr"/>
      <c r="M499" s="17" t="inlineStr"/>
    </row>
    <row r="500" ht="18" customHeight="1">
      <c r="A500" s="18" t="inlineStr">
        <is>
          <t>AC-17(1)</t>
        </is>
      </c>
      <c r="B500" s="19" t="inlineStr">
        <is>
          <t>Remote Access</t>
        </is>
      </c>
      <c r="C500" s="19" t="inlineStr">
        <is>
          <t>Identity</t>
        </is>
      </c>
      <c r="D500" s="18" t="inlineStr">
        <is>
          <t>AC</t>
        </is>
      </c>
      <c r="E500" s="19" t="inlineStr">
        <is>
          <t>Identity</t>
        </is>
      </c>
      <c r="F500" s="19" t="inlineStr">
        <is>
          <t>AC-17-1</t>
        </is>
      </c>
      <c r="G500" s="20">
        <f>IFERROR('[Identity.xlsx]AC-17-1'!B20,"Not Started")</f>
        <v/>
      </c>
      <c r="H500" s="14">
        <f>IF(OR(G500="Passed",G500="Accepted Exception"),"GREEN",IF(OR(G500="Not Started",G500="Failed"),"RED","AMBER"))</f>
        <v/>
      </c>
      <c r="I500" s="21">
        <f>IFERROR('[Identity.xlsx]AC-17-1'!E20,"Non commencé")</f>
        <v/>
      </c>
      <c r="J500" s="16">
        <f>IF(OR(I500="Réussi",I500="Exception acceptée"),"GREEN",IF(OR(I500="Non commencé",I500="Échec"),"RED","AMBER"))</f>
        <v/>
      </c>
      <c r="K500" s="19" t="inlineStr"/>
      <c r="L500" s="19" t="inlineStr"/>
      <c r="M500" s="22" t="inlineStr"/>
    </row>
    <row r="501" ht="18" customHeight="1">
      <c r="A501" s="11" t="inlineStr">
        <is>
          <t>AC-17(9)</t>
        </is>
      </c>
      <c r="B501" s="12" t="inlineStr">
        <is>
          <t>Remote Access</t>
        </is>
      </c>
      <c r="C501" s="12" t="inlineStr">
        <is>
          <t>Identity</t>
        </is>
      </c>
      <c r="D501" s="11" t="inlineStr">
        <is>
          <t>AC</t>
        </is>
      </c>
      <c r="E501" s="12" t="inlineStr">
        <is>
          <t>Identity</t>
        </is>
      </c>
      <c r="F501" s="12" t="inlineStr">
        <is>
          <t>AC-17-9</t>
        </is>
      </c>
      <c r="G501" s="13">
        <f>IFERROR('[Identity.xlsx]AC-17-9'!B20,"Not Started")</f>
        <v/>
      </c>
      <c r="H501" s="14">
        <f>IF(OR(G501="Passed",G501="Accepted Exception"),"GREEN",IF(OR(G501="Not Started",G501="Failed"),"RED","AMBER"))</f>
        <v/>
      </c>
      <c r="I501" s="15">
        <f>IFERROR('[Identity.xlsx]AC-17-9'!E20,"Non commencé")</f>
        <v/>
      </c>
      <c r="J501" s="16">
        <f>IF(OR(I501="Réussi",I501="Exception acceptée"),"GREEN",IF(OR(I501="Non commencé",I501="Échec"),"RED","AMBER"))</f>
        <v/>
      </c>
      <c r="K501" s="12" t="inlineStr"/>
      <c r="L501" s="12" t="inlineStr"/>
      <c r="M501" s="17" t="inlineStr"/>
    </row>
    <row r="502" ht="18" customHeight="1">
      <c r="A502" s="18" t="inlineStr">
        <is>
          <t>AC-21</t>
        </is>
      </c>
      <c r="B502" s="19" t="inlineStr">
        <is>
          <t>User-Based Collaboration and Information Sharing</t>
        </is>
      </c>
      <c r="C502" s="19" t="inlineStr">
        <is>
          <t>Identity</t>
        </is>
      </c>
      <c r="D502" s="18" t="inlineStr">
        <is>
          <t>AC</t>
        </is>
      </c>
      <c r="E502" s="19" t="inlineStr">
        <is>
          <t>Identity</t>
        </is>
      </c>
      <c r="F502" s="19" t="inlineStr">
        <is>
          <t>AC-21</t>
        </is>
      </c>
      <c r="G502" s="20">
        <f>IFERROR('[Identity.xlsx]AC-21'!B20,"Not Started")</f>
        <v/>
      </c>
      <c r="H502" s="14">
        <f>IF(OR(G502="Passed",G502="Accepted Exception"),"GREEN",IF(OR(G502="Not Started",G502="Failed"),"RED","AMBER"))</f>
        <v/>
      </c>
      <c r="I502" s="21">
        <f>IFERROR('[Identity.xlsx]AC-21'!E20,"Non commencé")</f>
        <v/>
      </c>
      <c r="J502" s="16">
        <f>IF(OR(I502="Réussi",I502="Exception acceptée"),"GREEN",IF(OR(I502="Non commencé",I502="Échec"),"RED","AMBER"))</f>
        <v/>
      </c>
      <c r="K502" s="19" t="inlineStr"/>
      <c r="L502" s="19" t="inlineStr"/>
      <c r="M502" s="22" t="inlineStr"/>
    </row>
    <row r="503" ht="18" customHeight="1">
      <c r="A503" s="11" t="inlineStr">
        <is>
          <t>AU-2</t>
        </is>
      </c>
      <c r="B503" s="12" t="inlineStr">
        <is>
          <t>Auditable Events</t>
        </is>
      </c>
      <c r="C503" s="12" t="inlineStr">
        <is>
          <t>Identity</t>
        </is>
      </c>
      <c r="D503" s="11" t="inlineStr">
        <is>
          <t>AU</t>
        </is>
      </c>
      <c r="E503" s="12" t="inlineStr">
        <is>
          <t>Identity</t>
        </is>
      </c>
      <c r="F503" s="12" t="inlineStr">
        <is>
          <t>AU-2</t>
        </is>
      </c>
      <c r="G503" s="13">
        <f>IFERROR('[Identity.xlsx]AU-2'!B20,"Not Started")</f>
        <v/>
      </c>
      <c r="H503" s="14">
        <f>IF(OR(G503="Passed",G503="Accepted Exception"),"GREEN",IF(OR(G503="Not Started",G503="Failed"),"RED","AMBER"))</f>
        <v/>
      </c>
      <c r="I503" s="15">
        <f>IFERROR('[Identity.xlsx]AU-2'!E20,"Non commencé")</f>
        <v/>
      </c>
      <c r="J503" s="16">
        <f>IF(OR(I503="Réussi",I503="Exception acceptée"),"GREEN",IF(OR(I503="Non commencé",I503="Échec"),"RED","AMBER"))</f>
        <v/>
      </c>
      <c r="K503" s="12" t="inlineStr"/>
      <c r="L503" s="12" t="inlineStr"/>
      <c r="M503" s="17" t="inlineStr"/>
    </row>
    <row r="504" ht="18" customHeight="1">
      <c r="A504" s="18" t="inlineStr">
        <is>
          <t>AU-3</t>
        </is>
      </c>
      <c r="B504" s="19" t="inlineStr">
        <is>
          <t>Content of Audit Records</t>
        </is>
      </c>
      <c r="C504" s="19" t="inlineStr">
        <is>
          <t>Identity</t>
        </is>
      </c>
      <c r="D504" s="18" t="inlineStr">
        <is>
          <t>AU</t>
        </is>
      </c>
      <c r="E504" s="19" t="inlineStr">
        <is>
          <t>Identity</t>
        </is>
      </c>
      <c r="F504" s="19" t="inlineStr">
        <is>
          <t>AU-3</t>
        </is>
      </c>
      <c r="G504" s="20">
        <f>IFERROR('[Identity.xlsx]AU-3'!B20,"Not Started")</f>
        <v/>
      </c>
      <c r="H504" s="14">
        <f>IF(OR(G504="Passed",G504="Accepted Exception"),"GREEN",IF(OR(G504="Not Started",G504="Failed"),"RED","AMBER"))</f>
        <v/>
      </c>
      <c r="I504" s="21">
        <f>IFERROR('[Identity.xlsx]AU-3'!E20,"Non commencé")</f>
        <v/>
      </c>
      <c r="J504" s="16">
        <f>IF(OR(I504="Réussi",I504="Exception acceptée"),"GREEN",IF(OR(I504="Non commencé",I504="Échec"),"RED","AMBER"))</f>
        <v/>
      </c>
      <c r="K504" s="19" t="inlineStr"/>
      <c r="L504" s="19" t="inlineStr"/>
      <c r="M504" s="22" t="inlineStr"/>
    </row>
    <row r="505" ht="18" customHeight="1">
      <c r="A505" s="11" t="inlineStr">
        <is>
          <t>AU-3(1)</t>
        </is>
      </c>
      <c r="B505" s="12" t="inlineStr">
        <is>
          <t>Content of Audit Records</t>
        </is>
      </c>
      <c r="C505" s="12" t="inlineStr">
        <is>
          <t>Identity</t>
        </is>
      </c>
      <c r="D505" s="11" t="inlineStr">
        <is>
          <t>AU</t>
        </is>
      </c>
      <c r="E505" s="12" t="inlineStr">
        <is>
          <t>Identity</t>
        </is>
      </c>
      <c r="F505" s="12" t="inlineStr">
        <is>
          <t>AU-3-1</t>
        </is>
      </c>
      <c r="G505" s="13">
        <f>IFERROR('[Identity.xlsx]AU-3-1'!B20,"Not Started")</f>
        <v/>
      </c>
      <c r="H505" s="14">
        <f>IF(OR(G505="Passed",G505="Accepted Exception"),"GREEN",IF(OR(G505="Not Started",G505="Failed"),"RED","AMBER"))</f>
        <v/>
      </c>
      <c r="I505" s="15">
        <f>IFERROR('[Identity.xlsx]AU-3-1'!E20,"Non commencé")</f>
        <v/>
      </c>
      <c r="J505" s="16">
        <f>IF(OR(I505="Réussi",I505="Exception acceptée"),"GREEN",IF(OR(I505="Non commencé",I505="Échec"),"RED","AMBER"))</f>
        <v/>
      </c>
      <c r="K505" s="12" t="inlineStr"/>
      <c r="L505" s="12" t="inlineStr"/>
      <c r="M505" s="17" t="inlineStr"/>
    </row>
    <row r="506" ht="18" customHeight="1">
      <c r="A506" s="18" t="inlineStr">
        <is>
          <t>AU-9</t>
        </is>
      </c>
      <c r="B506" s="19" t="inlineStr">
        <is>
          <t>Protection of Audit Information</t>
        </is>
      </c>
      <c r="C506" s="19" t="inlineStr">
        <is>
          <t>Identity</t>
        </is>
      </c>
      <c r="D506" s="18" t="inlineStr">
        <is>
          <t>AU</t>
        </is>
      </c>
      <c r="E506" s="19" t="inlineStr">
        <is>
          <t>Identity</t>
        </is>
      </c>
      <c r="F506" s="19" t="inlineStr">
        <is>
          <t>AU-9</t>
        </is>
      </c>
      <c r="G506" s="20">
        <f>IFERROR('[Identity.xlsx]AU-9'!B20,"Not Started")</f>
        <v/>
      </c>
      <c r="H506" s="14">
        <f>IF(OR(G506="Passed",G506="Accepted Exception"),"GREEN",IF(OR(G506="Not Started",G506="Failed"),"RED","AMBER"))</f>
        <v/>
      </c>
      <c r="I506" s="21">
        <f>IFERROR('[Identity.xlsx]AU-9'!E20,"Non commencé")</f>
        <v/>
      </c>
      <c r="J506" s="16">
        <f>IF(OR(I506="Réussi",I506="Exception acceptée"),"GREEN",IF(OR(I506="Non commencé",I506="Échec"),"RED","AMBER"))</f>
        <v/>
      </c>
      <c r="K506" s="19" t="inlineStr"/>
      <c r="L506" s="19" t="inlineStr"/>
      <c r="M506" s="22" t="inlineStr"/>
    </row>
    <row r="507" ht="18" customHeight="1">
      <c r="A507" s="11" t="inlineStr">
        <is>
          <t>AU-9(2)</t>
        </is>
      </c>
      <c r="B507" s="12" t="inlineStr">
        <is>
          <t>Protection of Audit Information</t>
        </is>
      </c>
      <c r="C507" s="12" t="inlineStr">
        <is>
          <t>Identity</t>
        </is>
      </c>
      <c r="D507" s="11" t="inlineStr">
        <is>
          <t>AU</t>
        </is>
      </c>
      <c r="E507" s="12" t="inlineStr">
        <is>
          <t>Identity</t>
        </is>
      </c>
      <c r="F507" s="12" t="inlineStr">
        <is>
          <t>AU-9-2</t>
        </is>
      </c>
      <c r="G507" s="13">
        <f>IFERROR('[Identity.xlsx]AU-9-2'!B20,"Not Started")</f>
        <v/>
      </c>
      <c r="H507" s="14">
        <f>IF(OR(G507="Passed",G507="Accepted Exception"),"GREEN",IF(OR(G507="Not Started",G507="Failed"),"RED","AMBER"))</f>
        <v/>
      </c>
      <c r="I507" s="15">
        <f>IFERROR('[Identity.xlsx]AU-9-2'!E20,"Non commencé")</f>
        <v/>
      </c>
      <c r="J507" s="16">
        <f>IF(OR(I507="Réussi",I507="Exception acceptée"),"GREEN",IF(OR(I507="Non commencé",I507="Échec"),"RED","AMBER"))</f>
        <v/>
      </c>
      <c r="K507" s="12" t="inlineStr"/>
      <c r="L507" s="12" t="inlineStr"/>
      <c r="M507" s="17" t="inlineStr"/>
    </row>
    <row r="508" ht="18" customHeight="1">
      <c r="A508" s="18" t="inlineStr">
        <is>
          <t>AU-9(4)</t>
        </is>
      </c>
      <c r="B508" s="19" t="inlineStr">
        <is>
          <t>Protection of Audit Information</t>
        </is>
      </c>
      <c r="C508" s="19" t="inlineStr">
        <is>
          <t>Identity</t>
        </is>
      </c>
      <c r="D508" s="18" t="inlineStr">
        <is>
          <t>AU</t>
        </is>
      </c>
      <c r="E508" s="19" t="inlineStr">
        <is>
          <t>Identity</t>
        </is>
      </c>
      <c r="F508" s="19" t="inlineStr">
        <is>
          <t>AU-9-4</t>
        </is>
      </c>
      <c r="G508" s="20">
        <f>IFERROR('[Identity.xlsx]AU-9-4'!B20,"Not Started")</f>
        <v/>
      </c>
      <c r="H508" s="14">
        <f>IF(OR(G508="Passed",G508="Accepted Exception"),"GREEN",IF(OR(G508="Not Started",G508="Failed"),"RED","AMBER"))</f>
        <v/>
      </c>
      <c r="I508" s="21">
        <f>IFERROR('[Identity.xlsx]AU-9-4'!E20,"Non commencé")</f>
        <v/>
      </c>
      <c r="J508" s="16">
        <f>IF(OR(I508="Réussi",I508="Exception acceptée"),"GREEN",IF(OR(I508="Non commencé",I508="Échec"),"RED","AMBER"))</f>
        <v/>
      </c>
      <c r="K508" s="19" t="inlineStr"/>
      <c r="L508" s="19" t="inlineStr"/>
      <c r="M508" s="22" t="inlineStr"/>
    </row>
    <row r="509" ht="18" customHeight="1">
      <c r="A509" s="11" t="inlineStr">
        <is>
          <t>AU-12</t>
        </is>
      </c>
      <c r="B509" s="12" t="inlineStr">
        <is>
          <t>Audit Generation</t>
        </is>
      </c>
      <c r="C509" s="12" t="inlineStr">
        <is>
          <t>Identity</t>
        </is>
      </c>
      <c r="D509" s="11" t="inlineStr">
        <is>
          <t>AU</t>
        </is>
      </c>
      <c r="E509" s="12" t="inlineStr">
        <is>
          <t>Identity</t>
        </is>
      </c>
      <c r="F509" s="12" t="inlineStr">
        <is>
          <t>AU-12</t>
        </is>
      </c>
      <c r="G509" s="13">
        <f>IFERROR('[Identity.xlsx]AU-12'!B20,"Not Started")</f>
        <v/>
      </c>
      <c r="H509" s="14">
        <f>IF(OR(G509="Passed",G509="Accepted Exception"),"GREEN",IF(OR(G509="Not Started",G509="Failed"),"RED","AMBER"))</f>
        <v/>
      </c>
      <c r="I509" s="15">
        <f>IFERROR('[Identity.xlsx]AU-12'!E20,"Non commencé")</f>
        <v/>
      </c>
      <c r="J509" s="16">
        <f>IF(OR(I509="Réussi",I509="Exception acceptée"),"GREEN",IF(OR(I509="Non commencé",I509="Échec"),"RED","AMBER"))</f>
        <v/>
      </c>
      <c r="K509" s="12" t="inlineStr"/>
      <c r="L509" s="12" t="inlineStr"/>
      <c r="M509" s="17" t="inlineStr"/>
    </row>
    <row r="510" ht="18" customHeight="1">
      <c r="A510" s="18" t="inlineStr">
        <is>
          <t>CM-5(1)</t>
        </is>
      </c>
      <c r="B510" s="19" t="inlineStr">
        <is>
          <t>Access Restrictions for Change</t>
        </is>
      </c>
      <c r="C510" s="19" t="inlineStr">
        <is>
          <t>Identity</t>
        </is>
      </c>
      <c r="D510" s="18" t="inlineStr">
        <is>
          <t>CM</t>
        </is>
      </c>
      <c r="E510" s="19" t="inlineStr">
        <is>
          <t>Identity</t>
        </is>
      </c>
      <c r="F510" s="19" t="inlineStr">
        <is>
          <t>CM-5-1</t>
        </is>
      </c>
      <c r="G510" s="20">
        <f>IFERROR('[Identity.xlsx]CM-5-1'!B20,"Not Started")</f>
        <v/>
      </c>
      <c r="H510" s="14">
        <f>IF(OR(G510="Passed",G510="Accepted Exception"),"GREEN",IF(OR(G510="Not Started",G510="Failed"),"RED","AMBER"))</f>
        <v/>
      </c>
      <c r="I510" s="21">
        <f>IFERROR('[Identity.xlsx]CM-5-1'!E20,"Non commencé")</f>
        <v/>
      </c>
      <c r="J510" s="16">
        <f>IF(OR(I510="Réussi",I510="Exception acceptée"),"GREEN",IF(OR(I510="Non commencé",I510="Échec"),"RED","AMBER"))</f>
        <v/>
      </c>
      <c r="K510" s="19" t="inlineStr"/>
      <c r="L510" s="19" t="inlineStr"/>
      <c r="M510" s="22" t="inlineStr"/>
    </row>
    <row r="511" ht="18" customHeight="1">
      <c r="A511" s="11" t="inlineStr">
        <is>
          <t>CM-5(5)</t>
        </is>
      </c>
      <c r="B511" s="12" t="inlineStr">
        <is>
          <t>Access Restrictions for Change</t>
        </is>
      </c>
      <c r="C511" s="12" t="inlineStr">
        <is>
          <t>Identity</t>
        </is>
      </c>
      <c r="D511" s="11" t="inlineStr">
        <is>
          <t>CM</t>
        </is>
      </c>
      <c r="E511" s="12" t="inlineStr">
        <is>
          <t>Identity</t>
        </is>
      </c>
      <c r="F511" s="12" t="inlineStr">
        <is>
          <t>CM-5-5</t>
        </is>
      </c>
      <c r="G511" s="13">
        <f>IFERROR('[Identity.xlsx]CM-5-5'!B20,"Not Started")</f>
        <v/>
      </c>
      <c r="H511" s="14">
        <f>IF(OR(G511="Passed",G511="Accepted Exception"),"GREEN",IF(OR(G511="Not Started",G511="Failed"),"RED","AMBER"))</f>
        <v/>
      </c>
      <c r="I511" s="15">
        <f>IFERROR('[Identity.xlsx]CM-5-5'!E20,"Non commencé")</f>
        <v/>
      </c>
      <c r="J511" s="16">
        <f>IF(OR(I511="Réussi",I511="Exception acceptée"),"GREEN",IF(OR(I511="Non commencé",I511="Échec"),"RED","AMBER"))</f>
        <v/>
      </c>
      <c r="K511" s="12" t="inlineStr"/>
      <c r="L511" s="12" t="inlineStr"/>
      <c r="M511" s="17" t="inlineStr"/>
    </row>
    <row r="512" ht="18" customHeight="1">
      <c r="A512" s="18" t="inlineStr">
        <is>
          <t>CM-5(6)</t>
        </is>
      </c>
      <c r="B512" s="19" t="inlineStr">
        <is>
          <t>Access Restrictions for Change</t>
        </is>
      </c>
      <c r="C512" s="19" t="inlineStr">
        <is>
          <t>Identity</t>
        </is>
      </c>
      <c r="D512" s="18" t="inlineStr">
        <is>
          <t>CM</t>
        </is>
      </c>
      <c r="E512" s="19" t="inlineStr">
        <is>
          <t>Identity</t>
        </is>
      </c>
      <c r="F512" s="19" t="inlineStr">
        <is>
          <t>CM-5-6</t>
        </is>
      </c>
      <c r="G512" s="20">
        <f>IFERROR('[Identity.xlsx]CM-5-6'!B20,"Not Started")</f>
        <v/>
      </c>
      <c r="H512" s="14">
        <f>IF(OR(G512="Passed",G512="Accepted Exception"),"GREEN",IF(OR(G512="Not Started",G512="Failed"),"RED","AMBER"))</f>
        <v/>
      </c>
      <c r="I512" s="21">
        <f>IFERROR('[Identity.xlsx]CM-5-6'!E20,"Non commencé")</f>
        <v/>
      </c>
      <c r="J512" s="16">
        <f>IF(OR(I512="Réussi",I512="Exception acceptée"),"GREEN",IF(OR(I512="Non commencé",I512="Échec"),"RED","AMBER"))</f>
        <v/>
      </c>
      <c r="K512" s="19" t="inlineStr"/>
      <c r="L512" s="19" t="inlineStr"/>
      <c r="M512" s="22" t="inlineStr"/>
    </row>
    <row r="513" ht="18" customHeight="1">
      <c r="A513" s="11" t="inlineStr">
        <is>
          <t>CM-6</t>
        </is>
      </c>
      <c r="B513" s="12" t="inlineStr">
        <is>
          <t>Configuration Settings</t>
        </is>
      </c>
      <c r="C513" s="12" t="inlineStr">
        <is>
          <t>Identity</t>
        </is>
      </c>
      <c r="D513" s="11" t="inlineStr">
        <is>
          <t>CM</t>
        </is>
      </c>
      <c r="E513" s="12" t="inlineStr">
        <is>
          <t>Identity</t>
        </is>
      </c>
      <c r="F513" s="12" t="inlineStr">
        <is>
          <t>CM-6</t>
        </is>
      </c>
      <c r="G513" s="13">
        <f>IFERROR('[Identity.xlsx]CM-6'!B20,"Not Started")</f>
        <v/>
      </c>
      <c r="H513" s="14">
        <f>IF(OR(G513="Passed",G513="Accepted Exception"),"GREEN",IF(OR(G513="Not Started",G513="Failed"),"RED","AMBER"))</f>
        <v/>
      </c>
      <c r="I513" s="15">
        <f>IFERROR('[Identity.xlsx]CM-6'!E20,"Non commencé")</f>
        <v/>
      </c>
      <c r="J513" s="16">
        <f>IF(OR(I513="Réussi",I513="Exception acceptée"),"GREEN",IF(OR(I513="Non commencé",I513="Échec"),"RED","AMBER"))</f>
        <v/>
      </c>
      <c r="K513" s="12" t="inlineStr"/>
      <c r="L513" s="12" t="inlineStr"/>
      <c r="M513" s="17" t="inlineStr"/>
    </row>
    <row r="514" ht="18" customHeight="1">
      <c r="A514" s="18" t="inlineStr">
        <is>
          <t>CM-7</t>
        </is>
      </c>
      <c r="B514" s="19" t="inlineStr">
        <is>
          <t>Least Functionality</t>
        </is>
      </c>
      <c r="C514" s="19" t="inlineStr">
        <is>
          <t>Identity</t>
        </is>
      </c>
      <c r="D514" s="18" t="inlineStr">
        <is>
          <t>CM</t>
        </is>
      </c>
      <c r="E514" s="19" t="inlineStr">
        <is>
          <t>Identity</t>
        </is>
      </c>
      <c r="F514" s="19" t="inlineStr">
        <is>
          <t>CM-7</t>
        </is>
      </c>
      <c r="G514" s="20">
        <f>IFERROR('[Identity.xlsx]CM-7'!B20,"Not Started")</f>
        <v/>
      </c>
      <c r="H514" s="14">
        <f>IF(OR(G514="Passed",G514="Accepted Exception"),"GREEN",IF(OR(G514="Not Started",G514="Failed"),"RED","AMBER"))</f>
        <v/>
      </c>
      <c r="I514" s="21">
        <f>IFERROR('[Identity.xlsx]CM-7'!E20,"Non commencé")</f>
        <v/>
      </c>
      <c r="J514" s="16">
        <f>IF(OR(I514="Réussi",I514="Exception acceptée"),"GREEN",IF(OR(I514="Non commencé",I514="Échec"),"RED","AMBER"))</f>
        <v/>
      </c>
      <c r="K514" s="19" t="inlineStr"/>
      <c r="L514" s="19" t="inlineStr"/>
      <c r="M514" s="22" t="inlineStr"/>
    </row>
    <row r="515" ht="18" customHeight="1">
      <c r="A515" s="11" t="inlineStr">
        <is>
          <t>CM-7(1)</t>
        </is>
      </c>
      <c r="B515" s="12" t="inlineStr">
        <is>
          <t>Least Functionality</t>
        </is>
      </c>
      <c r="C515" s="12" t="inlineStr">
        <is>
          <t>Identity</t>
        </is>
      </c>
      <c r="D515" s="11" t="inlineStr">
        <is>
          <t>CM</t>
        </is>
      </c>
      <c r="E515" s="12" t="inlineStr">
        <is>
          <t>Identity</t>
        </is>
      </c>
      <c r="F515" s="12" t="inlineStr">
        <is>
          <t>CM-7-1</t>
        </is>
      </c>
      <c r="G515" s="13">
        <f>IFERROR('[Identity.xlsx]CM-7-1'!B20,"Not Started")</f>
        <v/>
      </c>
      <c r="H515" s="14">
        <f>IF(OR(G515="Passed",G515="Accepted Exception"),"GREEN",IF(OR(G515="Not Started",G515="Failed"),"RED","AMBER"))</f>
        <v/>
      </c>
      <c r="I515" s="15">
        <f>IFERROR('[Identity.xlsx]CM-7-1'!E20,"Non commencé")</f>
        <v/>
      </c>
      <c r="J515" s="16">
        <f>IF(OR(I515="Réussi",I515="Exception acceptée"),"GREEN",IF(OR(I515="Non commencé",I515="Échec"),"RED","AMBER"))</f>
        <v/>
      </c>
      <c r="K515" s="12" t="inlineStr"/>
      <c r="L515" s="12" t="inlineStr"/>
      <c r="M515" s="17" t="inlineStr"/>
    </row>
    <row r="516" ht="18" customHeight="1">
      <c r="A516" s="18" t="inlineStr">
        <is>
          <t>CP-7</t>
        </is>
      </c>
      <c r="B516" s="19" t="inlineStr">
        <is>
          <t>Alternate Processing Site</t>
        </is>
      </c>
      <c r="C516" s="19" t="inlineStr">
        <is>
          <t>Identity</t>
        </is>
      </c>
      <c r="D516" s="18" t="inlineStr">
        <is>
          <t>CP</t>
        </is>
      </c>
      <c r="E516" s="19" t="inlineStr">
        <is>
          <t>Identity</t>
        </is>
      </c>
      <c r="F516" s="19" t="inlineStr">
        <is>
          <t>CP-7</t>
        </is>
      </c>
      <c r="G516" s="20">
        <f>IFERROR('[Identity.xlsx]CP-7'!B20,"Not Started")</f>
        <v/>
      </c>
      <c r="H516" s="14">
        <f>IF(OR(G516="Passed",G516="Accepted Exception"),"GREEN",IF(OR(G516="Not Started",G516="Failed"),"RED","AMBER"))</f>
        <v/>
      </c>
      <c r="I516" s="21">
        <f>IFERROR('[Identity.xlsx]CP-7'!E20,"Non commencé")</f>
        <v/>
      </c>
      <c r="J516" s="16">
        <f>IF(OR(I516="Réussi",I516="Exception acceptée"),"GREEN",IF(OR(I516="Non commencé",I516="Échec"),"RED","AMBER"))</f>
        <v/>
      </c>
      <c r="K516" s="19" t="inlineStr"/>
      <c r="L516" s="19" t="inlineStr"/>
      <c r="M516" s="22" t="inlineStr"/>
    </row>
    <row r="517" ht="18" customHeight="1">
      <c r="A517" s="11" t="inlineStr">
        <is>
          <t>CP-7(4)</t>
        </is>
      </c>
      <c r="B517" s="12" t="inlineStr">
        <is>
          <t>Alternate Processing Site</t>
        </is>
      </c>
      <c r="C517" s="12" t="inlineStr">
        <is>
          <t>Identity</t>
        </is>
      </c>
      <c r="D517" s="11" t="inlineStr">
        <is>
          <t>CP</t>
        </is>
      </c>
      <c r="E517" s="12" t="inlineStr">
        <is>
          <t>Identity</t>
        </is>
      </c>
      <c r="F517" s="12" t="inlineStr">
        <is>
          <t>CP-7-4</t>
        </is>
      </c>
      <c r="G517" s="13">
        <f>IFERROR('[Identity.xlsx]CP-7-4'!B20,"Not Started")</f>
        <v/>
      </c>
      <c r="H517" s="14">
        <f>IF(OR(G517="Passed",G517="Accepted Exception"),"GREEN",IF(OR(G517="Not Started",G517="Failed"),"RED","AMBER"))</f>
        <v/>
      </c>
      <c r="I517" s="15">
        <f>IFERROR('[Identity.xlsx]CP-7-4'!E20,"Non commencé")</f>
        <v/>
      </c>
      <c r="J517" s="16">
        <f>IF(OR(I517="Réussi",I517="Exception acceptée"),"GREEN",IF(OR(I517="Non commencé",I517="Échec"),"RED","AMBER"))</f>
        <v/>
      </c>
      <c r="K517" s="12" t="inlineStr"/>
      <c r="L517" s="12" t="inlineStr"/>
      <c r="M517" s="17" t="inlineStr"/>
    </row>
    <row r="518" ht="18" customHeight="1">
      <c r="A518" s="18" t="inlineStr">
        <is>
          <t>CP-10</t>
        </is>
      </c>
      <c r="B518" s="19" t="inlineStr">
        <is>
          <t>Information System Recovery and Reconstitution</t>
        </is>
      </c>
      <c r="C518" s="19" t="inlineStr">
        <is>
          <t>Identity</t>
        </is>
      </c>
      <c r="D518" s="18" t="inlineStr">
        <is>
          <t>CP</t>
        </is>
      </c>
      <c r="E518" s="19" t="inlineStr">
        <is>
          <t>Identity</t>
        </is>
      </c>
      <c r="F518" s="19" t="inlineStr">
        <is>
          <t>CP-10</t>
        </is>
      </c>
      <c r="G518" s="20">
        <f>IFERROR('[Identity.xlsx]CP-10'!B20,"Not Started")</f>
        <v/>
      </c>
      <c r="H518" s="14">
        <f>IF(OR(G518="Passed",G518="Accepted Exception"),"GREEN",IF(OR(G518="Not Started",G518="Failed"),"RED","AMBER"))</f>
        <v/>
      </c>
      <c r="I518" s="21">
        <f>IFERROR('[Identity.xlsx]CP-10'!E20,"Non commencé")</f>
        <v/>
      </c>
      <c r="J518" s="16">
        <f>IF(OR(I518="Réussi",I518="Exception acceptée"),"GREEN",IF(OR(I518="Non commencé",I518="Échec"),"RED","AMBER"))</f>
        <v/>
      </c>
      <c r="K518" s="19" t="inlineStr"/>
      <c r="L518" s="19" t="inlineStr"/>
      <c r="M518" s="22" t="inlineStr"/>
    </row>
    <row r="519" ht="18" customHeight="1">
      <c r="A519" s="11" t="inlineStr">
        <is>
          <t>CP-10(4)</t>
        </is>
      </c>
      <c r="B519" s="12" t="inlineStr">
        <is>
          <t>Information System Recovery and Reconstitution</t>
        </is>
      </c>
      <c r="C519" s="12" t="inlineStr">
        <is>
          <t>Identity</t>
        </is>
      </c>
      <c r="D519" s="11" t="inlineStr">
        <is>
          <t>CP</t>
        </is>
      </c>
      <c r="E519" s="12" t="inlineStr">
        <is>
          <t>Identity</t>
        </is>
      </c>
      <c r="F519" s="12" t="inlineStr">
        <is>
          <t>CP-10-4</t>
        </is>
      </c>
      <c r="G519" s="13">
        <f>IFERROR('[Identity.xlsx]CP-10-4'!B20,"Not Started")</f>
        <v/>
      </c>
      <c r="H519" s="14">
        <f>IF(OR(G519="Passed",G519="Accepted Exception"),"GREEN",IF(OR(G519="Not Started",G519="Failed"),"RED","AMBER"))</f>
        <v/>
      </c>
      <c r="I519" s="15">
        <f>IFERROR('[Identity.xlsx]CP-10-4'!E20,"Non commencé")</f>
        <v/>
      </c>
      <c r="J519" s="16">
        <f>IF(OR(I519="Réussi",I519="Exception acceptée"),"GREEN",IF(OR(I519="Non commencé",I519="Échec"),"RED","AMBER"))</f>
        <v/>
      </c>
      <c r="K519" s="12" t="inlineStr"/>
      <c r="L519" s="12" t="inlineStr"/>
      <c r="M519" s="17" t="inlineStr"/>
    </row>
    <row r="520" ht="18" customHeight="1">
      <c r="A520" s="18" t="inlineStr">
        <is>
          <t>IA-2</t>
        </is>
      </c>
      <c r="B520" s="19" t="inlineStr">
        <is>
          <t>Identification and Authentication (Organizational Users)</t>
        </is>
      </c>
      <c r="C520" s="19" t="inlineStr">
        <is>
          <t>Identity</t>
        </is>
      </c>
      <c r="D520" s="18" t="inlineStr">
        <is>
          <t>IA</t>
        </is>
      </c>
      <c r="E520" s="19" t="inlineStr">
        <is>
          <t>Identity</t>
        </is>
      </c>
      <c r="F520" s="19" t="inlineStr">
        <is>
          <t>IA-2</t>
        </is>
      </c>
      <c r="G520" s="20">
        <f>IFERROR('[Identity.xlsx]IA-2'!B20,"Not Started")</f>
        <v/>
      </c>
      <c r="H520" s="14">
        <f>IF(OR(G520="Passed",G520="Accepted Exception"),"GREEN",IF(OR(G520="Not Started",G520="Failed"),"RED","AMBER"))</f>
        <v/>
      </c>
      <c r="I520" s="21">
        <f>IFERROR('[Identity.xlsx]IA-2'!E20,"Non commencé")</f>
        <v/>
      </c>
      <c r="J520" s="16">
        <f>IF(OR(I520="Réussi",I520="Exception acceptée"),"GREEN",IF(OR(I520="Non commencé",I520="Échec"),"RED","AMBER"))</f>
        <v/>
      </c>
      <c r="K520" s="19" t="inlineStr"/>
      <c r="L520" s="19" t="inlineStr"/>
      <c r="M520" s="22" t="inlineStr"/>
    </row>
    <row r="521" ht="18" customHeight="1">
      <c r="A521" s="11" t="inlineStr">
        <is>
          <t>IA-2(1)</t>
        </is>
      </c>
      <c r="B521" s="12" t="inlineStr">
        <is>
          <t>Identification and Authentication (Organizational Users)</t>
        </is>
      </c>
      <c r="C521" s="12" t="inlineStr">
        <is>
          <t>Identity</t>
        </is>
      </c>
      <c r="D521" s="11" t="inlineStr">
        <is>
          <t>IA</t>
        </is>
      </c>
      <c r="E521" s="12" t="inlineStr">
        <is>
          <t>Identity</t>
        </is>
      </c>
      <c r="F521" s="12" t="inlineStr">
        <is>
          <t>IA-2-1</t>
        </is>
      </c>
      <c r="G521" s="13">
        <f>IFERROR('[Identity.xlsx]IA-2-1'!B20,"Not Started")</f>
        <v/>
      </c>
      <c r="H521" s="14">
        <f>IF(OR(G521="Passed",G521="Accepted Exception"),"GREEN",IF(OR(G521="Not Started",G521="Failed"),"RED","AMBER"))</f>
        <v/>
      </c>
      <c r="I521" s="15">
        <f>IFERROR('[Identity.xlsx]IA-2-1'!E20,"Non commencé")</f>
        <v/>
      </c>
      <c r="J521" s="16">
        <f>IF(OR(I521="Réussi",I521="Exception acceptée"),"GREEN",IF(OR(I521="Non commencé",I521="Échec"),"RED","AMBER"))</f>
        <v/>
      </c>
      <c r="K521" s="12" t="inlineStr"/>
      <c r="L521" s="12" t="inlineStr"/>
      <c r="M521" s="17" t="inlineStr"/>
    </row>
    <row r="522" ht="18" customHeight="1">
      <c r="A522" s="18" t="inlineStr">
        <is>
          <t>IA-2(3)</t>
        </is>
      </c>
      <c r="B522" s="19" t="inlineStr">
        <is>
          <t>Identification and Authentication (Organizational Users)</t>
        </is>
      </c>
      <c r="C522" s="19" t="inlineStr">
        <is>
          <t>Identity</t>
        </is>
      </c>
      <c r="D522" s="18" t="inlineStr">
        <is>
          <t>IA</t>
        </is>
      </c>
      <c r="E522" s="19" t="inlineStr">
        <is>
          <t>Identity</t>
        </is>
      </c>
      <c r="F522" s="19" t="inlineStr">
        <is>
          <t>IA-2-3</t>
        </is>
      </c>
      <c r="G522" s="20">
        <f>IFERROR('[Identity.xlsx]IA-2-3'!B20,"Not Started")</f>
        <v/>
      </c>
      <c r="H522" s="14">
        <f>IF(OR(G522="Passed",G522="Accepted Exception"),"GREEN",IF(OR(G522="Not Started",G522="Failed"),"RED","AMBER"))</f>
        <v/>
      </c>
      <c r="I522" s="21">
        <f>IFERROR('[Identity.xlsx]IA-2-3'!E20,"Non commencé")</f>
        <v/>
      </c>
      <c r="J522" s="16">
        <f>IF(OR(I522="Réussi",I522="Exception acceptée"),"GREEN",IF(OR(I522="Non commencé",I522="Échec"),"RED","AMBER"))</f>
        <v/>
      </c>
      <c r="K522" s="19" t="inlineStr"/>
      <c r="L522" s="19" t="inlineStr"/>
      <c r="M522" s="22" t="inlineStr"/>
    </row>
    <row r="523" ht="18" customHeight="1">
      <c r="A523" s="11" t="inlineStr">
        <is>
          <t>IA-2(6)</t>
        </is>
      </c>
      <c r="B523" s="12" t="inlineStr">
        <is>
          <t>Identification and Authentication (Organizational Users)</t>
        </is>
      </c>
      <c r="C523" s="12" t="inlineStr">
        <is>
          <t>Identity</t>
        </is>
      </c>
      <c r="D523" s="11" t="inlineStr">
        <is>
          <t>IA</t>
        </is>
      </c>
      <c r="E523" s="12" t="inlineStr">
        <is>
          <t>Identity</t>
        </is>
      </c>
      <c r="F523" s="12" t="inlineStr">
        <is>
          <t>IA-2-6</t>
        </is>
      </c>
      <c r="G523" s="13">
        <f>IFERROR('[Identity.xlsx]IA-2-6'!B20,"Not Started")</f>
        <v/>
      </c>
      <c r="H523" s="14">
        <f>IF(OR(G523="Passed",G523="Accepted Exception"),"GREEN",IF(OR(G523="Not Started",G523="Failed"),"RED","AMBER"))</f>
        <v/>
      </c>
      <c r="I523" s="15">
        <f>IFERROR('[Identity.xlsx]IA-2-6'!E20,"Non commencé")</f>
        <v/>
      </c>
      <c r="J523" s="16">
        <f>IF(OR(I523="Réussi",I523="Exception acceptée"),"GREEN",IF(OR(I523="Non commencé",I523="Échec"),"RED","AMBER"))</f>
        <v/>
      </c>
      <c r="K523" s="12" t="inlineStr"/>
      <c r="L523" s="12" t="inlineStr"/>
      <c r="M523" s="17" t="inlineStr"/>
    </row>
    <row r="524" ht="18" customHeight="1">
      <c r="A524" s="18" t="inlineStr">
        <is>
          <t>IA-2(8)</t>
        </is>
      </c>
      <c r="B524" s="19" t="inlineStr">
        <is>
          <t>Identification and Authentication (Organizational Users)</t>
        </is>
      </c>
      <c r="C524" s="19" t="inlineStr">
        <is>
          <t>Identity</t>
        </is>
      </c>
      <c r="D524" s="18" t="inlineStr">
        <is>
          <t>IA</t>
        </is>
      </c>
      <c r="E524" s="19" t="inlineStr">
        <is>
          <t>Identity</t>
        </is>
      </c>
      <c r="F524" s="19" t="inlineStr">
        <is>
          <t>IA-2-8</t>
        </is>
      </c>
      <c r="G524" s="20">
        <f>IFERROR('[Identity.xlsx]IA-2-8'!B20,"Not Started")</f>
        <v/>
      </c>
      <c r="H524" s="14">
        <f>IF(OR(G524="Passed",G524="Accepted Exception"),"GREEN",IF(OR(G524="Not Started",G524="Failed"),"RED","AMBER"))</f>
        <v/>
      </c>
      <c r="I524" s="21">
        <f>IFERROR('[Identity.xlsx]IA-2-8'!E20,"Non commencé")</f>
        <v/>
      </c>
      <c r="J524" s="16">
        <f>IF(OR(I524="Réussi",I524="Exception acceptée"),"GREEN",IF(OR(I524="Non commencé",I524="Échec"),"RED","AMBER"))</f>
        <v/>
      </c>
      <c r="K524" s="19" t="inlineStr"/>
      <c r="L524" s="19" t="inlineStr"/>
      <c r="M524" s="22" t="inlineStr"/>
    </row>
    <row r="525" ht="18" customHeight="1">
      <c r="A525" s="11" t="inlineStr">
        <is>
          <t>IA-2(11)</t>
        </is>
      </c>
      <c r="B525" s="12" t="inlineStr">
        <is>
          <t>Identification and Authentication (Organizational Users)</t>
        </is>
      </c>
      <c r="C525" s="12" t="inlineStr">
        <is>
          <t>Identity</t>
        </is>
      </c>
      <c r="D525" s="11" t="inlineStr">
        <is>
          <t>IA</t>
        </is>
      </c>
      <c r="E525" s="12" t="inlineStr">
        <is>
          <t>Identity</t>
        </is>
      </c>
      <c r="F525" s="12" t="inlineStr">
        <is>
          <t>IA-2-11</t>
        </is>
      </c>
      <c r="G525" s="13">
        <f>IFERROR('[Identity.xlsx]IA-2-11'!B20,"Not Started")</f>
        <v/>
      </c>
      <c r="H525" s="14">
        <f>IF(OR(G525="Passed",G525="Accepted Exception"),"GREEN",IF(OR(G525="Not Started",G525="Failed"),"RED","AMBER"))</f>
        <v/>
      </c>
      <c r="I525" s="15">
        <f>IFERROR('[Identity.xlsx]IA-2-11'!E20,"Non commencé")</f>
        <v/>
      </c>
      <c r="J525" s="16">
        <f>IF(OR(I525="Réussi",I525="Exception acceptée"),"GREEN",IF(OR(I525="Non commencé",I525="Échec"),"RED","AMBER"))</f>
        <v/>
      </c>
      <c r="K525" s="12" t="inlineStr"/>
      <c r="L525" s="12" t="inlineStr"/>
      <c r="M525" s="17" t="inlineStr"/>
    </row>
    <row r="526" ht="18" customHeight="1">
      <c r="A526" s="18" t="inlineStr">
        <is>
          <t>IA-4</t>
        </is>
      </c>
      <c r="B526" s="19" t="inlineStr">
        <is>
          <t>Identifier Management</t>
        </is>
      </c>
      <c r="C526" s="19" t="inlineStr">
        <is>
          <t>Identity</t>
        </is>
      </c>
      <c r="D526" s="18" t="inlineStr">
        <is>
          <t>IA</t>
        </is>
      </c>
      <c r="E526" s="19" t="inlineStr">
        <is>
          <t>Identity</t>
        </is>
      </c>
      <c r="F526" s="19" t="inlineStr">
        <is>
          <t>IA-4</t>
        </is>
      </c>
      <c r="G526" s="20">
        <f>IFERROR('[Identity.xlsx]IA-4'!B20,"Not Started")</f>
        <v/>
      </c>
      <c r="H526" s="14">
        <f>IF(OR(G526="Passed",G526="Accepted Exception"),"GREEN",IF(OR(G526="Not Started",G526="Failed"),"RED","AMBER"))</f>
        <v/>
      </c>
      <c r="I526" s="21">
        <f>IFERROR('[Identity.xlsx]IA-4'!E20,"Non commencé")</f>
        <v/>
      </c>
      <c r="J526" s="16">
        <f>IF(OR(I526="Réussi",I526="Exception acceptée"),"GREEN",IF(OR(I526="Non commencé",I526="Échec"),"RED","AMBER"))</f>
        <v/>
      </c>
      <c r="K526" s="19" t="inlineStr"/>
      <c r="L526" s="19" t="inlineStr"/>
      <c r="M526" s="22" t="inlineStr"/>
    </row>
    <row r="527" ht="18" customHeight="1">
      <c r="A527" s="11" t="inlineStr">
        <is>
          <t>IA-5</t>
        </is>
      </c>
      <c r="B527" s="12" t="inlineStr">
        <is>
          <t>Authenticator Management</t>
        </is>
      </c>
      <c r="C527" s="12" t="inlineStr">
        <is>
          <t>Identity</t>
        </is>
      </c>
      <c r="D527" s="11" t="inlineStr">
        <is>
          <t>IA</t>
        </is>
      </c>
      <c r="E527" s="12" t="inlineStr">
        <is>
          <t>Identity</t>
        </is>
      </c>
      <c r="F527" s="12" t="inlineStr">
        <is>
          <t>IA-5</t>
        </is>
      </c>
      <c r="G527" s="13">
        <f>IFERROR('[Identity.xlsx]IA-5'!B20,"Not Started")</f>
        <v/>
      </c>
      <c r="H527" s="14">
        <f>IF(OR(G527="Passed",G527="Accepted Exception"),"GREEN",IF(OR(G527="Not Started",G527="Failed"),"RED","AMBER"))</f>
        <v/>
      </c>
      <c r="I527" s="15">
        <f>IFERROR('[Identity.xlsx]IA-5'!E20,"Non commencé")</f>
        <v/>
      </c>
      <c r="J527" s="16">
        <f>IF(OR(I527="Réussi",I527="Exception acceptée"),"GREEN",IF(OR(I527="Non commencé",I527="Échec"),"RED","AMBER"))</f>
        <v/>
      </c>
      <c r="K527" s="12" t="inlineStr"/>
      <c r="L527" s="12" t="inlineStr"/>
      <c r="M527" s="17" t="inlineStr"/>
    </row>
    <row r="528" ht="18" customHeight="1">
      <c r="A528" s="18" t="inlineStr">
        <is>
          <t>IA-5(1)</t>
        </is>
      </c>
      <c r="B528" s="19" t="inlineStr">
        <is>
          <t>Authenticator Management</t>
        </is>
      </c>
      <c r="C528" s="19" t="inlineStr">
        <is>
          <t>Identity</t>
        </is>
      </c>
      <c r="D528" s="18" t="inlineStr">
        <is>
          <t>IA</t>
        </is>
      </c>
      <c r="E528" s="19" t="inlineStr">
        <is>
          <t>Identity</t>
        </is>
      </c>
      <c r="F528" s="19" t="inlineStr">
        <is>
          <t>IA-5-1</t>
        </is>
      </c>
      <c r="G528" s="20">
        <f>IFERROR('[Identity.xlsx]IA-5-1'!B20,"Not Started")</f>
        <v/>
      </c>
      <c r="H528" s="14">
        <f>IF(OR(G528="Passed",G528="Accepted Exception"),"GREEN",IF(OR(G528="Not Started",G528="Failed"),"RED","AMBER"))</f>
        <v/>
      </c>
      <c r="I528" s="21">
        <f>IFERROR('[Identity.xlsx]IA-5-1'!E20,"Non commencé")</f>
        <v/>
      </c>
      <c r="J528" s="16">
        <f>IF(OR(I528="Réussi",I528="Exception acceptée"),"GREEN",IF(OR(I528="Non commencé",I528="Échec"),"RED","AMBER"))</f>
        <v/>
      </c>
      <c r="K528" s="19" t="inlineStr"/>
      <c r="L528" s="19" t="inlineStr"/>
      <c r="M528" s="22" t="inlineStr"/>
    </row>
    <row r="529" ht="18" customHeight="1">
      <c r="A529" s="11" t="inlineStr">
        <is>
          <t>IA-5(2)</t>
        </is>
      </c>
      <c r="B529" s="12" t="inlineStr">
        <is>
          <t>Authenticator Management</t>
        </is>
      </c>
      <c r="C529" s="12" t="inlineStr">
        <is>
          <t>Identity</t>
        </is>
      </c>
      <c r="D529" s="11" t="inlineStr">
        <is>
          <t>IA</t>
        </is>
      </c>
      <c r="E529" s="12" t="inlineStr">
        <is>
          <t>Identity</t>
        </is>
      </c>
      <c r="F529" s="12" t="inlineStr">
        <is>
          <t>IA-5-2</t>
        </is>
      </c>
      <c r="G529" s="13">
        <f>IFERROR('[Identity.xlsx]IA-5-2'!B20,"Not Started")</f>
        <v/>
      </c>
      <c r="H529" s="14">
        <f>IF(OR(G529="Passed",G529="Accepted Exception"),"GREEN",IF(OR(G529="Not Started",G529="Failed"),"RED","AMBER"))</f>
        <v/>
      </c>
      <c r="I529" s="15">
        <f>IFERROR('[Identity.xlsx]IA-5-2'!E20,"Non commencé")</f>
        <v/>
      </c>
      <c r="J529" s="16">
        <f>IF(OR(I529="Réussi",I529="Exception acceptée"),"GREEN",IF(OR(I529="Non commencé",I529="Échec"),"RED","AMBER"))</f>
        <v/>
      </c>
      <c r="K529" s="12" t="inlineStr"/>
      <c r="L529" s="12" t="inlineStr"/>
      <c r="M529" s="17" t="inlineStr"/>
    </row>
    <row r="530" ht="18" customHeight="1">
      <c r="A530" s="18" t="inlineStr">
        <is>
          <t>IA-5(4)</t>
        </is>
      </c>
      <c r="B530" s="19" t="inlineStr">
        <is>
          <t>Authenticator Management</t>
        </is>
      </c>
      <c r="C530" s="19" t="inlineStr">
        <is>
          <t>Identity</t>
        </is>
      </c>
      <c r="D530" s="18" t="inlineStr">
        <is>
          <t>IA</t>
        </is>
      </c>
      <c r="E530" s="19" t="inlineStr">
        <is>
          <t>Identity</t>
        </is>
      </c>
      <c r="F530" s="19" t="inlineStr">
        <is>
          <t>IA-5-4</t>
        </is>
      </c>
      <c r="G530" s="20">
        <f>IFERROR('[Identity.xlsx]IA-5-4'!B20,"Not Started")</f>
        <v/>
      </c>
      <c r="H530" s="14">
        <f>IF(OR(G530="Passed",G530="Accepted Exception"),"GREEN",IF(OR(G530="Not Started",G530="Failed"),"RED","AMBER"))</f>
        <v/>
      </c>
      <c r="I530" s="21">
        <f>IFERROR('[Identity.xlsx]IA-5-4'!E20,"Non commencé")</f>
        <v/>
      </c>
      <c r="J530" s="16">
        <f>IF(OR(I530="Réussi",I530="Exception acceptée"),"GREEN",IF(OR(I530="Non commencé",I530="Échec"),"RED","AMBER"))</f>
        <v/>
      </c>
      <c r="K530" s="19" t="inlineStr"/>
      <c r="L530" s="19" t="inlineStr"/>
      <c r="M530" s="22" t="inlineStr"/>
    </row>
    <row r="531" ht="18" customHeight="1">
      <c r="A531" s="11" t="inlineStr">
        <is>
          <t>IA-5(6)</t>
        </is>
      </c>
      <c r="B531" s="12" t="inlineStr">
        <is>
          <t>Authenticator Management</t>
        </is>
      </c>
      <c r="C531" s="12" t="inlineStr">
        <is>
          <t>Identity</t>
        </is>
      </c>
      <c r="D531" s="11" t="inlineStr">
        <is>
          <t>IA</t>
        </is>
      </c>
      <c r="E531" s="12" t="inlineStr">
        <is>
          <t>Identity</t>
        </is>
      </c>
      <c r="F531" s="12" t="inlineStr">
        <is>
          <t>IA-5-6</t>
        </is>
      </c>
      <c r="G531" s="13">
        <f>IFERROR('[Identity.xlsx]IA-5-6'!B20,"Not Started")</f>
        <v/>
      </c>
      <c r="H531" s="14">
        <f>IF(OR(G531="Passed",G531="Accepted Exception"),"GREEN",IF(OR(G531="Not Started",G531="Failed"),"RED","AMBER"))</f>
        <v/>
      </c>
      <c r="I531" s="15">
        <f>IFERROR('[Identity.xlsx]IA-5-6'!E20,"Non commencé")</f>
        <v/>
      </c>
      <c r="J531" s="16">
        <f>IF(OR(I531="Réussi",I531="Exception acceptée"),"GREEN",IF(OR(I531="Non commencé",I531="Échec"),"RED","AMBER"))</f>
        <v/>
      </c>
      <c r="K531" s="12" t="inlineStr"/>
      <c r="L531" s="12" t="inlineStr"/>
      <c r="M531" s="17" t="inlineStr"/>
    </row>
    <row r="532" ht="18" customHeight="1">
      <c r="A532" s="18" t="inlineStr">
        <is>
          <t>IA-6</t>
        </is>
      </c>
      <c r="B532" s="19" t="inlineStr">
        <is>
          <t>Authenticator Feedback</t>
        </is>
      </c>
      <c r="C532" s="19" t="inlineStr">
        <is>
          <t>Identity</t>
        </is>
      </c>
      <c r="D532" s="18" t="inlineStr">
        <is>
          <t>IA</t>
        </is>
      </c>
      <c r="E532" s="19" t="inlineStr">
        <is>
          <t>Identity</t>
        </is>
      </c>
      <c r="F532" s="19" t="inlineStr">
        <is>
          <t>IA-6</t>
        </is>
      </c>
      <c r="G532" s="20">
        <f>IFERROR('[Identity.xlsx]IA-6'!B20,"Not Started")</f>
        <v/>
      </c>
      <c r="H532" s="14">
        <f>IF(OR(G532="Passed",G532="Accepted Exception"),"GREEN",IF(OR(G532="Not Started",G532="Failed"),"RED","AMBER"))</f>
        <v/>
      </c>
      <c r="I532" s="21">
        <f>IFERROR('[Identity.xlsx]IA-6'!E20,"Non commencé")</f>
        <v/>
      </c>
      <c r="J532" s="16">
        <f>IF(OR(I532="Réussi",I532="Exception acceptée"),"GREEN",IF(OR(I532="Non commencé",I532="Échec"),"RED","AMBER"))</f>
        <v/>
      </c>
      <c r="K532" s="19" t="inlineStr"/>
      <c r="L532" s="19" t="inlineStr"/>
      <c r="M532" s="22" t="inlineStr"/>
    </row>
    <row r="533" ht="18" customHeight="1">
      <c r="A533" s="11" t="inlineStr">
        <is>
          <t>IA-7</t>
        </is>
      </c>
      <c r="B533" s="12" t="inlineStr">
        <is>
          <t>Cryptographic Module Authentication</t>
        </is>
      </c>
      <c r="C533" s="12" t="inlineStr">
        <is>
          <t>Identity</t>
        </is>
      </c>
      <c r="D533" s="11" t="inlineStr">
        <is>
          <t>IA</t>
        </is>
      </c>
      <c r="E533" s="12" t="inlineStr">
        <is>
          <t>Identity</t>
        </is>
      </c>
      <c r="F533" s="12" t="inlineStr">
        <is>
          <t>IA-7</t>
        </is>
      </c>
      <c r="G533" s="13">
        <f>IFERROR('[Identity.xlsx]IA-7'!B20,"Not Started")</f>
        <v/>
      </c>
      <c r="H533" s="14">
        <f>IF(OR(G533="Passed",G533="Accepted Exception"),"GREEN",IF(OR(G533="Not Started",G533="Failed"),"RED","AMBER"))</f>
        <v/>
      </c>
      <c r="I533" s="15">
        <f>IFERROR('[Identity.xlsx]IA-7'!E20,"Non commencé")</f>
        <v/>
      </c>
      <c r="J533" s="16">
        <f>IF(OR(I533="Réussi",I533="Exception acceptée"),"GREEN",IF(OR(I533="Non commencé",I533="Échec"),"RED","AMBER"))</f>
        <v/>
      </c>
      <c r="K533" s="12" t="inlineStr"/>
      <c r="L533" s="12" t="inlineStr"/>
      <c r="M533" s="17" t="inlineStr"/>
    </row>
    <row r="534" ht="18" customHeight="1">
      <c r="A534" s="18" t="inlineStr">
        <is>
          <t>IA-8</t>
        </is>
      </c>
      <c r="B534" s="19" t="inlineStr">
        <is>
          <t>Identification and Authentication (Non-Organizational Users)</t>
        </is>
      </c>
      <c r="C534" s="19" t="inlineStr">
        <is>
          <t>Identity</t>
        </is>
      </c>
      <c r="D534" s="18" t="inlineStr">
        <is>
          <t>IA</t>
        </is>
      </c>
      <c r="E534" s="19" t="inlineStr">
        <is>
          <t>Identity</t>
        </is>
      </c>
      <c r="F534" s="19" t="inlineStr">
        <is>
          <t>IA-8</t>
        </is>
      </c>
      <c r="G534" s="20">
        <f>IFERROR('[Identity.xlsx]IA-8'!B20,"Not Started")</f>
        <v/>
      </c>
      <c r="H534" s="14">
        <f>IF(OR(G534="Passed",G534="Accepted Exception"),"GREEN",IF(OR(G534="Not Started",G534="Failed"),"RED","AMBER"))</f>
        <v/>
      </c>
      <c r="I534" s="21">
        <f>IFERROR('[Identity.xlsx]IA-8'!E20,"Non commencé")</f>
        <v/>
      </c>
      <c r="J534" s="16">
        <f>IF(OR(I534="Réussi",I534="Exception acceptée"),"GREEN",IF(OR(I534="Non commencé",I534="Échec"),"RED","AMBER"))</f>
        <v/>
      </c>
      <c r="K534" s="19" t="inlineStr"/>
      <c r="L534" s="19" t="inlineStr"/>
      <c r="M534" s="22" t="inlineStr"/>
    </row>
    <row r="535" ht="18" customHeight="1">
      <c r="A535" s="11" t="inlineStr">
        <is>
          <t>MA-4</t>
        </is>
      </c>
      <c r="B535" s="12" t="inlineStr">
        <is>
          <t>Non-Local Maintenance</t>
        </is>
      </c>
      <c r="C535" s="12" t="inlineStr">
        <is>
          <t>Identity</t>
        </is>
      </c>
      <c r="D535" s="11" t="inlineStr">
        <is>
          <t>MA</t>
        </is>
      </c>
      <c r="E535" s="12" t="inlineStr">
        <is>
          <t>Identity</t>
        </is>
      </c>
      <c r="F535" s="12" t="inlineStr">
        <is>
          <t>MA-4</t>
        </is>
      </c>
      <c r="G535" s="13">
        <f>IFERROR('[Identity.xlsx]MA-4'!B20,"Not Started")</f>
        <v/>
      </c>
      <c r="H535" s="14">
        <f>IF(OR(G535="Passed",G535="Accepted Exception"),"GREEN",IF(OR(G535="Not Started",G535="Failed"),"RED","AMBER"))</f>
        <v/>
      </c>
      <c r="I535" s="15">
        <f>IFERROR('[Identity.xlsx]MA-4'!E20,"Non commencé")</f>
        <v/>
      </c>
      <c r="J535" s="16">
        <f>IF(OR(I535="Réussi",I535="Exception acceptée"),"GREEN",IF(OR(I535="Non commencé",I535="Échec"),"RED","AMBER"))</f>
        <v/>
      </c>
      <c r="K535" s="12" t="inlineStr"/>
      <c r="L535" s="12" t="inlineStr"/>
      <c r="M535" s="17" t="inlineStr"/>
    </row>
    <row r="536" ht="18" customHeight="1">
      <c r="A536" s="18" t="inlineStr">
        <is>
          <t>SA-9(5)</t>
        </is>
      </c>
      <c r="B536" s="19" t="inlineStr">
        <is>
          <t>External Information System Services</t>
        </is>
      </c>
      <c r="C536" s="19" t="inlineStr">
        <is>
          <t>Identity</t>
        </is>
      </c>
      <c r="D536" s="18" t="inlineStr">
        <is>
          <t>SA</t>
        </is>
      </c>
      <c r="E536" s="19" t="inlineStr">
        <is>
          <t>Identity</t>
        </is>
      </c>
      <c r="F536" s="19" t="inlineStr">
        <is>
          <t>SA-9-5</t>
        </is>
      </c>
      <c r="G536" s="20">
        <f>IFERROR('[Identity.xlsx]SA-9-5'!B20,"Not Started")</f>
        <v/>
      </c>
      <c r="H536" s="14">
        <f>IF(OR(G536="Passed",G536="Accepted Exception"),"GREEN",IF(OR(G536="Not Started",G536="Failed"),"RED","AMBER"))</f>
        <v/>
      </c>
      <c r="I536" s="21">
        <f>IFERROR('[Identity.xlsx]SA-9-5'!E20,"Non commencé")</f>
        <v/>
      </c>
      <c r="J536" s="16">
        <f>IF(OR(I536="Réussi",I536="Exception acceptée"),"GREEN",IF(OR(I536="Non commencé",I536="Échec"),"RED","AMBER"))</f>
        <v/>
      </c>
      <c r="K536" s="19" t="inlineStr"/>
      <c r="L536" s="19" t="inlineStr"/>
      <c r="M536" s="22" t="inlineStr"/>
    </row>
    <row r="537" ht="18" customHeight="1">
      <c r="A537" s="11" t="inlineStr">
        <is>
          <t>SC-13</t>
        </is>
      </c>
      <c r="B537" s="12" t="inlineStr">
        <is>
          <t>Cryptographic Protection</t>
        </is>
      </c>
      <c r="C537" s="12" t="inlineStr">
        <is>
          <t>Identity</t>
        </is>
      </c>
      <c r="D537" s="11" t="inlineStr">
        <is>
          <t>SC</t>
        </is>
      </c>
      <c r="E537" s="12" t="inlineStr">
        <is>
          <t>Identity</t>
        </is>
      </c>
      <c r="F537" s="12" t="inlineStr">
        <is>
          <t>SC-13</t>
        </is>
      </c>
      <c r="G537" s="13">
        <f>IFERROR('[Identity.xlsx]SC-13'!B20,"Not Started")</f>
        <v/>
      </c>
      <c r="H537" s="14">
        <f>IF(OR(G537="Passed",G537="Accepted Exception"),"GREEN",IF(OR(G537="Not Started",G537="Failed"),"RED","AMBER"))</f>
        <v/>
      </c>
      <c r="I537" s="15">
        <f>IFERROR('[Identity.xlsx]SC-13'!E20,"Non commencé")</f>
        <v/>
      </c>
      <c r="J537" s="16">
        <f>IF(OR(I537="Réussi",I537="Exception acceptée"),"GREEN",IF(OR(I537="Non commencé",I537="Échec"),"RED","AMBER"))</f>
        <v/>
      </c>
      <c r="K537" s="12" t="inlineStr"/>
      <c r="L537" s="12" t="inlineStr"/>
      <c r="M537" s="17" t="inlineStr"/>
    </row>
    <row r="538" ht="18" customHeight="1">
      <c r="A538" s="18" t="inlineStr">
        <is>
          <t>SI-4(2)</t>
        </is>
      </c>
      <c r="B538" s="19" t="inlineStr">
        <is>
          <t>Information System Monitoring</t>
        </is>
      </c>
      <c r="C538" s="19" t="inlineStr">
        <is>
          <t>Identity</t>
        </is>
      </c>
      <c r="D538" s="18" t="inlineStr">
        <is>
          <t>SI</t>
        </is>
      </c>
      <c r="E538" s="19" t="inlineStr">
        <is>
          <t>Identity</t>
        </is>
      </c>
      <c r="F538" s="19" t="inlineStr">
        <is>
          <t>SI-4-2</t>
        </is>
      </c>
      <c r="G538" s="20">
        <f>IFERROR('[Identity.xlsx]SI-4-2'!B20,"Not Started")</f>
        <v/>
      </c>
      <c r="H538" s="14">
        <f>IF(OR(G538="Passed",G538="Accepted Exception"),"GREEN",IF(OR(G538="Not Started",G538="Failed"),"RED","AMBER"))</f>
        <v/>
      </c>
      <c r="I538" s="21">
        <f>IFERROR('[Identity.xlsx]SI-4-2'!E20,"Non commencé")</f>
        <v/>
      </c>
      <c r="J538" s="16">
        <f>IF(OR(I538="Réussi",I538="Exception acceptée"),"GREEN",IF(OR(I538="Non commencé",I538="Échec"),"RED","AMBER"))</f>
        <v/>
      </c>
      <c r="K538" s="19" t="inlineStr"/>
      <c r="L538" s="19" t="inlineStr"/>
      <c r="M538" s="22" t="inlineStr"/>
    </row>
    <row r="539" ht="18" customHeight="1">
      <c r="A539" s="11" t="inlineStr">
        <is>
          <t>SI-6</t>
        </is>
      </c>
      <c r="B539" s="12" t="inlineStr">
        <is>
          <t>Security Functional Verification</t>
        </is>
      </c>
      <c r="C539" s="12" t="inlineStr">
        <is>
          <t>Identity</t>
        </is>
      </c>
      <c r="D539" s="11" t="inlineStr">
        <is>
          <t>SI</t>
        </is>
      </c>
      <c r="E539" s="12" t="inlineStr">
        <is>
          <t>Identity</t>
        </is>
      </c>
      <c r="F539" s="12" t="inlineStr">
        <is>
          <t>SI-6</t>
        </is>
      </c>
      <c r="G539" s="13">
        <f>IFERROR('[Identity.xlsx]SI-6'!B20,"Not Started")</f>
        <v/>
      </c>
      <c r="H539" s="14">
        <f>IF(OR(G539="Passed",G539="Accepted Exception"),"GREEN",IF(OR(G539="Not Started",G539="Failed"),"RED","AMBER"))</f>
        <v/>
      </c>
      <c r="I539" s="15">
        <f>IFERROR('[Identity.xlsx]SI-6'!E20,"Non commencé")</f>
        <v/>
      </c>
      <c r="J539" s="16">
        <f>IF(OR(I539="Réussi",I539="Exception acceptée"),"GREEN",IF(OR(I539="Non commencé",I539="Échec"),"RED","AMBER"))</f>
        <v/>
      </c>
      <c r="K539" s="12" t="inlineStr"/>
      <c r="L539" s="12" t="inlineStr"/>
      <c r="M539" s="17" t="inlineStr"/>
    </row>
    <row r="540" ht="18" customHeight="1">
      <c r="A540" s="18" t="inlineStr">
        <is>
          <t>AC-2(1)</t>
        </is>
      </c>
      <c r="B540" s="19" t="inlineStr">
        <is>
          <t>Account Management</t>
        </is>
      </c>
      <c r="C540" s="19" t="inlineStr">
        <is>
          <t>Management and Governance</t>
        </is>
      </c>
      <c r="D540" s="18" t="inlineStr">
        <is>
          <t>AC</t>
        </is>
      </c>
      <c r="E540" s="19" t="inlineStr">
        <is>
          <t>Management and Governance</t>
        </is>
      </c>
      <c r="F540" s="19" t="inlineStr">
        <is>
          <t>AC-2-1</t>
        </is>
      </c>
      <c r="G540" s="20">
        <f>IFERROR('[Management_and_Governance.xlsx]AC-2-1'!B20,"Not Started")</f>
        <v/>
      </c>
      <c r="H540" s="14">
        <f>IF(OR(G540="Passed",G540="Accepted Exception"),"GREEN",IF(OR(G540="Not Started",G540="Failed"),"RED","AMBER"))</f>
        <v/>
      </c>
      <c r="I540" s="21">
        <f>IFERROR('[Management_and_Governance.xlsx]AC-2-1'!E20,"Non commencé")</f>
        <v/>
      </c>
      <c r="J540" s="16">
        <f>IF(OR(I540="Réussi",I540="Exception acceptée"),"GREEN",IF(OR(I540="Non commencé",I540="Échec"),"RED","AMBER"))</f>
        <v/>
      </c>
      <c r="K540" s="19" t="inlineStr"/>
      <c r="L540" s="19" t="inlineStr"/>
      <c r="M540" s="22" t="inlineStr"/>
    </row>
    <row r="541" ht="18" customHeight="1">
      <c r="A541" s="11" t="inlineStr">
        <is>
          <t>AC-2(2)</t>
        </is>
      </c>
      <c r="B541" s="12" t="inlineStr">
        <is>
          <t>Account Management</t>
        </is>
      </c>
      <c r="C541" s="12" t="inlineStr">
        <is>
          <t>Management and Governance</t>
        </is>
      </c>
      <c r="D541" s="11" t="inlineStr">
        <is>
          <t>AC</t>
        </is>
      </c>
      <c r="E541" s="12" t="inlineStr">
        <is>
          <t>Management and Governance</t>
        </is>
      </c>
      <c r="F541" s="12" t="inlineStr">
        <is>
          <t>AC-2-2</t>
        </is>
      </c>
      <c r="G541" s="13">
        <f>IFERROR('[Management_and_Governance.xlsx]AC-2-2'!B20,"Not Started")</f>
        <v/>
      </c>
      <c r="H541" s="14">
        <f>IF(OR(G541="Passed",G541="Accepted Exception"),"GREEN",IF(OR(G541="Not Started",G541="Failed"),"RED","AMBER"))</f>
        <v/>
      </c>
      <c r="I541" s="15">
        <f>IFERROR('[Management_and_Governance.xlsx]AC-2-2'!E20,"Non commencé")</f>
        <v/>
      </c>
      <c r="J541" s="16">
        <f>IF(OR(I541="Réussi",I541="Exception acceptée"),"GREEN",IF(OR(I541="Non commencé",I541="Échec"),"RED","AMBER"))</f>
        <v/>
      </c>
      <c r="K541" s="12" t="inlineStr"/>
      <c r="L541" s="12" t="inlineStr"/>
      <c r="M541" s="17" t="inlineStr"/>
    </row>
    <row r="542" ht="18" customHeight="1">
      <c r="A542" s="18" t="inlineStr">
        <is>
          <t>AC-2(3)</t>
        </is>
      </c>
      <c r="B542" s="19" t="inlineStr">
        <is>
          <t>Account Management</t>
        </is>
      </c>
      <c r="C542" s="19" t="inlineStr">
        <is>
          <t>Management and Governance</t>
        </is>
      </c>
      <c r="D542" s="18" t="inlineStr">
        <is>
          <t>AC</t>
        </is>
      </c>
      <c r="E542" s="19" t="inlineStr">
        <is>
          <t>Management and Governance</t>
        </is>
      </c>
      <c r="F542" s="19" t="inlineStr">
        <is>
          <t>AC-2-3</t>
        </is>
      </c>
      <c r="G542" s="20">
        <f>IFERROR('[Management_and_Governance.xlsx]AC-2-3'!B20,"Not Started")</f>
        <v/>
      </c>
      <c r="H542" s="14">
        <f>IF(OR(G542="Passed",G542="Accepted Exception"),"GREEN",IF(OR(G542="Not Started",G542="Failed"),"RED","AMBER"))</f>
        <v/>
      </c>
      <c r="I542" s="21">
        <f>IFERROR('[Management_and_Governance.xlsx]AC-2-3'!E20,"Non commencé")</f>
        <v/>
      </c>
      <c r="J542" s="16">
        <f>IF(OR(I542="Réussi",I542="Exception acceptée"),"GREEN",IF(OR(I542="Non commencé",I542="Échec"),"RED","AMBER"))</f>
        <v/>
      </c>
      <c r="K542" s="19" t="inlineStr"/>
      <c r="L542" s="19" t="inlineStr"/>
      <c r="M542" s="22" t="inlineStr"/>
    </row>
    <row r="543" ht="18" customHeight="1">
      <c r="A543" s="11" t="inlineStr">
        <is>
          <t>AC-2(4)</t>
        </is>
      </c>
      <c r="B543" s="12" t="inlineStr">
        <is>
          <t>Account Management</t>
        </is>
      </c>
      <c r="C543" s="12" t="inlineStr">
        <is>
          <t>Management and Governance</t>
        </is>
      </c>
      <c r="D543" s="11" t="inlineStr">
        <is>
          <t>AC</t>
        </is>
      </c>
      <c r="E543" s="12" t="inlineStr">
        <is>
          <t>Management and Governance</t>
        </is>
      </c>
      <c r="F543" s="12" t="inlineStr">
        <is>
          <t>AC-2-4</t>
        </is>
      </c>
      <c r="G543" s="13">
        <f>IFERROR('[Management_and_Governance.xlsx]AC-2-4'!B20,"Not Started")</f>
        <v/>
      </c>
      <c r="H543" s="14">
        <f>IF(OR(G543="Passed",G543="Accepted Exception"),"GREEN",IF(OR(G543="Not Started",G543="Failed"),"RED","AMBER"))</f>
        <v/>
      </c>
      <c r="I543" s="15">
        <f>IFERROR('[Management_and_Governance.xlsx]AC-2-4'!E20,"Non commencé")</f>
        <v/>
      </c>
      <c r="J543" s="16">
        <f>IF(OR(I543="Réussi",I543="Exception acceptée"),"GREEN",IF(OR(I543="Non commencé",I543="Échec"),"RED","AMBER"))</f>
        <v/>
      </c>
      <c r="K543" s="12" t="inlineStr"/>
      <c r="L543" s="12" t="inlineStr"/>
      <c r="M543" s="17" t="inlineStr"/>
    </row>
    <row r="544" ht="18" customHeight="1">
      <c r="A544" s="18" t="inlineStr">
        <is>
          <t>AC-2(5)</t>
        </is>
      </c>
      <c r="B544" s="19" t="inlineStr">
        <is>
          <t>Account Management</t>
        </is>
      </c>
      <c r="C544" s="19" t="inlineStr">
        <is>
          <t>Management and Governance</t>
        </is>
      </c>
      <c r="D544" s="18" t="inlineStr">
        <is>
          <t>AC</t>
        </is>
      </c>
      <c r="E544" s="19" t="inlineStr">
        <is>
          <t>Management and Governance</t>
        </is>
      </c>
      <c r="F544" s="19" t="inlineStr">
        <is>
          <t>AC-2-5</t>
        </is>
      </c>
      <c r="G544" s="20">
        <f>IFERROR('[Management_and_Governance.xlsx]AC-2-5'!B20,"Not Started")</f>
        <v/>
      </c>
      <c r="H544" s="14">
        <f>IF(OR(G544="Passed",G544="Accepted Exception"),"GREEN",IF(OR(G544="Not Started",G544="Failed"),"RED","AMBER"))</f>
        <v/>
      </c>
      <c r="I544" s="21">
        <f>IFERROR('[Management_and_Governance.xlsx]AC-2-5'!E20,"Non commencé")</f>
        <v/>
      </c>
      <c r="J544" s="16">
        <f>IF(OR(I544="Réussi",I544="Exception acceptée"),"GREEN",IF(OR(I544="Non commencé",I544="Échec"),"RED","AMBER"))</f>
        <v/>
      </c>
      <c r="K544" s="19" t="inlineStr"/>
      <c r="L544" s="19" t="inlineStr"/>
      <c r="M544" s="22" t="inlineStr"/>
    </row>
    <row r="545" ht="18" customHeight="1">
      <c r="A545" s="11" t="inlineStr">
        <is>
          <t>AC-2(7)</t>
        </is>
      </c>
      <c r="B545" s="12" t="inlineStr">
        <is>
          <t>Account Management</t>
        </is>
      </c>
      <c r="C545" s="12" t="inlineStr">
        <is>
          <t>Management and Governance</t>
        </is>
      </c>
      <c r="D545" s="11" t="inlineStr">
        <is>
          <t>AC</t>
        </is>
      </c>
      <c r="E545" s="12" t="inlineStr">
        <is>
          <t>Management and Governance</t>
        </is>
      </c>
      <c r="F545" s="12" t="inlineStr">
        <is>
          <t>AC-2-7</t>
        </is>
      </c>
      <c r="G545" s="13">
        <f>IFERROR('[Management_and_Governance.xlsx]AC-2-7'!B20,"Not Started")</f>
        <v/>
      </c>
      <c r="H545" s="14">
        <f>IF(OR(G545="Passed",G545="Accepted Exception"),"GREEN",IF(OR(G545="Not Started",G545="Failed"),"RED","AMBER"))</f>
        <v/>
      </c>
      <c r="I545" s="15">
        <f>IFERROR('[Management_and_Governance.xlsx]AC-2-7'!E20,"Non commencé")</f>
        <v/>
      </c>
      <c r="J545" s="16">
        <f>IF(OR(I545="Réussi",I545="Exception acceptée"),"GREEN",IF(OR(I545="Non commencé",I545="Échec"),"RED","AMBER"))</f>
        <v/>
      </c>
      <c r="K545" s="12" t="inlineStr"/>
      <c r="L545" s="12" t="inlineStr"/>
      <c r="M545" s="17" t="inlineStr"/>
    </row>
    <row r="546" ht="18" customHeight="1">
      <c r="A546" s="18" t="inlineStr">
        <is>
          <t>AC-6</t>
        </is>
      </c>
      <c r="B546" s="19" t="inlineStr">
        <is>
          <t>Least Privilege</t>
        </is>
      </c>
      <c r="C546" s="19" t="inlineStr">
        <is>
          <t>Management and Governance</t>
        </is>
      </c>
      <c r="D546" s="18" t="inlineStr">
        <is>
          <t>AC</t>
        </is>
      </c>
      <c r="E546" s="19" t="inlineStr">
        <is>
          <t>Management and Governance</t>
        </is>
      </c>
      <c r="F546" s="19" t="inlineStr">
        <is>
          <t>AC-6</t>
        </is>
      </c>
      <c r="G546" s="20">
        <f>IFERROR('[Management_and_Governance.xlsx]AC-6'!B20,"Not Started")</f>
        <v/>
      </c>
      <c r="H546" s="14">
        <f>IF(OR(G546="Passed",G546="Accepted Exception"),"GREEN",IF(OR(G546="Not Started",G546="Failed"),"RED","AMBER"))</f>
        <v/>
      </c>
      <c r="I546" s="21">
        <f>IFERROR('[Management_and_Governance.xlsx]AC-6'!E20,"Non commencé")</f>
        <v/>
      </c>
      <c r="J546" s="16">
        <f>IF(OR(I546="Réussi",I546="Exception acceptée"),"GREEN",IF(OR(I546="Non commencé",I546="Échec"),"RED","AMBER"))</f>
        <v/>
      </c>
      <c r="K546" s="19" t="inlineStr"/>
      <c r="L546" s="19" t="inlineStr"/>
      <c r="M546" s="22" t="inlineStr"/>
    </row>
    <row r="547" ht="18" customHeight="1">
      <c r="A547" s="11" t="inlineStr">
        <is>
          <t>AC-6(1)</t>
        </is>
      </c>
      <c r="B547" s="12" t="inlineStr">
        <is>
          <t>Least Privilege</t>
        </is>
      </c>
      <c r="C547" s="12" t="inlineStr">
        <is>
          <t>Management and Governance</t>
        </is>
      </c>
      <c r="D547" s="11" t="inlineStr">
        <is>
          <t>AC</t>
        </is>
      </c>
      <c r="E547" s="12" t="inlineStr">
        <is>
          <t>Management and Governance</t>
        </is>
      </c>
      <c r="F547" s="12" t="inlineStr">
        <is>
          <t>AC-6-1</t>
        </is>
      </c>
      <c r="G547" s="13">
        <f>IFERROR('[Management_and_Governance.xlsx]AC-6-1'!B20,"Not Started")</f>
        <v/>
      </c>
      <c r="H547" s="14">
        <f>IF(OR(G547="Passed",G547="Accepted Exception"),"GREEN",IF(OR(G547="Not Started",G547="Failed"),"RED","AMBER"))</f>
        <v/>
      </c>
      <c r="I547" s="15">
        <f>IFERROR('[Management_and_Governance.xlsx]AC-6-1'!E20,"Non commencé")</f>
        <v/>
      </c>
      <c r="J547" s="16">
        <f>IF(OR(I547="Réussi",I547="Exception acceptée"),"GREEN",IF(OR(I547="Non commencé",I547="Échec"),"RED","AMBER"))</f>
        <v/>
      </c>
      <c r="K547" s="12" t="inlineStr"/>
      <c r="L547" s="12" t="inlineStr"/>
      <c r="M547" s="17" t="inlineStr"/>
    </row>
    <row r="548" ht="18" customHeight="1">
      <c r="A548" s="18" t="inlineStr">
        <is>
          <t>AC-6(9)</t>
        </is>
      </c>
      <c r="B548" s="19" t="inlineStr">
        <is>
          <t>Least Privilege</t>
        </is>
      </c>
      <c r="C548" s="19" t="inlineStr">
        <is>
          <t>Management and Governance</t>
        </is>
      </c>
      <c r="D548" s="18" t="inlineStr">
        <is>
          <t>AC</t>
        </is>
      </c>
      <c r="E548" s="19" t="inlineStr">
        <is>
          <t>Management and Governance</t>
        </is>
      </c>
      <c r="F548" s="19" t="inlineStr">
        <is>
          <t>AC-6-9</t>
        </is>
      </c>
      <c r="G548" s="20">
        <f>IFERROR('[Management_and_Governance.xlsx]AC-6-9'!B20,"Not Started")</f>
        <v/>
      </c>
      <c r="H548" s="14">
        <f>IF(OR(G548="Passed",G548="Accepted Exception"),"GREEN",IF(OR(G548="Not Started",G548="Failed"),"RED","AMBER"))</f>
        <v/>
      </c>
      <c r="I548" s="21">
        <f>IFERROR('[Management_and_Governance.xlsx]AC-6-9'!E20,"Non commencé")</f>
        <v/>
      </c>
      <c r="J548" s="16">
        <f>IF(OR(I548="Réussi",I548="Exception acceptée"),"GREEN",IF(OR(I548="Non commencé",I548="Échec"),"RED","AMBER"))</f>
        <v/>
      </c>
      <c r="K548" s="19" t="inlineStr"/>
      <c r="L548" s="19" t="inlineStr"/>
      <c r="M548" s="22" t="inlineStr"/>
    </row>
    <row r="549" ht="18" customHeight="1">
      <c r="A549" s="11" t="inlineStr">
        <is>
          <t>AC-6(10)</t>
        </is>
      </c>
      <c r="B549" s="12" t="inlineStr">
        <is>
          <t>Least Privilege</t>
        </is>
      </c>
      <c r="C549" s="12" t="inlineStr">
        <is>
          <t>Management and Governance</t>
        </is>
      </c>
      <c r="D549" s="11" t="inlineStr">
        <is>
          <t>AC</t>
        </is>
      </c>
      <c r="E549" s="12" t="inlineStr">
        <is>
          <t>Management and Governance</t>
        </is>
      </c>
      <c r="F549" s="12" t="inlineStr">
        <is>
          <t>AC-6-10</t>
        </is>
      </c>
      <c r="G549" s="13">
        <f>IFERROR('[Management_and_Governance.xlsx]AC-6-10'!B20,"Not Started")</f>
        <v/>
      </c>
      <c r="H549" s="14">
        <f>IF(OR(G549="Passed",G549="Accepted Exception"),"GREEN",IF(OR(G549="Not Started",G549="Failed"),"RED","AMBER"))</f>
        <v/>
      </c>
      <c r="I549" s="15">
        <f>IFERROR('[Management_and_Governance.xlsx]AC-6-10'!E20,"Non commencé")</f>
        <v/>
      </c>
      <c r="J549" s="16">
        <f>IF(OR(I549="Réussi",I549="Exception acceptée"),"GREEN",IF(OR(I549="Non commencé",I549="Échec"),"RED","AMBER"))</f>
        <v/>
      </c>
      <c r="K549" s="12" t="inlineStr"/>
      <c r="L549" s="12" t="inlineStr"/>
      <c r="M549" s="17" t="inlineStr"/>
    </row>
    <row r="550" ht="18" customHeight="1">
      <c r="A550" s="18" t="inlineStr">
        <is>
          <t>AC-17(1)</t>
        </is>
      </c>
      <c r="B550" s="19" t="inlineStr">
        <is>
          <t>Remote Access</t>
        </is>
      </c>
      <c r="C550" s="19" t="inlineStr">
        <is>
          <t>Management and Governance</t>
        </is>
      </c>
      <c r="D550" s="18" t="inlineStr">
        <is>
          <t>AC</t>
        </is>
      </c>
      <c r="E550" s="19" t="inlineStr">
        <is>
          <t>Management and Governance</t>
        </is>
      </c>
      <c r="F550" s="19" t="inlineStr">
        <is>
          <t>AC-17-1</t>
        </is>
      </c>
      <c r="G550" s="20">
        <f>IFERROR('[Management_and_Governance.xlsx]AC-17-1'!B20,"Not Started")</f>
        <v/>
      </c>
      <c r="H550" s="14">
        <f>IF(OR(G550="Passed",G550="Accepted Exception"),"GREEN",IF(OR(G550="Not Started",G550="Failed"),"RED","AMBER"))</f>
        <v/>
      </c>
      <c r="I550" s="21">
        <f>IFERROR('[Management_and_Governance.xlsx]AC-17-1'!E20,"Non commencé")</f>
        <v/>
      </c>
      <c r="J550" s="16">
        <f>IF(OR(I550="Réussi",I550="Exception acceptée"),"GREEN",IF(OR(I550="Non commencé",I550="Échec"),"RED","AMBER"))</f>
        <v/>
      </c>
      <c r="K550" s="19" t="inlineStr"/>
      <c r="L550" s="19" t="inlineStr"/>
      <c r="M550" s="22" t="inlineStr"/>
    </row>
    <row r="551" ht="18" customHeight="1">
      <c r="A551" s="11" t="inlineStr">
        <is>
          <t>AC-17(2)</t>
        </is>
      </c>
      <c r="B551" s="12" t="inlineStr">
        <is>
          <t>Remote Access</t>
        </is>
      </c>
      <c r="C551" s="12" t="inlineStr">
        <is>
          <t>Management and Governance</t>
        </is>
      </c>
      <c r="D551" s="11" t="inlineStr">
        <is>
          <t>AC</t>
        </is>
      </c>
      <c r="E551" s="12" t="inlineStr">
        <is>
          <t>Management and Governance</t>
        </is>
      </c>
      <c r="F551" s="12" t="inlineStr">
        <is>
          <t>AC-17-2</t>
        </is>
      </c>
      <c r="G551" s="13">
        <f>IFERROR('[Management_and_Governance.xlsx]AC-17-2'!B20,"Not Started")</f>
        <v/>
      </c>
      <c r="H551" s="14">
        <f>IF(OR(G551="Passed",G551="Accepted Exception"),"GREEN",IF(OR(G551="Not Started",G551="Failed"),"RED","AMBER"))</f>
        <v/>
      </c>
      <c r="I551" s="15">
        <f>IFERROR('[Management_and_Governance.xlsx]AC-17-2'!E20,"Non commencé")</f>
        <v/>
      </c>
      <c r="J551" s="16">
        <f>IF(OR(I551="Réussi",I551="Exception acceptée"),"GREEN",IF(OR(I551="Non commencé",I551="Échec"),"RED","AMBER"))</f>
        <v/>
      </c>
      <c r="K551" s="12" t="inlineStr"/>
      <c r="L551" s="12" t="inlineStr"/>
      <c r="M551" s="17" t="inlineStr"/>
    </row>
    <row r="552" ht="18" customHeight="1">
      <c r="A552" s="18" t="inlineStr">
        <is>
          <t>AU-2</t>
        </is>
      </c>
      <c r="B552" s="19" t="inlineStr">
        <is>
          <t>Auditable Events</t>
        </is>
      </c>
      <c r="C552" s="19" t="inlineStr">
        <is>
          <t>Management and Governance</t>
        </is>
      </c>
      <c r="D552" s="18" t="inlineStr">
        <is>
          <t>AU</t>
        </is>
      </c>
      <c r="E552" s="19" t="inlineStr">
        <is>
          <t>Management and Governance</t>
        </is>
      </c>
      <c r="F552" s="19" t="inlineStr">
        <is>
          <t>AU-2</t>
        </is>
      </c>
      <c r="G552" s="20">
        <f>IFERROR('[Management_and_Governance.xlsx]AU-2'!B20,"Not Started")</f>
        <v/>
      </c>
      <c r="H552" s="14">
        <f>IF(OR(G552="Passed",G552="Accepted Exception"),"GREEN",IF(OR(G552="Not Started",G552="Failed"),"RED","AMBER"))</f>
        <v/>
      </c>
      <c r="I552" s="21">
        <f>IFERROR('[Management_and_Governance.xlsx]AU-2'!E20,"Non commencé")</f>
        <v/>
      </c>
      <c r="J552" s="16">
        <f>IF(OR(I552="Réussi",I552="Exception acceptée"),"GREEN",IF(OR(I552="Non commencé",I552="Échec"),"RED","AMBER"))</f>
        <v/>
      </c>
      <c r="K552" s="19" t="inlineStr"/>
      <c r="L552" s="19" t="inlineStr"/>
      <c r="M552" s="22" t="inlineStr"/>
    </row>
    <row r="553" ht="18" customHeight="1">
      <c r="A553" s="11" t="inlineStr">
        <is>
          <t>AU-3</t>
        </is>
      </c>
      <c r="B553" s="12" t="inlineStr">
        <is>
          <t>Content of Audit Records</t>
        </is>
      </c>
      <c r="C553" s="12" t="inlineStr">
        <is>
          <t>Management and Governance</t>
        </is>
      </c>
      <c r="D553" s="11" t="inlineStr">
        <is>
          <t>AU</t>
        </is>
      </c>
      <c r="E553" s="12" t="inlineStr">
        <is>
          <t>Management and Governance</t>
        </is>
      </c>
      <c r="F553" s="12" t="inlineStr">
        <is>
          <t>AU-3</t>
        </is>
      </c>
      <c r="G553" s="13">
        <f>IFERROR('[Management_and_Governance.xlsx]AU-3'!B20,"Not Started")</f>
        <v/>
      </c>
      <c r="H553" s="14">
        <f>IF(OR(G553="Passed",G553="Accepted Exception"),"GREEN",IF(OR(G553="Not Started",G553="Failed"),"RED","AMBER"))</f>
        <v/>
      </c>
      <c r="I553" s="15">
        <f>IFERROR('[Management_and_Governance.xlsx]AU-3'!E20,"Non commencé")</f>
        <v/>
      </c>
      <c r="J553" s="16">
        <f>IF(OR(I553="Réussi",I553="Exception acceptée"),"GREEN",IF(OR(I553="Non commencé",I553="Échec"),"RED","AMBER"))</f>
        <v/>
      </c>
      <c r="K553" s="12" t="inlineStr"/>
      <c r="L553" s="12" t="inlineStr"/>
      <c r="M553" s="17" t="inlineStr"/>
    </row>
    <row r="554" ht="18" customHeight="1">
      <c r="A554" s="18" t="inlineStr">
        <is>
          <t>AU-3(1)</t>
        </is>
      </c>
      <c r="B554" s="19" t="inlineStr">
        <is>
          <t>Content of Audit Records</t>
        </is>
      </c>
      <c r="C554" s="19" t="inlineStr">
        <is>
          <t>Management and Governance</t>
        </is>
      </c>
      <c r="D554" s="18" t="inlineStr">
        <is>
          <t>AU</t>
        </is>
      </c>
      <c r="E554" s="19" t="inlineStr">
        <is>
          <t>Management and Governance</t>
        </is>
      </c>
      <c r="F554" s="19" t="inlineStr">
        <is>
          <t>AU-3-1</t>
        </is>
      </c>
      <c r="G554" s="20">
        <f>IFERROR('[Management_and_Governance.xlsx]AU-3-1'!B20,"Not Started")</f>
        <v/>
      </c>
      <c r="H554" s="14">
        <f>IF(OR(G554="Passed",G554="Accepted Exception"),"GREEN",IF(OR(G554="Not Started",G554="Failed"),"RED","AMBER"))</f>
        <v/>
      </c>
      <c r="I554" s="21">
        <f>IFERROR('[Management_and_Governance.xlsx]AU-3-1'!E20,"Non commencé")</f>
        <v/>
      </c>
      <c r="J554" s="16">
        <f>IF(OR(I554="Réussi",I554="Exception acceptée"),"GREEN",IF(OR(I554="Non commencé",I554="Échec"),"RED","AMBER"))</f>
        <v/>
      </c>
      <c r="K554" s="19" t="inlineStr"/>
      <c r="L554" s="19" t="inlineStr"/>
      <c r="M554" s="22" t="inlineStr"/>
    </row>
    <row r="555" ht="18" customHeight="1">
      <c r="A555" s="11" t="inlineStr">
        <is>
          <t>AU-5</t>
        </is>
      </c>
      <c r="B555" s="12" t="inlineStr">
        <is>
          <t>Response To Audit Processing Failures</t>
        </is>
      </c>
      <c r="C555" s="12" t="inlineStr">
        <is>
          <t>Management and Governance</t>
        </is>
      </c>
      <c r="D555" s="11" t="inlineStr">
        <is>
          <t>AU</t>
        </is>
      </c>
      <c r="E555" s="12" t="inlineStr">
        <is>
          <t>Management and Governance</t>
        </is>
      </c>
      <c r="F555" s="12" t="inlineStr">
        <is>
          <t>AU-5</t>
        </is>
      </c>
      <c r="G555" s="13">
        <f>IFERROR('[Management_and_Governance.xlsx]AU-5'!B20,"Not Started")</f>
        <v/>
      </c>
      <c r="H555" s="14">
        <f>IF(OR(G555="Passed",G555="Accepted Exception"),"GREEN",IF(OR(G555="Not Started",G555="Failed"),"RED","AMBER"))</f>
        <v/>
      </c>
      <c r="I555" s="15">
        <f>IFERROR('[Management_and_Governance.xlsx]AU-5'!E20,"Non commencé")</f>
        <v/>
      </c>
      <c r="J555" s="16">
        <f>IF(OR(I555="Réussi",I555="Exception acceptée"),"GREEN",IF(OR(I555="Non commencé",I555="Échec"),"RED","AMBER"))</f>
        <v/>
      </c>
      <c r="K555" s="12" t="inlineStr"/>
      <c r="L555" s="12" t="inlineStr"/>
      <c r="M555" s="17" t="inlineStr"/>
    </row>
    <row r="556" ht="18" customHeight="1">
      <c r="A556" s="18" t="inlineStr">
        <is>
          <t>AU-6(1)</t>
        </is>
      </c>
      <c r="B556" s="19" t="inlineStr">
        <is>
          <t>Audit Review, Analysis, and Reporting</t>
        </is>
      </c>
      <c r="C556" s="19" t="inlineStr">
        <is>
          <t>Management and Governance</t>
        </is>
      </c>
      <c r="D556" s="18" t="inlineStr">
        <is>
          <t>AU</t>
        </is>
      </c>
      <c r="E556" s="19" t="inlineStr">
        <is>
          <t>Management and Governance</t>
        </is>
      </c>
      <c r="F556" s="19" t="inlineStr">
        <is>
          <t>AU-6-1</t>
        </is>
      </c>
      <c r="G556" s="20">
        <f>IFERROR('[Management_and_Governance.xlsx]AU-6-1'!B20,"Not Started")</f>
        <v/>
      </c>
      <c r="H556" s="14">
        <f>IF(OR(G556="Passed",G556="Accepted Exception"),"GREEN",IF(OR(G556="Not Started",G556="Failed"),"RED","AMBER"))</f>
        <v/>
      </c>
      <c r="I556" s="21">
        <f>IFERROR('[Management_and_Governance.xlsx]AU-6-1'!E20,"Non commencé")</f>
        <v/>
      </c>
      <c r="J556" s="16">
        <f>IF(OR(I556="Réussi",I556="Exception acceptée"),"GREEN",IF(OR(I556="Non commencé",I556="Échec"),"RED","AMBER"))</f>
        <v/>
      </c>
      <c r="K556" s="19" t="inlineStr"/>
      <c r="L556" s="19" t="inlineStr"/>
      <c r="M556" s="22" t="inlineStr"/>
    </row>
    <row r="557" ht="18" customHeight="1">
      <c r="A557" s="11" t="inlineStr">
        <is>
          <t>AU-6(3)</t>
        </is>
      </c>
      <c r="B557" s="12" t="inlineStr">
        <is>
          <t>Audit Review, Analysis, and Reporting</t>
        </is>
      </c>
      <c r="C557" s="12" t="inlineStr">
        <is>
          <t>Management and Governance</t>
        </is>
      </c>
      <c r="D557" s="11" t="inlineStr">
        <is>
          <t>AU</t>
        </is>
      </c>
      <c r="E557" s="12" t="inlineStr">
        <is>
          <t>Management and Governance</t>
        </is>
      </c>
      <c r="F557" s="12" t="inlineStr">
        <is>
          <t>AU-6-3</t>
        </is>
      </c>
      <c r="G557" s="13">
        <f>IFERROR('[Management_and_Governance.xlsx]AU-6-3'!B20,"Not Started")</f>
        <v/>
      </c>
      <c r="H557" s="14">
        <f>IF(OR(G557="Passed",G557="Accepted Exception"),"GREEN",IF(OR(G557="Not Started",G557="Failed"),"RED","AMBER"))</f>
        <v/>
      </c>
      <c r="I557" s="15">
        <f>IFERROR('[Management_and_Governance.xlsx]AU-6-3'!E20,"Non commencé")</f>
        <v/>
      </c>
      <c r="J557" s="16">
        <f>IF(OR(I557="Réussi",I557="Exception acceptée"),"GREEN",IF(OR(I557="Non commencé",I557="Échec"),"RED","AMBER"))</f>
        <v/>
      </c>
      <c r="K557" s="12" t="inlineStr"/>
      <c r="L557" s="12" t="inlineStr"/>
      <c r="M557" s="17" t="inlineStr"/>
    </row>
    <row r="558" ht="18" customHeight="1">
      <c r="A558" s="18" t="inlineStr">
        <is>
          <t>AU-7</t>
        </is>
      </c>
      <c r="B558" s="19" t="inlineStr">
        <is>
          <t>Audit Reduction and Report Generation</t>
        </is>
      </c>
      <c r="C558" s="19" t="inlineStr">
        <is>
          <t>Management and Governance</t>
        </is>
      </c>
      <c r="D558" s="18" t="inlineStr">
        <is>
          <t>AU</t>
        </is>
      </c>
      <c r="E558" s="19" t="inlineStr">
        <is>
          <t>Management and Governance</t>
        </is>
      </c>
      <c r="F558" s="19" t="inlineStr">
        <is>
          <t>AU-7</t>
        </is>
      </c>
      <c r="G558" s="20">
        <f>IFERROR('[Management_and_Governance.xlsx]AU-7'!B20,"Not Started")</f>
        <v/>
      </c>
      <c r="H558" s="14">
        <f>IF(OR(G558="Passed",G558="Accepted Exception"),"GREEN",IF(OR(G558="Not Started",G558="Failed"),"RED","AMBER"))</f>
        <v/>
      </c>
      <c r="I558" s="21">
        <f>IFERROR('[Management_and_Governance.xlsx]AU-7'!E20,"Non commencé")</f>
        <v/>
      </c>
      <c r="J558" s="16">
        <f>IF(OR(I558="Réussi",I558="Exception acceptée"),"GREEN",IF(OR(I558="Non commencé",I558="Échec"),"RED","AMBER"))</f>
        <v/>
      </c>
      <c r="K558" s="19" t="inlineStr"/>
      <c r="L558" s="19" t="inlineStr"/>
      <c r="M558" s="22" t="inlineStr"/>
    </row>
    <row r="559" ht="18" customHeight="1">
      <c r="A559" s="11" t="inlineStr">
        <is>
          <t>AU-7(1)</t>
        </is>
      </c>
      <c r="B559" s="12" t="inlineStr">
        <is>
          <t>Audit Reduction and Report Generation</t>
        </is>
      </c>
      <c r="C559" s="12" t="inlineStr">
        <is>
          <t>Management and Governance</t>
        </is>
      </c>
      <c r="D559" s="11" t="inlineStr">
        <is>
          <t>AU</t>
        </is>
      </c>
      <c r="E559" s="12" t="inlineStr">
        <is>
          <t>Management and Governance</t>
        </is>
      </c>
      <c r="F559" s="12" t="inlineStr">
        <is>
          <t>AU-7-1</t>
        </is>
      </c>
      <c r="G559" s="13">
        <f>IFERROR('[Management_and_Governance.xlsx]AU-7-1'!B20,"Not Started")</f>
        <v/>
      </c>
      <c r="H559" s="14">
        <f>IF(OR(G559="Passed",G559="Accepted Exception"),"GREEN",IF(OR(G559="Not Started",G559="Failed"),"RED","AMBER"))</f>
        <v/>
      </c>
      <c r="I559" s="15">
        <f>IFERROR('[Management_and_Governance.xlsx]AU-7-1'!E20,"Non commencé")</f>
        <v/>
      </c>
      <c r="J559" s="16">
        <f>IF(OR(I559="Réussi",I559="Exception acceptée"),"GREEN",IF(OR(I559="Non commencé",I559="Échec"),"RED","AMBER"))</f>
        <v/>
      </c>
      <c r="K559" s="12" t="inlineStr"/>
      <c r="L559" s="12" t="inlineStr"/>
      <c r="M559" s="17" t="inlineStr"/>
    </row>
    <row r="560" ht="18" customHeight="1">
      <c r="A560" s="18" t="inlineStr">
        <is>
          <t>AU-8</t>
        </is>
      </c>
      <c r="B560" s="19" t="inlineStr">
        <is>
          <t>Time Stamps</t>
        </is>
      </c>
      <c r="C560" s="19" t="inlineStr">
        <is>
          <t>Management and Governance</t>
        </is>
      </c>
      <c r="D560" s="18" t="inlineStr">
        <is>
          <t>AU</t>
        </is>
      </c>
      <c r="E560" s="19" t="inlineStr">
        <is>
          <t>Management and Governance</t>
        </is>
      </c>
      <c r="F560" s="19" t="inlineStr">
        <is>
          <t>AU-8</t>
        </is>
      </c>
      <c r="G560" s="20">
        <f>IFERROR('[Management_and_Governance.xlsx]AU-8'!B20,"Not Started")</f>
        <v/>
      </c>
      <c r="H560" s="14">
        <f>IF(OR(G560="Passed",G560="Accepted Exception"),"GREEN",IF(OR(G560="Not Started",G560="Failed"),"RED","AMBER"))</f>
        <v/>
      </c>
      <c r="I560" s="21">
        <f>IFERROR('[Management_and_Governance.xlsx]AU-8'!E20,"Non commencé")</f>
        <v/>
      </c>
      <c r="J560" s="16">
        <f>IF(OR(I560="Réussi",I560="Exception acceptée"),"GREEN",IF(OR(I560="Non commencé",I560="Échec"),"RED","AMBER"))</f>
        <v/>
      </c>
      <c r="K560" s="19" t="inlineStr"/>
      <c r="L560" s="19" t="inlineStr"/>
      <c r="M560" s="22" t="inlineStr"/>
    </row>
    <row r="561" ht="18" customHeight="1">
      <c r="A561" s="11" t="inlineStr">
        <is>
          <t>AU-8(1)</t>
        </is>
      </c>
      <c r="B561" s="12" t="inlineStr">
        <is>
          <t>Time Stamps</t>
        </is>
      </c>
      <c r="C561" s="12" t="inlineStr">
        <is>
          <t>Management and Governance</t>
        </is>
      </c>
      <c r="D561" s="11" t="inlineStr">
        <is>
          <t>AU</t>
        </is>
      </c>
      <c r="E561" s="12" t="inlineStr">
        <is>
          <t>Management and Governance</t>
        </is>
      </c>
      <c r="F561" s="12" t="inlineStr">
        <is>
          <t>AU-8-1</t>
        </is>
      </c>
      <c r="G561" s="13">
        <f>IFERROR('[Management_and_Governance.xlsx]AU-8-1'!B20,"Not Started")</f>
        <v/>
      </c>
      <c r="H561" s="14">
        <f>IF(OR(G561="Passed",G561="Accepted Exception"),"GREEN",IF(OR(G561="Not Started",G561="Failed"),"RED","AMBER"))</f>
        <v/>
      </c>
      <c r="I561" s="15">
        <f>IFERROR('[Management_and_Governance.xlsx]AU-8-1'!E20,"Non commencé")</f>
        <v/>
      </c>
      <c r="J561" s="16">
        <f>IF(OR(I561="Réussi",I561="Exception acceptée"),"GREEN",IF(OR(I561="Non commencé",I561="Échec"),"RED","AMBER"))</f>
        <v/>
      </c>
      <c r="K561" s="12" t="inlineStr"/>
      <c r="L561" s="12" t="inlineStr"/>
      <c r="M561" s="17" t="inlineStr"/>
    </row>
    <row r="562" ht="18" customHeight="1">
      <c r="A562" s="18" t="inlineStr">
        <is>
          <t>AU-9</t>
        </is>
      </c>
      <c r="B562" s="19" t="inlineStr">
        <is>
          <t>Protection of Audit Information</t>
        </is>
      </c>
      <c r="C562" s="19" t="inlineStr">
        <is>
          <t>Management and Governance</t>
        </is>
      </c>
      <c r="D562" s="18" t="inlineStr">
        <is>
          <t>AU</t>
        </is>
      </c>
      <c r="E562" s="19" t="inlineStr">
        <is>
          <t>Management and Governance</t>
        </is>
      </c>
      <c r="F562" s="19" t="inlineStr">
        <is>
          <t>AU-9</t>
        </is>
      </c>
      <c r="G562" s="20">
        <f>IFERROR('[Management_and_Governance.xlsx]AU-9'!B20,"Not Started")</f>
        <v/>
      </c>
      <c r="H562" s="14">
        <f>IF(OR(G562="Passed",G562="Accepted Exception"),"GREEN",IF(OR(G562="Not Started",G562="Failed"),"RED","AMBER"))</f>
        <v/>
      </c>
      <c r="I562" s="21">
        <f>IFERROR('[Management_and_Governance.xlsx]AU-9'!E20,"Non commencé")</f>
        <v/>
      </c>
      <c r="J562" s="16">
        <f>IF(OR(I562="Réussi",I562="Exception acceptée"),"GREEN",IF(OR(I562="Non commencé",I562="Échec"),"RED","AMBER"))</f>
        <v/>
      </c>
      <c r="K562" s="19" t="inlineStr"/>
      <c r="L562" s="19" t="inlineStr"/>
      <c r="M562" s="22" t="inlineStr"/>
    </row>
    <row r="563" ht="18" customHeight="1">
      <c r="A563" s="11" t="inlineStr">
        <is>
          <t>AU-9(2)</t>
        </is>
      </c>
      <c r="B563" s="12" t="inlineStr">
        <is>
          <t>Protection of Audit Information</t>
        </is>
      </c>
      <c r="C563" s="12" t="inlineStr">
        <is>
          <t>Management and Governance</t>
        </is>
      </c>
      <c r="D563" s="11" t="inlineStr">
        <is>
          <t>AU</t>
        </is>
      </c>
      <c r="E563" s="12" t="inlineStr">
        <is>
          <t>Management and Governance</t>
        </is>
      </c>
      <c r="F563" s="12" t="inlineStr">
        <is>
          <t>AU-9-2</t>
        </is>
      </c>
      <c r="G563" s="13">
        <f>IFERROR('[Management_and_Governance.xlsx]AU-9-2'!B20,"Not Started")</f>
        <v/>
      </c>
      <c r="H563" s="14">
        <f>IF(OR(G563="Passed",G563="Accepted Exception"),"GREEN",IF(OR(G563="Not Started",G563="Failed"),"RED","AMBER"))</f>
        <v/>
      </c>
      <c r="I563" s="15">
        <f>IFERROR('[Management_and_Governance.xlsx]AU-9-2'!E20,"Non commencé")</f>
        <v/>
      </c>
      <c r="J563" s="16">
        <f>IF(OR(I563="Réussi",I563="Exception acceptée"),"GREEN",IF(OR(I563="Non commencé",I563="Échec"),"RED","AMBER"))</f>
        <v/>
      </c>
      <c r="K563" s="12" t="inlineStr"/>
      <c r="L563" s="12" t="inlineStr"/>
      <c r="M563" s="17" t="inlineStr"/>
    </row>
    <row r="564" ht="18" customHeight="1">
      <c r="A564" s="18" t="inlineStr">
        <is>
          <t>AU-9(4)</t>
        </is>
      </c>
      <c r="B564" s="19" t="inlineStr">
        <is>
          <t>Protection of Audit Information</t>
        </is>
      </c>
      <c r="C564" s="19" t="inlineStr">
        <is>
          <t>Management and Governance</t>
        </is>
      </c>
      <c r="D564" s="18" t="inlineStr">
        <is>
          <t>AU</t>
        </is>
      </c>
      <c r="E564" s="19" t="inlineStr">
        <is>
          <t>Management and Governance</t>
        </is>
      </c>
      <c r="F564" s="19" t="inlineStr">
        <is>
          <t>AU-9-4</t>
        </is>
      </c>
      <c r="G564" s="20">
        <f>IFERROR('[Management_and_Governance.xlsx]AU-9-4'!B20,"Not Started")</f>
        <v/>
      </c>
      <c r="H564" s="14">
        <f>IF(OR(G564="Passed",G564="Accepted Exception"),"GREEN",IF(OR(G564="Not Started",G564="Failed"),"RED","AMBER"))</f>
        <v/>
      </c>
      <c r="I564" s="21">
        <f>IFERROR('[Management_and_Governance.xlsx]AU-9-4'!E20,"Non commencé")</f>
        <v/>
      </c>
      <c r="J564" s="16">
        <f>IF(OR(I564="Réussi",I564="Exception acceptée"),"GREEN",IF(OR(I564="Non commencé",I564="Échec"),"RED","AMBER"))</f>
        <v/>
      </c>
      <c r="K564" s="19" t="inlineStr"/>
      <c r="L564" s="19" t="inlineStr"/>
      <c r="M564" s="22" t="inlineStr"/>
    </row>
    <row r="565" ht="18" customHeight="1">
      <c r="A565" s="11" t="inlineStr">
        <is>
          <t>AU-11</t>
        </is>
      </c>
      <c r="B565" s="12" t="inlineStr">
        <is>
          <t>Audit Record Retention</t>
        </is>
      </c>
      <c r="C565" s="12" t="inlineStr">
        <is>
          <t>Management and Governance</t>
        </is>
      </c>
      <c r="D565" s="11" t="inlineStr">
        <is>
          <t>AU</t>
        </is>
      </c>
      <c r="E565" s="12" t="inlineStr">
        <is>
          <t>Management and Governance</t>
        </is>
      </c>
      <c r="F565" s="12" t="inlineStr">
        <is>
          <t>AU-11</t>
        </is>
      </c>
      <c r="G565" s="13">
        <f>IFERROR('[Management_and_Governance.xlsx]AU-11'!B20,"Not Started")</f>
        <v/>
      </c>
      <c r="H565" s="14">
        <f>IF(OR(G565="Passed",G565="Accepted Exception"),"GREEN",IF(OR(G565="Not Started",G565="Failed"),"RED","AMBER"))</f>
        <v/>
      </c>
      <c r="I565" s="15">
        <f>IFERROR('[Management_and_Governance.xlsx]AU-11'!E20,"Non commencé")</f>
        <v/>
      </c>
      <c r="J565" s="16">
        <f>IF(OR(I565="Réussi",I565="Exception acceptée"),"GREEN",IF(OR(I565="Non commencé",I565="Échec"),"RED","AMBER"))</f>
        <v/>
      </c>
      <c r="K565" s="12" t="inlineStr"/>
      <c r="L565" s="12" t="inlineStr"/>
      <c r="M565" s="17" t="inlineStr"/>
    </row>
    <row r="566" ht="18" customHeight="1">
      <c r="A566" s="18" t="inlineStr">
        <is>
          <t>AU-12</t>
        </is>
      </c>
      <c r="B566" s="19" t="inlineStr">
        <is>
          <t>Audit Generation</t>
        </is>
      </c>
      <c r="C566" s="19" t="inlineStr">
        <is>
          <t>Management and Governance</t>
        </is>
      </c>
      <c r="D566" s="18" t="inlineStr">
        <is>
          <t>AU</t>
        </is>
      </c>
      <c r="E566" s="19" t="inlineStr">
        <is>
          <t>Management and Governance</t>
        </is>
      </c>
      <c r="F566" s="19" t="inlineStr">
        <is>
          <t>AU-12</t>
        </is>
      </c>
      <c r="G566" s="20">
        <f>IFERROR('[Management_and_Governance.xlsx]AU-12'!B20,"Not Started")</f>
        <v/>
      </c>
      <c r="H566" s="14">
        <f>IF(OR(G566="Passed",G566="Accepted Exception"),"GREEN",IF(OR(G566="Not Started",G566="Failed"),"RED","AMBER"))</f>
        <v/>
      </c>
      <c r="I566" s="21">
        <f>IFERROR('[Management_and_Governance.xlsx]AU-12'!E20,"Non commencé")</f>
        <v/>
      </c>
      <c r="J566" s="16">
        <f>IF(OR(I566="Réussi",I566="Exception acceptée"),"GREEN",IF(OR(I566="Non commencé",I566="Échec"),"RED","AMBER"))</f>
        <v/>
      </c>
      <c r="K566" s="19" t="inlineStr"/>
      <c r="L566" s="19" t="inlineStr"/>
      <c r="M566" s="22" t="inlineStr"/>
    </row>
    <row r="567" ht="18" customHeight="1">
      <c r="A567" s="11" t="inlineStr">
        <is>
          <t>CA-9</t>
        </is>
      </c>
      <c r="B567" s="12" t="inlineStr">
        <is>
          <t>Internal System Connections</t>
        </is>
      </c>
      <c r="C567" s="12" t="inlineStr">
        <is>
          <t>Management and Governance</t>
        </is>
      </c>
      <c r="D567" s="11" t="inlineStr">
        <is>
          <t>CA</t>
        </is>
      </c>
      <c r="E567" s="12" t="inlineStr">
        <is>
          <t>Management and Governance</t>
        </is>
      </c>
      <c r="F567" s="12" t="inlineStr">
        <is>
          <t>CA-9</t>
        </is>
      </c>
      <c r="G567" s="13">
        <f>IFERROR('[Management_and_Governance.xlsx]CA-9'!B20,"Not Started")</f>
        <v/>
      </c>
      <c r="H567" s="14">
        <f>IF(OR(G567="Passed",G567="Accepted Exception"),"GREEN",IF(OR(G567="Not Started",G567="Failed"),"RED","AMBER"))</f>
        <v/>
      </c>
      <c r="I567" s="15">
        <f>IFERROR('[Management_and_Governance.xlsx]CA-9'!E20,"Non commencé")</f>
        <v/>
      </c>
      <c r="J567" s="16">
        <f>IF(OR(I567="Réussi",I567="Exception acceptée"),"GREEN",IF(OR(I567="Non commencé",I567="Échec"),"RED","AMBER"))</f>
        <v/>
      </c>
      <c r="K567" s="12" t="inlineStr"/>
      <c r="L567" s="12" t="inlineStr"/>
      <c r="M567" s="17" t="inlineStr"/>
    </row>
    <row r="568" ht="18" customHeight="1">
      <c r="A568" s="18" t="inlineStr">
        <is>
          <t>CM-2(2)</t>
        </is>
      </c>
      <c r="B568" s="19" t="inlineStr">
        <is>
          <t>Baseline Configuration</t>
        </is>
      </c>
      <c r="C568" s="19" t="inlineStr">
        <is>
          <t>Management and Governance</t>
        </is>
      </c>
      <c r="D568" s="18" t="inlineStr">
        <is>
          <t>CM</t>
        </is>
      </c>
      <c r="E568" s="19" t="inlineStr">
        <is>
          <t>Management and Governance</t>
        </is>
      </c>
      <c r="F568" s="19" t="inlineStr">
        <is>
          <t>CM-2-2</t>
        </is>
      </c>
      <c r="G568" s="20">
        <f>IFERROR('[Management_and_Governance.xlsx]CM-2-2'!B20,"Not Started")</f>
        <v/>
      </c>
      <c r="H568" s="14">
        <f>IF(OR(G568="Passed",G568="Accepted Exception"),"GREEN",IF(OR(G568="Not Started",G568="Failed"),"RED","AMBER"))</f>
        <v/>
      </c>
      <c r="I568" s="21">
        <f>IFERROR('[Management_and_Governance.xlsx]CM-2-2'!E20,"Non commencé")</f>
        <v/>
      </c>
      <c r="J568" s="16">
        <f>IF(OR(I568="Réussi",I568="Exception acceptée"),"GREEN",IF(OR(I568="Non commencé",I568="Échec"),"RED","AMBER"))</f>
        <v/>
      </c>
      <c r="K568" s="19" t="inlineStr"/>
      <c r="L568" s="19" t="inlineStr"/>
      <c r="M568" s="22" t="inlineStr"/>
    </row>
    <row r="569" ht="18" customHeight="1">
      <c r="A569" s="11" t="inlineStr">
        <is>
          <t>CM-2(3)</t>
        </is>
      </c>
      <c r="B569" s="12" t="inlineStr">
        <is>
          <t>Baseline Configuration</t>
        </is>
      </c>
      <c r="C569" s="12" t="inlineStr">
        <is>
          <t>Management and Governance</t>
        </is>
      </c>
      <c r="D569" s="11" t="inlineStr">
        <is>
          <t>CM</t>
        </is>
      </c>
      <c r="E569" s="12" t="inlineStr">
        <is>
          <t>Management and Governance</t>
        </is>
      </c>
      <c r="F569" s="12" t="inlineStr">
        <is>
          <t>CM-2-3</t>
        </is>
      </c>
      <c r="G569" s="13">
        <f>IFERROR('[Management_and_Governance.xlsx]CM-2-3'!B20,"Not Started")</f>
        <v/>
      </c>
      <c r="H569" s="14">
        <f>IF(OR(G569="Passed",G569="Accepted Exception"),"GREEN",IF(OR(G569="Not Started",G569="Failed"),"RED","AMBER"))</f>
        <v/>
      </c>
      <c r="I569" s="15">
        <f>IFERROR('[Management_and_Governance.xlsx]CM-2-3'!E20,"Non commencé")</f>
        <v/>
      </c>
      <c r="J569" s="16">
        <f>IF(OR(I569="Réussi",I569="Exception acceptée"),"GREEN",IF(OR(I569="Non commencé",I569="Échec"),"RED","AMBER"))</f>
        <v/>
      </c>
      <c r="K569" s="12" t="inlineStr"/>
      <c r="L569" s="12" t="inlineStr"/>
      <c r="M569" s="17" t="inlineStr"/>
    </row>
    <row r="570" ht="18" customHeight="1">
      <c r="A570" s="18" t="inlineStr">
        <is>
          <t>CM-3</t>
        </is>
      </c>
      <c r="B570" s="19" t="inlineStr">
        <is>
          <t>Configuration Change Control</t>
        </is>
      </c>
      <c r="C570" s="19" t="inlineStr">
        <is>
          <t>Management and Governance</t>
        </is>
      </c>
      <c r="D570" s="18" t="inlineStr">
        <is>
          <t>CM</t>
        </is>
      </c>
      <c r="E570" s="19" t="inlineStr">
        <is>
          <t>Management and Governance</t>
        </is>
      </c>
      <c r="F570" s="19" t="inlineStr">
        <is>
          <t>CM-3</t>
        </is>
      </c>
      <c r="G570" s="20">
        <f>IFERROR('[Management_and_Governance.xlsx]CM-3'!B20,"Not Started")</f>
        <v/>
      </c>
      <c r="H570" s="14">
        <f>IF(OR(G570="Passed",G570="Accepted Exception"),"GREEN",IF(OR(G570="Not Started",G570="Failed"),"RED","AMBER"))</f>
        <v/>
      </c>
      <c r="I570" s="21">
        <f>IFERROR('[Management_and_Governance.xlsx]CM-3'!E20,"Non commencé")</f>
        <v/>
      </c>
      <c r="J570" s="16">
        <f>IF(OR(I570="Réussi",I570="Exception acceptée"),"GREEN",IF(OR(I570="Non commencé",I570="Échec"),"RED","AMBER"))</f>
        <v/>
      </c>
      <c r="K570" s="19" t="inlineStr"/>
      <c r="L570" s="19" t="inlineStr"/>
      <c r="M570" s="22" t="inlineStr"/>
    </row>
    <row r="571" ht="18" customHeight="1">
      <c r="A571" s="11" t="inlineStr">
        <is>
          <t>CM-3(6)</t>
        </is>
      </c>
      <c r="B571" s="12" t="inlineStr">
        <is>
          <t>Configuration Change Control</t>
        </is>
      </c>
      <c r="C571" s="12" t="inlineStr">
        <is>
          <t>Management and Governance</t>
        </is>
      </c>
      <c r="D571" s="11" t="inlineStr">
        <is>
          <t>CM</t>
        </is>
      </c>
      <c r="E571" s="12" t="inlineStr">
        <is>
          <t>Management and Governance</t>
        </is>
      </c>
      <c r="F571" s="12" t="inlineStr">
        <is>
          <t>CM-3-6</t>
        </is>
      </c>
      <c r="G571" s="13">
        <f>IFERROR('[Management_and_Governance.xlsx]CM-3-6'!B20,"Not Started")</f>
        <v/>
      </c>
      <c r="H571" s="14">
        <f>IF(OR(G571="Passed",G571="Accepted Exception"),"GREEN",IF(OR(G571="Not Started",G571="Failed"),"RED","AMBER"))</f>
        <v/>
      </c>
      <c r="I571" s="15">
        <f>IFERROR('[Management_and_Governance.xlsx]CM-3-6'!E20,"Non commencé")</f>
        <v/>
      </c>
      <c r="J571" s="16">
        <f>IF(OR(I571="Réussi",I571="Exception acceptée"),"GREEN",IF(OR(I571="Non commencé",I571="Échec"),"RED","AMBER"))</f>
        <v/>
      </c>
      <c r="K571" s="12" t="inlineStr"/>
      <c r="L571" s="12" t="inlineStr"/>
      <c r="M571" s="17" t="inlineStr"/>
    </row>
    <row r="572" ht="18" customHeight="1">
      <c r="A572" s="18" t="inlineStr">
        <is>
          <t>CM-5(1)</t>
        </is>
      </c>
      <c r="B572" s="19" t="inlineStr">
        <is>
          <t>Access Restrictions for Change</t>
        </is>
      </c>
      <c r="C572" s="19" t="inlineStr">
        <is>
          <t>Management and Governance</t>
        </is>
      </c>
      <c r="D572" s="18" t="inlineStr">
        <is>
          <t>CM</t>
        </is>
      </c>
      <c r="E572" s="19" t="inlineStr">
        <is>
          <t>Management and Governance</t>
        </is>
      </c>
      <c r="F572" s="19" t="inlineStr">
        <is>
          <t>CM-5-1</t>
        </is>
      </c>
      <c r="G572" s="20">
        <f>IFERROR('[Management_and_Governance.xlsx]CM-5-1'!B20,"Not Started")</f>
        <v/>
      </c>
      <c r="H572" s="14">
        <f>IF(OR(G572="Passed",G572="Accepted Exception"),"GREEN",IF(OR(G572="Not Started",G572="Failed"),"RED","AMBER"))</f>
        <v/>
      </c>
      <c r="I572" s="21">
        <f>IFERROR('[Management_and_Governance.xlsx]CM-5-1'!E20,"Non commencé")</f>
        <v/>
      </c>
      <c r="J572" s="16">
        <f>IF(OR(I572="Réussi",I572="Exception acceptée"),"GREEN",IF(OR(I572="Non commencé",I572="Échec"),"RED","AMBER"))</f>
        <v/>
      </c>
      <c r="K572" s="19" t="inlineStr"/>
      <c r="L572" s="19" t="inlineStr"/>
      <c r="M572" s="22" t="inlineStr"/>
    </row>
    <row r="573" ht="18" customHeight="1">
      <c r="A573" s="11" t="inlineStr">
        <is>
          <t>CM-6</t>
        </is>
      </c>
      <c r="B573" s="12" t="inlineStr">
        <is>
          <t>Configuration Settings</t>
        </is>
      </c>
      <c r="C573" s="12" t="inlineStr">
        <is>
          <t>Management and Governance</t>
        </is>
      </c>
      <c r="D573" s="11" t="inlineStr">
        <is>
          <t>CM</t>
        </is>
      </c>
      <c r="E573" s="12" t="inlineStr">
        <is>
          <t>Management and Governance</t>
        </is>
      </c>
      <c r="F573" s="12" t="inlineStr">
        <is>
          <t>CM-6</t>
        </is>
      </c>
      <c r="G573" s="13">
        <f>IFERROR('[Management_and_Governance.xlsx]CM-6'!B20,"Not Started")</f>
        <v/>
      </c>
      <c r="H573" s="14">
        <f>IF(OR(G573="Passed",G573="Accepted Exception"),"GREEN",IF(OR(G573="Not Started",G573="Failed"),"RED","AMBER"))</f>
        <v/>
      </c>
      <c r="I573" s="15">
        <f>IFERROR('[Management_and_Governance.xlsx]CM-6'!E20,"Non commencé")</f>
        <v/>
      </c>
      <c r="J573" s="16">
        <f>IF(OR(I573="Réussi",I573="Exception acceptée"),"GREEN",IF(OR(I573="Non commencé",I573="Échec"),"RED","AMBER"))</f>
        <v/>
      </c>
      <c r="K573" s="12" t="inlineStr"/>
      <c r="L573" s="12" t="inlineStr"/>
      <c r="M573" s="17" t="inlineStr"/>
    </row>
    <row r="574" ht="18" customHeight="1">
      <c r="A574" s="18" t="inlineStr">
        <is>
          <t>CM-6(1)</t>
        </is>
      </c>
      <c r="B574" s="19" t="inlineStr">
        <is>
          <t>Configuration Settings</t>
        </is>
      </c>
      <c r="C574" s="19" t="inlineStr">
        <is>
          <t>Management and Governance</t>
        </is>
      </c>
      <c r="D574" s="18" t="inlineStr">
        <is>
          <t>CM</t>
        </is>
      </c>
      <c r="E574" s="19" t="inlineStr">
        <is>
          <t>Management and Governance</t>
        </is>
      </c>
      <c r="F574" s="19" t="inlineStr">
        <is>
          <t>CM-6-1</t>
        </is>
      </c>
      <c r="G574" s="20">
        <f>IFERROR('[Management_and_Governance.xlsx]CM-6-1'!B20,"Not Started")</f>
        <v/>
      </c>
      <c r="H574" s="14">
        <f>IF(OR(G574="Passed",G574="Accepted Exception"),"GREEN",IF(OR(G574="Not Started",G574="Failed"),"RED","AMBER"))</f>
        <v/>
      </c>
      <c r="I574" s="21">
        <f>IFERROR('[Management_and_Governance.xlsx]CM-6-1'!E20,"Non commencé")</f>
        <v/>
      </c>
      <c r="J574" s="16">
        <f>IF(OR(I574="Réussi",I574="Exception acceptée"),"GREEN",IF(OR(I574="Non commencé",I574="Échec"),"RED","AMBER"))</f>
        <v/>
      </c>
      <c r="K574" s="19" t="inlineStr"/>
      <c r="L574" s="19" t="inlineStr"/>
      <c r="M574" s="22" t="inlineStr"/>
    </row>
    <row r="575" ht="18" customHeight="1">
      <c r="A575" s="11" t="inlineStr">
        <is>
          <t>CM-7</t>
        </is>
      </c>
      <c r="B575" s="12" t="inlineStr">
        <is>
          <t>Least Functionality</t>
        </is>
      </c>
      <c r="C575" s="12" t="inlineStr">
        <is>
          <t>Management and Governance</t>
        </is>
      </c>
      <c r="D575" s="11" t="inlineStr">
        <is>
          <t>CM</t>
        </is>
      </c>
      <c r="E575" s="12" t="inlineStr">
        <is>
          <t>Management and Governance</t>
        </is>
      </c>
      <c r="F575" s="12" t="inlineStr">
        <is>
          <t>CM-7</t>
        </is>
      </c>
      <c r="G575" s="13">
        <f>IFERROR('[Management_and_Governance.xlsx]CM-7'!B20,"Not Started")</f>
        <v/>
      </c>
      <c r="H575" s="14">
        <f>IF(OR(G575="Passed",G575="Accepted Exception"),"GREEN",IF(OR(G575="Not Started",G575="Failed"),"RED","AMBER"))</f>
        <v/>
      </c>
      <c r="I575" s="15">
        <f>IFERROR('[Management_and_Governance.xlsx]CM-7'!E20,"Non commencé")</f>
        <v/>
      </c>
      <c r="J575" s="16">
        <f>IF(OR(I575="Réussi",I575="Exception acceptée"),"GREEN",IF(OR(I575="Non commencé",I575="Échec"),"RED","AMBER"))</f>
        <v/>
      </c>
      <c r="K575" s="12" t="inlineStr"/>
      <c r="L575" s="12" t="inlineStr"/>
      <c r="M575" s="17" t="inlineStr"/>
    </row>
    <row r="576" ht="18" customHeight="1">
      <c r="A576" s="18" t="inlineStr">
        <is>
          <t>CM-7(1)</t>
        </is>
      </c>
      <c r="B576" s="19" t="inlineStr">
        <is>
          <t>Least Functionality</t>
        </is>
      </c>
      <c r="C576" s="19" t="inlineStr">
        <is>
          <t>Management and Governance</t>
        </is>
      </c>
      <c r="D576" s="18" t="inlineStr">
        <is>
          <t>CM</t>
        </is>
      </c>
      <c r="E576" s="19" t="inlineStr">
        <is>
          <t>Management and Governance</t>
        </is>
      </c>
      <c r="F576" s="19" t="inlineStr">
        <is>
          <t>CM-7-1</t>
        </is>
      </c>
      <c r="G576" s="20">
        <f>IFERROR('[Management_and_Governance.xlsx]CM-7-1'!B20,"Not Started")</f>
        <v/>
      </c>
      <c r="H576" s="14">
        <f>IF(OR(G576="Passed",G576="Accepted Exception"),"GREEN",IF(OR(G576="Not Started",G576="Failed"),"RED","AMBER"))</f>
        <v/>
      </c>
      <c r="I576" s="21">
        <f>IFERROR('[Management_and_Governance.xlsx]CM-7-1'!E20,"Non commencé")</f>
        <v/>
      </c>
      <c r="J576" s="16">
        <f>IF(OR(I576="Réussi",I576="Exception acceptée"),"GREEN",IF(OR(I576="Non commencé",I576="Échec"),"RED","AMBER"))</f>
        <v/>
      </c>
      <c r="K576" s="19" t="inlineStr"/>
      <c r="L576" s="19" t="inlineStr"/>
      <c r="M576" s="22" t="inlineStr"/>
    </row>
    <row r="577" ht="18" customHeight="1">
      <c r="A577" s="11" t="inlineStr">
        <is>
          <t>CM-8(2)</t>
        </is>
      </c>
      <c r="B577" s="12" t="inlineStr">
        <is>
          <t>Information System Component Inventory</t>
        </is>
      </c>
      <c r="C577" s="12" t="inlineStr">
        <is>
          <t>Management and Governance</t>
        </is>
      </c>
      <c r="D577" s="11" t="inlineStr">
        <is>
          <t>CM</t>
        </is>
      </c>
      <c r="E577" s="12" t="inlineStr">
        <is>
          <t>Management and Governance</t>
        </is>
      </c>
      <c r="F577" s="12" t="inlineStr">
        <is>
          <t>CM-8-2</t>
        </is>
      </c>
      <c r="G577" s="13">
        <f>IFERROR('[Management_and_Governance.xlsx]CM-8-2'!B20,"Not Started")</f>
        <v/>
      </c>
      <c r="H577" s="14">
        <f>IF(OR(G577="Passed",G577="Accepted Exception"),"GREEN",IF(OR(G577="Not Started",G577="Failed"),"RED","AMBER"))</f>
        <v/>
      </c>
      <c r="I577" s="15">
        <f>IFERROR('[Management_and_Governance.xlsx]CM-8-2'!E20,"Non commencé")</f>
        <v/>
      </c>
      <c r="J577" s="16">
        <f>IF(OR(I577="Réussi",I577="Exception acceptée"),"GREEN",IF(OR(I577="Non commencé",I577="Échec"),"RED","AMBER"))</f>
        <v/>
      </c>
      <c r="K577" s="12" t="inlineStr"/>
      <c r="L577" s="12" t="inlineStr"/>
      <c r="M577" s="17" t="inlineStr"/>
    </row>
    <row r="578" ht="18" customHeight="1">
      <c r="A578" s="18" t="inlineStr">
        <is>
          <t>CM-8(5)</t>
        </is>
      </c>
      <c r="B578" s="19" t="inlineStr">
        <is>
          <t>Information System Component Inventory</t>
        </is>
      </c>
      <c r="C578" s="19" t="inlineStr">
        <is>
          <t>Management and Governance</t>
        </is>
      </c>
      <c r="D578" s="18" t="inlineStr">
        <is>
          <t>CM</t>
        </is>
      </c>
      <c r="E578" s="19" t="inlineStr">
        <is>
          <t>Management and Governance</t>
        </is>
      </c>
      <c r="F578" s="19" t="inlineStr">
        <is>
          <t>CM-8-5</t>
        </is>
      </c>
      <c r="G578" s="20">
        <f>IFERROR('[Management_and_Governance.xlsx]CM-8-5'!B20,"Not Started")</f>
        <v/>
      </c>
      <c r="H578" s="14">
        <f>IF(OR(G578="Passed",G578="Accepted Exception"),"GREEN",IF(OR(G578="Not Started",G578="Failed"),"RED","AMBER"))</f>
        <v/>
      </c>
      <c r="I578" s="21">
        <f>IFERROR('[Management_and_Governance.xlsx]CM-8-5'!E20,"Non commencé")</f>
        <v/>
      </c>
      <c r="J578" s="16">
        <f>IF(OR(I578="Réussi",I578="Exception acceptée"),"GREEN",IF(OR(I578="Non commencé",I578="Échec"),"RED","AMBER"))</f>
        <v/>
      </c>
      <c r="K578" s="19" t="inlineStr"/>
      <c r="L578" s="19" t="inlineStr"/>
      <c r="M578" s="22" t="inlineStr"/>
    </row>
    <row r="579" ht="18" customHeight="1">
      <c r="A579" s="11" t="inlineStr">
        <is>
          <t>CP-6</t>
        </is>
      </c>
      <c r="B579" s="12" t="inlineStr">
        <is>
          <t>Alternate Storage Site</t>
        </is>
      </c>
      <c r="C579" s="12" t="inlineStr">
        <is>
          <t>Management and Governance</t>
        </is>
      </c>
      <c r="D579" s="11" t="inlineStr">
        <is>
          <t>CP</t>
        </is>
      </c>
      <c r="E579" s="12" t="inlineStr">
        <is>
          <t>Management and Governance</t>
        </is>
      </c>
      <c r="F579" s="12" t="inlineStr">
        <is>
          <t>CP-6</t>
        </is>
      </c>
      <c r="G579" s="13">
        <f>IFERROR('[Management_and_Governance.xlsx]CP-6'!B20,"Not Started")</f>
        <v/>
      </c>
      <c r="H579" s="14">
        <f>IF(OR(G579="Passed",G579="Accepted Exception"),"GREEN",IF(OR(G579="Not Started",G579="Failed"),"RED","AMBER"))</f>
        <v/>
      </c>
      <c r="I579" s="15">
        <f>IFERROR('[Management_and_Governance.xlsx]CP-6'!E20,"Non commencé")</f>
        <v/>
      </c>
      <c r="J579" s="16">
        <f>IF(OR(I579="Réussi",I579="Exception acceptée"),"GREEN",IF(OR(I579="Non commencé",I579="Échec"),"RED","AMBER"))</f>
        <v/>
      </c>
      <c r="K579" s="12" t="inlineStr"/>
      <c r="L579" s="12" t="inlineStr"/>
      <c r="M579" s="17" t="inlineStr"/>
    </row>
    <row r="580" ht="18" customHeight="1">
      <c r="A580" s="18" t="inlineStr">
        <is>
          <t>CP-6(2)</t>
        </is>
      </c>
      <c r="B580" s="19" t="inlineStr">
        <is>
          <t>Alternate Storage Site</t>
        </is>
      </c>
      <c r="C580" s="19" t="inlineStr">
        <is>
          <t>Management and Governance</t>
        </is>
      </c>
      <c r="D580" s="18" t="inlineStr">
        <is>
          <t>CP</t>
        </is>
      </c>
      <c r="E580" s="19" t="inlineStr">
        <is>
          <t>Management and Governance</t>
        </is>
      </c>
      <c r="F580" s="19" t="inlineStr">
        <is>
          <t>CP-6-2</t>
        </is>
      </c>
      <c r="G580" s="20">
        <f>IFERROR('[Management_and_Governance.xlsx]CP-6-2'!B20,"Not Started")</f>
        <v/>
      </c>
      <c r="H580" s="14">
        <f>IF(OR(G580="Passed",G580="Accepted Exception"),"GREEN",IF(OR(G580="Not Started",G580="Failed"),"RED","AMBER"))</f>
        <v/>
      </c>
      <c r="I580" s="21">
        <f>IFERROR('[Management_and_Governance.xlsx]CP-6-2'!E20,"Non commencé")</f>
        <v/>
      </c>
      <c r="J580" s="16">
        <f>IF(OR(I580="Réussi",I580="Exception acceptée"),"GREEN",IF(OR(I580="Non commencé",I580="Échec"),"RED","AMBER"))</f>
        <v/>
      </c>
      <c r="K580" s="19" t="inlineStr"/>
      <c r="L580" s="19" t="inlineStr"/>
      <c r="M580" s="22" t="inlineStr"/>
    </row>
    <row r="581" ht="18" customHeight="1">
      <c r="A581" s="11" t="inlineStr">
        <is>
          <t>CP-7</t>
        </is>
      </c>
      <c r="B581" s="12" t="inlineStr">
        <is>
          <t>Alternate Processing Site</t>
        </is>
      </c>
      <c r="C581" s="12" t="inlineStr">
        <is>
          <t>Management and Governance</t>
        </is>
      </c>
      <c r="D581" s="11" t="inlineStr">
        <is>
          <t>CP</t>
        </is>
      </c>
      <c r="E581" s="12" t="inlineStr">
        <is>
          <t>Management and Governance</t>
        </is>
      </c>
      <c r="F581" s="12" t="inlineStr">
        <is>
          <t>CP-7</t>
        </is>
      </c>
      <c r="G581" s="13">
        <f>IFERROR('[Management_and_Governance.xlsx]CP-7'!B20,"Not Started")</f>
        <v/>
      </c>
      <c r="H581" s="14">
        <f>IF(OR(G581="Passed",G581="Accepted Exception"),"GREEN",IF(OR(G581="Not Started",G581="Failed"),"RED","AMBER"))</f>
        <v/>
      </c>
      <c r="I581" s="15">
        <f>IFERROR('[Management_and_Governance.xlsx]CP-7'!E20,"Non commencé")</f>
        <v/>
      </c>
      <c r="J581" s="16">
        <f>IF(OR(I581="Réussi",I581="Exception acceptée"),"GREEN",IF(OR(I581="Non commencé",I581="Échec"),"RED","AMBER"))</f>
        <v/>
      </c>
      <c r="K581" s="12" t="inlineStr"/>
      <c r="L581" s="12" t="inlineStr"/>
      <c r="M581" s="17" t="inlineStr"/>
    </row>
    <row r="582" ht="18" customHeight="1">
      <c r="A582" s="18" t="inlineStr">
        <is>
          <t>CP-7(1)</t>
        </is>
      </c>
      <c r="B582" s="19" t="inlineStr">
        <is>
          <t>Alternate Processing Site</t>
        </is>
      </c>
      <c r="C582" s="19" t="inlineStr">
        <is>
          <t>Management and Governance</t>
        </is>
      </c>
      <c r="D582" s="18" t="inlineStr">
        <is>
          <t>CP</t>
        </is>
      </c>
      <c r="E582" s="19" t="inlineStr">
        <is>
          <t>Management and Governance</t>
        </is>
      </c>
      <c r="F582" s="19" t="inlineStr">
        <is>
          <t>CP-7-1</t>
        </is>
      </c>
      <c r="G582" s="20">
        <f>IFERROR('[Management_and_Governance.xlsx]CP-7-1'!B20,"Not Started")</f>
        <v/>
      </c>
      <c r="H582" s="14">
        <f>IF(OR(G582="Passed",G582="Accepted Exception"),"GREEN",IF(OR(G582="Not Started",G582="Failed"),"RED","AMBER"))</f>
        <v/>
      </c>
      <c r="I582" s="21">
        <f>IFERROR('[Management_and_Governance.xlsx]CP-7-1'!E20,"Non commencé")</f>
        <v/>
      </c>
      <c r="J582" s="16">
        <f>IF(OR(I582="Réussi",I582="Exception acceptée"),"GREEN",IF(OR(I582="Non commencé",I582="Échec"),"RED","AMBER"))</f>
        <v/>
      </c>
      <c r="K582" s="19" t="inlineStr"/>
      <c r="L582" s="19" t="inlineStr"/>
      <c r="M582" s="22" t="inlineStr"/>
    </row>
    <row r="583" ht="18" customHeight="1">
      <c r="A583" s="11" t="inlineStr">
        <is>
          <t>CP-7(4)</t>
        </is>
      </c>
      <c r="B583" s="12" t="inlineStr">
        <is>
          <t>Alternate Processing Site</t>
        </is>
      </c>
      <c r="C583" s="12" t="inlineStr">
        <is>
          <t>Management and Governance</t>
        </is>
      </c>
      <c r="D583" s="11" t="inlineStr">
        <is>
          <t>CP</t>
        </is>
      </c>
      <c r="E583" s="12" t="inlineStr">
        <is>
          <t>Management and Governance</t>
        </is>
      </c>
      <c r="F583" s="12" t="inlineStr">
        <is>
          <t>CP-7-4</t>
        </is>
      </c>
      <c r="G583" s="13">
        <f>IFERROR('[Management_and_Governance.xlsx]CP-7-4'!B20,"Not Started")</f>
        <v/>
      </c>
      <c r="H583" s="14">
        <f>IF(OR(G583="Passed",G583="Accepted Exception"),"GREEN",IF(OR(G583="Not Started",G583="Failed"),"RED","AMBER"))</f>
        <v/>
      </c>
      <c r="I583" s="15">
        <f>IFERROR('[Management_and_Governance.xlsx]CP-7-4'!E20,"Non commencé")</f>
        <v/>
      </c>
      <c r="J583" s="16">
        <f>IF(OR(I583="Réussi",I583="Exception acceptée"),"GREEN",IF(OR(I583="Non commencé",I583="Échec"),"RED","AMBER"))</f>
        <v/>
      </c>
      <c r="K583" s="12" t="inlineStr"/>
      <c r="L583" s="12" t="inlineStr"/>
      <c r="M583" s="17" t="inlineStr"/>
    </row>
    <row r="584" ht="18" customHeight="1">
      <c r="A584" s="18" t="inlineStr">
        <is>
          <t>CP-9</t>
        </is>
      </c>
      <c r="B584" s="19" t="inlineStr">
        <is>
          <t>Information System Backup</t>
        </is>
      </c>
      <c r="C584" s="19" t="inlineStr">
        <is>
          <t>Management and Governance</t>
        </is>
      </c>
      <c r="D584" s="18" t="inlineStr">
        <is>
          <t>CP</t>
        </is>
      </c>
      <c r="E584" s="19" t="inlineStr">
        <is>
          <t>Management and Governance</t>
        </is>
      </c>
      <c r="F584" s="19" t="inlineStr">
        <is>
          <t>CP-9</t>
        </is>
      </c>
      <c r="G584" s="20">
        <f>IFERROR('[Management_and_Governance.xlsx]CP-9'!B20,"Not Started")</f>
        <v/>
      </c>
      <c r="H584" s="14">
        <f>IF(OR(G584="Passed",G584="Accepted Exception"),"GREEN",IF(OR(G584="Not Started",G584="Failed"),"RED","AMBER"))</f>
        <v/>
      </c>
      <c r="I584" s="21">
        <f>IFERROR('[Management_and_Governance.xlsx]CP-9'!E20,"Non commencé")</f>
        <v/>
      </c>
      <c r="J584" s="16">
        <f>IF(OR(I584="Réussi",I584="Exception acceptée"),"GREEN",IF(OR(I584="Non commencé",I584="Échec"),"RED","AMBER"))</f>
        <v/>
      </c>
      <c r="K584" s="19" t="inlineStr"/>
      <c r="L584" s="19" t="inlineStr"/>
      <c r="M584" s="22" t="inlineStr"/>
    </row>
    <row r="585" ht="18" customHeight="1">
      <c r="A585" s="11" t="inlineStr">
        <is>
          <t>CP-9(1)</t>
        </is>
      </c>
      <c r="B585" s="12" t="inlineStr">
        <is>
          <t>Information System Backup</t>
        </is>
      </c>
      <c r="C585" s="12" t="inlineStr">
        <is>
          <t>Management and Governance</t>
        </is>
      </c>
      <c r="D585" s="11" t="inlineStr">
        <is>
          <t>CP</t>
        </is>
      </c>
      <c r="E585" s="12" t="inlineStr">
        <is>
          <t>Management and Governance</t>
        </is>
      </c>
      <c r="F585" s="12" t="inlineStr">
        <is>
          <t>CP-9-1</t>
        </is>
      </c>
      <c r="G585" s="13">
        <f>IFERROR('[Management_and_Governance.xlsx]CP-9-1'!B20,"Not Started")</f>
        <v/>
      </c>
      <c r="H585" s="14">
        <f>IF(OR(G585="Passed",G585="Accepted Exception"),"GREEN",IF(OR(G585="Not Started",G585="Failed"),"RED","AMBER"))</f>
        <v/>
      </c>
      <c r="I585" s="15">
        <f>IFERROR('[Management_and_Governance.xlsx]CP-9-1'!E20,"Non commencé")</f>
        <v/>
      </c>
      <c r="J585" s="16">
        <f>IF(OR(I585="Réussi",I585="Exception acceptée"),"GREEN",IF(OR(I585="Non commencé",I585="Échec"),"RED","AMBER"))</f>
        <v/>
      </c>
      <c r="K585" s="12" t="inlineStr"/>
      <c r="L585" s="12" t="inlineStr"/>
      <c r="M585" s="17" t="inlineStr"/>
    </row>
    <row r="586" ht="18" customHeight="1">
      <c r="A586" s="18" t="inlineStr">
        <is>
          <t>CP-9(2)</t>
        </is>
      </c>
      <c r="B586" s="19" t="inlineStr">
        <is>
          <t>Information System Backup</t>
        </is>
      </c>
      <c r="C586" s="19" t="inlineStr">
        <is>
          <t>Management and Governance</t>
        </is>
      </c>
      <c r="D586" s="18" t="inlineStr">
        <is>
          <t>CP</t>
        </is>
      </c>
      <c r="E586" s="19" t="inlineStr">
        <is>
          <t>Management and Governance</t>
        </is>
      </c>
      <c r="F586" s="19" t="inlineStr">
        <is>
          <t>CP-9-2</t>
        </is>
      </c>
      <c r="G586" s="20">
        <f>IFERROR('[Management_and_Governance.xlsx]CP-9-2'!B20,"Not Started")</f>
        <v/>
      </c>
      <c r="H586" s="14">
        <f>IF(OR(G586="Passed",G586="Accepted Exception"),"GREEN",IF(OR(G586="Not Started",G586="Failed"),"RED","AMBER"))</f>
        <v/>
      </c>
      <c r="I586" s="21">
        <f>IFERROR('[Management_and_Governance.xlsx]CP-9-2'!E20,"Non commencé")</f>
        <v/>
      </c>
      <c r="J586" s="16">
        <f>IF(OR(I586="Réussi",I586="Exception acceptée"),"GREEN",IF(OR(I586="Non commencé",I586="Échec"),"RED","AMBER"))</f>
        <v/>
      </c>
      <c r="K586" s="19" t="inlineStr"/>
      <c r="L586" s="19" t="inlineStr"/>
      <c r="M586" s="22" t="inlineStr"/>
    </row>
    <row r="587" ht="18" customHeight="1">
      <c r="A587" s="11" t="inlineStr">
        <is>
          <t>CP-9(3)</t>
        </is>
      </c>
      <c r="B587" s="12" t="inlineStr">
        <is>
          <t>Information System Backup</t>
        </is>
      </c>
      <c r="C587" s="12" t="inlineStr">
        <is>
          <t>Management and Governance</t>
        </is>
      </c>
      <c r="D587" s="11" t="inlineStr">
        <is>
          <t>CP</t>
        </is>
      </c>
      <c r="E587" s="12" t="inlineStr">
        <is>
          <t>Management and Governance</t>
        </is>
      </c>
      <c r="F587" s="12" t="inlineStr">
        <is>
          <t>CP-9-3</t>
        </is>
      </c>
      <c r="G587" s="13">
        <f>IFERROR('[Management_and_Governance.xlsx]CP-9-3'!B20,"Not Started")</f>
        <v/>
      </c>
      <c r="H587" s="14">
        <f>IF(OR(G587="Passed",G587="Accepted Exception"),"GREEN",IF(OR(G587="Not Started",G587="Failed"),"RED","AMBER"))</f>
        <v/>
      </c>
      <c r="I587" s="15">
        <f>IFERROR('[Management_and_Governance.xlsx]CP-9-3'!E20,"Non commencé")</f>
        <v/>
      </c>
      <c r="J587" s="16">
        <f>IF(OR(I587="Réussi",I587="Exception acceptée"),"GREEN",IF(OR(I587="Non commencé",I587="Échec"),"RED","AMBER"))</f>
        <v/>
      </c>
      <c r="K587" s="12" t="inlineStr"/>
      <c r="L587" s="12" t="inlineStr"/>
      <c r="M587" s="17" t="inlineStr"/>
    </row>
    <row r="588" ht="18" customHeight="1">
      <c r="A588" s="18" t="inlineStr">
        <is>
          <t>CP-9(5)</t>
        </is>
      </c>
      <c r="B588" s="19" t="inlineStr">
        <is>
          <t>Information System Backup</t>
        </is>
      </c>
      <c r="C588" s="19" t="inlineStr">
        <is>
          <t>Management and Governance</t>
        </is>
      </c>
      <c r="D588" s="18" t="inlineStr">
        <is>
          <t>CP</t>
        </is>
      </c>
      <c r="E588" s="19" t="inlineStr">
        <is>
          <t>Management and Governance</t>
        </is>
      </c>
      <c r="F588" s="19" t="inlineStr">
        <is>
          <t>CP-9-5</t>
        </is>
      </c>
      <c r="G588" s="20">
        <f>IFERROR('[Management_and_Governance.xlsx]CP-9-5'!B20,"Not Started")</f>
        <v/>
      </c>
      <c r="H588" s="14">
        <f>IF(OR(G588="Passed",G588="Accepted Exception"),"GREEN",IF(OR(G588="Not Started",G588="Failed"),"RED","AMBER"))</f>
        <v/>
      </c>
      <c r="I588" s="21">
        <f>IFERROR('[Management_and_Governance.xlsx]CP-9-5'!E20,"Non commencé")</f>
        <v/>
      </c>
      <c r="J588" s="16">
        <f>IF(OR(I588="Réussi",I588="Exception acceptée"),"GREEN",IF(OR(I588="Non commencé",I588="Échec"),"RED","AMBER"))</f>
        <v/>
      </c>
      <c r="K588" s="19" t="inlineStr"/>
      <c r="L588" s="19" t="inlineStr"/>
      <c r="M588" s="22" t="inlineStr"/>
    </row>
    <row r="589" ht="18" customHeight="1">
      <c r="A589" s="11" t="inlineStr">
        <is>
          <t>CP-10</t>
        </is>
      </c>
      <c r="B589" s="12" t="inlineStr">
        <is>
          <t>Information System Recovery and Reconstitution</t>
        </is>
      </c>
      <c r="C589" s="12" t="inlineStr">
        <is>
          <t>Management and Governance</t>
        </is>
      </c>
      <c r="D589" s="11" t="inlineStr">
        <is>
          <t>CP</t>
        </is>
      </c>
      <c r="E589" s="12" t="inlineStr">
        <is>
          <t>Management and Governance</t>
        </is>
      </c>
      <c r="F589" s="12" t="inlineStr">
        <is>
          <t>CP-10</t>
        </is>
      </c>
      <c r="G589" s="13">
        <f>IFERROR('[Management_and_Governance.xlsx]CP-10'!B20,"Not Started")</f>
        <v/>
      </c>
      <c r="H589" s="14">
        <f>IF(OR(G589="Passed",G589="Accepted Exception"),"GREEN",IF(OR(G589="Not Started",G589="Failed"),"RED","AMBER"))</f>
        <v/>
      </c>
      <c r="I589" s="15">
        <f>IFERROR('[Management_and_Governance.xlsx]CP-10'!E20,"Non commencé")</f>
        <v/>
      </c>
      <c r="J589" s="16">
        <f>IF(OR(I589="Réussi",I589="Exception acceptée"),"GREEN",IF(OR(I589="Non commencé",I589="Échec"),"RED","AMBER"))</f>
        <v/>
      </c>
      <c r="K589" s="12" t="inlineStr"/>
      <c r="L589" s="12" t="inlineStr"/>
      <c r="M589" s="17" t="inlineStr"/>
    </row>
    <row r="590" ht="18" customHeight="1">
      <c r="A590" s="18" t="inlineStr">
        <is>
          <t>CP-10(4)</t>
        </is>
      </c>
      <c r="B590" s="19" t="inlineStr">
        <is>
          <t>Information System Recovery and Reconstitution</t>
        </is>
      </c>
      <c r="C590" s="19" t="inlineStr">
        <is>
          <t>Management and Governance</t>
        </is>
      </c>
      <c r="D590" s="18" t="inlineStr">
        <is>
          <t>CP</t>
        </is>
      </c>
      <c r="E590" s="19" t="inlineStr">
        <is>
          <t>Management and Governance</t>
        </is>
      </c>
      <c r="F590" s="19" t="inlineStr">
        <is>
          <t>CP-10-4</t>
        </is>
      </c>
      <c r="G590" s="20">
        <f>IFERROR('[Management_and_Governance.xlsx]CP-10-4'!B20,"Not Started")</f>
        <v/>
      </c>
      <c r="H590" s="14">
        <f>IF(OR(G590="Passed",G590="Accepted Exception"),"GREEN",IF(OR(G590="Not Started",G590="Failed"),"RED","AMBER"))</f>
        <v/>
      </c>
      <c r="I590" s="21">
        <f>IFERROR('[Management_and_Governance.xlsx]CP-10-4'!E20,"Non commencé")</f>
        <v/>
      </c>
      <c r="J590" s="16">
        <f>IF(OR(I590="Réussi",I590="Exception acceptée"),"GREEN",IF(OR(I590="Non commencé",I590="Échec"),"RED","AMBER"))</f>
        <v/>
      </c>
      <c r="K590" s="19" t="inlineStr"/>
      <c r="L590" s="19" t="inlineStr"/>
      <c r="M590" s="22" t="inlineStr"/>
    </row>
    <row r="591" ht="18" customHeight="1">
      <c r="A591" s="11" t="inlineStr">
        <is>
          <t>IA-5(7)</t>
        </is>
      </c>
      <c r="B591" s="12" t="inlineStr">
        <is>
          <t>Authenticator Management</t>
        </is>
      </c>
      <c r="C591" s="12" t="inlineStr">
        <is>
          <t>Management and Governance</t>
        </is>
      </c>
      <c r="D591" s="11" t="inlineStr">
        <is>
          <t>IA</t>
        </is>
      </c>
      <c r="E591" s="12" t="inlineStr">
        <is>
          <t>Management and Governance</t>
        </is>
      </c>
      <c r="F591" s="12" t="inlineStr">
        <is>
          <t>IA-5-7</t>
        </is>
      </c>
      <c r="G591" s="13">
        <f>IFERROR('[Management_and_Governance.xlsx]IA-5-7'!B20,"Not Started")</f>
        <v/>
      </c>
      <c r="H591" s="14">
        <f>IF(OR(G591="Passed",G591="Accepted Exception"),"GREEN",IF(OR(G591="Not Started",G591="Failed"),"RED","AMBER"))</f>
        <v/>
      </c>
      <c r="I591" s="15">
        <f>IFERROR('[Management_and_Governance.xlsx]IA-5-7'!E20,"Non commencé")</f>
        <v/>
      </c>
      <c r="J591" s="16">
        <f>IF(OR(I591="Réussi",I591="Exception acceptée"),"GREEN",IF(OR(I591="Non commencé",I591="Échec"),"RED","AMBER"))</f>
        <v/>
      </c>
      <c r="K591" s="12" t="inlineStr"/>
      <c r="L591" s="12" t="inlineStr"/>
      <c r="M591" s="17" t="inlineStr"/>
    </row>
    <row r="592" ht="18" customHeight="1">
      <c r="A592" s="18" t="inlineStr">
        <is>
          <t>MA-4</t>
        </is>
      </c>
      <c r="B592" s="19" t="inlineStr">
        <is>
          <t>Non-Local Maintenance</t>
        </is>
      </c>
      <c r="C592" s="19" t="inlineStr">
        <is>
          <t>Management and Governance</t>
        </is>
      </c>
      <c r="D592" s="18" t="inlineStr">
        <is>
          <t>MA</t>
        </is>
      </c>
      <c r="E592" s="19" t="inlineStr">
        <is>
          <t>Management and Governance</t>
        </is>
      </c>
      <c r="F592" s="19" t="inlineStr">
        <is>
          <t>MA-4</t>
        </is>
      </c>
      <c r="G592" s="20">
        <f>IFERROR('[Management_and_Governance.xlsx]MA-4'!B20,"Not Started")</f>
        <v/>
      </c>
      <c r="H592" s="14">
        <f>IF(OR(G592="Passed",G592="Accepted Exception"),"GREEN",IF(OR(G592="Not Started",G592="Failed"),"RED","AMBER"))</f>
        <v/>
      </c>
      <c r="I592" s="21">
        <f>IFERROR('[Management_and_Governance.xlsx]MA-4'!E20,"Non commencé")</f>
        <v/>
      </c>
      <c r="J592" s="16">
        <f>IF(OR(I592="Réussi",I592="Exception acceptée"),"GREEN",IF(OR(I592="Non commencé",I592="Échec"),"RED","AMBER"))</f>
        <v/>
      </c>
      <c r="K592" s="19" t="inlineStr"/>
      <c r="L592" s="19" t="inlineStr"/>
      <c r="M592" s="22" t="inlineStr"/>
    </row>
    <row r="593" ht="18" customHeight="1">
      <c r="A593" s="11" t="inlineStr">
        <is>
          <t>MA-4(1)</t>
        </is>
      </c>
      <c r="B593" s="12" t="inlineStr">
        <is>
          <t>Non-Local Maintenance</t>
        </is>
      </c>
      <c r="C593" s="12" t="inlineStr">
        <is>
          <t>Management and Governance</t>
        </is>
      </c>
      <c r="D593" s="11" t="inlineStr">
        <is>
          <t>MA</t>
        </is>
      </c>
      <c r="E593" s="12" t="inlineStr">
        <is>
          <t>Management and Governance</t>
        </is>
      </c>
      <c r="F593" s="12" t="inlineStr">
        <is>
          <t>MA-4-1</t>
        </is>
      </c>
      <c r="G593" s="13">
        <f>IFERROR('[Management_and_Governance.xlsx]MA-4-1'!B20,"Not Started")</f>
        <v/>
      </c>
      <c r="H593" s="14">
        <f>IF(OR(G593="Passed",G593="Accepted Exception"),"GREEN",IF(OR(G593="Not Started",G593="Failed"),"RED","AMBER"))</f>
        <v/>
      </c>
      <c r="I593" s="15">
        <f>IFERROR('[Management_and_Governance.xlsx]MA-4-1'!E20,"Non commencé")</f>
        <v/>
      </c>
      <c r="J593" s="16">
        <f>IF(OR(I593="Réussi",I593="Exception acceptée"),"GREEN",IF(OR(I593="Non commencé",I593="Échec"),"RED","AMBER"))</f>
        <v/>
      </c>
      <c r="K593" s="12" t="inlineStr"/>
      <c r="L593" s="12" t="inlineStr"/>
      <c r="M593" s="17" t="inlineStr"/>
    </row>
    <row r="594" ht="18" customHeight="1">
      <c r="A594" s="18" t="inlineStr">
        <is>
          <t>RA-5</t>
        </is>
      </c>
      <c r="B594" s="19" t="inlineStr">
        <is>
          <t>Vulnerability Scanning</t>
        </is>
      </c>
      <c r="C594" s="19" t="inlineStr">
        <is>
          <t>Management and Governance</t>
        </is>
      </c>
      <c r="D594" s="18" t="inlineStr">
        <is>
          <t>RA</t>
        </is>
      </c>
      <c r="E594" s="19" t="inlineStr">
        <is>
          <t>Management and Governance</t>
        </is>
      </c>
      <c r="F594" s="19" t="inlineStr">
        <is>
          <t>RA-5</t>
        </is>
      </c>
      <c r="G594" s="20">
        <f>IFERROR('[Management_and_Governance.xlsx]RA-5'!B20,"Not Started")</f>
        <v/>
      </c>
      <c r="H594" s="14">
        <f>IF(OR(G594="Passed",G594="Accepted Exception"),"GREEN",IF(OR(G594="Not Started",G594="Failed"),"RED","AMBER"))</f>
        <v/>
      </c>
      <c r="I594" s="21">
        <f>IFERROR('[Management_and_Governance.xlsx]RA-5'!E20,"Non commencé")</f>
        <v/>
      </c>
      <c r="J594" s="16">
        <f>IF(OR(I594="Réussi",I594="Exception acceptée"),"GREEN",IF(OR(I594="Non commencé",I594="Échec"),"RED","AMBER"))</f>
        <v/>
      </c>
      <c r="K594" s="19" t="inlineStr"/>
      <c r="L594" s="19" t="inlineStr"/>
      <c r="M594" s="22" t="inlineStr"/>
    </row>
    <row r="595" ht="18" customHeight="1">
      <c r="A595" s="11" t="inlineStr">
        <is>
          <t>RA-5(8)</t>
        </is>
      </c>
      <c r="B595" s="12" t="inlineStr">
        <is>
          <t>Vulnerability Scanning</t>
        </is>
      </c>
      <c r="C595" s="12" t="inlineStr">
        <is>
          <t>Management and Governance</t>
        </is>
      </c>
      <c r="D595" s="11" t="inlineStr">
        <is>
          <t>RA</t>
        </is>
      </c>
      <c r="E595" s="12" t="inlineStr">
        <is>
          <t>Management and Governance</t>
        </is>
      </c>
      <c r="F595" s="12" t="inlineStr">
        <is>
          <t>RA-5-8</t>
        </is>
      </c>
      <c r="G595" s="13">
        <f>IFERROR('[Management_and_Governance.xlsx]RA-5-8'!B20,"Not Started")</f>
        <v/>
      </c>
      <c r="H595" s="14">
        <f>IF(OR(G595="Passed",G595="Accepted Exception"),"GREEN",IF(OR(G595="Not Started",G595="Failed"),"RED","AMBER"))</f>
        <v/>
      </c>
      <c r="I595" s="15">
        <f>IFERROR('[Management_and_Governance.xlsx]RA-5-8'!E20,"Non commencé")</f>
        <v/>
      </c>
      <c r="J595" s="16">
        <f>IF(OR(I595="Réussi",I595="Exception acceptée"),"GREEN",IF(OR(I595="Non commencé",I595="Échec"),"RED","AMBER"))</f>
        <v/>
      </c>
      <c r="K595" s="12" t="inlineStr"/>
      <c r="L595" s="12" t="inlineStr"/>
      <c r="M595" s="17" t="inlineStr"/>
    </row>
    <row r="596" ht="18" customHeight="1">
      <c r="A596" s="18" t="inlineStr">
        <is>
          <t>SA-9(5)</t>
        </is>
      </c>
      <c r="B596" s="19" t="inlineStr">
        <is>
          <t>External Information System Services</t>
        </is>
      </c>
      <c r="C596" s="19" t="inlineStr">
        <is>
          <t>Management and Governance</t>
        </is>
      </c>
      <c r="D596" s="18" t="inlineStr">
        <is>
          <t>SA</t>
        </is>
      </c>
      <c r="E596" s="19" t="inlineStr">
        <is>
          <t>Management and Governance</t>
        </is>
      </c>
      <c r="F596" s="19" t="inlineStr">
        <is>
          <t>SA-9-5</t>
        </is>
      </c>
      <c r="G596" s="20">
        <f>IFERROR('[Management_and_Governance.xlsx]SA-9-5'!B20,"Not Started")</f>
        <v/>
      </c>
      <c r="H596" s="14">
        <f>IF(OR(G596="Passed",G596="Accepted Exception"),"GREEN",IF(OR(G596="Not Started",G596="Failed"),"RED","AMBER"))</f>
        <v/>
      </c>
      <c r="I596" s="21">
        <f>IFERROR('[Management_and_Governance.xlsx]SA-9-5'!E20,"Non commencé")</f>
        <v/>
      </c>
      <c r="J596" s="16">
        <f>IF(OR(I596="Réussi",I596="Exception acceptée"),"GREEN",IF(OR(I596="Non commencé",I596="Échec"),"RED","AMBER"))</f>
        <v/>
      </c>
      <c r="K596" s="19" t="inlineStr"/>
      <c r="L596" s="19" t="inlineStr"/>
      <c r="M596" s="22" t="inlineStr"/>
    </row>
    <row r="597" ht="18" customHeight="1">
      <c r="A597" s="11" t="inlineStr">
        <is>
          <t>SC-7</t>
        </is>
      </c>
      <c r="B597" s="12" t="inlineStr">
        <is>
          <t>Boundary Protection</t>
        </is>
      </c>
      <c r="C597" s="12" t="inlineStr">
        <is>
          <t>Management and Governance</t>
        </is>
      </c>
      <c r="D597" s="11" t="inlineStr">
        <is>
          <t>SC</t>
        </is>
      </c>
      <c r="E597" s="12" t="inlineStr">
        <is>
          <t>Management and Governance</t>
        </is>
      </c>
      <c r="F597" s="12" t="inlineStr">
        <is>
          <t>SC-7</t>
        </is>
      </c>
      <c r="G597" s="13">
        <f>IFERROR('[Management_and_Governance.xlsx]SC-7'!B20,"Not Started")</f>
        <v/>
      </c>
      <c r="H597" s="14">
        <f>IF(OR(G597="Passed",G597="Accepted Exception"),"GREEN",IF(OR(G597="Not Started",G597="Failed"),"RED","AMBER"))</f>
        <v/>
      </c>
      <c r="I597" s="15">
        <f>IFERROR('[Management_and_Governance.xlsx]SC-7'!E20,"Non commencé")</f>
        <v/>
      </c>
      <c r="J597" s="16">
        <f>IF(OR(I597="Réussi",I597="Exception acceptée"),"GREEN",IF(OR(I597="Non commencé",I597="Échec"),"RED","AMBER"))</f>
        <v/>
      </c>
      <c r="K597" s="12" t="inlineStr"/>
      <c r="L597" s="12" t="inlineStr"/>
      <c r="M597" s="17" t="inlineStr"/>
    </row>
    <row r="598" ht="18" customHeight="1">
      <c r="A598" s="18" t="inlineStr">
        <is>
          <t>SC-13</t>
        </is>
      </c>
      <c r="B598" s="19" t="inlineStr">
        <is>
          <t>Cryptographic Protection</t>
        </is>
      </c>
      <c r="C598" s="19" t="inlineStr">
        <is>
          <t>Management and Governance</t>
        </is>
      </c>
      <c r="D598" s="18" t="inlineStr">
        <is>
          <t>SC</t>
        </is>
      </c>
      <c r="E598" s="19" t="inlineStr">
        <is>
          <t>Management and Governance</t>
        </is>
      </c>
      <c r="F598" s="19" t="inlineStr">
        <is>
          <t>SC-13</t>
        </is>
      </c>
      <c r="G598" s="20">
        <f>IFERROR('[Management_and_Governance.xlsx]SC-13'!B20,"Not Started")</f>
        <v/>
      </c>
      <c r="H598" s="14">
        <f>IF(OR(G598="Passed",G598="Accepted Exception"),"GREEN",IF(OR(G598="Not Started",G598="Failed"),"RED","AMBER"))</f>
        <v/>
      </c>
      <c r="I598" s="21">
        <f>IFERROR('[Management_and_Governance.xlsx]SC-13'!E20,"Non commencé")</f>
        <v/>
      </c>
      <c r="J598" s="16">
        <f>IF(OR(I598="Réussi",I598="Exception acceptée"),"GREEN",IF(OR(I598="Non commencé",I598="Échec"),"RED","AMBER"))</f>
        <v/>
      </c>
      <c r="K598" s="19" t="inlineStr"/>
      <c r="L598" s="19" t="inlineStr"/>
      <c r="M598" s="22" t="inlineStr"/>
    </row>
    <row r="599" ht="18" customHeight="1">
      <c r="A599" s="11" t="inlineStr">
        <is>
          <t>SC-18</t>
        </is>
      </c>
      <c r="B599" s="12" t="inlineStr">
        <is>
          <t>Mobile Code</t>
        </is>
      </c>
      <c r="C599" s="12" t="inlineStr">
        <is>
          <t>Management and Governance</t>
        </is>
      </c>
      <c r="D599" s="11" t="inlineStr">
        <is>
          <t>SC</t>
        </is>
      </c>
      <c r="E599" s="12" t="inlineStr">
        <is>
          <t>Management and Governance</t>
        </is>
      </c>
      <c r="F599" s="12" t="inlineStr">
        <is>
          <t>SC-18</t>
        </is>
      </c>
      <c r="G599" s="13">
        <f>IFERROR('[Management_and_Governance.xlsx]SC-18'!B20,"Not Started")</f>
        <v/>
      </c>
      <c r="H599" s="14">
        <f>IF(OR(G599="Passed",G599="Accepted Exception"),"GREEN",IF(OR(G599="Not Started",G599="Failed"),"RED","AMBER"))</f>
        <v/>
      </c>
      <c r="I599" s="15">
        <f>IFERROR('[Management_and_Governance.xlsx]SC-18'!E20,"Non commencé")</f>
        <v/>
      </c>
      <c r="J599" s="16">
        <f>IF(OR(I599="Réussi",I599="Exception acceptée"),"GREEN",IF(OR(I599="Non commencé",I599="Échec"),"RED","AMBER"))</f>
        <v/>
      </c>
      <c r="K599" s="12" t="inlineStr"/>
      <c r="L599" s="12" t="inlineStr"/>
      <c r="M599" s="17" t="inlineStr"/>
    </row>
    <row r="600" ht="18" customHeight="1">
      <c r="A600" s="18" t="inlineStr">
        <is>
          <t>SC-28</t>
        </is>
      </c>
      <c r="B600" s="19" t="inlineStr">
        <is>
          <t>Protection of Information At Rest</t>
        </is>
      </c>
      <c r="C600" s="19" t="inlineStr">
        <is>
          <t>Management and Governance</t>
        </is>
      </c>
      <c r="D600" s="18" t="inlineStr">
        <is>
          <t>SC</t>
        </is>
      </c>
      <c r="E600" s="19" t="inlineStr">
        <is>
          <t>Management and Governance</t>
        </is>
      </c>
      <c r="F600" s="19" t="inlineStr">
        <is>
          <t>SC-28</t>
        </is>
      </c>
      <c r="G600" s="20">
        <f>IFERROR('[Management_and_Governance.xlsx]SC-28'!B20,"Not Started")</f>
        <v/>
      </c>
      <c r="H600" s="14">
        <f>IF(OR(G600="Passed",G600="Accepted Exception"),"GREEN",IF(OR(G600="Not Started",G600="Failed"),"RED","AMBER"))</f>
        <v/>
      </c>
      <c r="I600" s="21">
        <f>IFERROR('[Management_and_Governance.xlsx]SC-28'!E20,"Non commencé")</f>
        <v/>
      </c>
      <c r="J600" s="16">
        <f>IF(OR(I600="Réussi",I600="Exception acceptée"),"GREEN",IF(OR(I600="Non commencé",I600="Échec"),"RED","AMBER"))</f>
        <v/>
      </c>
      <c r="K600" s="19" t="inlineStr"/>
      <c r="L600" s="19" t="inlineStr"/>
      <c r="M600" s="22" t="inlineStr"/>
    </row>
    <row r="601" ht="18" customHeight="1">
      <c r="A601" s="11" t="inlineStr">
        <is>
          <t>SC-28(1)</t>
        </is>
      </c>
      <c r="B601" s="12" t="inlineStr">
        <is>
          <t>Protection of Information At Rest</t>
        </is>
      </c>
      <c r="C601" s="12" t="inlineStr">
        <is>
          <t>Management and Governance</t>
        </is>
      </c>
      <c r="D601" s="11" t="inlineStr">
        <is>
          <t>SC</t>
        </is>
      </c>
      <c r="E601" s="12" t="inlineStr">
        <is>
          <t>Management and Governance</t>
        </is>
      </c>
      <c r="F601" s="12" t="inlineStr">
        <is>
          <t>SC-28-1</t>
        </is>
      </c>
      <c r="G601" s="13">
        <f>IFERROR('[Management_and_Governance.xlsx]SC-28-1'!B20,"Not Started")</f>
        <v/>
      </c>
      <c r="H601" s="14">
        <f>IF(OR(G601="Passed",G601="Accepted Exception"),"GREEN",IF(OR(G601="Not Started",G601="Failed"),"RED","AMBER"))</f>
        <v/>
      </c>
      <c r="I601" s="15">
        <f>IFERROR('[Management_and_Governance.xlsx]SC-28-1'!E20,"Non commencé")</f>
        <v/>
      </c>
      <c r="J601" s="16">
        <f>IF(OR(I601="Réussi",I601="Exception acceptée"),"GREEN",IF(OR(I601="Non commencé",I601="Échec"),"RED","AMBER"))</f>
        <v/>
      </c>
      <c r="K601" s="12" t="inlineStr"/>
      <c r="L601" s="12" t="inlineStr"/>
      <c r="M601" s="17" t="inlineStr"/>
    </row>
    <row r="602" ht="18" customHeight="1">
      <c r="A602" s="18" t="inlineStr">
        <is>
          <t>SI-2(2)</t>
        </is>
      </c>
      <c r="B602" s="19" t="inlineStr">
        <is>
          <t>Flaw Remediation</t>
        </is>
      </c>
      <c r="C602" s="19" t="inlineStr">
        <is>
          <t>Management and Governance</t>
        </is>
      </c>
      <c r="D602" s="18" t="inlineStr">
        <is>
          <t>SI</t>
        </is>
      </c>
      <c r="E602" s="19" t="inlineStr">
        <is>
          <t>Management and Governance</t>
        </is>
      </c>
      <c r="F602" s="19" t="inlineStr">
        <is>
          <t>SI-2-2</t>
        </is>
      </c>
      <c r="G602" s="20">
        <f>IFERROR('[Management_and_Governance.xlsx]SI-2-2'!B20,"Not Started")</f>
        <v/>
      </c>
      <c r="H602" s="14">
        <f>IF(OR(G602="Passed",G602="Accepted Exception"),"GREEN",IF(OR(G602="Not Started",G602="Failed"),"RED","AMBER"))</f>
        <v/>
      </c>
      <c r="I602" s="21">
        <f>IFERROR('[Management_and_Governance.xlsx]SI-2-2'!E20,"Non commencé")</f>
        <v/>
      </c>
      <c r="J602" s="16">
        <f>IF(OR(I602="Réussi",I602="Exception acceptée"),"GREEN",IF(OR(I602="Non commencé",I602="Échec"),"RED","AMBER"))</f>
        <v/>
      </c>
      <c r="K602" s="19" t="inlineStr"/>
      <c r="L602" s="19" t="inlineStr"/>
      <c r="M602" s="22" t="inlineStr"/>
    </row>
    <row r="603" ht="18" customHeight="1">
      <c r="A603" s="11" t="inlineStr">
        <is>
          <t>SI-3(1)</t>
        </is>
      </c>
      <c r="B603" s="12" t="inlineStr">
        <is>
          <t>Malicious Code Protection</t>
        </is>
      </c>
      <c r="C603" s="12" t="inlineStr">
        <is>
          <t>Management and Governance</t>
        </is>
      </c>
      <c r="D603" s="11" t="inlineStr">
        <is>
          <t>SI</t>
        </is>
      </c>
      <c r="E603" s="12" t="inlineStr">
        <is>
          <t>Management and Governance</t>
        </is>
      </c>
      <c r="F603" s="12" t="inlineStr">
        <is>
          <t>SI-3-1</t>
        </is>
      </c>
      <c r="G603" s="13">
        <f>IFERROR('[Management_and_Governance.xlsx]SI-3-1'!B20,"Not Started")</f>
        <v/>
      </c>
      <c r="H603" s="14">
        <f>IF(OR(G603="Passed",G603="Accepted Exception"),"GREEN",IF(OR(G603="Not Started",G603="Failed"),"RED","AMBER"))</f>
        <v/>
      </c>
      <c r="I603" s="15">
        <f>IFERROR('[Management_and_Governance.xlsx]SI-3-1'!E20,"Non commencé")</f>
        <v/>
      </c>
      <c r="J603" s="16">
        <f>IF(OR(I603="Réussi",I603="Exception acceptée"),"GREEN",IF(OR(I603="Non commencé",I603="Échec"),"RED","AMBER"))</f>
        <v/>
      </c>
      <c r="K603" s="12" t="inlineStr"/>
      <c r="L603" s="12" t="inlineStr"/>
      <c r="M603" s="17" t="inlineStr"/>
    </row>
    <row r="604" ht="18" customHeight="1">
      <c r="A604" s="18" t="inlineStr">
        <is>
          <t>SI-3(2)</t>
        </is>
      </c>
      <c r="B604" s="19" t="inlineStr">
        <is>
          <t>Malicious Code Protection</t>
        </is>
      </c>
      <c r="C604" s="19" t="inlineStr">
        <is>
          <t>Management and Governance</t>
        </is>
      </c>
      <c r="D604" s="18" t="inlineStr">
        <is>
          <t>SI</t>
        </is>
      </c>
      <c r="E604" s="19" t="inlineStr">
        <is>
          <t>Management and Governance</t>
        </is>
      </c>
      <c r="F604" s="19" t="inlineStr">
        <is>
          <t>SI-3-2</t>
        </is>
      </c>
      <c r="G604" s="20">
        <f>IFERROR('[Management_and_Governance.xlsx]SI-3-2'!B20,"Not Started")</f>
        <v/>
      </c>
      <c r="H604" s="14">
        <f>IF(OR(G604="Passed",G604="Accepted Exception"),"GREEN",IF(OR(G604="Not Started",G604="Failed"),"RED","AMBER"))</f>
        <v/>
      </c>
      <c r="I604" s="21">
        <f>IFERROR('[Management_and_Governance.xlsx]SI-3-2'!E20,"Non commencé")</f>
        <v/>
      </c>
      <c r="J604" s="16">
        <f>IF(OR(I604="Réussi",I604="Exception acceptée"),"GREEN",IF(OR(I604="Non commencé",I604="Échec"),"RED","AMBER"))</f>
        <v/>
      </c>
      <c r="K604" s="19" t="inlineStr"/>
      <c r="L604" s="19" t="inlineStr"/>
      <c r="M604" s="22" t="inlineStr"/>
    </row>
    <row r="605" ht="18" customHeight="1">
      <c r="A605" s="11" t="inlineStr">
        <is>
          <t>SI-4</t>
        </is>
      </c>
      <c r="B605" s="12" t="inlineStr">
        <is>
          <t>Information System Monitoring</t>
        </is>
      </c>
      <c r="C605" s="12" t="inlineStr">
        <is>
          <t>Management and Governance</t>
        </is>
      </c>
      <c r="D605" s="11" t="inlineStr">
        <is>
          <t>SI</t>
        </is>
      </c>
      <c r="E605" s="12" t="inlineStr">
        <is>
          <t>Management and Governance</t>
        </is>
      </c>
      <c r="F605" s="12" t="inlineStr">
        <is>
          <t>SI-4</t>
        </is>
      </c>
      <c r="G605" s="13">
        <f>IFERROR('[Management_and_Governance.xlsx]SI-4'!B20,"Not Started")</f>
        <v/>
      </c>
      <c r="H605" s="14">
        <f>IF(OR(G605="Passed",G605="Accepted Exception"),"GREEN",IF(OR(G605="Not Started",G605="Failed"),"RED","AMBER"))</f>
        <v/>
      </c>
      <c r="I605" s="15">
        <f>IFERROR('[Management_and_Governance.xlsx]SI-4'!E20,"Non commencé")</f>
        <v/>
      </c>
      <c r="J605" s="16">
        <f>IF(OR(I605="Réussi",I605="Exception acceptée"),"GREEN",IF(OR(I605="Non commencé",I605="Échec"),"RED","AMBER"))</f>
        <v/>
      </c>
      <c r="K605" s="12" t="inlineStr"/>
      <c r="L605" s="12" t="inlineStr"/>
      <c r="M605" s="17" t="inlineStr"/>
    </row>
    <row r="606" ht="18" customHeight="1">
      <c r="A606" s="18" t="inlineStr">
        <is>
          <t>SI-4(1)</t>
        </is>
      </c>
      <c r="B606" s="19" t="inlineStr">
        <is>
          <t>Information System Monitoring</t>
        </is>
      </c>
      <c r="C606" s="19" t="inlineStr">
        <is>
          <t>Management and Governance</t>
        </is>
      </c>
      <c r="D606" s="18" t="inlineStr">
        <is>
          <t>SI</t>
        </is>
      </c>
      <c r="E606" s="19" t="inlineStr">
        <is>
          <t>Management and Governance</t>
        </is>
      </c>
      <c r="F606" s="19" t="inlineStr">
        <is>
          <t>SI-4-1</t>
        </is>
      </c>
      <c r="G606" s="20">
        <f>IFERROR('[Management_and_Governance.xlsx]SI-4-1'!B20,"Not Started")</f>
        <v/>
      </c>
      <c r="H606" s="14">
        <f>IF(OR(G606="Passed",G606="Accepted Exception"),"GREEN",IF(OR(G606="Not Started",G606="Failed"),"RED","AMBER"))</f>
        <v/>
      </c>
      <c r="I606" s="21">
        <f>IFERROR('[Management_and_Governance.xlsx]SI-4-1'!E20,"Non commencé")</f>
        <v/>
      </c>
      <c r="J606" s="16">
        <f>IF(OR(I606="Réussi",I606="Exception acceptée"),"GREEN",IF(OR(I606="Non commencé",I606="Échec"),"RED","AMBER"))</f>
        <v/>
      </c>
      <c r="K606" s="19" t="inlineStr"/>
      <c r="L606" s="19" t="inlineStr"/>
      <c r="M606" s="22" t="inlineStr"/>
    </row>
    <row r="607" ht="18" customHeight="1">
      <c r="A607" s="11" t="inlineStr">
        <is>
          <t>SI-4(2)</t>
        </is>
      </c>
      <c r="B607" s="12" t="inlineStr">
        <is>
          <t>Information System Monitoring</t>
        </is>
      </c>
      <c r="C607" s="12" t="inlineStr">
        <is>
          <t>Management and Governance</t>
        </is>
      </c>
      <c r="D607" s="11" t="inlineStr">
        <is>
          <t>SI</t>
        </is>
      </c>
      <c r="E607" s="12" t="inlineStr">
        <is>
          <t>Management and Governance</t>
        </is>
      </c>
      <c r="F607" s="12" t="inlineStr">
        <is>
          <t>SI-4-2</t>
        </is>
      </c>
      <c r="G607" s="13">
        <f>IFERROR('[Management_and_Governance.xlsx]SI-4-2'!B20,"Not Started")</f>
        <v/>
      </c>
      <c r="H607" s="14">
        <f>IF(OR(G607="Passed",G607="Accepted Exception"),"GREEN",IF(OR(G607="Not Started",G607="Failed"),"RED","AMBER"))</f>
        <v/>
      </c>
      <c r="I607" s="15">
        <f>IFERROR('[Management_and_Governance.xlsx]SI-4-2'!E20,"Non commencé")</f>
        <v/>
      </c>
      <c r="J607" s="16">
        <f>IF(OR(I607="Réussi",I607="Exception acceptée"),"GREEN",IF(OR(I607="Non commencé",I607="Échec"),"RED","AMBER"))</f>
        <v/>
      </c>
      <c r="K607" s="12" t="inlineStr"/>
      <c r="L607" s="12" t="inlineStr"/>
      <c r="M607" s="17" t="inlineStr"/>
    </row>
    <row r="608" ht="18" customHeight="1">
      <c r="A608" s="18" t="inlineStr">
        <is>
          <t>SI-4(4)</t>
        </is>
      </c>
      <c r="B608" s="19" t="inlineStr">
        <is>
          <t>Information System Monitoring</t>
        </is>
      </c>
      <c r="C608" s="19" t="inlineStr">
        <is>
          <t>Management and Governance</t>
        </is>
      </c>
      <c r="D608" s="18" t="inlineStr">
        <is>
          <t>SI</t>
        </is>
      </c>
      <c r="E608" s="19" t="inlineStr">
        <is>
          <t>Management and Governance</t>
        </is>
      </c>
      <c r="F608" s="19" t="inlineStr">
        <is>
          <t>SI-4-4</t>
        </is>
      </c>
      <c r="G608" s="20">
        <f>IFERROR('[Management_and_Governance.xlsx]SI-4-4'!B20,"Not Started")</f>
        <v/>
      </c>
      <c r="H608" s="14">
        <f>IF(OR(G608="Passed",G608="Accepted Exception"),"GREEN",IF(OR(G608="Not Started",G608="Failed"),"RED","AMBER"))</f>
        <v/>
      </c>
      <c r="I608" s="21">
        <f>IFERROR('[Management_and_Governance.xlsx]SI-4-4'!E20,"Non commencé")</f>
        <v/>
      </c>
      <c r="J608" s="16">
        <f>IF(OR(I608="Réussi",I608="Exception acceptée"),"GREEN",IF(OR(I608="Non commencé",I608="Échec"),"RED","AMBER"))</f>
        <v/>
      </c>
      <c r="K608" s="19" t="inlineStr"/>
      <c r="L608" s="19" t="inlineStr"/>
      <c r="M608" s="22" t="inlineStr"/>
    </row>
    <row r="609" ht="18" customHeight="1">
      <c r="A609" s="11" t="inlineStr">
        <is>
          <t>SI-4(5)</t>
        </is>
      </c>
      <c r="B609" s="12" t="inlineStr">
        <is>
          <t>Information System Monitoring</t>
        </is>
      </c>
      <c r="C609" s="12" t="inlineStr">
        <is>
          <t>Management and Governance</t>
        </is>
      </c>
      <c r="D609" s="11" t="inlineStr">
        <is>
          <t>SI</t>
        </is>
      </c>
      <c r="E609" s="12" t="inlineStr">
        <is>
          <t>Management and Governance</t>
        </is>
      </c>
      <c r="F609" s="12" t="inlineStr">
        <is>
          <t>SI-4-5</t>
        </is>
      </c>
      <c r="G609" s="13">
        <f>IFERROR('[Management_and_Governance.xlsx]SI-4-5'!B20,"Not Started")</f>
        <v/>
      </c>
      <c r="H609" s="14">
        <f>IF(OR(G609="Passed",G609="Accepted Exception"),"GREEN",IF(OR(G609="Not Started",G609="Failed"),"RED","AMBER"))</f>
        <v/>
      </c>
      <c r="I609" s="15">
        <f>IFERROR('[Management_and_Governance.xlsx]SI-4-5'!E20,"Non commencé")</f>
        <v/>
      </c>
      <c r="J609" s="16">
        <f>IF(OR(I609="Réussi",I609="Exception acceptée"),"GREEN",IF(OR(I609="Non commencé",I609="Échec"),"RED","AMBER"))</f>
        <v/>
      </c>
      <c r="K609" s="12" t="inlineStr"/>
      <c r="L609" s="12" t="inlineStr"/>
      <c r="M609" s="17" t="inlineStr"/>
    </row>
    <row r="610" ht="18" customHeight="1">
      <c r="A610" s="18" t="inlineStr">
        <is>
          <t>SI-4(11)</t>
        </is>
      </c>
      <c r="B610" s="19" t="inlineStr">
        <is>
          <t>Information System Monitoring</t>
        </is>
      </c>
      <c r="C610" s="19" t="inlineStr">
        <is>
          <t>Management and Governance</t>
        </is>
      </c>
      <c r="D610" s="18" t="inlineStr">
        <is>
          <t>SI</t>
        </is>
      </c>
      <c r="E610" s="19" t="inlineStr">
        <is>
          <t>Management and Governance</t>
        </is>
      </c>
      <c r="F610" s="19" t="inlineStr">
        <is>
          <t>SI-4-11</t>
        </is>
      </c>
      <c r="G610" s="20">
        <f>IFERROR('[Management_and_Governance.xlsx]SI-4-11'!B20,"Not Started")</f>
        <v/>
      </c>
      <c r="H610" s="14">
        <f>IF(OR(G610="Passed",G610="Accepted Exception"),"GREEN",IF(OR(G610="Not Started",G610="Failed"),"RED","AMBER"))</f>
        <v/>
      </c>
      <c r="I610" s="21">
        <f>IFERROR('[Management_and_Governance.xlsx]SI-4-11'!E20,"Non commencé")</f>
        <v/>
      </c>
      <c r="J610" s="16">
        <f>IF(OR(I610="Réussi",I610="Exception acceptée"),"GREEN",IF(OR(I610="Non commencé",I610="Échec"),"RED","AMBER"))</f>
        <v/>
      </c>
      <c r="K610" s="19" t="inlineStr"/>
      <c r="L610" s="19" t="inlineStr"/>
      <c r="M610" s="22" t="inlineStr"/>
    </row>
    <row r="611" ht="18" customHeight="1">
      <c r="A611" s="11" t="inlineStr">
        <is>
          <t>SI-6</t>
        </is>
      </c>
      <c r="B611" s="12" t="inlineStr">
        <is>
          <t>Security Functional Verification</t>
        </is>
      </c>
      <c r="C611" s="12" t="inlineStr">
        <is>
          <t>Management and Governance</t>
        </is>
      </c>
      <c r="D611" s="11" t="inlineStr">
        <is>
          <t>SI</t>
        </is>
      </c>
      <c r="E611" s="12" t="inlineStr">
        <is>
          <t>Management and Governance</t>
        </is>
      </c>
      <c r="F611" s="12" t="inlineStr">
        <is>
          <t>SI-6</t>
        </is>
      </c>
      <c r="G611" s="13">
        <f>IFERROR('[Management_and_Governance.xlsx]SI-6'!B20,"Not Started")</f>
        <v/>
      </c>
      <c r="H611" s="14">
        <f>IF(OR(G611="Passed",G611="Accepted Exception"),"GREEN",IF(OR(G611="Not Started",G611="Failed"),"RED","AMBER"))</f>
        <v/>
      </c>
      <c r="I611" s="15">
        <f>IFERROR('[Management_and_Governance.xlsx]SI-6'!E20,"Non commencé")</f>
        <v/>
      </c>
      <c r="J611" s="16">
        <f>IF(OR(I611="Réussi",I611="Exception acceptée"),"GREEN",IF(OR(I611="Non commencé",I611="Échec"),"RED","AMBER"))</f>
        <v/>
      </c>
      <c r="K611" s="12" t="inlineStr"/>
      <c r="L611" s="12" t="inlineStr"/>
      <c r="M611" s="17" t="inlineStr"/>
    </row>
    <row r="612" ht="18" customHeight="1">
      <c r="A612" s="18" t="inlineStr">
        <is>
          <t>SI-7(7)</t>
        </is>
      </c>
      <c r="B612" s="19" t="inlineStr">
        <is>
          <t>Software, Firmware, and Information Integrity</t>
        </is>
      </c>
      <c r="C612" s="19" t="inlineStr">
        <is>
          <t>Management and Governance</t>
        </is>
      </c>
      <c r="D612" s="18" t="inlineStr">
        <is>
          <t>SI</t>
        </is>
      </c>
      <c r="E612" s="19" t="inlineStr">
        <is>
          <t>Management and Governance</t>
        </is>
      </c>
      <c r="F612" s="19" t="inlineStr">
        <is>
          <t>SI-7-7</t>
        </is>
      </c>
      <c r="G612" s="20">
        <f>IFERROR('[Management_and_Governance.xlsx]SI-7-7'!B20,"Not Started")</f>
        <v/>
      </c>
      <c r="H612" s="14">
        <f>IF(OR(G612="Passed",G612="Accepted Exception"),"GREEN",IF(OR(G612="Not Started",G612="Failed"),"RED","AMBER"))</f>
        <v/>
      </c>
      <c r="I612" s="21">
        <f>IFERROR('[Management_and_Governance.xlsx]SI-7-7'!E20,"Non commencé")</f>
        <v/>
      </c>
      <c r="J612" s="16">
        <f>IF(OR(I612="Réussi",I612="Exception acceptée"),"GREEN",IF(OR(I612="Non commencé",I612="Échec"),"RED","AMBER"))</f>
        <v/>
      </c>
      <c r="K612" s="19" t="inlineStr"/>
      <c r="L612" s="19" t="inlineStr"/>
      <c r="M612" s="22" t="inlineStr"/>
    </row>
    <row r="613" ht="18" customHeight="1">
      <c r="A613" s="11" t="inlineStr">
        <is>
          <t>SI-11</t>
        </is>
      </c>
      <c r="B613" s="12" t="inlineStr">
        <is>
          <t>Error Handling</t>
        </is>
      </c>
      <c r="C613" s="12" t="inlineStr">
        <is>
          <t>Management and Governance</t>
        </is>
      </c>
      <c r="D613" s="11" t="inlineStr">
        <is>
          <t>SI</t>
        </is>
      </c>
      <c r="E613" s="12" t="inlineStr">
        <is>
          <t>Management and Governance</t>
        </is>
      </c>
      <c r="F613" s="12" t="inlineStr">
        <is>
          <t>SI-11</t>
        </is>
      </c>
      <c r="G613" s="13">
        <f>IFERROR('[Management_and_Governance.xlsx]SI-11'!B20,"Not Started")</f>
        <v/>
      </c>
      <c r="H613" s="14">
        <f>IF(OR(G613="Passed",G613="Accepted Exception"),"GREEN",IF(OR(G613="Not Started",G613="Failed"),"RED","AMBER"))</f>
        <v/>
      </c>
      <c r="I613" s="15">
        <f>IFERROR('[Management_and_Governance.xlsx]SI-11'!E20,"Non commencé")</f>
        <v/>
      </c>
      <c r="J613" s="16">
        <f>IF(OR(I613="Réussi",I613="Exception acceptée"),"GREEN",IF(OR(I613="Non commencé",I613="Échec"),"RED","AMBER"))</f>
        <v/>
      </c>
      <c r="K613" s="12" t="inlineStr"/>
      <c r="L613" s="12" t="inlineStr"/>
      <c r="M613" s="17" t="inlineStr"/>
    </row>
    <row r="614" ht="18" customHeight="1">
      <c r="A614" s="18" t="inlineStr">
        <is>
          <t>AC-18</t>
        </is>
      </c>
      <c r="B614" s="19" t="inlineStr">
        <is>
          <t>Wireless Access</t>
        </is>
      </c>
      <c r="C614" s="19" t="inlineStr">
        <is>
          <t>Microsoft-Descoped</t>
        </is>
      </c>
      <c r="D614" s="18" t="inlineStr">
        <is>
          <t>AC</t>
        </is>
      </c>
      <c r="E614" s="19" t="inlineStr">
        <is>
          <t>Microsoft Descoped</t>
        </is>
      </c>
      <c r="F614" s="19" t="inlineStr">
        <is>
          <t>AC-18</t>
        </is>
      </c>
      <c r="G614" s="20">
        <f>IFERROR('[Microsoft_Descoped.xlsx]AC-18'!B20,"Not Started")</f>
        <v/>
      </c>
      <c r="H614" s="14">
        <f>IF(OR(G614="Passed",G614="Accepted Exception"),"GREEN",IF(OR(G614="Not Started",G614="Failed"),"RED","AMBER"))</f>
        <v/>
      </c>
      <c r="I614" s="21">
        <f>IFERROR('[Microsoft_Descoped.xlsx]AC-18'!E20,"Non commencé")</f>
        <v/>
      </c>
      <c r="J614" s="16">
        <f>IF(OR(I614="Réussi",I614="Exception acceptée"),"GREEN",IF(OR(I614="Non commencé",I614="Échec"),"RED","AMBER"))</f>
        <v/>
      </c>
      <c r="K614" s="19" t="inlineStr"/>
      <c r="L614" s="19" t="inlineStr"/>
      <c r="M614" s="22" t="inlineStr"/>
    </row>
    <row r="615" ht="18" customHeight="1">
      <c r="A615" s="11" t="inlineStr">
        <is>
          <t>AC-18(1)</t>
        </is>
      </c>
      <c r="B615" s="12" t="inlineStr">
        <is>
          <t>Wireless Access</t>
        </is>
      </c>
      <c r="C615" s="12" t="inlineStr">
        <is>
          <t>Microsoft-Descoped</t>
        </is>
      </c>
      <c r="D615" s="11" t="inlineStr">
        <is>
          <t>AC</t>
        </is>
      </c>
      <c r="E615" s="12" t="inlineStr">
        <is>
          <t>Microsoft Descoped</t>
        </is>
      </c>
      <c r="F615" s="12" t="inlineStr">
        <is>
          <t>AC-18-1</t>
        </is>
      </c>
      <c r="G615" s="13">
        <f>IFERROR('[Microsoft_Descoped.xlsx]AC-18-1'!B20,"Not Started")</f>
        <v/>
      </c>
      <c r="H615" s="14">
        <f>IF(OR(G615="Passed",G615="Accepted Exception"),"GREEN",IF(OR(G615="Not Started",G615="Failed"),"RED","AMBER"))</f>
        <v/>
      </c>
      <c r="I615" s="15">
        <f>IFERROR('[Microsoft_Descoped.xlsx]AC-18-1'!E20,"Non commencé")</f>
        <v/>
      </c>
      <c r="J615" s="16">
        <f>IF(OR(I615="Réussi",I615="Exception acceptée"),"GREEN",IF(OR(I615="Non commencé",I615="Échec"),"RED","AMBER"))</f>
        <v/>
      </c>
      <c r="K615" s="12" t="inlineStr"/>
      <c r="L615" s="12" t="inlineStr"/>
      <c r="M615" s="17" t="inlineStr"/>
    </row>
    <row r="616" ht="18" customHeight="1">
      <c r="A616" s="18" t="inlineStr">
        <is>
          <t>AC-18(4)</t>
        </is>
      </c>
      <c r="B616" s="19" t="inlineStr">
        <is>
          <t>Wireless Access</t>
        </is>
      </c>
      <c r="C616" s="19" t="inlineStr">
        <is>
          <t>Microsoft-Descoped</t>
        </is>
      </c>
      <c r="D616" s="18" t="inlineStr">
        <is>
          <t>AC</t>
        </is>
      </c>
      <c r="E616" s="19" t="inlineStr">
        <is>
          <t>Microsoft Descoped</t>
        </is>
      </c>
      <c r="F616" s="19" t="inlineStr">
        <is>
          <t>AC-18-4</t>
        </is>
      </c>
      <c r="G616" s="20">
        <f>IFERROR('[Microsoft_Descoped.xlsx]AC-18-4'!B20,"Not Started")</f>
        <v/>
      </c>
      <c r="H616" s="14">
        <f>IF(OR(G616="Passed",G616="Accepted Exception"),"GREEN",IF(OR(G616="Not Started",G616="Failed"),"RED","AMBER"))</f>
        <v/>
      </c>
      <c r="I616" s="21">
        <f>IFERROR('[Microsoft_Descoped.xlsx]AC-18-4'!E20,"Non commencé")</f>
        <v/>
      </c>
      <c r="J616" s="16">
        <f>IF(OR(I616="Réussi",I616="Exception acceptée"),"GREEN",IF(OR(I616="Non commencé",I616="Échec"),"RED","AMBER"))</f>
        <v/>
      </c>
      <c r="K616" s="19" t="inlineStr"/>
      <c r="L616" s="19" t="inlineStr"/>
      <c r="M616" s="22" t="inlineStr"/>
    </row>
    <row r="617" ht="18" customHeight="1">
      <c r="A617" s="11" t="inlineStr">
        <is>
          <t>AC-19</t>
        </is>
      </c>
      <c r="B617" s="12" t="inlineStr">
        <is>
          <t>Access Control for Mobile Devices</t>
        </is>
      </c>
      <c r="C617" s="12" t="inlineStr">
        <is>
          <t>Microsoft-Descoped</t>
        </is>
      </c>
      <c r="D617" s="11" t="inlineStr">
        <is>
          <t>AC</t>
        </is>
      </c>
      <c r="E617" s="12" t="inlineStr">
        <is>
          <t>Microsoft Descoped</t>
        </is>
      </c>
      <c r="F617" s="12" t="inlineStr">
        <is>
          <t>AC-19</t>
        </is>
      </c>
      <c r="G617" s="13">
        <f>IFERROR('[Microsoft_Descoped.xlsx]AC-19'!B20,"Not Started")</f>
        <v/>
      </c>
      <c r="H617" s="14">
        <f>IF(OR(G617="Passed",G617="Accepted Exception"),"GREEN",IF(OR(G617="Not Started",G617="Failed"),"RED","AMBER"))</f>
        <v/>
      </c>
      <c r="I617" s="15">
        <f>IFERROR('[Microsoft_Descoped.xlsx]AC-19'!E20,"Non commencé")</f>
        <v/>
      </c>
      <c r="J617" s="16">
        <f>IF(OR(I617="Réussi",I617="Exception acceptée"),"GREEN",IF(OR(I617="Non commencé",I617="Échec"),"RED","AMBER"))</f>
        <v/>
      </c>
      <c r="K617" s="12" t="inlineStr"/>
      <c r="L617" s="12" t="inlineStr"/>
      <c r="M617" s="17" t="inlineStr"/>
    </row>
    <row r="618" ht="18" customHeight="1">
      <c r="A618" s="18" t="inlineStr">
        <is>
          <t>AC-20</t>
        </is>
      </c>
      <c r="B618" s="19" t="inlineStr">
        <is>
          <t>Use of External Information Systems</t>
        </is>
      </c>
      <c r="C618" s="19" t="inlineStr">
        <is>
          <t>Microsoft-Descoped</t>
        </is>
      </c>
      <c r="D618" s="18" t="inlineStr">
        <is>
          <t>AC</t>
        </is>
      </c>
      <c r="E618" s="19" t="inlineStr">
        <is>
          <t>Microsoft Descoped</t>
        </is>
      </c>
      <c r="F618" s="19" t="inlineStr">
        <is>
          <t>AC-20</t>
        </is>
      </c>
      <c r="G618" s="20">
        <f>IFERROR('[Microsoft_Descoped.xlsx]AC-20'!B20,"Not Started")</f>
        <v/>
      </c>
      <c r="H618" s="14">
        <f>IF(OR(G618="Passed",G618="Accepted Exception"),"GREEN",IF(OR(G618="Not Started",G618="Failed"),"RED","AMBER"))</f>
        <v/>
      </c>
      <c r="I618" s="21">
        <f>IFERROR('[Microsoft_Descoped.xlsx]AC-20'!E20,"Non commencé")</f>
        <v/>
      </c>
      <c r="J618" s="16">
        <f>IF(OR(I618="Réussi",I618="Exception acceptée"),"GREEN",IF(OR(I618="Non commencé",I618="Échec"),"RED","AMBER"))</f>
        <v/>
      </c>
      <c r="K618" s="19" t="inlineStr"/>
      <c r="L618" s="19" t="inlineStr"/>
      <c r="M618" s="22" t="inlineStr"/>
    </row>
    <row r="619" ht="18" customHeight="1">
      <c r="A619" s="11" t="inlineStr">
        <is>
          <t>AC-20(1)</t>
        </is>
      </c>
      <c r="B619" s="12" t="inlineStr">
        <is>
          <t>Use of External Information Systems</t>
        </is>
      </c>
      <c r="C619" s="12" t="inlineStr">
        <is>
          <t>Microsoft-Descoped</t>
        </is>
      </c>
      <c r="D619" s="11" t="inlineStr">
        <is>
          <t>AC</t>
        </is>
      </c>
      <c r="E619" s="12" t="inlineStr">
        <is>
          <t>Microsoft Descoped</t>
        </is>
      </c>
      <c r="F619" s="12" t="inlineStr">
        <is>
          <t>AC-20-1</t>
        </is>
      </c>
      <c r="G619" s="13">
        <f>IFERROR('[Microsoft_Descoped.xlsx]AC-20-1'!B20,"Not Started")</f>
        <v/>
      </c>
      <c r="H619" s="14">
        <f>IF(OR(G619="Passed",G619="Accepted Exception"),"GREEN",IF(OR(G619="Not Started",G619="Failed"),"RED","AMBER"))</f>
        <v/>
      </c>
      <c r="I619" s="15">
        <f>IFERROR('[Microsoft_Descoped.xlsx]AC-20-1'!E20,"Non commencé")</f>
        <v/>
      </c>
      <c r="J619" s="16">
        <f>IF(OR(I619="Réussi",I619="Exception acceptée"),"GREEN",IF(OR(I619="Non commencé",I619="Échec"),"RED","AMBER"))</f>
        <v/>
      </c>
      <c r="K619" s="12" t="inlineStr"/>
      <c r="L619" s="12" t="inlineStr"/>
      <c r="M619" s="17" t="inlineStr"/>
    </row>
    <row r="620" ht="18" customHeight="1">
      <c r="A620" s="18" t="inlineStr">
        <is>
          <t>AC-20(2)</t>
        </is>
      </c>
      <c r="B620" s="19" t="inlineStr">
        <is>
          <t>Use of External Information Systems</t>
        </is>
      </c>
      <c r="C620" s="19" t="inlineStr">
        <is>
          <t>Microsoft-Descoped</t>
        </is>
      </c>
      <c r="D620" s="18" t="inlineStr">
        <is>
          <t>AC</t>
        </is>
      </c>
      <c r="E620" s="19" t="inlineStr">
        <is>
          <t>Microsoft Descoped</t>
        </is>
      </c>
      <c r="F620" s="19" t="inlineStr">
        <is>
          <t>AC-20-2</t>
        </is>
      </c>
      <c r="G620" s="20">
        <f>IFERROR('[Microsoft_Descoped.xlsx]AC-20-2'!B20,"Not Started")</f>
        <v/>
      </c>
      <c r="H620" s="14">
        <f>IF(OR(G620="Passed",G620="Accepted Exception"),"GREEN",IF(OR(G620="Not Started",G620="Failed"),"RED","AMBER"))</f>
        <v/>
      </c>
      <c r="I620" s="21">
        <f>IFERROR('[Microsoft_Descoped.xlsx]AC-20-2'!E20,"Non commencé")</f>
        <v/>
      </c>
      <c r="J620" s="16">
        <f>IF(OR(I620="Réussi",I620="Exception acceptée"),"GREEN",IF(OR(I620="Non commencé",I620="Échec"),"RED","AMBER"))</f>
        <v/>
      </c>
      <c r="K620" s="19" t="inlineStr"/>
      <c r="L620" s="19" t="inlineStr"/>
      <c r="M620" s="22" t="inlineStr"/>
    </row>
    <row r="621" ht="18" customHeight="1">
      <c r="A621" s="11" t="inlineStr">
        <is>
          <t>AU-11</t>
        </is>
      </c>
      <c r="B621" s="12" t="inlineStr">
        <is>
          <t>Audit Record Retention</t>
        </is>
      </c>
      <c r="C621" s="12" t="inlineStr">
        <is>
          <t>Microsoft-Descoped</t>
        </is>
      </c>
      <c r="D621" s="11" t="inlineStr">
        <is>
          <t>AU</t>
        </is>
      </c>
      <c r="E621" s="12" t="inlineStr">
        <is>
          <t>Microsoft Descoped</t>
        </is>
      </c>
      <c r="F621" s="12" t="inlineStr">
        <is>
          <t>AU-11</t>
        </is>
      </c>
      <c r="G621" s="13">
        <f>IFERROR('[Microsoft_Descoped.xlsx]AU-11'!B20,"Not Started")</f>
        <v/>
      </c>
      <c r="H621" s="14">
        <f>IF(OR(G621="Passed",G621="Accepted Exception"),"GREEN",IF(OR(G621="Not Started",G621="Failed"),"RED","AMBER"))</f>
        <v/>
      </c>
      <c r="I621" s="15">
        <f>IFERROR('[Microsoft_Descoped.xlsx]AU-11'!E20,"Non commencé")</f>
        <v/>
      </c>
      <c r="J621" s="16">
        <f>IF(OR(I621="Réussi",I621="Exception acceptée"),"GREEN",IF(OR(I621="Non commencé",I621="Échec"),"RED","AMBER"))</f>
        <v/>
      </c>
      <c r="K621" s="12" t="inlineStr"/>
      <c r="L621" s="12" t="inlineStr"/>
      <c r="M621" s="17" t="inlineStr"/>
    </row>
    <row r="622" ht="18" customHeight="1">
      <c r="A622" s="18" t="inlineStr">
        <is>
          <t>CA-2(3)</t>
        </is>
      </c>
      <c r="B622" s="19" t="inlineStr">
        <is>
          <t>Security Assessments</t>
        </is>
      </c>
      <c r="C622" s="19" t="inlineStr">
        <is>
          <t>Microsoft-Descoped</t>
        </is>
      </c>
      <c r="D622" s="18" t="inlineStr">
        <is>
          <t>CA</t>
        </is>
      </c>
      <c r="E622" s="19" t="inlineStr">
        <is>
          <t>Microsoft Descoped</t>
        </is>
      </c>
      <c r="F622" s="19" t="inlineStr">
        <is>
          <t>CA-2-3</t>
        </is>
      </c>
      <c r="G622" s="20">
        <f>IFERROR('[Microsoft_Descoped.xlsx]CA-2-3'!B20,"Not Started")</f>
        <v/>
      </c>
      <c r="H622" s="14">
        <f>IF(OR(G622="Passed",G622="Accepted Exception"),"GREEN",IF(OR(G622="Not Started",G622="Failed"),"RED","AMBER"))</f>
        <v/>
      </c>
      <c r="I622" s="21">
        <f>IFERROR('[Microsoft_Descoped.xlsx]CA-2-3'!E20,"Non commencé")</f>
        <v/>
      </c>
      <c r="J622" s="16">
        <f>IF(OR(I622="Réussi",I622="Exception acceptée"),"GREEN",IF(OR(I622="Non commencé",I622="Échec"),"RED","AMBER"))</f>
        <v/>
      </c>
      <c r="K622" s="19" t="inlineStr"/>
      <c r="L622" s="19" t="inlineStr"/>
      <c r="M622" s="22" t="inlineStr"/>
    </row>
    <row r="623" ht="18" customHeight="1">
      <c r="A623" s="11" t="inlineStr">
        <is>
          <t>CA-3</t>
        </is>
      </c>
      <c r="B623" s="12" t="inlineStr">
        <is>
          <t>Information System Connections</t>
        </is>
      </c>
      <c r="C623" s="12" t="inlineStr">
        <is>
          <t>Microsoft-Descoped</t>
        </is>
      </c>
      <c r="D623" s="11" t="inlineStr">
        <is>
          <t>CA</t>
        </is>
      </c>
      <c r="E623" s="12" t="inlineStr">
        <is>
          <t>Microsoft Descoped</t>
        </is>
      </c>
      <c r="F623" s="12" t="inlineStr">
        <is>
          <t>CA-3</t>
        </is>
      </c>
      <c r="G623" s="13">
        <f>IFERROR('[Microsoft_Descoped.xlsx]CA-3'!B20,"Not Started")</f>
        <v/>
      </c>
      <c r="H623" s="14">
        <f>IF(OR(G623="Passed",G623="Accepted Exception"),"GREEN",IF(OR(G623="Not Started",G623="Failed"),"RED","AMBER"))</f>
        <v/>
      </c>
      <c r="I623" s="15">
        <f>IFERROR('[Microsoft_Descoped.xlsx]CA-3'!E20,"Non commencé")</f>
        <v/>
      </c>
      <c r="J623" s="16">
        <f>IF(OR(I623="Réussi",I623="Exception acceptée"),"GREEN",IF(OR(I623="Non commencé",I623="Échec"),"RED","AMBER"))</f>
        <v/>
      </c>
      <c r="K623" s="12" t="inlineStr"/>
      <c r="L623" s="12" t="inlineStr"/>
      <c r="M623" s="17" t="inlineStr"/>
    </row>
    <row r="624" ht="18" customHeight="1">
      <c r="A624" s="18" t="inlineStr">
        <is>
          <t>CA-3(3)</t>
        </is>
      </c>
      <c r="B624" s="19" t="inlineStr">
        <is>
          <t>Information System Connections</t>
        </is>
      </c>
      <c r="C624" s="19" t="inlineStr">
        <is>
          <t>Microsoft-Descoped</t>
        </is>
      </c>
      <c r="D624" s="18" t="inlineStr">
        <is>
          <t>CA</t>
        </is>
      </c>
      <c r="E624" s="19" t="inlineStr">
        <is>
          <t>Microsoft Descoped</t>
        </is>
      </c>
      <c r="F624" s="19" t="inlineStr">
        <is>
          <t>CA-3-3</t>
        </is>
      </c>
      <c r="G624" s="20">
        <f>IFERROR('[Microsoft_Descoped.xlsx]CA-3-3'!B20,"Not Started")</f>
        <v/>
      </c>
      <c r="H624" s="14">
        <f>IF(OR(G624="Passed",G624="Accepted Exception"),"GREEN",IF(OR(G624="Not Started",G624="Failed"),"RED","AMBER"))</f>
        <v/>
      </c>
      <c r="I624" s="21">
        <f>IFERROR('[Microsoft_Descoped.xlsx]CA-3-3'!E20,"Non commencé")</f>
        <v/>
      </c>
      <c r="J624" s="16">
        <f>IF(OR(I624="Réussi",I624="Exception acceptée"),"GREEN",IF(OR(I624="Non commencé",I624="Échec"),"RED","AMBER"))</f>
        <v/>
      </c>
      <c r="K624" s="19" t="inlineStr"/>
      <c r="L624" s="19" t="inlineStr"/>
      <c r="M624" s="22" t="inlineStr"/>
    </row>
    <row r="625" ht="18" customHeight="1">
      <c r="A625" s="11" t="inlineStr">
        <is>
          <t>CA-8</t>
        </is>
      </c>
      <c r="B625" s="12" t="inlineStr">
        <is>
          <t>Penetration Testing</t>
        </is>
      </c>
      <c r="C625" s="12" t="inlineStr">
        <is>
          <t>Microsoft-Descoped</t>
        </is>
      </c>
      <c r="D625" s="11" t="inlineStr">
        <is>
          <t>CA</t>
        </is>
      </c>
      <c r="E625" s="12" t="inlineStr">
        <is>
          <t>Microsoft Descoped</t>
        </is>
      </c>
      <c r="F625" s="12" t="inlineStr">
        <is>
          <t>CA-8</t>
        </is>
      </c>
      <c r="G625" s="13">
        <f>IFERROR('[Microsoft_Descoped.xlsx]CA-8'!B20,"Not Started")</f>
        <v/>
      </c>
      <c r="H625" s="14">
        <f>IF(OR(G625="Passed",G625="Accepted Exception"),"GREEN",IF(OR(G625="Not Started",G625="Failed"),"RED","AMBER"))</f>
        <v/>
      </c>
      <c r="I625" s="15">
        <f>IFERROR('[Microsoft_Descoped.xlsx]CA-8'!E20,"Non commencé")</f>
        <v/>
      </c>
      <c r="J625" s="16">
        <f>IF(OR(I625="Réussi",I625="Exception acceptée"),"GREEN",IF(OR(I625="Non commencé",I625="Échec"),"RED","AMBER"))</f>
        <v/>
      </c>
      <c r="K625" s="12" t="inlineStr"/>
      <c r="L625" s="12" t="inlineStr"/>
      <c r="M625" s="17" t="inlineStr"/>
    </row>
    <row r="626" ht="18" customHeight="1">
      <c r="A626" s="18" t="inlineStr">
        <is>
          <t>CA-8(1)</t>
        </is>
      </c>
      <c r="B626" s="19" t="inlineStr">
        <is>
          <t>Penetration Testing</t>
        </is>
      </c>
      <c r="C626" s="19" t="inlineStr">
        <is>
          <t>Microsoft-Descoped</t>
        </is>
      </c>
      <c r="D626" s="18" t="inlineStr">
        <is>
          <t>CA</t>
        </is>
      </c>
      <c r="E626" s="19" t="inlineStr">
        <is>
          <t>Microsoft Descoped</t>
        </is>
      </c>
      <c r="F626" s="19" t="inlineStr">
        <is>
          <t>CA-8-1</t>
        </is>
      </c>
      <c r="G626" s="20">
        <f>IFERROR('[Microsoft_Descoped.xlsx]CA-8-1'!B20,"Not Started")</f>
        <v/>
      </c>
      <c r="H626" s="14">
        <f>IF(OR(G626="Passed",G626="Accepted Exception"),"GREEN",IF(OR(G626="Not Started",G626="Failed"),"RED","AMBER"))</f>
        <v/>
      </c>
      <c r="I626" s="21">
        <f>IFERROR('[Microsoft_Descoped.xlsx]CA-8-1'!E20,"Non commencé")</f>
        <v/>
      </c>
      <c r="J626" s="16">
        <f>IF(OR(I626="Réussi",I626="Exception acceptée"),"GREEN",IF(OR(I626="Non commencé",I626="Échec"),"RED","AMBER"))</f>
        <v/>
      </c>
      <c r="K626" s="19" t="inlineStr"/>
      <c r="L626" s="19" t="inlineStr"/>
      <c r="M626" s="22" t="inlineStr"/>
    </row>
    <row r="627" ht="18" customHeight="1">
      <c r="A627" s="11" t="inlineStr">
        <is>
          <t>CP-6(3)</t>
        </is>
      </c>
      <c r="B627" s="12" t="inlineStr">
        <is>
          <t>Alternate Storage Site</t>
        </is>
      </c>
      <c r="C627" s="12" t="inlineStr">
        <is>
          <t>Microsoft-Descoped</t>
        </is>
      </c>
      <c r="D627" s="11" t="inlineStr">
        <is>
          <t>CP</t>
        </is>
      </c>
      <c r="E627" s="12" t="inlineStr">
        <is>
          <t>Microsoft Descoped</t>
        </is>
      </c>
      <c r="F627" s="12" t="inlineStr">
        <is>
          <t>CP-6-3</t>
        </is>
      </c>
      <c r="G627" s="13">
        <f>IFERROR('[Microsoft_Descoped.xlsx]CP-6-3'!B20,"Not Started")</f>
        <v/>
      </c>
      <c r="H627" s="14">
        <f>IF(OR(G627="Passed",G627="Accepted Exception"),"GREEN",IF(OR(G627="Not Started",G627="Failed"),"RED","AMBER"))</f>
        <v/>
      </c>
      <c r="I627" s="15">
        <f>IFERROR('[Microsoft_Descoped.xlsx]CP-6-3'!E20,"Non commencé")</f>
        <v/>
      </c>
      <c r="J627" s="16">
        <f>IF(OR(I627="Réussi",I627="Exception acceptée"),"GREEN",IF(OR(I627="Non commencé",I627="Échec"),"RED","AMBER"))</f>
        <v/>
      </c>
      <c r="K627" s="12" t="inlineStr"/>
      <c r="L627" s="12" t="inlineStr"/>
      <c r="M627" s="17" t="inlineStr"/>
    </row>
    <row r="628" ht="18" customHeight="1">
      <c r="A628" s="18" t="inlineStr">
        <is>
          <t>CP-7</t>
        </is>
      </c>
      <c r="B628" s="19" t="inlineStr">
        <is>
          <t>Alternate Processing Site</t>
        </is>
      </c>
      <c r="C628" s="19" t="inlineStr">
        <is>
          <t>Microsoft-Descoped</t>
        </is>
      </c>
      <c r="D628" s="18" t="inlineStr">
        <is>
          <t>CP</t>
        </is>
      </c>
      <c r="E628" s="19" t="inlineStr">
        <is>
          <t>Microsoft Descoped</t>
        </is>
      </c>
      <c r="F628" s="19" t="inlineStr">
        <is>
          <t>CP-7</t>
        </is>
      </c>
      <c r="G628" s="20">
        <f>IFERROR('[Microsoft_Descoped.xlsx]CP-7'!B20,"Not Started")</f>
        <v/>
      </c>
      <c r="H628" s="14">
        <f>IF(OR(G628="Passed",G628="Accepted Exception"),"GREEN",IF(OR(G628="Not Started",G628="Failed"),"RED","AMBER"))</f>
        <v/>
      </c>
      <c r="I628" s="21">
        <f>IFERROR('[Microsoft_Descoped.xlsx]CP-7'!E20,"Non commencé")</f>
        <v/>
      </c>
      <c r="J628" s="16">
        <f>IF(OR(I628="Réussi",I628="Exception acceptée"),"GREEN",IF(OR(I628="Non commencé",I628="Échec"),"RED","AMBER"))</f>
        <v/>
      </c>
      <c r="K628" s="19" t="inlineStr"/>
      <c r="L628" s="19" t="inlineStr"/>
      <c r="M628" s="22" t="inlineStr"/>
    </row>
    <row r="629" ht="18" customHeight="1">
      <c r="A629" s="11" t="inlineStr">
        <is>
          <t>CP-7(2)</t>
        </is>
      </c>
      <c r="B629" s="12" t="inlineStr">
        <is>
          <t>Alternate Processing Site</t>
        </is>
      </c>
      <c r="C629" s="12" t="inlineStr">
        <is>
          <t>Microsoft-Descoped</t>
        </is>
      </c>
      <c r="D629" s="11" t="inlineStr">
        <is>
          <t>CP</t>
        </is>
      </c>
      <c r="E629" s="12" t="inlineStr">
        <is>
          <t>Microsoft Descoped</t>
        </is>
      </c>
      <c r="F629" s="12" t="inlineStr">
        <is>
          <t>CP-7-2</t>
        </is>
      </c>
      <c r="G629" s="13">
        <f>IFERROR('[Microsoft_Descoped.xlsx]CP-7-2'!B20,"Not Started")</f>
        <v/>
      </c>
      <c r="H629" s="14">
        <f>IF(OR(G629="Passed",G629="Accepted Exception"),"GREEN",IF(OR(G629="Not Started",G629="Failed"),"RED","AMBER"))</f>
        <v/>
      </c>
      <c r="I629" s="15">
        <f>IFERROR('[Microsoft_Descoped.xlsx]CP-7-2'!E20,"Non commencé")</f>
        <v/>
      </c>
      <c r="J629" s="16">
        <f>IF(OR(I629="Réussi",I629="Exception acceptée"),"GREEN",IF(OR(I629="Non commencé",I629="Échec"),"RED","AMBER"))</f>
        <v/>
      </c>
      <c r="K629" s="12" t="inlineStr"/>
      <c r="L629" s="12" t="inlineStr"/>
      <c r="M629" s="17" t="inlineStr"/>
    </row>
    <row r="630" ht="18" customHeight="1">
      <c r="A630" s="18" t="inlineStr">
        <is>
          <t>CP-8</t>
        </is>
      </c>
      <c r="B630" s="19" t="inlineStr">
        <is>
          <t>Telecommunications Services</t>
        </is>
      </c>
      <c r="C630" s="19" t="inlineStr">
        <is>
          <t>Microsoft-Descoped</t>
        </is>
      </c>
      <c r="D630" s="18" t="inlineStr">
        <is>
          <t>CP</t>
        </is>
      </c>
      <c r="E630" s="19" t="inlineStr">
        <is>
          <t>Microsoft Descoped</t>
        </is>
      </c>
      <c r="F630" s="19" t="inlineStr">
        <is>
          <t>CP-8</t>
        </is>
      </c>
      <c r="G630" s="20">
        <f>IFERROR('[Microsoft_Descoped.xlsx]CP-8'!B20,"Not Started")</f>
        <v/>
      </c>
      <c r="H630" s="14">
        <f>IF(OR(G630="Passed",G630="Accepted Exception"),"GREEN",IF(OR(G630="Not Started",G630="Failed"),"RED","AMBER"))</f>
        <v/>
      </c>
      <c r="I630" s="21">
        <f>IFERROR('[Microsoft_Descoped.xlsx]CP-8'!E20,"Non commencé")</f>
        <v/>
      </c>
      <c r="J630" s="16">
        <f>IF(OR(I630="Réussi",I630="Exception acceptée"),"GREEN",IF(OR(I630="Non commencé",I630="Échec"),"RED","AMBER"))</f>
        <v/>
      </c>
      <c r="K630" s="19" t="inlineStr"/>
      <c r="L630" s="19" t="inlineStr"/>
      <c r="M630" s="22" t="inlineStr"/>
    </row>
    <row r="631" ht="18" customHeight="1">
      <c r="A631" s="11" t="inlineStr">
        <is>
          <t>CP-8(1)</t>
        </is>
      </c>
      <c r="B631" s="12" t="inlineStr">
        <is>
          <t>Telecommunications Services</t>
        </is>
      </c>
      <c r="C631" s="12" t="inlineStr">
        <is>
          <t>Microsoft-Descoped</t>
        </is>
      </c>
      <c r="D631" s="11" t="inlineStr">
        <is>
          <t>CP</t>
        </is>
      </c>
      <c r="E631" s="12" t="inlineStr">
        <is>
          <t>Microsoft Descoped</t>
        </is>
      </c>
      <c r="F631" s="12" t="inlineStr">
        <is>
          <t>CP-8-1</t>
        </is>
      </c>
      <c r="G631" s="13">
        <f>IFERROR('[Microsoft_Descoped.xlsx]CP-8-1'!B20,"Not Started")</f>
        <v/>
      </c>
      <c r="H631" s="14">
        <f>IF(OR(G631="Passed",G631="Accepted Exception"),"GREEN",IF(OR(G631="Not Started",G631="Failed"),"RED","AMBER"))</f>
        <v/>
      </c>
      <c r="I631" s="15">
        <f>IFERROR('[Microsoft_Descoped.xlsx]CP-8-1'!E20,"Non commencé")</f>
        <v/>
      </c>
      <c r="J631" s="16">
        <f>IF(OR(I631="Réussi",I631="Exception acceptée"),"GREEN",IF(OR(I631="Non commencé",I631="Échec"),"RED","AMBER"))</f>
        <v/>
      </c>
      <c r="K631" s="12" t="inlineStr"/>
      <c r="L631" s="12" t="inlineStr"/>
      <c r="M631" s="17" t="inlineStr"/>
    </row>
    <row r="632" ht="18" customHeight="1">
      <c r="A632" s="18" t="inlineStr">
        <is>
          <t>CP-8(2)</t>
        </is>
      </c>
      <c r="B632" s="19" t="inlineStr">
        <is>
          <t>Telecommunications Services</t>
        </is>
      </c>
      <c r="C632" s="19" t="inlineStr">
        <is>
          <t>Microsoft-Descoped</t>
        </is>
      </c>
      <c r="D632" s="18" t="inlineStr">
        <is>
          <t>CP</t>
        </is>
      </c>
      <c r="E632" s="19" t="inlineStr">
        <is>
          <t>Microsoft Descoped</t>
        </is>
      </c>
      <c r="F632" s="19" t="inlineStr">
        <is>
          <t>CP-8-2</t>
        </is>
      </c>
      <c r="G632" s="20">
        <f>IFERROR('[Microsoft_Descoped.xlsx]CP-8-2'!B20,"Not Started")</f>
        <v/>
      </c>
      <c r="H632" s="14">
        <f>IF(OR(G632="Passed",G632="Accepted Exception"),"GREEN",IF(OR(G632="Not Started",G632="Failed"),"RED","AMBER"))</f>
        <v/>
      </c>
      <c r="I632" s="21">
        <f>IFERROR('[Microsoft_Descoped.xlsx]CP-8-2'!E20,"Non commencé")</f>
        <v/>
      </c>
      <c r="J632" s="16">
        <f>IF(OR(I632="Réussi",I632="Exception acceptée"),"GREEN",IF(OR(I632="Non commencé",I632="Échec"),"RED","AMBER"))</f>
        <v/>
      </c>
      <c r="K632" s="19" t="inlineStr"/>
      <c r="L632" s="19" t="inlineStr"/>
      <c r="M632" s="22" t="inlineStr"/>
    </row>
    <row r="633" ht="18" customHeight="1">
      <c r="A633" s="11" t="inlineStr">
        <is>
          <t>CP-8(3)</t>
        </is>
      </c>
      <c r="B633" s="12" t="inlineStr">
        <is>
          <t>Telecommunications Services</t>
        </is>
      </c>
      <c r="C633" s="12" t="inlineStr">
        <is>
          <t>Microsoft-Descoped</t>
        </is>
      </c>
      <c r="D633" s="11" t="inlineStr">
        <is>
          <t>CP</t>
        </is>
      </c>
      <c r="E633" s="12" t="inlineStr">
        <is>
          <t>Microsoft Descoped</t>
        </is>
      </c>
      <c r="F633" s="12" t="inlineStr">
        <is>
          <t>CP-8-3</t>
        </is>
      </c>
      <c r="G633" s="13">
        <f>IFERROR('[Microsoft_Descoped.xlsx]CP-8-3'!B20,"Not Started")</f>
        <v/>
      </c>
      <c r="H633" s="14">
        <f>IF(OR(G633="Passed",G633="Accepted Exception"),"GREEN",IF(OR(G633="Not Started",G633="Failed"),"RED","AMBER"))</f>
        <v/>
      </c>
      <c r="I633" s="15">
        <f>IFERROR('[Microsoft_Descoped.xlsx]CP-8-3'!E20,"Non commencé")</f>
        <v/>
      </c>
      <c r="J633" s="16">
        <f>IF(OR(I633="Réussi",I633="Exception acceptée"),"GREEN",IF(OR(I633="Non commencé",I633="Échec"),"RED","AMBER"))</f>
        <v/>
      </c>
      <c r="K633" s="12" t="inlineStr"/>
      <c r="L633" s="12" t="inlineStr"/>
      <c r="M633" s="17" t="inlineStr"/>
    </row>
    <row r="634" ht="18" customHeight="1">
      <c r="A634" s="18" t="inlineStr">
        <is>
          <t>CP-8(5)</t>
        </is>
      </c>
      <c r="B634" s="19" t="inlineStr">
        <is>
          <t>Telecommunications Services</t>
        </is>
      </c>
      <c r="C634" s="19" t="inlineStr">
        <is>
          <t>Microsoft-Descoped</t>
        </is>
      </c>
      <c r="D634" s="18" t="inlineStr">
        <is>
          <t>CP</t>
        </is>
      </c>
      <c r="E634" s="19" t="inlineStr">
        <is>
          <t>Microsoft Descoped</t>
        </is>
      </c>
      <c r="F634" s="19" t="inlineStr">
        <is>
          <t>CP-8-5</t>
        </is>
      </c>
      <c r="G634" s="20">
        <f>IFERROR('[Microsoft_Descoped.xlsx]CP-8-5'!B20,"Not Started")</f>
        <v/>
      </c>
      <c r="H634" s="14">
        <f>IF(OR(G634="Passed",G634="Accepted Exception"),"GREEN",IF(OR(G634="Not Started",G634="Failed"),"RED","AMBER"))</f>
        <v/>
      </c>
      <c r="I634" s="21">
        <f>IFERROR('[Microsoft_Descoped.xlsx]CP-8-5'!E20,"Non commencé")</f>
        <v/>
      </c>
      <c r="J634" s="16">
        <f>IF(OR(I634="Réussi",I634="Exception acceptée"),"GREEN",IF(OR(I634="Non commencé",I634="Échec"),"RED","AMBER"))</f>
        <v/>
      </c>
      <c r="K634" s="19" t="inlineStr"/>
      <c r="L634" s="19" t="inlineStr"/>
      <c r="M634" s="22" t="inlineStr"/>
    </row>
    <row r="635" ht="18" customHeight="1">
      <c r="A635" s="11" t="inlineStr">
        <is>
          <t>IR-7(2)</t>
        </is>
      </c>
      <c r="B635" s="12" t="inlineStr">
        <is>
          <t>Incident Response Assistance</t>
        </is>
      </c>
      <c r="C635" s="12" t="inlineStr">
        <is>
          <t>Microsoft-Descoped</t>
        </is>
      </c>
      <c r="D635" s="11" t="inlineStr">
        <is>
          <t>IR</t>
        </is>
      </c>
      <c r="E635" s="12" t="inlineStr">
        <is>
          <t>Microsoft Descoped</t>
        </is>
      </c>
      <c r="F635" s="12" t="inlineStr">
        <is>
          <t>IR-7-2</t>
        </is>
      </c>
      <c r="G635" s="13">
        <f>IFERROR('[Microsoft_Descoped.xlsx]IR-7-2'!B20,"Not Started")</f>
        <v/>
      </c>
      <c r="H635" s="14">
        <f>IF(OR(G635="Passed",G635="Accepted Exception"),"GREEN",IF(OR(G635="Not Started",G635="Failed"),"RED","AMBER"))</f>
        <v/>
      </c>
      <c r="I635" s="15">
        <f>IFERROR('[Microsoft_Descoped.xlsx]IR-7-2'!E20,"Non commencé")</f>
        <v/>
      </c>
      <c r="J635" s="16">
        <f>IF(OR(I635="Réussi",I635="Exception acceptée"),"GREEN",IF(OR(I635="Non commencé",I635="Échec"),"RED","AMBER"))</f>
        <v/>
      </c>
      <c r="K635" s="12" t="inlineStr"/>
      <c r="L635" s="12" t="inlineStr"/>
      <c r="M635" s="17" t="inlineStr"/>
    </row>
    <row r="636" ht="18" customHeight="1">
      <c r="A636" s="18" t="inlineStr">
        <is>
          <t>MA-3(1)</t>
        </is>
      </c>
      <c r="B636" s="19" t="inlineStr">
        <is>
          <t>Maintenance Tools</t>
        </is>
      </c>
      <c r="C636" s="19" t="inlineStr">
        <is>
          <t>Microsoft-Descoped</t>
        </is>
      </c>
      <c r="D636" s="18" t="inlineStr">
        <is>
          <t>MA</t>
        </is>
      </c>
      <c r="E636" s="19" t="inlineStr">
        <is>
          <t>Microsoft Descoped</t>
        </is>
      </c>
      <c r="F636" s="19" t="inlineStr">
        <is>
          <t>MA-3-1</t>
        </is>
      </c>
      <c r="G636" s="20">
        <f>IFERROR('[Microsoft_Descoped.xlsx]MA-3-1'!B20,"Not Started")</f>
        <v/>
      </c>
      <c r="H636" s="14">
        <f>IF(OR(G636="Passed",G636="Accepted Exception"),"GREEN",IF(OR(G636="Not Started",G636="Failed"),"RED","AMBER"))</f>
        <v/>
      </c>
      <c r="I636" s="21">
        <f>IFERROR('[Microsoft_Descoped.xlsx]MA-3-1'!E20,"Non commencé")</f>
        <v/>
      </c>
      <c r="J636" s="16">
        <f>IF(OR(I636="Réussi",I636="Exception acceptée"),"GREEN",IF(OR(I636="Non commencé",I636="Échec"),"RED","AMBER"))</f>
        <v/>
      </c>
      <c r="K636" s="19" t="inlineStr"/>
      <c r="L636" s="19" t="inlineStr"/>
      <c r="M636" s="22" t="inlineStr"/>
    </row>
    <row r="637" ht="18" customHeight="1">
      <c r="A637" s="11" t="inlineStr">
        <is>
          <t>MA-3(2)</t>
        </is>
      </c>
      <c r="B637" s="12" t="inlineStr">
        <is>
          <t>Maintenance Tools</t>
        </is>
      </c>
      <c r="C637" s="12" t="inlineStr">
        <is>
          <t>Microsoft-Descoped</t>
        </is>
      </c>
      <c r="D637" s="11" t="inlineStr">
        <is>
          <t>MA</t>
        </is>
      </c>
      <c r="E637" s="12" t="inlineStr">
        <is>
          <t>Microsoft Descoped</t>
        </is>
      </c>
      <c r="F637" s="12" t="inlineStr">
        <is>
          <t>MA-3-2</t>
        </is>
      </c>
      <c r="G637" s="13">
        <f>IFERROR('[Microsoft_Descoped.xlsx]MA-3-2'!B20,"Not Started")</f>
        <v/>
      </c>
      <c r="H637" s="14">
        <f>IF(OR(G637="Passed",G637="Accepted Exception"),"GREEN",IF(OR(G637="Not Started",G637="Failed"),"RED","AMBER"))</f>
        <v/>
      </c>
      <c r="I637" s="15">
        <f>IFERROR('[Microsoft_Descoped.xlsx]MA-3-2'!E20,"Non commencé")</f>
        <v/>
      </c>
      <c r="J637" s="16">
        <f>IF(OR(I637="Réussi",I637="Exception acceptée"),"GREEN",IF(OR(I637="Non commencé",I637="Échec"),"RED","AMBER"))</f>
        <v/>
      </c>
      <c r="K637" s="12" t="inlineStr"/>
      <c r="L637" s="12" t="inlineStr"/>
      <c r="M637" s="17" t="inlineStr"/>
    </row>
    <row r="638" ht="18" customHeight="1">
      <c r="A638" s="18" t="inlineStr">
        <is>
          <t>MA-3(3)</t>
        </is>
      </c>
      <c r="B638" s="19" t="inlineStr">
        <is>
          <t>Maintenance Tools</t>
        </is>
      </c>
      <c r="C638" s="19" t="inlineStr">
        <is>
          <t>Microsoft-Descoped</t>
        </is>
      </c>
      <c r="D638" s="18" t="inlineStr">
        <is>
          <t>MA</t>
        </is>
      </c>
      <c r="E638" s="19" t="inlineStr">
        <is>
          <t>Microsoft Descoped</t>
        </is>
      </c>
      <c r="F638" s="19" t="inlineStr">
        <is>
          <t>MA-3-3</t>
        </is>
      </c>
      <c r="G638" s="20">
        <f>IFERROR('[Microsoft_Descoped.xlsx]MA-3-3'!B20,"Not Started")</f>
        <v/>
      </c>
      <c r="H638" s="14">
        <f>IF(OR(G638="Passed",G638="Accepted Exception"),"GREEN",IF(OR(G638="Not Started",G638="Failed"),"RED","AMBER"))</f>
        <v/>
      </c>
      <c r="I638" s="21">
        <f>IFERROR('[Microsoft_Descoped.xlsx]MA-3-3'!E20,"Non commencé")</f>
        <v/>
      </c>
      <c r="J638" s="16">
        <f>IF(OR(I638="Réussi",I638="Exception acceptée"),"GREEN",IF(OR(I638="Non commencé",I638="Échec"),"RED","AMBER"))</f>
        <v/>
      </c>
      <c r="K638" s="19" t="inlineStr"/>
      <c r="L638" s="19" t="inlineStr"/>
      <c r="M638" s="22" t="inlineStr"/>
    </row>
    <row r="639" ht="18" customHeight="1">
      <c r="A639" s="11" t="inlineStr">
        <is>
          <t>MA-6</t>
        </is>
      </c>
      <c r="B639" s="12" t="inlineStr">
        <is>
          <t>Timely Maintenance</t>
        </is>
      </c>
      <c r="C639" s="12" t="inlineStr">
        <is>
          <t>Microsoft-Descoped</t>
        </is>
      </c>
      <c r="D639" s="11" t="inlineStr">
        <is>
          <t>MA</t>
        </is>
      </c>
      <c r="E639" s="12" t="inlineStr">
        <is>
          <t>Microsoft Descoped</t>
        </is>
      </c>
      <c r="F639" s="12" t="inlineStr">
        <is>
          <t>MA-6</t>
        </is>
      </c>
      <c r="G639" s="13">
        <f>IFERROR('[Microsoft_Descoped.xlsx]MA-6'!B20,"Not Started")</f>
        <v/>
      </c>
      <c r="H639" s="14">
        <f>IF(OR(G639="Passed",G639="Accepted Exception"),"GREEN",IF(OR(G639="Not Started",G639="Failed"),"RED","AMBER"))</f>
        <v/>
      </c>
      <c r="I639" s="15">
        <f>IFERROR('[Microsoft_Descoped.xlsx]MA-6'!E20,"Non commencé")</f>
        <v/>
      </c>
      <c r="J639" s="16">
        <f>IF(OR(I639="Réussi",I639="Exception acceptée"),"GREEN",IF(OR(I639="Non commencé",I639="Échec"),"RED","AMBER"))</f>
        <v/>
      </c>
      <c r="K639" s="12" t="inlineStr"/>
      <c r="L639" s="12" t="inlineStr"/>
      <c r="M639" s="17" t="inlineStr"/>
    </row>
    <row r="640" ht="18" customHeight="1">
      <c r="A640" s="18" t="inlineStr">
        <is>
          <t>MP-4</t>
        </is>
      </c>
      <c r="B640" s="19" t="inlineStr">
        <is>
          <t>Media Storage</t>
        </is>
      </c>
      <c r="C640" s="19" t="inlineStr">
        <is>
          <t>Microsoft-Descoped</t>
        </is>
      </c>
      <c r="D640" s="18" t="inlineStr">
        <is>
          <t>MP</t>
        </is>
      </c>
      <c r="E640" s="19" t="inlineStr">
        <is>
          <t>Microsoft Descoped</t>
        </is>
      </c>
      <c r="F640" s="19" t="inlineStr">
        <is>
          <t>MP-4</t>
        </is>
      </c>
      <c r="G640" s="20">
        <f>IFERROR('[Microsoft_Descoped.xlsx]MP-4'!B20,"Not Started")</f>
        <v/>
      </c>
      <c r="H640" s="14">
        <f>IF(OR(G640="Passed",G640="Accepted Exception"),"GREEN",IF(OR(G640="Not Started",G640="Failed"),"RED","AMBER"))</f>
        <v/>
      </c>
      <c r="I640" s="21">
        <f>IFERROR('[Microsoft_Descoped.xlsx]MP-4'!E20,"Non commencé")</f>
        <v/>
      </c>
      <c r="J640" s="16">
        <f>IF(OR(I640="Réussi",I640="Exception acceptée"),"GREEN",IF(OR(I640="Non commencé",I640="Échec"),"RED","AMBER"))</f>
        <v/>
      </c>
      <c r="K640" s="19" t="inlineStr"/>
      <c r="L640" s="19" t="inlineStr"/>
      <c r="M640" s="22" t="inlineStr"/>
    </row>
    <row r="641" ht="18" customHeight="1">
      <c r="A641" s="11" t="inlineStr">
        <is>
          <t>MP-5</t>
        </is>
      </c>
      <c r="B641" s="12" t="inlineStr">
        <is>
          <t>Media Transport</t>
        </is>
      </c>
      <c r="C641" s="12" t="inlineStr">
        <is>
          <t>Microsoft-Descoped</t>
        </is>
      </c>
      <c r="D641" s="11" t="inlineStr">
        <is>
          <t>MP</t>
        </is>
      </c>
      <c r="E641" s="12" t="inlineStr">
        <is>
          <t>Microsoft Descoped</t>
        </is>
      </c>
      <c r="F641" s="12" t="inlineStr">
        <is>
          <t>MP-5</t>
        </is>
      </c>
      <c r="G641" s="13">
        <f>IFERROR('[Microsoft_Descoped.xlsx]MP-5'!B20,"Not Started")</f>
        <v/>
      </c>
      <c r="H641" s="14">
        <f>IF(OR(G641="Passed",G641="Accepted Exception"),"GREEN",IF(OR(G641="Not Started",G641="Failed"),"RED","AMBER"))</f>
        <v/>
      </c>
      <c r="I641" s="15">
        <f>IFERROR('[Microsoft_Descoped.xlsx]MP-5'!E20,"Non commencé")</f>
        <v/>
      </c>
      <c r="J641" s="16">
        <f>IF(OR(I641="Réussi",I641="Exception acceptée"),"GREEN",IF(OR(I641="Non commencé",I641="Échec"),"RED","AMBER"))</f>
        <v/>
      </c>
      <c r="K641" s="12" t="inlineStr"/>
      <c r="L641" s="12" t="inlineStr"/>
      <c r="M641" s="17" t="inlineStr"/>
    </row>
    <row r="642" ht="18" customHeight="1">
      <c r="A642" s="18" t="inlineStr">
        <is>
          <t>MP-5(4)</t>
        </is>
      </c>
      <c r="B642" s="19" t="inlineStr">
        <is>
          <t>Media Transport</t>
        </is>
      </c>
      <c r="C642" s="19" t="inlineStr">
        <is>
          <t>Microsoft-Descoped</t>
        </is>
      </c>
      <c r="D642" s="18" t="inlineStr">
        <is>
          <t>MP</t>
        </is>
      </c>
      <c r="E642" s="19" t="inlineStr">
        <is>
          <t>Microsoft Descoped</t>
        </is>
      </c>
      <c r="F642" s="19" t="inlineStr">
        <is>
          <t>MP-5-4</t>
        </is>
      </c>
      <c r="G642" s="20">
        <f>IFERROR('[Microsoft_Descoped.xlsx]MP-5-4'!B20,"Not Started")</f>
        <v/>
      </c>
      <c r="H642" s="14">
        <f>IF(OR(G642="Passed",G642="Accepted Exception"),"GREEN",IF(OR(G642="Not Started",G642="Failed"),"RED","AMBER"))</f>
        <v/>
      </c>
      <c r="I642" s="21">
        <f>IFERROR('[Microsoft_Descoped.xlsx]MP-5-4'!E20,"Non commencé")</f>
        <v/>
      </c>
      <c r="J642" s="16">
        <f>IF(OR(I642="Réussi",I642="Exception acceptée"),"GREEN",IF(OR(I642="Non commencé",I642="Échec"),"RED","AMBER"))</f>
        <v/>
      </c>
      <c r="K642" s="19" t="inlineStr"/>
      <c r="L642" s="19" t="inlineStr"/>
      <c r="M642" s="22" t="inlineStr"/>
    </row>
    <row r="643" ht="18" customHeight="1">
      <c r="A643" s="11" t="inlineStr">
        <is>
          <t>MP-6(2)</t>
        </is>
      </c>
      <c r="B643" s="12" t="inlineStr">
        <is>
          <t>Media Sanitization</t>
        </is>
      </c>
      <c r="C643" s="12" t="inlineStr">
        <is>
          <t>Microsoft-Descoped</t>
        </is>
      </c>
      <c r="D643" s="11" t="inlineStr">
        <is>
          <t>MP</t>
        </is>
      </c>
      <c r="E643" s="12" t="inlineStr">
        <is>
          <t>Microsoft Descoped</t>
        </is>
      </c>
      <c r="F643" s="12" t="inlineStr">
        <is>
          <t>MP-6-2</t>
        </is>
      </c>
      <c r="G643" s="13">
        <f>IFERROR('[Microsoft_Descoped.xlsx]MP-6-2'!B20,"Not Started")</f>
        <v/>
      </c>
      <c r="H643" s="14">
        <f>IF(OR(G643="Passed",G643="Accepted Exception"),"GREEN",IF(OR(G643="Not Started",G643="Failed"),"RED","AMBER"))</f>
        <v/>
      </c>
      <c r="I643" s="15">
        <f>IFERROR('[Microsoft_Descoped.xlsx]MP-6-2'!E20,"Non commencé")</f>
        <v/>
      </c>
      <c r="J643" s="16">
        <f>IF(OR(I643="Réussi",I643="Exception acceptée"),"GREEN",IF(OR(I643="Non commencé",I643="Échec"),"RED","AMBER"))</f>
        <v/>
      </c>
      <c r="K643" s="12" t="inlineStr"/>
      <c r="L643" s="12" t="inlineStr"/>
      <c r="M643" s="17" t="inlineStr"/>
    </row>
    <row r="644" ht="18" customHeight="1">
      <c r="A644" s="18" t="inlineStr">
        <is>
          <t>MP-6(3)</t>
        </is>
      </c>
      <c r="B644" s="19" t="inlineStr">
        <is>
          <t>Media Sanitization</t>
        </is>
      </c>
      <c r="C644" s="19" t="inlineStr">
        <is>
          <t>Microsoft-Descoped</t>
        </is>
      </c>
      <c r="D644" s="18" t="inlineStr">
        <is>
          <t>MP</t>
        </is>
      </c>
      <c r="E644" s="19" t="inlineStr">
        <is>
          <t>Microsoft Descoped</t>
        </is>
      </c>
      <c r="F644" s="19" t="inlineStr">
        <is>
          <t>MP-6-3</t>
        </is>
      </c>
      <c r="G644" s="20">
        <f>IFERROR('[Microsoft_Descoped.xlsx]MP-6-3'!B20,"Not Started")</f>
        <v/>
      </c>
      <c r="H644" s="14">
        <f>IF(OR(G644="Passed",G644="Accepted Exception"),"GREEN",IF(OR(G644="Not Started",G644="Failed"),"RED","AMBER"))</f>
        <v/>
      </c>
      <c r="I644" s="21">
        <f>IFERROR('[Microsoft_Descoped.xlsx]MP-6-3'!E20,"Non commencé")</f>
        <v/>
      </c>
      <c r="J644" s="16">
        <f>IF(OR(I644="Réussi",I644="Exception acceptée"),"GREEN",IF(OR(I644="Non commencé",I644="Échec"),"RED","AMBER"))</f>
        <v/>
      </c>
      <c r="K644" s="19" t="inlineStr"/>
      <c r="L644" s="19" t="inlineStr"/>
      <c r="M644" s="22" t="inlineStr"/>
    </row>
    <row r="645" ht="18" customHeight="1">
      <c r="A645" s="11" t="inlineStr">
        <is>
          <t>MP-7</t>
        </is>
      </c>
      <c r="B645" s="12" t="inlineStr">
        <is>
          <t>Media Use</t>
        </is>
      </c>
      <c r="C645" s="12" t="inlineStr">
        <is>
          <t>Microsoft-Descoped</t>
        </is>
      </c>
      <c r="D645" s="11" t="inlineStr">
        <is>
          <t>MP</t>
        </is>
      </c>
      <c r="E645" s="12" t="inlineStr">
        <is>
          <t>Microsoft Descoped</t>
        </is>
      </c>
      <c r="F645" s="12" t="inlineStr">
        <is>
          <t>MP-7</t>
        </is>
      </c>
      <c r="G645" s="13">
        <f>IFERROR('[Microsoft_Descoped.xlsx]MP-7'!B20,"Not Started")</f>
        <v/>
      </c>
      <c r="H645" s="14">
        <f>IF(OR(G645="Passed",G645="Accepted Exception"),"GREEN",IF(OR(G645="Not Started",G645="Failed"),"RED","AMBER"))</f>
        <v/>
      </c>
      <c r="I645" s="15">
        <f>IFERROR('[Microsoft_Descoped.xlsx]MP-7'!E20,"Non commencé")</f>
        <v/>
      </c>
      <c r="J645" s="16">
        <f>IF(OR(I645="Réussi",I645="Exception acceptée"),"GREEN",IF(OR(I645="Non commencé",I645="Échec"),"RED","AMBER"))</f>
        <v/>
      </c>
      <c r="K645" s="12" t="inlineStr"/>
      <c r="L645" s="12" t="inlineStr"/>
      <c r="M645" s="17" t="inlineStr"/>
    </row>
    <row r="646" ht="18" customHeight="1">
      <c r="A646" s="18" t="inlineStr">
        <is>
          <t>MP-7(1)</t>
        </is>
      </c>
      <c r="B646" s="19" t="inlineStr">
        <is>
          <t>Media Use</t>
        </is>
      </c>
      <c r="C646" s="19" t="inlineStr">
        <is>
          <t>Microsoft-Descoped</t>
        </is>
      </c>
      <c r="D646" s="18" t="inlineStr">
        <is>
          <t>MP</t>
        </is>
      </c>
      <c r="E646" s="19" t="inlineStr">
        <is>
          <t>Microsoft Descoped</t>
        </is>
      </c>
      <c r="F646" s="19" t="inlineStr">
        <is>
          <t>MP-7-1</t>
        </is>
      </c>
      <c r="G646" s="20">
        <f>IFERROR('[Microsoft_Descoped.xlsx]MP-7-1'!B20,"Not Started")</f>
        <v/>
      </c>
      <c r="H646" s="14">
        <f>IF(OR(G646="Passed",G646="Accepted Exception"),"GREEN",IF(OR(G646="Not Started",G646="Failed"),"RED","AMBER"))</f>
        <v/>
      </c>
      <c r="I646" s="21">
        <f>IFERROR('[Microsoft_Descoped.xlsx]MP-7-1'!E20,"Non commencé")</f>
        <v/>
      </c>
      <c r="J646" s="16">
        <f>IF(OR(I646="Réussi",I646="Exception acceptée"),"GREEN",IF(OR(I646="Non commencé",I646="Échec"),"RED","AMBER"))</f>
        <v/>
      </c>
      <c r="K646" s="19" t="inlineStr"/>
      <c r="L646" s="19" t="inlineStr"/>
      <c r="M646" s="22" t="inlineStr"/>
    </row>
    <row r="647" ht="18" customHeight="1">
      <c r="A647" s="11" t="inlineStr">
        <is>
          <t>PE-1</t>
        </is>
      </c>
      <c r="B647" s="12" t="inlineStr">
        <is>
          <t>Physical and Environmental Protection Policy and Procedures</t>
        </is>
      </c>
      <c r="C647" s="12" t="inlineStr">
        <is>
          <t>Microsoft-Descoped</t>
        </is>
      </c>
      <c r="D647" s="11" t="inlineStr">
        <is>
          <t>PE</t>
        </is>
      </c>
      <c r="E647" s="12" t="inlineStr">
        <is>
          <t>Microsoft Descoped</t>
        </is>
      </c>
      <c r="F647" s="12" t="inlineStr">
        <is>
          <t>PE-1</t>
        </is>
      </c>
      <c r="G647" s="13">
        <f>IFERROR('[Microsoft_Descoped.xlsx]PE-1'!B20,"Not Started")</f>
        <v/>
      </c>
      <c r="H647" s="14">
        <f>IF(OR(G647="Passed",G647="Accepted Exception"),"GREEN",IF(OR(G647="Not Started",G647="Failed"),"RED","AMBER"))</f>
        <v/>
      </c>
      <c r="I647" s="15">
        <f>IFERROR('[Microsoft_Descoped.xlsx]PE-1'!E20,"Non commencé")</f>
        <v/>
      </c>
      <c r="J647" s="16">
        <f>IF(OR(I647="Réussi",I647="Exception acceptée"),"GREEN",IF(OR(I647="Non commencé",I647="Échec"),"RED","AMBER"))</f>
        <v/>
      </c>
      <c r="K647" s="12" t="inlineStr"/>
      <c r="L647" s="12" t="inlineStr"/>
      <c r="M647" s="17" t="inlineStr"/>
    </row>
    <row r="648" ht="18" customHeight="1">
      <c r="A648" s="18" t="inlineStr">
        <is>
          <t>PE-2</t>
        </is>
      </c>
      <c r="B648" s="19" t="inlineStr">
        <is>
          <t>Physical Access Authorizations</t>
        </is>
      </c>
      <c r="C648" s="19" t="inlineStr">
        <is>
          <t>Microsoft-Descoped</t>
        </is>
      </c>
      <c r="D648" s="18" t="inlineStr">
        <is>
          <t>PE</t>
        </is>
      </c>
      <c r="E648" s="19" t="inlineStr">
        <is>
          <t>Microsoft Descoped</t>
        </is>
      </c>
      <c r="F648" s="19" t="inlineStr">
        <is>
          <t>PE-2</t>
        </is>
      </c>
      <c r="G648" s="20">
        <f>IFERROR('[Microsoft_Descoped.xlsx]PE-2'!B20,"Not Started")</f>
        <v/>
      </c>
      <c r="H648" s="14">
        <f>IF(OR(G648="Passed",G648="Accepted Exception"),"GREEN",IF(OR(G648="Not Started",G648="Failed"),"RED","AMBER"))</f>
        <v/>
      </c>
      <c r="I648" s="21">
        <f>IFERROR('[Microsoft_Descoped.xlsx]PE-2'!E20,"Non commencé")</f>
        <v/>
      </c>
      <c r="J648" s="16">
        <f>IF(OR(I648="Réussi",I648="Exception acceptée"),"GREEN",IF(OR(I648="Non commencé",I648="Échec"),"RED","AMBER"))</f>
        <v/>
      </c>
      <c r="K648" s="19" t="inlineStr"/>
      <c r="L648" s="19" t="inlineStr"/>
      <c r="M648" s="22" t="inlineStr"/>
    </row>
    <row r="649" ht="18" customHeight="1">
      <c r="A649" s="11" t="inlineStr">
        <is>
          <t>PE-3</t>
        </is>
      </c>
      <c r="B649" s="12" t="inlineStr">
        <is>
          <t>Physical Access Control</t>
        </is>
      </c>
      <c r="C649" s="12" t="inlineStr">
        <is>
          <t>Microsoft-Descoped</t>
        </is>
      </c>
      <c r="D649" s="11" t="inlineStr">
        <is>
          <t>PE</t>
        </is>
      </c>
      <c r="E649" s="12" t="inlineStr">
        <is>
          <t>Microsoft Descoped</t>
        </is>
      </c>
      <c r="F649" s="12" t="inlineStr">
        <is>
          <t>PE-3</t>
        </is>
      </c>
      <c r="G649" s="13">
        <f>IFERROR('[Microsoft_Descoped.xlsx]PE-3'!B20,"Not Started")</f>
        <v/>
      </c>
      <c r="H649" s="14">
        <f>IF(OR(G649="Passed",G649="Accepted Exception"),"GREEN",IF(OR(G649="Not Started",G649="Failed"),"RED","AMBER"))</f>
        <v/>
      </c>
      <c r="I649" s="15">
        <f>IFERROR('[Microsoft_Descoped.xlsx]PE-3'!E20,"Non commencé")</f>
        <v/>
      </c>
      <c r="J649" s="16">
        <f>IF(OR(I649="Réussi",I649="Exception acceptée"),"GREEN",IF(OR(I649="Non commencé",I649="Échec"),"RED","AMBER"))</f>
        <v/>
      </c>
      <c r="K649" s="12" t="inlineStr"/>
      <c r="L649" s="12" t="inlineStr"/>
      <c r="M649" s="17" t="inlineStr"/>
    </row>
    <row r="650" ht="18" customHeight="1">
      <c r="A650" s="18" t="inlineStr">
        <is>
          <t>PE-3(1)</t>
        </is>
      </c>
      <c r="B650" s="19" t="inlineStr">
        <is>
          <t>Physical Access Control</t>
        </is>
      </c>
      <c r="C650" s="19" t="inlineStr">
        <is>
          <t>Microsoft-Descoped</t>
        </is>
      </c>
      <c r="D650" s="18" t="inlineStr">
        <is>
          <t>PE</t>
        </is>
      </c>
      <c r="E650" s="19" t="inlineStr">
        <is>
          <t>Microsoft Descoped</t>
        </is>
      </c>
      <c r="F650" s="19" t="inlineStr">
        <is>
          <t>PE-3-1</t>
        </is>
      </c>
      <c r="G650" s="20">
        <f>IFERROR('[Microsoft_Descoped.xlsx]PE-3-1'!B20,"Not Started")</f>
        <v/>
      </c>
      <c r="H650" s="14">
        <f>IF(OR(G650="Passed",G650="Accepted Exception"),"GREEN",IF(OR(G650="Not Started",G650="Failed"),"RED","AMBER"))</f>
        <v/>
      </c>
      <c r="I650" s="21">
        <f>IFERROR('[Microsoft_Descoped.xlsx]PE-3-1'!E20,"Non commencé")</f>
        <v/>
      </c>
      <c r="J650" s="16">
        <f>IF(OR(I650="Réussi",I650="Exception acceptée"),"GREEN",IF(OR(I650="Non commencé",I650="Échec"),"RED","AMBER"))</f>
        <v/>
      </c>
      <c r="K650" s="19" t="inlineStr"/>
      <c r="L650" s="19" t="inlineStr"/>
      <c r="M650" s="22" t="inlineStr"/>
    </row>
    <row r="651" ht="18" customHeight="1">
      <c r="A651" s="11" t="inlineStr">
        <is>
          <t>PE-4</t>
        </is>
      </c>
      <c r="B651" s="12" t="inlineStr">
        <is>
          <t>Access Control for Transmission Medium</t>
        </is>
      </c>
      <c r="C651" s="12" t="inlineStr">
        <is>
          <t>Microsoft-Descoped</t>
        </is>
      </c>
      <c r="D651" s="11" t="inlineStr">
        <is>
          <t>PE</t>
        </is>
      </c>
      <c r="E651" s="12" t="inlineStr">
        <is>
          <t>Microsoft Descoped</t>
        </is>
      </c>
      <c r="F651" s="12" t="inlineStr">
        <is>
          <t>PE-4</t>
        </is>
      </c>
      <c r="G651" s="13">
        <f>IFERROR('[Microsoft_Descoped.xlsx]PE-4'!B20,"Not Started")</f>
        <v/>
      </c>
      <c r="H651" s="14">
        <f>IF(OR(G651="Passed",G651="Accepted Exception"),"GREEN",IF(OR(G651="Not Started",G651="Failed"),"RED","AMBER"))</f>
        <v/>
      </c>
      <c r="I651" s="15">
        <f>IFERROR('[Microsoft_Descoped.xlsx]PE-4'!E20,"Non commencé")</f>
        <v/>
      </c>
      <c r="J651" s="16">
        <f>IF(OR(I651="Réussi",I651="Exception acceptée"),"GREEN",IF(OR(I651="Non commencé",I651="Échec"),"RED","AMBER"))</f>
        <v/>
      </c>
      <c r="K651" s="12" t="inlineStr"/>
      <c r="L651" s="12" t="inlineStr"/>
      <c r="M651" s="17" t="inlineStr"/>
    </row>
    <row r="652" ht="18" customHeight="1">
      <c r="A652" s="18" t="inlineStr">
        <is>
          <t>PE-5</t>
        </is>
      </c>
      <c r="B652" s="19" t="inlineStr">
        <is>
          <t>Access Control for Output Devices</t>
        </is>
      </c>
      <c r="C652" s="19" t="inlineStr">
        <is>
          <t>Microsoft-Descoped</t>
        </is>
      </c>
      <c r="D652" s="18" t="inlineStr">
        <is>
          <t>PE</t>
        </is>
      </c>
      <c r="E652" s="19" t="inlineStr">
        <is>
          <t>Microsoft Descoped</t>
        </is>
      </c>
      <c r="F652" s="19" t="inlineStr">
        <is>
          <t>PE-5</t>
        </is>
      </c>
      <c r="G652" s="20">
        <f>IFERROR('[Microsoft_Descoped.xlsx]PE-5'!B20,"Not Started")</f>
        <v/>
      </c>
      <c r="H652" s="14">
        <f>IF(OR(G652="Passed",G652="Accepted Exception"),"GREEN",IF(OR(G652="Not Started",G652="Failed"),"RED","AMBER"))</f>
        <v/>
      </c>
      <c r="I652" s="21">
        <f>IFERROR('[Microsoft_Descoped.xlsx]PE-5'!E20,"Non commencé")</f>
        <v/>
      </c>
      <c r="J652" s="16">
        <f>IF(OR(I652="Réussi",I652="Exception acceptée"),"GREEN",IF(OR(I652="Non commencé",I652="Échec"),"RED","AMBER"))</f>
        <v/>
      </c>
      <c r="K652" s="19" t="inlineStr"/>
      <c r="L652" s="19" t="inlineStr"/>
      <c r="M652" s="22" t="inlineStr"/>
    </row>
    <row r="653" ht="18" customHeight="1">
      <c r="A653" s="11" t="inlineStr">
        <is>
          <t>PE-6</t>
        </is>
      </c>
      <c r="B653" s="12" t="inlineStr">
        <is>
          <t>Monitoring Physical Access</t>
        </is>
      </c>
      <c r="C653" s="12" t="inlineStr">
        <is>
          <t>Microsoft-Descoped</t>
        </is>
      </c>
      <c r="D653" s="11" t="inlineStr">
        <is>
          <t>PE</t>
        </is>
      </c>
      <c r="E653" s="12" t="inlineStr">
        <is>
          <t>Microsoft Descoped</t>
        </is>
      </c>
      <c r="F653" s="12" t="inlineStr">
        <is>
          <t>PE-6</t>
        </is>
      </c>
      <c r="G653" s="13">
        <f>IFERROR('[Microsoft_Descoped.xlsx]PE-6'!B20,"Not Started")</f>
        <v/>
      </c>
      <c r="H653" s="14">
        <f>IF(OR(G653="Passed",G653="Accepted Exception"),"GREEN",IF(OR(G653="Not Started",G653="Failed"),"RED","AMBER"))</f>
        <v/>
      </c>
      <c r="I653" s="15">
        <f>IFERROR('[Microsoft_Descoped.xlsx]PE-6'!E20,"Non commencé")</f>
        <v/>
      </c>
      <c r="J653" s="16">
        <f>IF(OR(I653="Réussi",I653="Exception acceptée"),"GREEN",IF(OR(I653="Non commencé",I653="Échec"),"RED","AMBER"))</f>
        <v/>
      </c>
      <c r="K653" s="12" t="inlineStr"/>
      <c r="L653" s="12" t="inlineStr"/>
      <c r="M653" s="17" t="inlineStr"/>
    </row>
    <row r="654" ht="18" customHeight="1">
      <c r="A654" s="18" t="inlineStr">
        <is>
          <t>PE-6(1)</t>
        </is>
      </c>
      <c r="B654" s="19" t="inlineStr">
        <is>
          <t>Monitoring Physical Access</t>
        </is>
      </c>
      <c r="C654" s="19" t="inlineStr">
        <is>
          <t>Microsoft-Descoped</t>
        </is>
      </c>
      <c r="D654" s="18" t="inlineStr">
        <is>
          <t>PE</t>
        </is>
      </c>
      <c r="E654" s="19" t="inlineStr">
        <is>
          <t>Microsoft Descoped</t>
        </is>
      </c>
      <c r="F654" s="19" t="inlineStr">
        <is>
          <t>PE-6-1</t>
        </is>
      </c>
      <c r="G654" s="20">
        <f>IFERROR('[Microsoft_Descoped.xlsx]PE-6-1'!B20,"Not Started")</f>
        <v/>
      </c>
      <c r="H654" s="14">
        <f>IF(OR(G654="Passed",G654="Accepted Exception"),"GREEN",IF(OR(G654="Not Started",G654="Failed"),"RED","AMBER"))</f>
        <v/>
      </c>
      <c r="I654" s="21">
        <f>IFERROR('[Microsoft_Descoped.xlsx]PE-6-1'!E20,"Non commencé")</f>
        <v/>
      </c>
      <c r="J654" s="16">
        <f>IF(OR(I654="Réussi",I654="Exception acceptée"),"GREEN",IF(OR(I654="Non commencé",I654="Échec"),"RED","AMBER"))</f>
        <v/>
      </c>
      <c r="K654" s="19" t="inlineStr"/>
      <c r="L654" s="19" t="inlineStr"/>
      <c r="M654" s="22" t="inlineStr"/>
    </row>
    <row r="655" ht="18" customHeight="1">
      <c r="A655" s="11" t="inlineStr">
        <is>
          <t>PE-6(4)</t>
        </is>
      </c>
      <c r="B655" s="12" t="inlineStr">
        <is>
          <t>Monitoring Physical Access</t>
        </is>
      </c>
      <c r="C655" s="12" t="inlineStr">
        <is>
          <t>Microsoft-Descoped</t>
        </is>
      </c>
      <c r="D655" s="11" t="inlineStr">
        <is>
          <t>PE</t>
        </is>
      </c>
      <c r="E655" s="12" t="inlineStr">
        <is>
          <t>Microsoft Descoped</t>
        </is>
      </c>
      <c r="F655" s="12" t="inlineStr">
        <is>
          <t>PE-6-4</t>
        </is>
      </c>
      <c r="G655" s="13">
        <f>IFERROR('[Microsoft_Descoped.xlsx]PE-6-4'!B20,"Not Started")</f>
        <v/>
      </c>
      <c r="H655" s="14">
        <f>IF(OR(G655="Passed",G655="Accepted Exception"),"GREEN",IF(OR(G655="Not Started",G655="Failed"),"RED","AMBER"))</f>
        <v/>
      </c>
      <c r="I655" s="15">
        <f>IFERROR('[Microsoft_Descoped.xlsx]PE-6-4'!E20,"Non commencé")</f>
        <v/>
      </c>
      <c r="J655" s="16">
        <f>IF(OR(I655="Réussi",I655="Exception acceptée"),"GREEN",IF(OR(I655="Non commencé",I655="Échec"),"RED","AMBER"))</f>
        <v/>
      </c>
      <c r="K655" s="12" t="inlineStr"/>
      <c r="L655" s="12" t="inlineStr"/>
      <c r="M655" s="17" t="inlineStr"/>
    </row>
    <row r="656" ht="18" customHeight="1">
      <c r="A656" s="18" t="inlineStr">
        <is>
          <t>PE-8</t>
        </is>
      </c>
      <c r="B656" s="19" t="inlineStr">
        <is>
          <t>Access Records</t>
        </is>
      </c>
      <c r="C656" s="19" t="inlineStr">
        <is>
          <t>Microsoft-Descoped</t>
        </is>
      </c>
      <c r="D656" s="18" t="inlineStr">
        <is>
          <t>PE</t>
        </is>
      </c>
      <c r="E656" s="19" t="inlineStr">
        <is>
          <t>Microsoft Descoped</t>
        </is>
      </c>
      <c r="F656" s="19" t="inlineStr">
        <is>
          <t>PE-8</t>
        </is>
      </c>
      <c r="G656" s="20">
        <f>IFERROR('[Microsoft_Descoped.xlsx]PE-8'!B20,"Not Started")</f>
        <v/>
      </c>
      <c r="H656" s="14">
        <f>IF(OR(G656="Passed",G656="Accepted Exception"),"GREEN",IF(OR(G656="Not Started",G656="Failed"),"RED","AMBER"))</f>
        <v/>
      </c>
      <c r="I656" s="21">
        <f>IFERROR('[Microsoft_Descoped.xlsx]PE-8'!E20,"Non commencé")</f>
        <v/>
      </c>
      <c r="J656" s="16">
        <f>IF(OR(I656="Réussi",I656="Exception acceptée"),"GREEN",IF(OR(I656="Non commencé",I656="Échec"),"RED","AMBER"))</f>
        <v/>
      </c>
      <c r="K656" s="19" t="inlineStr"/>
      <c r="L656" s="19" t="inlineStr"/>
      <c r="M656" s="22" t="inlineStr"/>
    </row>
    <row r="657" ht="18" customHeight="1">
      <c r="A657" s="11" t="inlineStr">
        <is>
          <t>PE-9</t>
        </is>
      </c>
      <c r="B657" s="12" t="inlineStr">
        <is>
          <t>Power Equipment and Power Cabling</t>
        </is>
      </c>
      <c r="C657" s="12" t="inlineStr">
        <is>
          <t>Microsoft-Descoped</t>
        </is>
      </c>
      <c r="D657" s="11" t="inlineStr">
        <is>
          <t>PE</t>
        </is>
      </c>
      <c r="E657" s="12" t="inlineStr">
        <is>
          <t>Microsoft Descoped</t>
        </is>
      </c>
      <c r="F657" s="12" t="inlineStr">
        <is>
          <t>PE-9</t>
        </is>
      </c>
      <c r="G657" s="13">
        <f>IFERROR('[Microsoft_Descoped.xlsx]PE-9'!B20,"Not Started")</f>
        <v/>
      </c>
      <c r="H657" s="14">
        <f>IF(OR(G657="Passed",G657="Accepted Exception"),"GREEN",IF(OR(G657="Not Started",G657="Failed"),"RED","AMBER"))</f>
        <v/>
      </c>
      <c r="I657" s="15">
        <f>IFERROR('[Microsoft_Descoped.xlsx]PE-9'!E20,"Non commencé")</f>
        <v/>
      </c>
      <c r="J657" s="16">
        <f>IF(OR(I657="Réussi",I657="Exception acceptée"),"GREEN",IF(OR(I657="Non commencé",I657="Échec"),"RED","AMBER"))</f>
        <v/>
      </c>
      <c r="K657" s="12" t="inlineStr"/>
      <c r="L657" s="12" t="inlineStr"/>
      <c r="M657" s="17" t="inlineStr"/>
    </row>
    <row r="658" ht="18" customHeight="1">
      <c r="A658" s="18" t="inlineStr">
        <is>
          <t>PE-10</t>
        </is>
      </c>
      <c r="B658" s="19" t="inlineStr">
        <is>
          <t>Emergency Shutoff</t>
        </is>
      </c>
      <c r="C658" s="19" t="inlineStr">
        <is>
          <t>Microsoft-Descoped</t>
        </is>
      </c>
      <c r="D658" s="18" t="inlineStr">
        <is>
          <t>PE</t>
        </is>
      </c>
      <c r="E658" s="19" t="inlineStr">
        <is>
          <t>Microsoft Descoped</t>
        </is>
      </c>
      <c r="F658" s="19" t="inlineStr">
        <is>
          <t>PE-10</t>
        </is>
      </c>
      <c r="G658" s="20">
        <f>IFERROR('[Microsoft_Descoped.xlsx]PE-10'!B20,"Not Started")</f>
        <v/>
      </c>
      <c r="H658" s="14">
        <f>IF(OR(G658="Passed",G658="Accepted Exception"),"GREEN",IF(OR(G658="Not Started",G658="Failed"),"RED","AMBER"))</f>
        <v/>
      </c>
      <c r="I658" s="21">
        <f>IFERROR('[Microsoft_Descoped.xlsx]PE-10'!E20,"Non commencé")</f>
        <v/>
      </c>
      <c r="J658" s="16">
        <f>IF(OR(I658="Réussi",I658="Exception acceptée"),"GREEN",IF(OR(I658="Non commencé",I658="Échec"),"RED","AMBER"))</f>
        <v/>
      </c>
      <c r="K658" s="19" t="inlineStr"/>
      <c r="L658" s="19" t="inlineStr"/>
      <c r="M658" s="22" t="inlineStr"/>
    </row>
    <row r="659" ht="18" customHeight="1">
      <c r="A659" s="11" t="inlineStr">
        <is>
          <t>PE-11</t>
        </is>
      </c>
      <c r="B659" s="12" t="inlineStr">
        <is>
          <t>Emergency Power</t>
        </is>
      </c>
      <c r="C659" s="12" t="inlineStr">
        <is>
          <t>Microsoft-Descoped</t>
        </is>
      </c>
      <c r="D659" s="11" t="inlineStr">
        <is>
          <t>PE</t>
        </is>
      </c>
      <c r="E659" s="12" t="inlineStr">
        <is>
          <t>Microsoft Descoped</t>
        </is>
      </c>
      <c r="F659" s="12" t="inlineStr">
        <is>
          <t>PE-11</t>
        </is>
      </c>
      <c r="G659" s="13">
        <f>IFERROR('[Microsoft_Descoped.xlsx]PE-11'!B20,"Not Started")</f>
        <v/>
      </c>
      <c r="H659" s="14">
        <f>IF(OR(G659="Passed",G659="Accepted Exception"),"GREEN",IF(OR(G659="Not Started",G659="Failed"),"RED","AMBER"))</f>
        <v/>
      </c>
      <c r="I659" s="15">
        <f>IFERROR('[Microsoft_Descoped.xlsx]PE-11'!E20,"Non commencé")</f>
        <v/>
      </c>
      <c r="J659" s="16">
        <f>IF(OR(I659="Réussi",I659="Exception acceptée"),"GREEN",IF(OR(I659="Non commencé",I659="Échec"),"RED","AMBER"))</f>
        <v/>
      </c>
      <c r="K659" s="12" t="inlineStr"/>
      <c r="L659" s="12" t="inlineStr"/>
      <c r="M659" s="17" t="inlineStr"/>
    </row>
    <row r="660" ht="18" customHeight="1">
      <c r="A660" s="18" t="inlineStr">
        <is>
          <t>PE-12</t>
        </is>
      </c>
      <c r="B660" s="19" t="inlineStr">
        <is>
          <t>Emergency Lighting</t>
        </is>
      </c>
      <c r="C660" s="19" t="inlineStr">
        <is>
          <t>Microsoft-Descoped</t>
        </is>
      </c>
      <c r="D660" s="18" t="inlineStr">
        <is>
          <t>PE</t>
        </is>
      </c>
      <c r="E660" s="19" t="inlineStr">
        <is>
          <t>Microsoft Descoped</t>
        </is>
      </c>
      <c r="F660" s="19" t="inlineStr">
        <is>
          <t>PE-12</t>
        </is>
      </c>
      <c r="G660" s="20">
        <f>IFERROR('[Microsoft_Descoped.xlsx]PE-12'!B20,"Not Started")</f>
        <v/>
      </c>
      <c r="H660" s="14">
        <f>IF(OR(G660="Passed",G660="Accepted Exception"),"GREEN",IF(OR(G660="Not Started",G660="Failed"),"RED","AMBER"))</f>
        <v/>
      </c>
      <c r="I660" s="21">
        <f>IFERROR('[Microsoft_Descoped.xlsx]PE-12'!E20,"Non commencé")</f>
        <v/>
      </c>
      <c r="J660" s="16">
        <f>IF(OR(I660="Réussi",I660="Exception acceptée"),"GREEN",IF(OR(I660="Non commencé",I660="Échec"),"RED","AMBER"))</f>
        <v/>
      </c>
      <c r="K660" s="19" t="inlineStr"/>
      <c r="L660" s="19" t="inlineStr"/>
      <c r="M660" s="22" t="inlineStr"/>
    </row>
    <row r="661" ht="18" customHeight="1">
      <c r="A661" s="11" t="inlineStr">
        <is>
          <t>PE-13</t>
        </is>
      </c>
      <c r="B661" s="12" t="inlineStr">
        <is>
          <t>Fire Protection</t>
        </is>
      </c>
      <c r="C661" s="12" t="inlineStr">
        <is>
          <t>Microsoft-Descoped</t>
        </is>
      </c>
      <c r="D661" s="11" t="inlineStr">
        <is>
          <t>PE</t>
        </is>
      </c>
      <c r="E661" s="12" t="inlineStr">
        <is>
          <t>Microsoft Descoped</t>
        </is>
      </c>
      <c r="F661" s="12" t="inlineStr">
        <is>
          <t>PE-13</t>
        </is>
      </c>
      <c r="G661" s="13">
        <f>IFERROR('[Microsoft_Descoped.xlsx]PE-13'!B20,"Not Started")</f>
        <v/>
      </c>
      <c r="H661" s="14">
        <f>IF(OR(G661="Passed",G661="Accepted Exception"),"GREEN",IF(OR(G661="Not Started",G661="Failed"),"RED","AMBER"))</f>
        <v/>
      </c>
      <c r="I661" s="15">
        <f>IFERROR('[Microsoft_Descoped.xlsx]PE-13'!E20,"Non commencé")</f>
        <v/>
      </c>
      <c r="J661" s="16">
        <f>IF(OR(I661="Réussi",I661="Exception acceptée"),"GREEN",IF(OR(I661="Non commencé",I661="Échec"),"RED","AMBER"))</f>
        <v/>
      </c>
      <c r="K661" s="12" t="inlineStr"/>
      <c r="L661" s="12" t="inlineStr"/>
      <c r="M661" s="17" t="inlineStr"/>
    </row>
    <row r="662" ht="18" customHeight="1">
      <c r="A662" s="18" t="inlineStr">
        <is>
          <t>PE-13(2)</t>
        </is>
      </c>
      <c r="B662" s="19" t="inlineStr">
        <is>
          <t>Fire Protection</t>
        </is>
      </c>
      <c r="C662" s="19" t="inlineStr">
        <is>
          <t>Microsoft-Descoped</t>
        </is>
      </c>
      <c r="D662" s="18" t="inlineStr">
        <is>
          <t>PE</t>
        </is>
      </c>
      <c r="E662" s="19" t="inlineStr">
        <is>
          <t>Microsoft Descoped</t>
        </is>
      </c>
      <c r="F662" s="19" t="inlineStr">
        <is>
          <t>PE-13-2</t>
        </is>
      </c>
      <c r="G662" s="20">
        <f>IFERROR('[Microsoft_Descoped.xlsx]PE-13-2'!B20,"Not Started")</f>
        <v/>
      </c>
      <c r="H662" s="14">
        <f>IF(OR(G662="Passed",G662="Accepted Exception"),"GREEN",IF(OR(G662="Not Started",G662="Failed"),"RED","AMBER"))</f>
        <v/>
      </c>
      <c r="I662" s="21">
        <f>IFERROR('[Microsoft_Descoped.xlsx]PE-13-2'!E20,"Non commencé")</f>
        <v/>
      </c>
      <c r="J662" s="16">
        <f>IF(OR(I662="Réussi",I662="Exception acceptée"),"GREEN",IF(OR(I662="Non commencé",I662="Échec"),"RED","AMBER"))</f>
        <v/>
      </c>
      <c r="K662" s="19" t="inlineStr"/>
      <c r="L662" s="19" t="inlineStr"/>
      <c r="M662" s="22" t="inlineStr"/>
    </row>
    <row r="663" ht="18" customHeight="1">
      <c r="A663" s="11" t="inlineStr">
        <is>
          <t>PE-13(3)</t>
        </is>
      </c>
      <c r="B663" s="12" t="inlineStr">
        <is>
          <t>Fire Protection</t>
        </is>
      </c>
      <c r="C663" s="12" t="inlineStr">
        <is>
          <t>Microsoft-Descoped</t>
        </is>
      </c>
      <c r="D663" s="11" t="inlineStr">
        <is>
          <t>PE</t>
        </is>
      </c>
      <c r="E663" s="12" t="inlineStr">
        <is>
          <t>Microsoft Descoped</t>
        </is>
      </c>
      <c r="F663" s="12" t="inlineStr">
        <is>
          <t>PE-13-3</t>
        </is>
      </c>
      <c r="G663" s="13">
        <f>IFERROR('[Microsoft_Descoped.xlsx]PE-13-3'!B20,"Not Started")</f>
        <v/>
      </c>
      <c r="H663" s="14">
        <f>IF(OR(G663="Passed",G663="Accepted Exception"),"GREEN",IF(OR(G663="Not Started",G663="Failed"),"RED","AMBER"))</f>
        <v/>
      </c>
      <c r="I663" s="15">
        <f>IFERROR('[Microsoft_Descoped.xlsx]PE-13-3'!E20,"Non commencé")</f>
        <v/>
      </c>
      <c r="J663" s="16">
        <f>IF(OR(I663="Réussi",I663="Exception acceptée"),"GREEN",IF(OR(I663="Non commencé",I663="Échec"),"RED","AMBER"))</f>
        <v/>
      </c>
      <c r="K663" s="12" t="inlineStr"/>
      <c r="L663" s="12" t="inlineStr"/>
      <c r="M663" s="17" t="inlineStr"/>
    </row>
    <row r="664" ht="18" customHeight="1">
      <c r="A664" s="18" t="inlineStr">
        <is>
          <t>PE-14</t>
        </is>
      </c>
      <c r="B664" s="19" t="inlineStr">
        <is>
          <t>Temperature and Humidity Controls</t>
        </is>
      </c>
      <c r="C664" s="19" t="inlineStr">
        <is>
          <t>Microsoft-Descoped</t>
        </is>
      </c>
      <c r="D664" s="18" t="inlineStr">
        <is>
          <t>PE</t>
        </is>
      </c>
      <c r="E664" s="19" t="inlineStr">
        <is>
          <t>Microsoft Descoped</t>
        </is>
      </c>
      <c r="F664" s="19" t="inlineStr">
        <is>
          <t>PE-14</t>
        </is>
      </c>
      <c r="G664" s="20">
        <f>IFERROR('[Microsoft_Descoped.xlsx]PE-14'!B20,"Not Started")</f>
        <v/>
      </c>
      <c r="H664" s="14">
        <f>IF(OR(G664="Passed",G664="Accepted Exception"),"GREEN",IF(OR(G664="Not Started",G664="Failed"),"RED","AMBER"))</f>
        <v/>
      </c>
      <c r="I664" s="21">
        <f>IFERROR('[Microsoft_Descoped.xlsx]PE-14'!E20,"Non commencé")</f>
        <v/>
      </c>
      <c r="J664" s="16">
        <f>IF(OR(I664="Réussi",I664="Exception acceptée"),"GREEN",IF(OR(I664="Non commencé",I664="Échec"),"RED","AMBER"))</f>
        <v/>
      </c>
      <c r="K664" s="19" t="inlineStr"/>
      <c r="L664" s="19" t="inlineStr"/>
      <c r="M664" s="22" t="inlineStr"/>
    </row>
    <row r="665" ht="18" customHeight="1">
      <c r="A665" s="11" t="inlineStr">
        <is>
          <t>PE-14(2)</t>
        </is>
      </c>
      <c r="B665" s="12" t="inlineStr">
        <is>
          <t>Temperature and Humidity Controls</t>
        </is>
      </c>
      <c r="C665" s="12" t="inlineStr">
        <is>
          <t>Microsoft-Descoped</t>
        </is>
      </c>
      <c r="D665" s="11" t="inlineStr">
        <is>
          <t>PE</t>
        </is>
      </c>
      <c r="E665" s="12" t="inlineStr">
        <is>
          <t>Microsoft Descoped</t>
        </is>
      </c>
      <c r="F665" s="12" t="inlineStr">
        <is>
          <t>PE-14-2</t>
        </is>
      </c>
      <c r="G665" s="13">
        <f>IFERROR('[Microsoft_Descoped.xlsx]PE-14-2'!B20,"Not Started")</f>
        <v/>
      </c>
      <c r="H665" s="14">
        <f>IF(OR(G665="Passed",G665="Accepted Exception"),"GREEN",IF(OR(G665="Not Started",G665="Failed"),"RED","AMBER"))</f>
        <v/>
      </c>
      <c r="I665" s="15">
        <f>IFERROR('[Microsoft_Descoped.xlsx]PE-14-2'!E20,"Non commencé")</f>
        <v/>
      </c>
      <c r="J665" s="16">
        <f>IF(OR(I665="Réussi",I665="Exception acceptée"),"GREEN",IF(OR(I665="Non commencé",I665="Échec"),"RED","AMBER"))</f>
        <v/>
      </c>
      <c r="K665" s="12" t="inlineStr"/>
      <c r="L665" s="12" t="inlineStr"/>
      <c r="M665" s="17" t="inlineStr"/>
    </row>
    <row r="666" ht="18" customHeight="1">
      <c r="A666" s="18" t="inlineStr">
        <is>
          <t>PE-15</t>
        </is>
      </c>
      <c r="B666" s="19" t="inlineStr">
        <is>
          <t>Water Damage Protection</t>
        </is>
      </c>
      <c r="C666" s="19" t="inlineStr">
        <is>
          <t>Microsoft-Descoped</t>
        </is>
      </c>
      <c r="D666" s="18" t="inlineStr">
        <is>
          <t>PE</t>
        </is>
      </c>
      <c r="E666" s="19" t="inlineStr">
        <is>
          <t>Microsoft Descoped</t>
        </is>
      </c>
      <c r="F666" s="19" t="inlineStr">
        <is>
          <t>PE-15</t>
        </is>
      </c>
      <c r="G666" s="20">
        <f>IFERROR('[Microsoft_Descoped.xlsx]PE-15'!B20,"Not Started")</f>
        <v/>
      </c>
      <c r="H666" s="14">
        <f>IF(OR(G666="Passed",G666="Accepted Exception"),"GREEN",IF(OR(G666="Not Started",G666="Failed"),"RED","AMBER"))</f>
        <v/>
      </c>
      <c r="I666" s="21">
        <f>IFERROR('[Microsoft_Descoped.xlsx]PE-15'!E20,"Non commencé")</f>
        <v/>
      </c>
      <c r="J666" s="16">
        <f>IF(OR(I666="Réussi",I666="Exception acceptée"),"GREEN",IF(OR(I666="Non commencé",I666="Échec"),"RED","AMBER"))</f>
        <v/>
      </c>
      <c r="K666" s="19" t="inlineStr"/>
      <c r="L666" s="19" t="inlineStr"/>
      <c r="M666" s="22" t="inlineStr"/>
    </row>
    <row r="667" ht="18" customHeight="1">
      <c r="A667" s="11" t="inlineStr">
        <is>
          <t>PE-16</t>
        </is>
      </c>
      <c r="B667" s="12" t="inlineStr">
        <is>
          <t>Delivery and Removal</t>
        </is>
      </c>
      <c r="C667" s="12" t="inlineStr">
        <is>
          <t>Microsoft-Descoped</t>
        </is>
      </c>
      <c r="D667" s="11" t="inlineStr">
        <is>
          <t>PE</t>
        </is>
      </c>
      <c r="E667" s="12" t="inlineStr">
        <is>
          <t>Microsoft Descoped</t>
        </is>
      </c>
      <c r="F667" s="12" t="inlineStr">
        <is>
          <t>PE-16</t>
        </is>
      </c>
      <c r="G667" s="13">
        <f>IFERROR('[Microsoft_Descoped.xlsx]PE-16'!B20,"Not Started")</f>
        <v/>
      </c>
      <c r="H667" s="14">
        <f>IF(OR(G667="Passed",G667="Accepted Exception"),"GREEN",IF(OR(G667="Not Started",G667="Failed"),"RED","AMBER"))</f>
        <v/>
      </c>
      <c r="I667" s="15">
        <f>IFERROR('[Microsoft_Descoped.xlsx]PE-16'!E20,"Non commencé")</f>
        <v/>
      </c>
      <c r="J667" s="16">
        <f>IF(OR(I667="Réussi",I667="Exception acceptée"),"GREEN",IF(OR(I667="Non commencé",I667="Échec"),"RED","AMBER"))</f>
        <v/>
      </c>
      <c r="K667" s="12" t="inlineStr"/>
      <c r="L667" s="12" t="inlineStr"/>
      <c r="M667" s="17" t="inlineStr"/>
    </row>
    <row r="668" ht="18" customHeight="1">
      <c r="A668" s="18" t="inlineStr">
        <is>
          <t>PE-17</t>
        </is>
      </c>
      <c r="B668" s="19" t="inlineStr">
        <is>
          <t>Alternate Work Site</t>
        </is>
      </c>
      <c r="C668" s="19" t="inlineStr">
        <is>
          <t>Microsoft-Descoped</t>
        </is>
      </c>
      <c r="D668" s="18" t="inlineStr">
        <is>
          <t>PE</t>
        </is>
      </c>
      <c r="E668" s="19" t="inlineStr">
        <is>
          <t>Microsoft Descoped</t>
        </is>
      </c>
      <c r="F668" s="19" t="inlineStr">
        <is>
          <t>PE-17</t>
        </is>
      </c>
      <c r="G668" s="20">
        <f>IFERROR('[Microsoft_Descoped.xlsx]PE-17'!B20,"Not Started")</f>
        <v/>
      </c>
      <c r="H668" s="14">
        <f>IF(OR(G668="Passed",G668="Accepted Exception"),"GREEN",IF(OR(G668="Not Started",G668="Failed"),"RED","AMBER"))</f>
        <v/>
      </c>
      <c r="I668" s="21">
        <f>IFERROR('[Microsoft_Descoped.xlsx]PE-17'!E20,"Non commencé")</f>
        <v/>
      </c>
      <c r="J668" s="16">
        <f>IF(OR(I668="Réussi",I668="Exception acceptée"),"GREEN",IF(OR(I668="Non commencé",I668="Échec"),"RED","AMBER"))</f>
        <v/>
      </c>
      <c r="K668" s="19" t="inlineStr"/>
      <c r="L668" s="19" t="inlineStr"/>
      <c r="M668" s="22" t="inlineStr"/>
    </row>
    <row r="669" ht="18" customHeight="1">
      <c r="A669" s="11" t="inlineStr">
        <is>
          <t>SA-9</t>
        </is>
      </c>
      <c r="B669" s="12" t="inlineStr">
        <is>
          <t>External Information System Services</t>
        </is>
      </c>
      <c r="C669" s="12" t="inlineStr">
        <is>
          <t>Microsoft-Descoped</t>
        </is>
      </c>
      <c r="D669" s="11" t="inlineStr">
        <is>
          <t>SA</t>
        </is>
      </c>
      <c r="E669" s="12" t="inlineStr">
        <is>
          <t>Microsoft Descoped</t>
        </is>
      </c>
      <c r="F669" s="12" t="inlineStr">
        <is>
          <t>SA-9</t>
        </is>
      </c>
      <c r="G669" s="13">
        <f>IFERROR('[Microsoft_Descoped.xlsx]SA-9'!B20,"Not Started")</f>
        <v/>
      </c>
      <c r="H669" s="14">
        <f>IF(OR(G669="Passed",G669="Accepted Exception"),"GREEN",IF(OR(G669="Not Started",G669="Failed"),"RED","AMBER"))</f>
        <v/>
      </c>
      <c r="I669" s="15">
        <f>IFERROR('[Microsoft_Descoped.xlsx]SA-9'!E20,"Non commencé")</f>
        <v/>
      </c>
      <c r="J669" s="16">
        <f>IF(OR(I669="Réussi",I669="Exception acceptée"),"GREEN",IF(OR(I669="Non commencé",I669="Échec"),"RED","AMBER"))</f>
        <v/>
      </c>
      <c r="K669" s="12" t="inlineStr"/>
      <c r="L669" s="12" t="inlineStr"/>
      <c r="M669" s="17" t="inlineStr"/>
    </row>
    <row r="670" ht="18" customHeight="1">
      <c r="A670" s="18" t="inlineStr">
        <is>
          <t>SA-9(2)</t>
        </is>
      </c>
      <c r="B670" s="19" t="inlineStr">
        <is>
          <t>External Information System Services</t>
        </is>
      </c>
      <c r="C670" s="19" t="inlineStr">
        <is>
          <t>Microsoft-Descoped</t>
        </is>
      </c>
      <c r="D670" s="18" t="inlineStr">
        <is>
          <t>SA</t>
        </is>
      </c>
      <c r="E670" s="19" t="inlineStr">
        <is>
          <t>Microsoft Descoped</t>
        </is>
      </c>
      <c r="F670" s="19" t="inlineStr">
        <is>
          <t>SA-9-2</t>
        </is>
      </c>
      <c r="G670" s="20">
        <f>IFERROR('[Microsoft_Descoped.xlsx]SA-9-2'!B20,"Not Started")</f>
        <v/>
      </c>
      <c r="H670" s="14">
        <f>IF(OR(G670="Passed",G670="Accepted Exception"),"GREEN",IF(OR(G670="Not Started",G670="Failed"),"RED","AMBER"))</f>
        <v/>
      </c>
      <c r="I670" s="21">
        <f>IFERROR('[Microsoft_Descoped.xlsx]SA-9-2'!E20,"Non commencé")</f>
        <v/>
      </c>
      <c r="J670" s="16">
        <f>IF(OR(I670="Réussi",I670="Exception acceptée"),"GREEN",IF(OR(I670="Non commencé",I670="Échec"),"RED","AMBER"))</f>
        <v/>
      </c>
      <c r="K670" s="19" t="inlineStr"/>
      <c r="L670" s="19" t="inlineStr"/>
      <c r="M670" s="22" t="inlineStr"/>
    </row>
    <row r="671" ht="18" customHeight="1">
      <c r="A671" s="11" t="inlineStr">
        <is>
          <t>SA-9(4)</t>
        </is>
      </c>
      <c r="B671" s="12" t="inlineStr">
        <is>
          <t>External Information System Services</t>
        </is>
      </c>
      <c r="C671" s="12" t="inlineStr">
        <is>
          <t>Microsoft-Descoped</t>
        </is>
      </c>
      <c r="D671" s="11" t="inlineStr">
        <is>
          <t>SA</t>
        </is>
      </c>
      <c r="E671" s="12" t="inlineStr">
        <is>
          <t>Microsoft Descoped</t>
        </is>
      </c>
      <c r="F671" s="12" t="inlineStr">
        <is>
          <t>SA-9-4</t>
        </is>
      </c>
      <c r="G671" s="13">
        <f>IFERROR('[Microsoft_Descoped.xlsx]SA-9-4'!B20,"Not Started")</f>
        <v/>
      </c>
      <c r="H671" s="14">
        <f>IF(OR(G671="Passed",G671="Accepted Exception"),"GREEN",IF(OR(G671="Not Started",G671="Failed"),"RED","AMBER"))</f>
        <v/>
      </c>
      <c r="I671" s="15">
        <f>IFERROR('[Microsoft_Descoped.xlsx]SA-9-4'!E20,"Non commencé")</f>
        <v/>
      </c>
      <c r="J671" s="16">
        <f>IF(OR(I671="Réussi",I671="Exception acceptée"),"GREEN",IF(OR(I671="Non commencé",I671="Échec"),"RED","AMBER"))</f>
        <v/>
      </c>
      <c r="K671" s="12" t="inlineStr"/>
      <c r="L671" s="12" t="inlineStr"/>
      <c r="M671" s="17" t="inlineStr"/>
    </row>
    <row r="672" ht="18" customHeight="1">
      <c r="A672" s="18" t="inlineStr">
        <is>
          <t>SC-15</t>
        </is>
      </c>
      <c r="B672" s="19" t="inlineStr">
        <is>
          <t>Collaborative Computing Devices</t>
        </is>
      </c>
      <c r="C672" s="19" t="inlineStr">
        <is>
          <t>Microsoft-Descoped</t>
        </is>
      </c>
      <c r="D672" s="18" t="inlineStr">
        <is>
          <t>SC</t>
        </is>
      </c>
      <c r="E672" s="19" t="inlineStr">
        <is>
          <t>Microsoft Descoped</t>
        </is>
      </c>
      <c r="F672" s="19" t="inlineStr">
        <is>
          <t>SC-15</t>
        </is>
      </c>
      <c r="G672" s="20">
        <f>IFERROR('[Microsoft_Descoped.xlsx]SC-15'!B20,"Not Started")</f>
        <v/>
      </c>
      <c r="H672" s="14">
        <f>IF(OR(G672="Passed",G672="Accepted Exception"),"GREEN",IF(OR(G672="Not Started",G672="Failed"),"RED","AMBER"))</f>
        <v/>
      </c>
      <c r="I672" s="21">
        <f>IFERROR('[Microsoft_Descoped.xlsx]SC-15'!E20,"Non commencé")</f>
        <v/>
      </c>
      <c r="J672" s="16">
        <f>IF(OR(I672="Réussi",I672="Exception acceptée"),"GREEN",IF(OR(I672="Non commencé",I672="Échec"),"RED","AMBER"))</f>
        <v/>
      </c>
      <c r="K672" s="19" t="inlineStr"/>
      <c r="L672" s="19" t="inlineStr"/>
      <c r="M672" s="22" t="inlineStr"/>
    </row>
    <row r="673" ht="18" customHeight="1">
      <c r="A673" s="11" t="inlineStr">
        <is>
          <t>SC-19</t>
        </is>
      </c>
      <c r="B673" s="12" t="inlineStr">
        <is>
          <t>Voice Over Internet Protocol</t>
        </is>
      </c>
      <c r="C673" s="12" t="inlineStr">
        <is>
          <t>Microsoft-Descoped</t>
        </is>
      </c>
      <c r="D673" s="11" t="inlineStr">
        <is>
          <t>SC</t>
        </is>
      </c>
      <c r="E673" s="12" t="inlineStr">
        <is>
          <t>Microsoft Descoped</t>
        </is>
      </c>
      <c r="F673" s="12" t="inlineStr">
        <is>
          <t>SC-19</t>
        </is>
      </c>
      <c r="G673" s="13">
        <f>IFERROR('[Microsoft_Descoped.xlsx]SC-19'!B20,"Not Started")</f>
        <v/>
      </c>
      <c r="H673" s="14">
        <f>IF(OR(G673="Passed",G673="Accepted Exception"),"GREEN",IF(OR(G673="Not Started",G673="Failed"),"RED","AMBER"))</f>
        <v/>
      </c>
      <c r="I673" s="15">
        <f>IFERROR('[Microsoft_Descoped.xlsx]SC-19'!E20,"Non commencé")</f>
        <v/>
      </c>
      <c r="J673" s="16">
        <f>IF(OR(I673="Réussi",I673="Exception acceptée"),"GREEN",IF(OR(I673="Non commencé",I673="Échec"),"RED","AMBER"))</f>
        <v/>
      </c>
      <c r="K673" s="12" t="inlineStr"/>
      <c r="L673" s="12" t="inlineStr"/>
      <c r="M673" s="17" t="inlineStr"/>
    </row>
    <row r="674" ht="18" customHeight="1">
      <c r="A674" s="18" t="inlineStr">
        <is>
          <t>SC-39</t>
        </is>
      </c>
      <c r="B674" s="19" t="inlineStr">
        <is>
          <t>Process Isolation</t>
        </is>
      </c>
      <c r="C674" s="19" t="inlineStr">
        <is>
          <t>Microsoft-Descoped</t>
        </is>
      </c>
      <c r="D674" s="18" t="inlineStr">
        <is>
          <t>SC</t>
        </is>
      </c>
      <c r="E674" s="19" t="inlineStr">
        <is>
          <t>Microsoft Descoped</t>
        </is>
      </c>
      <c r="F674" s="19" t="inlineStr">
        <is>
          <t>SC-39</t>
        </is>
      </c>
      <c r="G674" s="20">
        <f>IFERROR('[Microsoft_Descoped.xlsx]SC-39'!B20,"Not Started")</f>
        <v/>
      </c>
      <c r="H674" s="14">
        <f>IF(OR(G674="Passed",G674="Accepted Exception"),"GREEN",IF(OR(G674="Not Started",G674="Failed"),"RED","AMBER"))</f>
        <v/>
      </c>
      <c r="I674" s="21">
        <f>IFERROR('[Microsoft_Descoped.xlsx]SC-39'!E20,"Non commencé")</f>
        <v/>
      </c>
      <c r="J674" s="16">
        <f>IF(OR(I674="Réussi",I674="Exception acceptée"),"GREEN",IF(OR(I674="Non commencé",I674="Échec"),"RED","AMBER"))</f>
        <v/>
      </c>
      <c r="K674" s="19" t="inlineStr"/>
      <c r="L674" s="19" t="inlineStr"/>
      <c r="M674" s="22" t="inlineStr"/>
    </row>
    <row r="675" ht="18" customHeight="1">
      <c r="A675" s="11" t="inlineStr">
        <is>
          <t>SI-4(14)</t>
        </is>
      </c>
      <c r="B675" s="12" t="inlineStr">
        <is>
          <t>Information System Monitoring</t>
        </is>
      </c>
      <c r="C675" s="12" t="inlineStr">
        <is>
          <t>Microsoft-Descoped</t>
        </is>
      </c>
      <c r="D675" s="11" t="inlineStr">
        <is>
          <t>SI</t>
        </is>
      </c>
      <c r="E675" s="12" t="inlineStr">
        <is>
          <t>Microsoft Descoped</t>
        </is>
      </c>
      <c r="F675" s="12" t="inlineStr">
        <is>
          <t>SI-4-14</t>
        </is>
      </c>
      <c r="G675" s="13">
        <f>IFERROR('[Microsoft_Descoped.xlsx]SI-4-14'!B20,"Not Started")</f>
        <v/>
      </c>
      <c r="H675" s="14">
        <f>IF(OR(G675="Passed",G675="Accepted Exception"),"GREEN",IF(OR(G675="Not Started",G675="Failed"),"RED","AMBER"))</f>
        <v/>
      </c>
      <c r="I675" s="15">
        <f>IFERROR('[Microsoft_Descoped.xlsx]SI-4-14'!E20,"Non commencé")</f>
        <v/>
      </c>
      <c r="J675" s="16">
        <f>IF(OR(I675="Réussi",I675="Exception acceptée"),"GREEN",IF(OR(I675="Non commencé",I675="Échec"),"RED","AMBER"))</f>
        <v/>
      </c>
      <c r="K675" s="12" t="inlineStr"/>
      <c r="L675" s="12" t="inlineStr"/>
      <c r="M675" s="17" t="inlineStr"/>
    </row>
    <row r="676" ht="18" customHeight="1">
      <c r="A676" s="18" t="inlineStr">
        <is>
          <t>SI-16</t>
        </is>
      </c>
      <c r="B676" s="19" t="inlineStr">
        <is>
          <t>Memory Protection</t>
        </is>
      </c>
      <c r="C676" s="19" t="inlineStr">
        <is>
          <t>Microsoft-Descoped</t>
        </is>
      </c>
      <c r="D676" s="18" t="inlineStr">
        <is>
          <t>SI</t>
        </is>
      </c>
      <c r="E676" s="19" t="inlineStr">
        <is>
          <t>Microsoft Descoped</t>
        </is>
      </c>
      <c r="F676" s="19" t="inlineStr">
        <is>
          <t>SI-16</t>
        </is>
      </c>
      <c r="G676" s="20">
        <f>IFERROR('[Microsoft_Descoped.xlsx]SI-16'!B20,"Not Started")</f>
        <v/>
      </c>
      <c r="H676" s="14">
        <f>IF(OR(G676="Passed",G676="Accepted Exception"),"GREEN",IF(OR(G676="Not Started",G676="Failed"),"RED","AMBER"))</f>
        <v/>
      </c>
      <c r="I676" s="21">
        <f>IFERROR('[Microsoft_Descoped.xlsx]SI-16'!E20,"Non commencé")</f>
        <v/>
      </c>
      <c r="J676" s="16">
        <f>IF(OR(I676="Réussi",I676="Exception acceptée"),"GREEN",IF(OR(I676="Non commencé",I676="Échec"),"RED","AMBER"))</f>
        <v/>
      </c>
      <c r="K676" s="19" t="inlineStr"/>
      <c r="L676" s="19" t="inlineStr"/>
      <c r="M676" s="22" t="inlineStr"/>
    </row>
    <row r="677" ht="18" customHeight="1">
      <c r="A677" s="11" t="inlineStr">
        <is>
          <t>AC-4</t>
        </is>
      </c>
      <c r="B677" s="12" t="inlineStr">
        <is>
          <t>Information Flow Enforcement</t>
        </is>
      </c>
      <c r="C677" s="12" t="inlineStr">
        <is>
          <t>Networking</t>
        </is>
      </c>
      <c r="D677" s="11" t="inlineStr">
        <is>
          <t>AC</t>
        </is>
      </c>
      <c r="E677" s="12" t="inlineStr">
        <is>
          <t>Networking</t>
        </is>
      </c>
      <c r="F677" s="12" t="inlineStr">
        <is>
          <t>AC-4</t>
        </is>
      </c>
      <c r="G677" s="13">
        <f>IFERROR('[Networking.xlsx]AC-4'!B20,"Not Started")</f>
        <v/>
      </c>
      <c r="H677" s="14">
        <f>IF(OR(G677="Passed",G677="Accepted Exception"),"GREEN",IF(OR(G677="Not Started",G677="Failed"),"RED","AMBER"))</f>
        <v/>
      </c>
      <c r="I677" s="15">
        <f>IFERROR('[Networking.xlsx]AC-4'!E20,"Non commencé")</f>
        <v/>
      </c>
      <c r="J677" s="16">
        <f>IF(OR(I677="Réussi",I677="Exception acceptée"),"GREEN",IF(OR(I677="Non commencé",I677="Échec"),"RED","AMBER"))</f>
        <v/>
      </c>
      <c r="K677" s="12" t="inlineStr"/>
      <c r="L677" s="12" t="inlineStr"/>
      <c r="M677" s="17" t="inlineStr"/>
    </row>
    <row r="678" ht="18" customHeight="1">
      <c r="A678" s="18" t="inlineStr">
        <is>
          <t>AC-4(21)</t>
        </is>
      </c>
      <c r="B678" s="19" t="inlineStr">
        <is>
          <t>Information Flow Enforcement</t>
        </is>
      </c>
      <c r="C678" s="19" t="inlineStr">
        <is>
          <t>Networking</t>
        </is>
      </c>
      <c r="D678" s="18" t="inlineStr">
        <is>
          <t>AC</t>
        </is>
      </c>
      <c r="E678" s="19" t="inlineStr">
        <is>
          <t>Networking</t>
        </is>
      </c>
      <c r="F678" s="19" t="inlineStr">
        <is>
          <t>AC-4-21</t>
        </is>
      </c>
      <c r="G678" s="20">
        <f>IFERROR('[Networking.xlsx]AC-4-21'!B20,"Not Started")</f>
        <v/>
      </c>
      <c r="H678" s="14">
        <f>IF(OR(G678="Passed",G678="Accepted Exception"),"GREEN",IF(OR(G678="Not Started",G678="Failed"),"RED","AMBER"))</f>
        <v/>
      </c>
      <c r="I678" s="21">
        <f>IFERROR('[Networking.xlsx]AC-4-21'!E20,"Non commencé")</f>
        <v/>
      </c>
      <c r="J678" s="16">
        <f>IF(OR(I678="Réussi",I678="Exception acceptée"),"GREEN",IF(OR(I678="Non commencé",I678="Échec"),"RED","AMBER"))</f>
        <v/>
      </c>
      <c r="K678" s="19" t="inlineStr"/>
      <c r="L678" s="19" t="inlineStr"/>
      <c r="M678" s="22" t="inlineStr"/>
    </row>
    <row r="679" ht="18" customHeight="1">
      <c r="A679" s="11" t="inlineStr">
        <is>
          <t>AC-17(1)</t>
        </is>
      </c>
      <c r="B679" s="12" t="inlineStr">
        <is>
          <t>Remote Access</t>
        </is>
      </c>
      <c r="C679" s="12" t="inlineStr">
        <is>
          <t>Networking</t>
        </is>
      </c>
      <c r="D679" s="11" t="inlineStr">
        <is>
          <t>AC</t>
        </is>
      </c>
      <c r="E679" s="12" t="inlineStr">
        <is>
          <t>Networking</t>
        </is>
      </c>
      <c r="F679" s="12" t="inlineStr">
        <is>
          <t>AC-17-1</t>
        </is>
      </c>
      <c r="G679" s="13">
        <f>IFERROR('[Networking.xlsx]AC-17-1'!B20,"Not Started")</f>
        <v/>
      </c>
      <c r="H679" s="14">
        <f>IF(OR(G679="Passed",G679="Accepted Exception"),"GREEN",IF(OR(G679="Not Started",G679="Failed"),"RED","AMBER"))</f>
        <v/>
      </c>
      <c r="I679" s="15">
        <f>IFERROR('[Networking.xlsx]AC-17-1'!E20,"Non commencé")</f>
        <v/>
      </c>
      <c r="J679" s="16">
        <f>IF(OR(I679="Réussi",I679="Exception acceptée"),"GREEN",IF(OR(I679="Non commencé",I679="Échec"),"RED","AMBER"))</f>
        <v/>
      </c>
      <c r="K679" s="12" t="inlineStr"/>
      <c r="L679" s="12" t="inlineStr"/>
      <c r="M679" s="17" t="inlineStr"/>
    </row>
    <row r="680" ht="18" customHeight="1">
      <c r="A680" s="18" t="inlineStr">
        <is>
          <t>AC-17(2)</t>
        </is>
      </c>
      <c r="B680" s="19" t="inlineStr">
        <is>
          <t>Remote Access</t>
        </is>
      </c>
      <c r="C680" s="19" t="inlineStr">
        <is>
          <t>Networking</t>
        </is>
      </c>
      <c r="D680" s="18" t="inlineStr">
        <is>
          <t>AC</t>
        </is>
      </c>
      <c r="E680" s="19" t="inlineStr">
        <is>
          <t>Networking</t>
        </is>
      </c>
      <c r="F680" s="19" t="inlineStr">
        <is>
          <t>AC-17-2</t>
        </is>
      </c>
      <c r="G680" s="20">
        <f>IFERROR('[Networking.xlsx]AC-17-2'!B20,"Not Started")</f>
        <v/>
      </c>
      <c r="H680" s="14">
        <f>IF(OR(G680="Passed",G680="Accepted Exception"),"GREEN",IF(OR(G680="Not Started",G680="Failed"),"RED","AMBER"))</f>
        <v/>
      </c>
      <c r="I680" s="21">
        <f>IFERROR('[Networking.xlsx]AC-17-2'!E20,"Non commencé")</f>
        <v/>
      </c>
      <c r="J680" s="16">
        <f>IF(OR(I680="Réussi",I680="Exception acceptée"),"GREEN",IF(OR(I680="Non commencé",I680="Échec"),"RED","AMBER"))</f>
        <v/>
      </c>
      <c r="K680" s="19" t="inlineStr"/>
      <c r="L680" s="19" t="inlineStr"/>
      <c r="M680" s="22" t="inlineStr"/>
    </row>
    <row r="681" ht="18" customHeight="1">
      <c r="A681" s="11" t="inlineStr">
        <is>
          <t>AC-17(3)</t>
        </is>
      </c>
      <c r="B681" s="12" t="inlineStr">
        <is>
          <t>Remote Access</t>
        </is>
      </c>
      <c r="C681" s="12" t="inlineStr">
        <is>
          <t>Networking</t>
        </is>
      </c>
      <c r="D681" s="11" t="inlineStr">
        <is>
          <t>AC</t>
        </is>
      </c>
      <c r="E681" s="12" t="inlineStr">
        <is>
          <t>Networking</t>
        </is>
      </c>
      <c r="F681" s="12" t="inlineStr">
        <is>
          <t>AC-17-3</t>
        </is>
      </c>
      <c r="G681" s="13">
        <f>IFERROR('[Networking.xlsx]AC-17-3'!B20,"Not Started")</f>
        <v/>
      </c>
      <c r="H681" s="14">
        <f>IF(OR(G681="Passed",G681="Accepted Exception"),"GREEN",IF(OR(G681="Not Started",G681="Failed"),"RED","AMBER"))</f>
        <v/>
      </c>
      <c r="I681" s="15">
        <f>IFERROR('[Networking.xlsx]AC-17-3'!E20,"Non commencé")</f>
        <v/>
      </c>
      <c r="J681" s="16">
        <f>IF(OR(I681="Réussi",I681="Exception acceptée"),"GREEN",IF(OR(I681="Non commencé",I681="Échec"),"RED","AMBER"))</f>
        <v/>
      </c>
      <c r="K681" s="12" t="inlineStr"/>
      <c r="L681" s="12" t="inlineStr"/>
      <c r="M681" s="17" t="inlineStr"/>
    </row>
    <row r="682" ht="18" customHeight="1">
      <c r="A682" s="18" t="inlineStr">
        <is>
          <t>AC-17(9)</t>
        </is>
      </c>
      <c r="B682" s="19" t="inlineStr">
        <is>
          <t>Remote Access</t>
        </is>
      </c>
      <c r="C682" s="19" t="inlineStr">
        <is>
          <t>Networking</t>
        </is>
      </c>
      <c r="D682" s="18" t="inlineStr">
        <is>
          <t>AC</t>
        </is>
      </c>
      <c r="E682" s="19" t="inlineStr">
        <is>
          <t>Networking</t>
        </is>
      </c>
      <c r="F682" s="19" t="inlineStr">
        <is>
          <t>AC-17-9</t>
        </is>
      </c>
      <c r="G682" s="20">
        <f>IFERROR('[Networking.xlsx]AC-17-9'!B20,"Not Started")</f>
        <v/>
      </c>
      <c r="H682" s="14">
        <f>IF(OR(G682="Passed",G682="Accepted Exception"),"GREEN",IF(OR(G682="Not Started",G682="Failed"),"RED","AMBER"))</f>
        <v/>
      </c>
      <c r="I682" s="21">
        <f>IFERROR('[Networking.xlsx]AC-17-9'!E20,"Non commencé")</f>
        <v/>
      </c>
      <c r="J682" s="16">
        <f>IF(OR(I682="Réussi",I682="Exception acceptée"),"GREEN",IF(OR(I682="Non commencé",I682="Échec"),"RED","AMBER"))</f>
        <v/>
      </c>
      <c r="K682" s="19" t="inlineStr"/>
      <c r="L682" s="19" t="inlineStr"/>
      <c r="M682" s="22" t="inlineStr"/>
    </row>
    <row r="683" ht="18" customHeight="1">
      <c r="A683" s="11" t="inlineStr">
        <is>
          <t>AC-17(100)</t>
        </is>
      </c>
      <c r="B683" s="12" t="inlineStr">
        <is>
          <t>Remote Access</t>
        </is>
      </c>
      <c r="C683" s="12" t="inlineStr">
        <is>
          <t>Networking</t>
        </is>
      </c>
      <c r="D683" s="11" t="inlineStr">
        <is>
          <t>AC</t>
        </is>
      </c>
      <c r="E683" s="12" t="inlineStr">
        <is>
          <t>Networking</t>
        </is>
      </c>
      <c r="F683" s="12" t="inlineStr">
        <is>
          <t>AC-17-100</t>
        </is>
      </c>
      <c r="G683" s="13">
        <f>IFERROR('[Networking.xlsx]AC-17-100'!B20,"Not Started")</f>
        <v/>
      </c>
      <c r="H683" s="14">
        <f>IF(OR(G683="Passed",G683="Accepted Exception"),"GREEN",IF(OR(G683="Not Started",G683="Failed"),"RED","AMBER"))</f>
        <v/>
      </c>
      <c r="I683" s="15">
        <f>IFERROR('[Networking.xlsx]AC-17-100'!E20,"Non commencé")</f>
        <v/>
      </c>
      <c r="J683" s="16">
        <f>IF(OR(I683="Réussi",I683="Exception acceptée"),"GREEN",IF(OR(I683="Non commencé",I683="Échec"),"RED","AMBER"))</f>
        <v/>
      </c>
      <c r="K683" s="12" t="inlineStr"/>
      <c r="L683" s="12" t="inlineStr"/>
      <c r="M683" s="17" t="inlineStr"/>
    </row>
    <row r="684" ht="18" customHeight="1">
      <c r="A684" s="18" t="inlineStr">
        <is>
          <t>AU-2</t>
        </is>
      </c>
      <c r="B684" s="19" t="inlineStr">
        <is>
          <t>Auditable Events</t>
        </is>
      </c>
      <c r="C684" s="19" t="inlineStr">
        <is>
          <t>Networking</t>
        </is>
      </c>
      <c r="D684" s="18" t="inlineStr">
        <is>
          <t>AU</t>
        </is>
      </c>
      <c r="E684" s="19" t="inlineStr">
        <is>
          <t>Networking</t>
        </is>
      </c>
      <c r="F684" s="19" t="inlineStr">
        <is>
          <t>AU-2</t>
        </is>
      </c>
      <c r="G684" s="20">
        <f>IFERROR('[Networking.xlsx]AU-2'!B20,"Not Started")</f>
        <v/>
      </c>
      <c r="H684" s="14">
        <f>IF(OR(G684="Passed",G684="Accepted Exception"),"GREEN",IF(OR(G684="Not Started",G684="Failed"),"RED","AMBER"))</f>
        <v/>
      </c>
      <c r="I684" s="21">
        <f>IFERROR('[Networking.xlsx]AU-2'!E20,"Non commencé")</f>
        <v/>
      </c>
      <c r="J684" s="16">
        <f>IF(OR(I684="Réussi",I684="Exception acceptée"),"GREEN",IF(OR(I684="Non commencé",I684="Échec"),"RED","AMBER"))</f>
        <v/>
      </c>
      <c r="K684" s="19" t="inlineStr"/>
      <c r="L684" s="19" t="inlineStr"/>
      <c r="M684" s="22" t="inlineStr"/>
    </row>
    <row r="685" ht="18" customHeight="1">
      <c r="A685" s="11" t="inlineStr">
        <is>
          <t>AU-3</t>
        </is>
      </c>
      <c r="B685" s="12" t="inlineStr">
        <is>
          <t>Content of Audit Records</t>
        </is>
      </c>
      <c r="C685" s="12" t="inlineStr">
        <is>
          <t>Networking</t>
        </is>
      </c>
      <c r="D685" s="11" t="inlineStr">
        <is>
          <t>AU</t>
        </is>
      </c>
      <c r="E685" s="12" t="inlineStr">
        <is>
          <t>Networking</t>
        </is>
      </c>
      <c r="F685" s="12" t="inlineStr">
        <is>
          <t>AU-3</t>
        </is>
      </c>
      <c r="G685" s="13">
        <f>IFERROR('[Networking.xlsx]AU-3'!B20,"Not Started")</f>
        <v/>
      </c>
      <c r="H685" s="14">
        <f>IF(OR(G685="Passed",G685="Accepted Exception"),"GREEN",IF(OR(G685="Not Started",G685="Failed"),"RED","AMBER"))</f>
        <v/>
      </c>
      <c r="I685" s="15">
        <f>IFERROR('[Networking.xlsx]AU-3'!E20,"Non commencé")</f>
        <v/>
      </c>
      <c r="J685" s="16">
        <f>IF(OR(I685="Réussi",I685="Exception acceptée"),"GREEN",IF(OR(I685="Non commencé",I685="Échec"),"RED","AMBER"))</f>
        <v/>
      </c>
      <c r="K685" s="12" t="inlineStr"/>
      <c r="L685" s="12" t="inlineStr"/>
      <c r="M685" s="17" t="inlineStr"/>
    </row>
    <row r="686" ht="18" customHeight="1">
      <c r="A686" s="18" t="inlineStr">
        <is>
          <t>AU-3(1)</t>
        </is>
      </c>
      <c r="B686" s="19" t="inlineStr">
        <is>
          <t>Content of Audit Records</t>
        </is>
      </c>
      <c r="C686" s="19" t="inlineStr">
        <is>
          <t>Networking</t>
        </is>
      </c>
      <c r="D686" s="18" t="inlineStr">
        <is>
          <t>AU</t>
        </is>
      </c>
      <c r="E686" s="19" t="inlineStr">
        <is>
          <t>Networking</t>
        </is>
      </c>
      <c r="F686" s="19" t="inlineStr">
        <is>
          <t>AU-3-1</t>
        </is>
      </c>
      <c r="G686" s="20">
        <f>IFERROR('[Networking.xlsx]AU-3-1'!B20,"Not Started")</f>
        <v/>
      </c>
      <c r="H686" s="14">
        <f>IF(OR(G686="Passed",G686="Accepted Exception"),"GREEN",IF(OR(G686="Not Started",G686="Failed"),"RED","AMBER"))</f>
        <v/>
      </c>
      <c r="I686" s="21">
        <f>IFERROR('[Networking.xlsx]AU-3-1'!E20,"Non commencé")</f>
        <v/>
      </c>
      <c r="J686" s="16">
        <f>IF(OR(I686="Réussi",I686="Exception acceptée"),"GREEN",IF(OR(I686="Non commencé",I686="Échec"),"RED","AMBER"))</f>
        <v/>
      </c>
      <c r="K686" s="19" t="inlineStr"/>
      <c r="L686" s="19" t="inlineStr"/>
      <c r="M686" s="22" t="inlineStr"/>
    </row>
    <row r="687" ht="18" customHeight="1">
      <c r="A687" s="11" t="inlineStr">
        <is>
          <t>AU-9(2)</t>
        </is>
      </c>
      <c r="B687" s="12" t="inlineStr">
        <is>
          <t>Protection of Audit Information</t>
        </is>
      </c>
      <c r="C687" s="12" t="inlineStr">
        <is>
          <t>Networking</t>
        </is>
      </c>
      <c r="D687" s="11" t="inlineStr">
        <is>
          <t>AU</t>
        </is>
      </c>
      <c r="E687" s="12" t="inlineStr">
        <is>
          <t>Networking</t>
        </is>
      </c>
      <c r="F687" s="12" t="inlineStr">
        <is>
          <t>AU-9-2</t>
        </is>
      </c>
      <c r="G687" s="13">
        <f>IFERROR('[Networking.xlsx]AU-9-2'!B20,"Not Started")</f>
        <v/>
      </c>
      <c r="H687" s="14">
        <f>IF(OR(G687="Passed",G687="Accepted Exception"),"GREEN",IF(OR(G687="Not Started",G687="Failed"),"RED","AMBER"))</f>
        <v/>
      </c>
      <c r="I687" s="15">
        <f>IFERROR('[Networking.xlsx]AU-9-2'!E20,"Non commencé")</f>
        <v/>
      </c>
      <c r="J687" s="16">
        <f>IF(OR(I687="Réussi",I687="Exception acceptée"),"GREEN",IF(OR(I687="Non commencé",I687="Échec"),"RED","AMBER"))</f>
        <v/>
      </c>
      <c r="K687" s="12" t="inlineStr"/>
      <c r="L687" s="12" t="inlineStr"/>
      <c r="M687" s="17" t="inlineStr"/>
    </row>
    <row r="688" ht="18" customHeight="1">
      <c r="A688" s="18" t="inlineStr">
        <is>
          <t>AU-12</t>
        </is>
      </c>
      <c r="B688" s="19" t="inlineStr">
        <is>
          <t>Audit Generation</t>
        </is>
      </c>
      <c r="C688" s="19" t="inlineStr">
        <is>
          <t>Networking</t>
        </is>
      </c>
      <c r="D688" s="18" t="inlineStr">
        <is>
          <t>AU</t>
        </is>
      </c>
      <c r="E688" s="19" t="inlineStr">
        <is>
          <t>Networking</t>
        </is>
      </c>
      <c r="F688" s="19" t="inlineStr">
        <is>
          <t>AU-12</t>
        </is>
      </c>
      <c r="G688" s="20">
        <f>IFERROR('[Networking.xlsx]AU-12'!B20,"Not Started")</f>
        <v/>
      </c>
      <c r="H688" s="14">
        <f>IF(OR(G688="Passed",G688="Accepted Exception"),"GREEN",IF(OR(G688="Not Started",G688="Failed"),"RED","AMBER"))</f>
        <v/>
      </c>
      <c r="I688" s="21">
        <f>IFERROR('[Networking.xlsx]AU-12'!E20,"Non commencé")</f>
        <v/>
      </c>
      <c r="J688" s="16">
        <f>IF(OR(I688="Réussi",I688="Exception acceptée"),"GREEN",IF(OR(I688="Non commencé",I688="Échec"),"RED","AMBER"))</f>
        <v/>
      </c>
      <c r="K688" s="19" t="inlineStr"/>
      <c r="L688" s="19" t="inlineStr"/>
      <c r="M688" s="22" t="inlineStr"/>
    </row>
    <row r="689" ht="18" customHeight="1">
      <c r="A689" s="11" t="inlineStr">
        <is>
          <t>CA-3(5)</t>
        </is>
      </c>
      <c r="B689" s="12" t="inlineStr">
        <is>
          <t>Information System Connections</t>
        </is>
      </c>
      <c r="C689" s="12" t="inlineStr">
        <is>
          <t>Networking</t>
        </is>
      </c>
      <c r="D689" s="11" t="inlineStr">
        <is>
          <t>CA</t>
        </is>
      </c>
      <c r="E689" s="12" t="inlineStr">
        <is>
          <t>Networking</t>
        </is>
      </c>
      <c r="F689" s="12" t="inlineStr">
        <is>
          <t>CA-3-5</t>
        </is>
      </c>
      <c r="G689" s="13">
        <f>IFERROR('[Networking.xlsx]CA-3-5'!B20,"Not Started")</f>
        <v/>
      </c>
      <c r="H689" s="14">
        <f>IF(OR(G689="Passed",G689="Accepted Exception"),"GREEN",IF(OR(G689="Not Started",G689="Failed"),"RED","AMBER"))</f>
        <v/>
      </c>
      <c r="I689" s="15">
        <f>IFERROR('[Networking.xlsx]CA-3-5'!E20,"Non commencé")</f>
        <v/>
      </c>
      <c r="J689" s="16">
        <f>IF(OR(I689="Réussi",I689="Exception acceptée"),"GREEN",IF(OR(I689="Non commencé",I689="Échec"),"RED","AMBER"))</f>
        <v/>
      </c>
      <c r="K689" s="12" t="inlineStr"/>
      <c r="L689" s="12" t="inlineStr"/>
      <c r="M689" s="17" t="inlineStr"/>
    </row>
    <row r="690" ht="18" customHeight="1">
      <c r="A690" s="18" t="inlineStr">
        <is>
          <t>CA-9</t>
        </is>
      </c>
      <c r="B690" s="19" t="inlineStr">
        <is>
          <t>Internal System Connections</t>
        </is>
      </c>
      <c r="C690" s="19" t="inlineStr">
        <is>
          <t>Networking</t>
        </is>
      </c>
      <c r="D690" s="18" t="inlineStr">
        <is>
          <t>CA</t>
        </is>
      </c>
      <c r="E690" s="19" t="inlineStr">
        <is>
          <t>Networking</t>
        </is>
      </c>
      <c r="F690" s="19" t="inlineStr">
        <is>
          <t>CA-9</t>
        </is>
      </c>
      <c r="G690" s="20">
        <f>IFERROR('[Networking.xlsx]CA-9'!B20,"Not Started")</f>
        <v/>
      </c>
      <c r="H690" s="14">
        <f>IF(OR(G690="Passed",G690="Accepted Exception"),"GREEN",IF(OR(G690="Not Started",G690="Failed"),"RED","AMBER"))</f>
        <v/>
      </c>
      <c r="I690" s="21">
        <f>IFERROR('[Networking.xlsx]CA-9'!E20,"Non commencé")</f>
        <v/>
      </c>
      <c r="J690" s="16">
        <f>IF(OR(I690="Réussi",I690="Exception acceptée"),"GREEN",IF(OR(I690="Non commencé",I690="Échec"),"RED","AMBER"))</f>
        <v/>
      </c>
      <c r="K690" s="19" t="inlineStr"/>
      <c r="L690" s="19" t="inlineStr"/>
      <c r="M690" s="22" t="inlineStr"/>
    </row>
    <row r="691" ht="18" customHeight="1">
      <c r="A691" s="11" t="inlineStr">
        <is>
          <t>CM-6</t>
        </is>
      </c>
      <c r="B691" s="12" t="inlineStr">
        <is>
          <t>Configuration Settings</t>
        </is>
      </c>
      <c r="C691" s="12" t="inlineStr">
        <is>
          <t>Networking</t>
        </is>
      </c>
      <c r="D691" s="11" t="inlineStr">
        <is>
          <t>CM</t>
        </is>
      </c>
      <c r="E691" s="12" t="inlineStr">
        <is>
          <t>Networking</t>
        </is>
      </c>
      <c r="F691" s="12" t="inlineStr">
        <is>
          <t>CM-6</t>
        </is>
      </c>
      <c r="G691" s="13">
        <f>IFERROR('[Networking.xlsx]CM-6'!B20,"Not Started")</f>
        <v/>
      </c>
      <c r="H691" s="14">
        <f>IF(OR(G691="Passed",G691="Accepted Exception"),"GREEN",IF(OR(G691="Not Started",G691="Failed"),"RED","AMBER"))</f>
        <v/>
      </c>
      <c r="I691" s="15">
        <f>IFERROR('[Networking.xlsx]CM-6'!E20,"Non commencé")</f>
        <v/>
      </c>
      <c r="J691" s="16">
        <f>IF(OR(I691="Réussi",I691="Exception acceptée"),"GREEN",IF(OR(I691="Non commencé",I691="Échec"),"RED","AMBER"))</f>
        <v/>
      </c>
      <c r="K691" s="12" t="inlineStr"/>
      <c r="L691" s="12" t="inlineStr"/>
      <c r="M691" s="17" t="inlineStr"/>
    </row>
    <row r="692" ht="18" customHeight="1">
      <c r="A692" s="18" t="inlineStr">
        <is>
          <t>CM-7</t>
        </is>
      </c>
      <c r="B692" s="19" t="inlineStr">
        <is>
          <t>Least Functionality</t>
        </is>
      </c>
      <c r="C692" s="19" t="inlineStr">
        <is>
          <t>Networking</t>
        </is>
      </c>
      <c r="D692" s="18" t="inlineStr">
        <is>
          <t>CM</t>
        </is>
      </c>
      <c r="E692" s="19" t="inlineStr">
        <is>
          <t>Networking</t>
        </is>
      </c>
      <c r="F692" s="19" t="inlineStr">
        <is>
          <t>CM-7</t>
        </is>
      </c>
      <c r="G692" s="20">
        <f>IFERROR('[Networking.xlsx]CM-7'!B20,"Not Started")</f>
        <v/>
      </c>
      <c r="H692" s="14">
        <f>IF(OR(G692="Passed",G692="Accepted Exception"),"GREEN",IF(OR(G692="Not Started",G692="Failed"),"RED","AMBER"))</f>
        <v/>
      </c>
      <c r="I692" s="21">
        <f>IFERROR('[Networking.xlsx]CM-7'!E20,"Non commencé")</f>
        <v/>
      </c>
      <c r="J692" s="16">
        <f>IF(OR(I692="Réussi",I692="Exception acceptée"),"GREEN",IF(OR(I692="Non commencé",I692="Échec"),"RED","AMBER"))</f>
        <v/>
      </c>
      <c r="K692" s="19" t="inlineStr"/>
      <c r="L692" s="19" t="inlineStr"/>
      <c r="M692" s="22" t="inlineStr"/>
    </row>
    <row r="693" ht="18" customHeight="1">
      <c r="A693" s="11" t="inlineStr">
        <is>
          <t>CM-7(1)</t>
        </is>
      </c>
      <c r="B693" s="12" t="inlineStr">
        <is>
          <t>Least Functionality</t>
        </is>
      </c>
      <c r="C693" s="12" t="inlineStr">
        <is>
          <t>Networking</t>
        </is>
      </c>
      <c r="D693" s="11" t="inlineStr">
        <is>
          <t>CM</t>
        </is>
      </c>
      <c r="E693" s="12" t="inlineStr">
        <is>
          <t>Networking</t>
        </is>
      </c>
      <c r="F693" s="12" t="inlineStr">
        <is>
          <t>CM-7-1</t>
        </is>
      </c>
      <c r="G693" s="13">
        <f>IFERROR('[Networking.xlsx]CM-7-1'!B20,"Not Started")</f>
        <v/>
      </c>
      <c r="H693" s="14">
        <f>IF(OR(G693="Passed",G693="Accepted Exception"),"GREEN",IF(OR(G693="Not Started",G693="Failed"),"RED","AMBER"))</f>
        <v/>
      </c>
      <c r="I693" s="15">
        <f>IFERROR('[Networking.xlsx]CM-7-1'!E20,"Non commencé")</f>
        <v/>
      </c>
      <c r="J693" s="16">
        <f>IF(OR(I693="Réussi",I693="Exception acceptée"),"GREEN",IF(OR(I693="Non commencé",I693="Échec"),"RED","AMBER"))</f>
        <v/>
      </c>
      <c r="K693" s="12" t="inlineStr"/>
      <c r="L693" s="12" t="inlineStr"/>
      <c r="M693" s="17" t="inlineStr"/>
    </row>
    <row r="694" ht="18" customHeight="1">
      <c r="A694" s="18" t="inlineStr">
        <is>
          <t>CM-10</t>
        </is>
      </c>
      <c r="B694" s="19" t="inlineStr">
        <is>
          <t>Software Usage Restrictions</t>
        </is>
      </c>
      <c r="C694" s="19" t="inlineStr">
        <is>
          <t>Networking</t>
        </is>
      </c>
      <c r="D694" s="18" t="inlineStr">
        <is>
          <t>CM</t>
        </is>
      </c>
      <c r="E694" s="19" t="inlineStr">
        <is>
          <t>Networking</t>
        </is>
      </c>
      <c r="F694" s="19" t="inlineStr">
        <is>
          <t>CM-10</t>
        </is>
      </c>
      <c r="G694" s="20">
        <f>IFERROR('[Networking.xlsx]CM-10'!B20,"Not Started")</f>
        <v/>
      </c>
      <c r="H694" s="14">
        <f>IF(OR(G694="Passed",G694="Accepted Exception"),"GREEN",IF(OR(G694="Not Started",G694="Failed"),"RED","AMBER"))</f>
        <v/>
      </c>
      <c r="I694" s="21">
        <f>IFERROR('[Networking.xlsx]CM-10'!E20,"Non commencé")</f>
        <v/>
      </c>
      <c r="J694" s="16">
        <f>IF(OR(I694="Réussi",I694="Exception acceptée"),"GREEN",IF(OR(I694="Non commencé",I694="Échec"),"RED","AMBER"))</f>
        <v/>
      </c>
      <c r="K694" s="19" t="inlineStr"/>
      <c r="L694" s="19" t="inlineStr"/>
      <c r="M694" s="22" t="inlineStr"/>
    </row>
    <row r="695" ht="18" customHeight="1">
      <c r="A695" s="11" t="inlineStr">
        <is>
          <t>CP-7</t>
        </is>
      </c>
      <c r="B695" s="12" t="inlineStr">
        <is>
          <t>Alternate Processing Site</t>
        </is>
      </c>
      <c r="C695" s="12" t="inlineStr">
        <is>
          <t>Networking</t>
        </is>
      </c>
      <c r="D695" s="11" t="inlineStr">
        <is>
          <t>CP</t>
        </is>
      </c>
      <c r="E695" s="12" t="inlineStr">
        <is>
          <t>Networking</t>
        </is>
      </c>
      <c r="F695" s="12" t="inlineStr">
        <is>
          <t>CP-7</t>
        </is>
      </c>
      <c r="G695" s="13">
        <f>IFERROR('[Networking.xlsx]CP-7'!B20,"Not Started")</f>
        <v/>
      </c>
      <c r="H695" s="14">
        <f>IF(OR(G695="Passed",G695="Accepted Exception"),"GREEN",IF(OR(G695="Not Started",G695="Failed"),"RED","AMBER"))</f>
        <v/>
      </c>
      <c r="I695" s="15">
        <f>IFERROR('[Networking.xlsx]CP-7'!E20,"Non commencé")</f>
        <v/>
      </c>
      <c r="J695" s="16">
        <f>IF(OR(I695="Réussi",I695="Exception acceptée"),"GREEN",IF(OR(I695="Non commencé",I695="Échec"),"RED","AMBER"))</f>
        <v/>
      </c>
      <c r="K695" s="12" t="inlineStr"/>
      <c r="L695" s="12" t="inlineStr"/>
      <c r="M695" s="17" t="inlineStr"/>
    </row>
    <row r="696" ht="18" customHeight="1">
      <c r="A696" s="18" t="inlineStr">
        <is>
          <t>CP-7(4)</t>
        </is>
      </c>
      <c r="B696" s="19" t="inlineStr">
        <is>
          <t>Alternate Processing Site</t>
        </is>
      </c>
      <c r="C696" s="19" t="inlineStr">
        <is>
          <t>Networking</t>
        </is>
      </c>
      <c r="D696" s="18" t="inlineStr">
        <is>
          <t>CP</t>
        </is>
      </c>
      <c r="E696" s="19" t="inlineStr">
        <is>
          <t>Networking</t>
        </is>
      </c>
      <c r="F696" s="19" t="inlineStr">
        <is>
          <t>CP-7-4</t>
        </is>
      </c>
      <c r="G696" s="20">
        <f>IFERROR('[Networking.xlsx]CP-7-4'!B20,"Not Started")</f>
        <v/>
      </c>
      <c r="H696" s="14">
        <f>IF(OR(G696="Passed",G696="Accepted Exception"),"GREEN",IF(OR(G696="Not Started",G696="Failed"),"RED","AMBER"))</f>
        <v/>
      </c>
      <c r="I696" s="21">
        <f>IFERROR('[Networking.xlsx]CP-7-4'!E20,"Non commencé")</f>
        <v/>
      </c>
      <c r="J696" s="16">
        <f>IF(OR(I696="Réussi",I696="Exception acceptée"),"GREEN",IF(OR(I696="Non commencé",I696="Échec"),"RED","AMBER"))</f>
        <v/>
      </c>
      <c r="K696" s="19" t="inlineStr"/>
      <c r="L696" s="19" t="inlineStr"/>
      <c r="M696" s="22" t="inlineStr"/>
    </row>
    <row r="697" ht="18" customHeight="1">
      <c r="A697" s="11" t="inlineStr">
        <is>
          <t>CP-10</t>
        </is>
      </c>
      <c r="B697" s="12" t="inlineStr">
        <is>
          <t>Information System Recovery and Reconstitution</t>
        </is>
      </c>
      <c r="C697" s="12" t="inlineStr">
        <is>
          <t>Networking</t>
        </is>
      </c>
      <c r="D697" s="11" t="inlineStr">
        <is>
          <t>CP</t>
        </is>
      </c>
      <c r="E697" s="12" t="inlineStr">
        <is>
          <t>Networking</t>
        </is>
      </c>
      <c r="F697" s="12" t="inlineStr">
        <is>
          <t>CP-10</t>
        </is>
      </c>
      <c r="G697" s="13">
        <f>IFERROR('[Networking.xlsx]CP-10'!B20,"Not Started")</f>
        <v/>
      </c>
      <c r="H697" s="14">
        <f>IF(OR(G697="Passed",G697="Accepted Exception"),"GREEN",IF(OR(G697="Not Started",G697="Failed"),"RED","AMBER"))</f>
        <v/>
      </c>
      <c r="I697" s="15">
        <f>IFERROR('[Networking.xlsx]CP-10'!E20,"Non commencé")</f>
        <v/>
      </c>
      <c r="J697" s="16">
        <f>IF(OR(I697="Réussi",I697="Exception acceptée"),"GREEN",IF(OR(I697="Non commencé",I697="Échec"),"RED","AMBER"))</f>
        <v/>
      </c>
      <c r="K697" s="12" t="inlineStr"/>
      <c r="L697" s="12" t="inlineStr"/>
      <c r="M697" s="17" t="inlineStr"/>
    </row>
    <row r="698" ht="18" customHeight="1">
      <c r="A698" s="18" t="inlineStr">
        <is>
          <t>CP-10(4)</t>
        </is>
      </c>
      <c r="B698" s="19" t="inlineStr">
        <is>
          <t>Information System Recovery and Reconstitution</t>
        </is>
      </c>
      <c r="C698" s="19" t="inlineStr">
        <is>
          <t>Networking</t>
        </is>
      </c>
      <c r="D698" s="18" t="inlineStr">
        <is>
          <t>CP</t>
        </is>
      </c>
      <c r="E698" s="19" t="inlineStr">
        <is>
          <t>Networking</t>
        </is>
      </c>
      <c r="F698" s="19" t="inlineStr">
        <is>
          <t>CP-10-4</t>
        </is>
      </c>
      <c r="G698" s="20">
        <f>IFERROR('[Networking.xlsx]CP-10-4'!B20,"Not Started")</f>
        <v/>
      </c>
      <c r="H698" s="14">
        <f>IF(OR(G698="Passed",G698="Accepted Exception"),"GREEN",IF(OR(G698="Not Started",G698="Failed"),"RED","AMBER"))</f>
        <v/>
      </c>
      <c r="I698" s="21">
        <f>IFERROR('[Networking.xlsx]CP-10-4'!E20,"Non commencé")</f>
        <v/>
      </c>
      <c r="J698" s="16">
        <f>IF(OR(I698="Réussi",I698="Exception acceptée"),"GREEN",IF(OR(I698="Non commencé",I698="Échec"),"RED","AMBER"))</f>
        <v/>
      </c>
      <c r="K698" s="19" t="inlineStr"/>
      <c r="L698" s="19" t="inlineStr"/>
      <c r="M698" s="22" t="inlineStr"/>
    </row>
    <row r="699" ht="18" customHeight="1">
      <c r="A699" s="11" t="inlineStr">
        <is>
          <t>IA-3</t>
        </is>
      </c>
      <c r="B699" s="12" t="inlineStr">
        <is>
          <t>Device Identification and Authentication</t>
        </is>
      </c>
      <c r="C699" s="12" t="inlineStr">
        <is>
          <t>Networking</t>
        </is>
      </c>
      <c r="D699" s="11" t="inlineStr">
        <is>
          <t>IA</t>
        </is>
      </c>
      <c r="E699" s="12" t="inlineStr">
        <is>
          <t>Networking</t>
        </is>
      </c>
      <c r="F699" s="12" t="inlineStr">
        <is>
          <t>IA-3</t>
        </is>
      </c>
      <c r="G699" s="13">
        <f>IFERROR('[Networking.xlsx]IA-3'!B20,"Not Started")</f>
        <v/>
      </c>
      <c r="H699" s="14">
        <f>IF(OR(G699="Passed",G699="Accepted Exception"),"GREEN",IF(OR(G699="Not Started",G699="Failed"),"RED","AMBER"))</f>
        <v/>
      </c>
      <c r="I699" s="15">
        <f>IFERROR('[Networking.xlsx]IA-3'!E20,"Non commencé")</f>
        <v/>
      </c>
      <c r="J699" s="16">
        <f>IF(OR(I699="Réussi",I699="Exception acceptée"),"GREEN",IF(OR(I699="Non commencé",I699="Échec"),"RED","AMBER"))</f>
        <v/>
      </c>
      <c r="K699" s="12" t="inlineStr"/>
      <c r="L699" s="12" t="inlineStr"/>
      <c r="M699" s="17" t="inlineStr"/>
    </row>
    <row r="700" ht="18" customHeight="1">
      <c r="A700" s="18" t="inlineStr">
        <is>
          <t>MA-4(6)</t>
        </is>
      </c>
      <c r="B700" s="19" t="inlineStr">
        <is>
          <t>Non-Local Maintenance</t>
        </is>
      </c>
      <c r="C700" s="19" t="inlineStr">
        <is>
          <t>Networking</t>
        </is>
      </c>
      <c r="D700" s="18" t="inlineStr">
        <is>
          <t>MA</t>
        </is>
      </c>
      <c r="E700" s="19" t="inlineStr">
        <is>
          <t>Networking</t>
        </is>
      </c>
      <c r="F700" s="19" t="inlineStr">
        <is>
          <t>MA-4-6</t>
        </is>
      </c>
      <c r="G700" s="20">
        <f>IFERROR('[Networking.xlsx]MA-4-6'!B20,"Not Started")</f>
        <v/>
      </c>
      <c r="H700" s="14">
        <f>IF(OR(G700="Passed",G700="Accepted Exception"),"GREEN",IF(OR(G700="Not Started",G700="Failed"),"RED","AMBER"))</f>
        <v/>
      </c>
      <c r="I700" s="21">
        <f>IFERROR('[Networking.xlsx]MA-4-6'!E20,"Non commencé")</f>
        <v/>
      </c>
      <c r="J700" s="16">
        <f>IF(OR(I700="Réussi",I700="Exception acceptée"),"GREEN",IF(OR(I700="Non commencé",I700="Échec"),"RED","AMBER"))</f>
        <v/>
      </c>
      <c r="K700" s="19" t="inlineStr"/>
      <c r="L700" s="19" t="inlineStr"/>
      <c r="M700" s="22" t="inlineStr"/>
    </row>
    <row r="701" ht="18" customHeight="1">
      <c r="A701" s="11" t="inlineStr">
        <is>
          <t>SA-9(5)</t>
        </is>
      </c>
      <c r="B701" s="12" t="inlineStr">
        <is>
          <t>External Information System Services</t>
        </is>
      </c>
      <c r="C701" s="12" t="inlineStr">
        <is>
          <t>Networking</t>
        </is>
      </c>
      <c r="D701" s="11" t="inlineStr">
        <is>
          <t>SA</t>
        </is>
      </c>
      <c r="E701" s="12" t="inlineStr">
        <is>
          <t>Networking</t>
        </is>
      </c>
      <c r="F701" s="12" t="inlineStr">
        <is>
          <t>SA-9-5</t>
        </is>
      </c>
      <c r="G701" s="13">
        <f>IFERROR('[Networking.xlsx]SA-9-5'!B20,"Not Started")</f>
        <v/>
      </c>
      <c r="H701" s="14">
        <f>IF(OR(G701="Passed",G701="Accepted Exception"),"GREEN",IF(OR(G701="Not Started",G701="Failed"),"RED","AMBER"))</f>
        <v/>
      </c>
      <c r="I701" s="15">
        <f>IFERROR('[Networking.xlsx]SA-9-5'!E20,"Non commencé")</f>
        <v/>
      </c>
      <c r="J701" s="16">
        <f>IF(OR(I701="Réussi",I701="Exception acceptée"),"GREEN",IF(OR(I701="Non commencé",I701="Échec"),"RED","AMBER"))</f>
        <v/>
      </c>
      <c r="K701" s="12" t="inlineStr"/>
      <c r="L701" s="12" t="inlineStr"/>
      <c r="M701" s="17" t="inlineStr"/>
    </row>
    <row r="702" ht="18" customHeight="1">
      <c r="A702" s="18" t="inlineStr">
        <is>
          <t>SC-2</t>
        </is>
      </c>
      <c r="B702" s="19" t="inlineStr">
        <is>
          <t>Application Partitioning</t>
        </is>
      </c>
      <c r="C702" s="19" t="inlineStr">
        <is>
          <t>Networking</t>
        </is>
      </c>
      <c r="D702" s="18" t="inlineStr">
        <is>
          <t>SC</t>
        </is>
      </c>
      <c r="E702" s="19" t="inlineStr">
        <is>
          <t>Networking</t>
        </is>
      </c>
      <c r="F702" s="19" t="inlineStr">
        <is>
          <t>SC-2</t>
        </is>
      </c>
      <c r="G702" s="20">
        <f>IFERROR('[Networking.xlsx]SC-2'!B20,"Not Started")</f>
        <v/>
      </c>
      <c r="H702" s="14">
        <f>IF(OR(G702="Passed",G702="Accepted Exception"),"GREEN",IF(OR(G702="Not Started",G702="Failed"),"RED","AMBER"))</f>
        <v/>
      </c>
      <c r="I702" s="21">
        <f>IFERROR('[Networking.xlsx]SC-2'!E20,"Non commencé")</f>
        <v/>
      </c>
      <c r="J702" s="16">
        <f>IF(OR(I702="Réussi",I702="Exception acceptée"),"GREEN",IF(OR(I702="Non commencé",I702="Échec"),"RED","AMBER"))</f>
        <v/>
      </c>
      <c r="K702" s="19" t="inlineStr"/>
      <c r="L702" s="19" t="inlineStr"/>
      <c r="M702" s="22" t="inlineStr"/>
    </row>
    <row r="703" ht="18" customHeight="1">
      <c r="A703" s="11" t="inlineStr">
        <is>
          <t>SC-4</t>
        </is>
      </c>
      <c r="B703" s="12" t="inlineStr">
        <is>
          <t>Information in Shared Resources</t>
        </is>
      </c>
      <c r="C703" s="12" t="inlineStr">
        <is>
          <t>Networking</t>
        </is>
      </c>
      <c r="D703" s="11" t="inlineStr">
        <is>
          <t>SC</t>
        </is>
      </c>
      <c r="E703" s="12" t="inlineStr">
        <is>
          <t>Networking</t>
        </is>
      </c>
      <c r="F703" s="12" t="inlineStr">
        <is>
          <t>SC-4</t>
        </is>
      </c>
      <c r="G703" s="13">
        <f>IFERROR('[Networking.xlsx]SC-4'!B20,"Not Started")</f>
        <v/>
      </c>
      <c r="H703" s="14">
        <f>IF(OR(G703="Passed",G703="Accepted Exception"),"GREEN",IF(OR(G703="Not Started",G703="Failed"),"RED","AMBER"))</f>
        <v/>
      </c>
      <c r="I703" s="15">
        <f>IFERROR('[Networking.xlsx]SC-4'!E20,"Non commencé")</f>
        <v/>
      </c>
      <c r="J703" s="16">
        <f>IF(OR(I703="Réussi",I703="Exception acceptée"),"GREEN",IF(OR(I703="Non commencé",I703="Échec"),"RED","AMBER"))</f>
        <v/>
      </c>
      <c r="K703" s="12" t="inlineStr"/>
      <c r="L703" s="12" t="inlineStr"/>
      <c r="M703" s="17" t="inlineStr"/>
    </row>
    <row r="704" ht="18" customHeight="1">
      <c r="A704" s="18" t="inlineStr">
        <is>
          <t>SC-5</t>
        </is>
      </c>
      <c r="B704" s="19" t="inlineStr">
        <is>
          <t>Denial of Service Protection</t>
        </is>
      </c>
      <c r="C704" s="19" t="inlineStr">
        <is>
          <t>Networking</t>
        </is>
      </c>
      <c r="D704" s="18" t="inlineStr">
        <is>
          <t>SC</t>
        </is>
      </c>
      <c r="E704" s="19" t="inlineStr">
        <is>
          <t>Networking</t>
        </is>
      </c>
      <c r="F704" s="19" t="inlineStr">
        <is>
          <t>SC-5</t>
        </is>
      </c>
      <c r="G704" s="20">
        <f>IFERROR('[Networking.xlsx]SC-5'!B20,"Not Started")</f>
        <v/>
      </c>
      <c r="H704" s="14">
        <f>IF(OR(G704="Passed",G704="Accepted Exception"),"GREEN",IF(OR(G704="Not Started",G704="Failed"),"RED","AMBER"))</f>
        <v/>
      </c>
      <c r="I704" s="21">
        <f>IFERROR('[Networking.xlsx]SC-5'!E20,"Non commencé")</f>
        <v/>
      </c>
      <c r="J704" s="16">
        <f>IF(OR(I704="Réussi",I704="Exception acceptée"),"GREEN",IF(OR(I704="Non commencé",I704="Échec"),"RED","AMBER"))</f>
        <v/>
      </c>
      <c r="K704" s="19" t="inlineStr"/>
      <c r="L704" s="19" t="inlineStr"/>
      <c r="M704" s="22" t="inlineStr"/>
    </row>
    <row r="705" ht="18" customHeight="1">
      <c r="A705" s="11" t="inlineStr">
        <is>
          <t>SC-7</t>
        </is>
      </c>
      <c r="B705" s="12" t="inlineStr">
        <is>
          <t>Boundary Protection</t>
        </is>
      </c>
      <c r="C705" s="12" t="inlineStr">
        <is>
          <t>Networking</t>
        </is>
      </c>
      <c r="D705" s="11" t="inlineStr">
        <is>
          <t>SC</t>
        </is>
      </c>
      <c r="E705" s="12" t="inlineStr">
        <is>
          <t>Networking</t>
        </is>
      </c>
      <c r="F705" s="12" t="inlineStr">
        <is>
          <t>SC-7</t>
        </is>
      </c>
      <c r="G705" s="13">
        <f>IFERROR('[Networking.xlsx]SC-7'!B20,"Not Started")</f>
        <v/>
      </c>
      <c r="H705" s="14">
        <f>IF(OR(G705="Passed",G705="Accepted Exception"),"GREEN",IF(OR(G705="Not Started",G705="Failed"),"RED","AMBER"))</f>
        <v/>
      </c>
      <c r="I705" s="15">
        <f>IFERROR('[Networking.xlsx]SC-7'!E20,"Non commencé")</f>
        <v/>
      </c>
      <c r="J705" s="16">
        <f>IF(OR(I705="Réussi",I705="Exception acceptée"),"GREEN",IF(OR(I705="Non commencé",I705="Échec"),"RED","AMBER"))</f>
        <v/>
      </c>
      <c r="K705" s="12" t="inlineStr"/>
      <c r="L705" s="12" t="inlineStr"/>
      <c r="M705" s="17" t="inlineStr"/>
    </row>
    <row r="706" ht="18" customHeight="1">
      <c r="A706" s="18" t="inlineStr">
        <is>
          <t>SC-7(3)</t>
        </is>
      </c>
      <c r="B706" s="19" t="inlineStr">
        <is>
          <t>Boundary Protection</t>
        </is>
      </c>
      <c r="C706" s="19" t="inlineStr">
        <is>
          <t>Networking</t>
        </is>
      </c>
      <c r="D706" s="18" t="inlineStr">
        <is>
          <t>SC</t>
        </is>
      </c>
      <c r="E706" s="19" t="inlineStr">
        <is>
          <t>Networking</t>
        </is>
      </c>
      <c r="F706" s="19" t="inlineStr">
        <is>
          <t>SC-7-3</t>
        </is>
      </c>
      <c r="G706" s="20">
        <f>IFERROR('[Networking.xlsx]SC-7-3'!B20,"Not Started")</f>
        <v/>
      </c>
      <c r="H706" s="14">
        <f>IF(OR(G706="Passed",G706="Accepted Exception"),"GREEN",IF(OR(G706="Not Started",G706="Failed"),"RED","AMBER"))</f>
        <v/>
      </c>
      <c r="I706" s="21">
        <f>IFERROR('[Networking.xlsx]SC-7-3'!E20,"Non commencé")</f>
        <v/>
      </c>
      <c r="J706" s="16">
        <f>IF(OR(I706="Réussi",I706="Exception acceptée"),"GREEN",IF(OR(I706="Non commencé",I706="Échec"),"RED","AMBER"))</f>
        <v/>
      </c>
      <c r="K706" s="19" t="inlineStr"/>
      <c r="L706" s="19" t="inlineStr"/>
      <c r="M706" s="22" t="inlineStr"/>
    </row>
    <row r="707" ht="18" customHeight="1">
      <c r="A707" s="11" t="inlineStr">
        <is>
          <t>SC-7(4)</t>
        </is>
      </c>
      <c r="B707" s="12" t="inlineStr">
        <is>
          <t>Boundary Protection</t>
        </is>
      </c>
      <c r="C707" s="12" t="inlineStr">
        <is>
          <t>Networking</t>
        </is>
      </c>
      <c r="D707" s="11" t="inlineStr">
        <is>
          <t>SC</t>
        </is>
      </c>
      <c r="E707" s="12" t="inlineStr">
        <is>
          <t>Networking</t>
        </is>
      </c>
      <c r="F707" s="12" t="inlineStr">
        <is>
          <t>SC-7-4</t>
        </is>
      </c>
      <c r="G707" s="13">
        <f>IFERROR('[Networking.xlsx]SC-7-4'!B20,"Not Started")</f>
        <v/>
      </c>
      <c r="H707" s="14">
        <f>IF(OR(G707="Passed",G707="Accepted Exception"),"GREEN",IF(OR(G707="Not Started",G707="Failed"),"RED","AMBER"))</f>
        <v/>
      </c>
      <c r="I707" s="15">
        <f>IFERROR('[Networking.xlsx]SC-7-4'!E20,"Non commencé")</f>
        <v/>
      </c>
      <c r="J707" s="16">
        <f>IF(OR(I707="Réussi",I707="Exception acceptée"),"GREEN",IF(OR(I707="Non commencé",I707="Échec"),"RED","AMBER"))</f>
        <v/>
      </c>
      <c r="K707" s="12" t="inlineStr"/>
      <c r="L707" s="12" t="inlineStr"/>
      <c r="M707" s="17" t="inlineStr"/>
    </row>
    <row r="708" ht="18" customHeight="1">
      <c r="A708" s="18" t="inlineStr">
        <is>
          <t>SC-7(5)</t>
        </is>
      </c>
      <c r="B708" s="19" t="inlineStr">
        <is>
          <t>Boundary Protection</t>
        </is>
      </c>
      <c r="C708" s="19" t="inlineStr">
        <is>
          <t>Networking</t>
        </is>
      </c>
      <c r="D708" s="18" t="inlineStr">
        <is>
          <t>SC</t>
        </is>
      </c>
      <c r="E708" s="19" t="inlineStr">
        <is>
          <t>Networking</t>
        </is>
      </c>
      <c r="F708" s="19" t="inlineStr">
        <is>
          <t>SC-7-5</t>
        </is>
      </c>
      <c r="G708" s="20">
        <f>IFERROR('[Networking.xlsx]SC-7-5'!B20,"Not Started")</f>
        <v/>
      </c>
      <c r="H708" s="14">
        <f>IF(OR(G708="Passed",G708="Accepted Exception"),"GREEN",IF(OR(G708="Not Started",G708="Failed"),"RED","AMBER"))</f>
        <v/>
      </c>
      <c r="I708" s="21">
        <f>IFERROR('[Networking.xlsx]SC-7-5'!E20,"Non commencé")</f>
        <v/>
      </c>
      <c r="J708" s="16">
        <f>IF(OR(I708="Réussi",I708="Exception acceptée"),"GREEN",IF(OR(I708="Non commencé",I708="Échec"),"RED","AMBER"))</f>
        <v/>
      </c>
      <c r="K708" s="19" t="inlineStr"/>
      <c r="L708" s="19" t="inlineStr"/>
      <c r="M708" s="22" t="inlineStr"/>
    </row>
    <row r="709" ht="18" customHeight="1">
      <c r="A709" s="11" t="inlineStr">
        <is>
          <t>SC-7(8)</t>
        </is>
      </c>
      <c r="B709" s="12" t="inlineStr">
        <is>
          <t>Boundary Protection</t>
        </is>
      </c>
      <c r="C709" s="12" t="inlineStr">
        <is>
          <t>Networking</t>
        </is>
      </c>
      <c r="D709" s="11" t="inlineStr">
        <is>
          <t>SC</t>
        </is>
      </c>
      <c r="E709" s="12" t="inlineStr">
        <is>
          <t>Networking</t>
        </is>
      </c>
      <c r="F709" s="12" t="inlineStr">
        <is>
          <t>SC-7-8</t>
        </is>
      </c>
      <c r="G709" s="13">
        <f>IFERROR('[Networking.xlsx]SC-7-8'!B20,"Not Started")</f>
        <v/>
      </c>
      <c r="H709" s="14">
        <f>IF(OR(G709="Passed",G709="Accepted Exception"),"GREEN",IF(OR(G709="Not Started",G709="Failed"),"RED","AMBER"))</f>
        <v/>
      </c>
      <c r="I709" s="15">
        <f>IFERROR('[Networking.xlsx]SC-7-8'!E20,"Non commencé")</f>
        <v/>
      </c>
      <c r="J709" s="16">
        <f>IF(OR(I709="Réussi",I709="Exception acceptée"),"GREEN",IF(OR(I709="Non commencé",I709="Échec"),"RED","AMBER"))</f>
        <v/>
      </c>
      <c r="K709" s="12" t="inlineStr"/>
      <c r="L709" s="12" t="inlineStr"/>
      <c r="M709" s="17" t="inlineStr"/>
    </row>
    <row r="710" ht="18" customHeight="1">
      <c r="A710" s="18" t="inlineStr">
        <is>
          <t>SC-7(13)</t>
        </is>
      </c>
      <c r="B710" s="19" t="inlineStr">
        <is>
          <t>Boundary Protection</t>
        </is>
      </c>
      <c r="C710" s="19" t="inlineStr">
        <is>
          <t>Networking</t>
        </is>
      </c>
      <c r="D710" s="18" t="inlineStr">
        <is>
          <t>SC</t>
        </is>
      </c>
      <c r="E710" s="19" t="inlineStr">
        <is>
          <t>Networking</t>
        </is>
      </c>
      <c r="F710" s="19" t="inlineStr">
        <is>
          <t>SC-7-13</t>
        </is>
      </c>
      <c r="G710" s="20">
        <f>IFERROR('[Networking.xlsx]SC-7-13'!B20,"Not Started")</f>
        <v/>
      </c>
      <c r="H710" s="14">
        <f>IF(OR(G710="Passed",G710="Accepted Exception"),"GREEN",IF(OR(G710="Not Started",G710="Failed"),"RED","AMBER"))</f>
        <v/>
      </c>
      <c r="I710" s="21">
        <f>IFERROR('[Networking.xlsx]SC-7-13'!E20,"Non commencé")</f>
        <v/>
      </c>
      <c r="J710" s="16">
        <f>IF(OR(I710="Réussi",I710="Exception acceptée"),"GREEN",IF(OR(I710="Non commencé",I710="Échec"),"RED","AMBER"))</f>
        <v/>
      </c>
      <c r="K710" s="19" t="inlineStr"/>
      <c r="L710" s="19" t="inlineStr"/>
      <c r="M710" s="22" t="inlineStr"/>
    </row>
    <row r="711" ht="18" customHeight="1">
      <c r="A711" s="11" t="inlineStr">
        <is>
          <t>SC-7(18)</t>
        </is>
      </c>
      <c r="B711" s="12" t="inlineStr">
        <is>
          <t>Boundary Protection</t>
        </is>
      </c>
      <c r="C711" s="12" t="inlineStr">
        <is>
          <t>Networking</t>
        </is>
      </c>
      <c r="D711" s="11" t="inlineStr">
        <is>
          <t>SC</t>
        </is>
      </c>
      <c r="E711" s="12" t="inlineStr">
        <is>
          <t>Networking</t>
        </is>
      </c>
      <c r="F711" s="12" t="inlineStr">
        <is>
          <t>SC-7-18</t>
        </is>
      </c>
      <c r="G711" s="13">
        <f>IFERROR('[Networking.xlsx]SC-7-18'!B20,"Not Started")</f>
        <v/>
      </c>
      <c r="H711" s="14">
        <f>IF(OR(G711="Passed",G711="Accepted Exception"),"GREEN",IF(OR(G711="Not Started",G711="Failed"),"RED","AMBER"))</f>
        <v/>
      </c>
      <c r="I711" s="15">
        <f>IFERROR('[Networking.xlsx]SC-7-18'!E20,"Non commencé")</f>
        <v/>
      </c>
      <c r="J711" s="16">
        <f>IF(OR(I711="Réussi",I711="Exception acceptée"),"GREEN",IF(OR(I711="Non commencé",I711="Échec"),"RED","AMBER"))</f>
        <v/>
      </c>
      <c r="K711" s="12" t="inlineStr"/>
      <c r="L711" s="12" t="inlineStr"/>
      <c r="M711" s="17" t="inlineStr"/>
    </row>
    <row r="712" ht="18" customHeight="1">
      <c r="A712" s="18" t="inlineStr">
        <is>
          <t>SC-8</t>
        </is>
      </c>
      <c r="B712" s="19" t="inlineStr">
        <is>
          <t>Transmission Confidentiality and Integrity</t>
        </is>
      </c>
      <c r="C712" s="19" t="inlineStr">
        <is>
          <t>Networking</t>
        </is>
      </c>
      <c r="D712" s="18" t="inlineStr">
        <is>
          <t>SC</t>
        </is>
      </c>
      <c r="E712" s="19" t="inlineStr">
        <is>
          <t>Networking</t>
        </is>
      </c>
      <c r="F712" s="19" t="inlineStr">
        <is>
          <t>SC-8</t>
        </is>
      </c>
      <c r="G712" s="20">
        <f>IFERROR('[Networking.xlsx]SC-8'!B20,"Not Started")</f>
        <v/>
      </c>
      <c r="H712" s="14">
        <f>IF(OR(G712="Passed",G712="Accepted Exception"),"GREEN",IF(OR(G712="Not Started",G712="Failed"),"RED","AMBER"))</f>
        <v/>
      </c>
      <c r="I712" s="21">
        <f>IFERROR('[Networking.xlsx]SC-8'!E20,"Non commencé")</f>
        <v/>
      </c>
      <c r="J712" s="16">
        <f>IF(OR(I712="Réussi",I712="Exception acceptée"),"GREEN",IF(OR(I712="Non commencé",I712="Échec"),"RED","AMBER"))</f>
        <v/>
      </c>
      <c r="K712" s="19" t="inlineStr"/>
      <c r="L712" s="19" t="inlineStr"/>
      <c r="M712" s="22" t="inlineStr"/>
    </row>
    <row r="713" ht="18" customHeight="1">
      <c r="A713" s="11" t="inlineStr">
        <is>
          <t>SC-8(1)</t>
        </is>
      </c>
      <c r="B713" s="12" t="inlineStr">
        <is>
          <t>Transmission Confidentiality and Integrity</t>
        </is>
      </c>
      <c r="C713" s="12" t="inlineStr">
        <is>
          <t>Networking</t>
        </is>
      </c>
      <c r="D713" s="11" t="inlineStr">
        <is>
          <t>SC</t>
        </is>
      </c>
      <c r="E713" s="12" t="inlineStr">
        <is>
          <t>Networking</t>
        </is>
      </c>
      <c r="F713" s="12" t="inlineStr">
        <is>
          <t>SC-8-1</t>
        </is>
      </c>
      <c r="G713" s="13">
        <f>IFERROR('[Networking.xlsx]SC-8-1'!B20,"Not Started")</f>
        <v/>
      </c>
      <c r="H713" s="14">
        <f>IF(OR(G713="Passed",G713="Accepted Exception"),"GREEN",IF(OR(G713="Not Started",G713="Failed"),"RED","AMBER"))</f>
        <v/>
      </c>
      <c r="I713" s="15">
        <f>IFERROR('[Networking.xlsx]SC-8-1'!E20,"Non commencé")</f>
        <v/>
      </c>
      <c r="J713" s="16">
        <f>IF(OR(I713="Réussi",I713="Exception acceptée"),"GREEN",IF(OR(I713="Non commencé",I713="Échec"),"RED","AMBER"))</f>
        <v/>
      </c>
      <c r="K713" s="12" t="inlineStr"/>
      <c r="L713" s="12" t="inlineStr"/>
      <c r="M713" s="17" t="inlineStr"/>
    </row>
    <row r="714" ht="18" customHeight="1">
      <c r="A714" s="18" t="inlineStr">
        <is>
          <t>SC-10</t>
        </is>
      </c>
      <c r="B714" s="19" t="inlineStr">
        <is>
          <t>Network Disconnect</t>
        </is>
      </c>
      <c r="C714" s="19" t="inlineStr">
        <is>
          <t>Networking</t>
        </is>
      </c>
      <c r="D714" s="18" t="inlineStr">
        <is>
          <t>SC</t>
        </is>
      </c>
      <c r="E714" s="19" t="inlineStr">
        <is>
          <t>Networking</t>
        </is>
      </c>
      <c r="F714" s="19" t="inlineStr">
        <is>
          <t>SC-10</t>
        </is>
      </c>
      <c r="G714" s="20">
        <f>IFERROR('[Networking.xlsx]SC-10'!B20,"Not Started")</f>
        <v/>
      </c>
      <c r="H714" s="14">
        <f>IF(OR(G714="Passed",G714="Accepted Exception"),"GREEN",IF(OR(G714="Not Started",G714="Failed"),"RED","AMBER"))</f>
        <v/>
      </c>
      <c r="I714" s="21">
        <f>IFERROR('[Networking.xlsx]SC-10'!E20,"Non commencé")</f>
        <v/>
      </c>
      <c r="J714" s="16">
        <f>IF(OR(I714="Réussi",I714="Exception acceptée"),"GREEN",IF(OR(I714="Non commencé",I714="Échec"),"RED","AMBER"))</f>
        <v/>
      </c>
      <c r="K714" s="19" t="inlineStr"/>
      <c r="L714" s="19" t="inlineStr"/>
      <c r="M714" s="22" t="inlineStr"/>
    </row>
    <row r="715" ht="18" customHeight="1">
      <c r="A715" s="11" t="inlineStr">
        <is>
          <t>SC-12(3)</t>
        </is>
      </c>
      <c r="B715" s="12" t="inlineStr">
        <is>
          <t>Cryptographic Key Establishment and Management</t>
        </is>
      </c>
      <c r="C715" s="12" t="inlineStr">
        <is>
          <t>Networking</t>
        </is>
      </c>
      <c r="D715" s="11" t="inlineStr">
        <is>
          <t>SC</t>
        </is>
      </c>
      <c r="E715" s="12" t="inlineStr">
        <is>
          <t>Networking</t>
        </is>
      </c>
      <c r="F715" s="12" t="inlineStr">
        <is>
          <t>SC-12-3</t>
        </is>
      </c>
      <c r="G715" s="13">
        <f>IFERROR('[Networking.xlsx]SC-12-3'!B20,"Not Started")</f>
        <v/>
      </c>
      <c r="H715" s="14">
        <f>IF(OR(G715="Passed",G715="Accepted Exception"),"GREEN",IF(OR(G715="Not Started",G715="Failed"),"RED","AMBER"))</f>
        <v/>
      </c>
      <c r="I715" s="15">
        <f>IFERROR('[Networking.xlsx]SC-12-3'!E20,"Non commencé")</f>
        <v/>
      </c>
      <c r="J715" s="16">
        <f>IF(OR(I715="Réussi",I715="Exception acceptée"),"GREEN",IF(OR(I715="Non commencé",I715="Échec"),"RED","AMBER"))</f>
        <v/>
      </c>
      <c r="K715" s="12" t="inlineStr"/>
      <c r="L715" s="12" t="inlineStr"/>
      <c r="M715" s="17" t="inlineStr"/>
    </row>
    <row r="716" ht="18" customHeight="1">
      <c r="A716" s="18" t="inlineStr">
        <is>
          <t>SC-13</t>
        </is>
      </c>
      <c r="B716" s="19" t="inlineStr">
        <is>
          <t>Cryptographic Protection</t>
        </is>
      </c>
      <c r="C716" s="19" t="inlineStr">
        <is>
          <t>Networking</t>
        </is>
      </c>
      <c r="D716" s="18" t="inlineStr">
        <is>
          <t>SC</t>
        </is>
      </c>
      <c r="E716" s="19" t="inlineStr">
        <is>
          <t>Networking</t>
        </is>
      </c>
      <c r="F716" s="19" t="inlineStr">
        <is>
          <t>SC-13</t>
        </is>
      </c>
      <c r="G716" s="20">
        <f>IFERROR('[Networking.xlsx]SC-13'!B20,"Not Started")</f>
        <v/>
      </c>
      <c r="H716" s="14">
        <f>IF(OR(G716="Passed",G716="Accepted Exception"),"GREEN",IF(OR(G716="Not Started",G716="Failed"),"RED","AMBER"))</f>
        <v/>
      </c>
      <c r="I716" s="21">
        <f>IFERROR('[Networking.xlsx]SC-13'!E20,"Non commencé")</f>
        <v/>
      </c>
      <c r="J716" s="16">
        <f>IF(OR(I716="Réussi",I716="Exception acceptée"),"GREEN",IF(OR(I716="Non commencé",I716="Échec"),"RED","AMBER"))</f>
        <v/>
      </c>
      <c r="K716" s="19" t="inlineStr"/>
      <c r="L716" s="19" t="inlineStr"/>
      <c r="M716" s="22" t="inlineStr"/>
    </row>
    <row r="717" ht="18" customHeight="1">
      <c r="A717" s="11" t="inlineStr">
        <is>
          <t>SC-18</t>
        </is>
      </c>
      <c r="B717" s="12" t="inlineStr">
        <is>
          <t>Mobile Code</t>
        </is>
      </c>
      <c r="C717" s="12" t="inlineStr">
        <is>
          <t>Networking</t>
        </is>
      </c>
      <c r="D717" s="11" t="inlineStr">
        <is>
          <t>SC</t>
        </is>
      </c>
      <c r="E717" s="12" t="inlineStr">
        <is>
          <t>Networking</t>
        </is>
      </c>
      <c r="F717" s="12" t="inlineStr">
        <is>
          <t>SC-18</t>
        </is>
      </c>
      <c r="G717" s="13">
        <f>IFERROR('[Networking.xlsx]SC-18'!B20,"Not Started")</f>
        <v/>
      </c>
      <c r="H717" s="14">
        <f>IF(OR(G717="Passed",G717="Accepted Exception"),"GREEN",IF(OR(G717="Not Started",G717="Failed"),"RED","AMBER"))</f>
        <v/>
      </c>
      <c r="I717" s="15">
        <f>IFERROR('[Networking.xlsx]SC-18'!E20,"Non commencé")</f>
        <v/>
      </c>
      <c r="J717" s="16">
        <f>IF(OR(I717="Réussi",I717="Exception acceptée"),"GREEN",IF(OR(I717="Non commencé",I717="Échec"),"RED","AMBER"))</f>
        <v/>
      </c>
      <c r="K717" s="12" t="inlineStr"/>
      <c r="L717" s="12" t="inlineStr"/>
      <c r="M717" s="17" t="inlineStr"/>
    </row>
    <row r="718" ht="18" customHeight="1">
      <c r="A718" s="18" t="inlineStr">
        <is>
          <t>SC-20</t>
        </is>
      </c>
      <c r="B718" s="19" t="inlineStr">
        <is>
          <t>Secure Name / Address Resolution Service (Authoritative Source)</t>
        </is>
      </c>
      <c r="C718" s="19" t="inlineStr">
        <is>
          <t>Networking</t>
        </is>
      </c>
      <c r="D718" s="18" t="inlineStr">
        <is>
          <t>SC</t>
        </is>
      </c>
      <c r="E718" s="19" t="inlineStr">
        <is>
          <t>Networking</t>
        </is>
      </c>
      <c r="F718" s="19" t="inlineStr">
        <is>
          <t>SC-20</t>
        </is>
      </c>
      <c r="G718" s="20">
        <f>IFERROR('[Networking.xlsx]SC-20'!B20,"Not Started")</f>
        <v/>
      </c>
      <c r="H718" s="14">
        <f>IF(OR(G718="Passed",G718="Accepted Exception"),"GREEN",IF(OR(G718="Not Started",G718="Failed"),"RED","AMBER"))</f>
        <v/>
      </c>
      <c r="I718" s="21">
        <f>IFERROR('[Networking.xlsx]SC-20'!E20,"Non commencé")</f>
        <v/>
      </c>
      <c r="J718" s="16">
        <f>IF(OR(I718="Réussi",I718="Exception acceptée"),"GREEN",IF(OR(I718="Non commencé",I718="Échec"),"RED","AMBER"))</f>
        <v/>
      </c>
      <c r="K718" s="19" t="inlineStr"/>
      <c r="L718" s="19" t="inlineStr"/>
      <c r="M718" s="22" t="inlineStr"/>
    </row>
    <row r="719" ht="18" customHeight="1">
      <c r="A719" s="11" t="inlineStr">
        <is>
          <t>SC-21</t>
        </is>
      </c>
      <c r="B719" s="12" t="inlineStr">
        <is>
          <t>Secure Name / Address Resolution Service (Recursive or Caching Resolver)</t>
        </is>
      </c>
      <c r="C719" s="12" t="inlineStr">
        <is>
          <t>Networking</t>
        </is>
      </c>
      <c r="D719" s="11" t="inlineStr">
        <is>
          <t>SC</t>
        </is>
      </c>
      <c r="E719" s="12" t="inlineStr">
        <is>
          <t>Networking</t>
        </is>
      </c>
      <c r="F719" s="12" t="inlineStr">
        <is>
          <t>SC-21</t>
        </is>
      </c>
      <c r="G719" s="13">
        <f>IFERROR('[Networking.xlsx]SC-21'!B20,"Not Started")</f>
        <v/>
      </c>
      <c r="H719" s="14">
        <f>IF(OR(G719="Passed",G719="Accepted Exception"),"GREEN",IF(OR(G719="Not Started",G719="Failed"),"RED","AMBER"))</f>
        <v/>
      </c>
      <c r="I719" s="15">
        <f>IFERROR('[Networking.xlsx]SC-21'!E20,"Non commencé")</f>
        <v/>
      </c>
      <c r="J719" s="16">
        <f>IF(OR(I719="Réussi",I719="Exception acceptée"),"GREEN",IF(OR(I719="Non commencé",I719="Échec"),"RED","AMBER"))</f>
        <v/>
      </c>
      <c r="K719" s="12" t="inlineStr"/>
      <c r="L719" s="12" t="inlineStr"/>
      <c r="M719" s="17" t="inlineStr"/>
    </row>
    <row r="720" ht="18" customHeight="1">
      <c r="A720" s="18" t="inlineStr">
        <is>
          <t>SC-22</t>
        </is>
      </c>
      <c r="B720" s="19" t="inlineStr">
        <is>
          <t>Architecture and Provisioning for Name / Address Resolution Service</t>
        </is>
      </c>
      <c r="C720" s="19" t="inlineStr">
        <is>
          <t>Networking</t>
        </is>
      </c>
      <c r="D720" s="18" t="inlineStr">
        <is>
          <t>SC</t>
        </is>
      </c>
      <c r="E720" s="19" t="inlineStr">
        <is>
          <t>Networking</t>
        </is>
      </c>
      <c r="F720" s="19" t="inlineStr">
        <is>
          <t>SC-22</t>
        </is>
      </c>
      <c r="G720" s="20">
        <f>IFERROR('[Networking.xlsx]SC-22'!B20,"Not Started")</f>
        <v/>
      </c>
      <c r="H720" s="14">
        <f>IF(OR(G720="Passed",G720="Accepted Exception"),"GREEN",IF(OR(G720="Not Started",G720="Failed"),"RED","AMBER"))</f>
        <v/>
      </c>
      <c r="I720" s="21">
        <f>IFERROR('[Networking.xlsx]SC-22'!E20,"Non commencé")</f>
        <v/>
      </c>
      <c r="J720" s="16">
        <f>IF(OR(I720="Réussi",I720="Exception acceptée"),"GREEN",IF(OR(I720="Non commencé",I720="Échec"),"RED","AMBER"))</f>
        <v/>
      </c>
      <c r="K720" s="19" t="inlineStr"/>
      <c r="L720" s="19" t="inlineStr"/>
      <c r="M720" s="22" t="inlineStr"/>
    </row>
    <row r="721" ht="18" customHeight="1">
      <c r="A721" s="11" t="inlineStr">
        <is>
          <t>SC-23</t>
        </is>
      </c>
      <c r="B721" s="12" t="inlineStr">
        <is>
          <t>Session Authenticity</t>
        </is>
      </c>
      <c r="C721" s="12" t="inlineStr">
        <is>
          <t>Networking</t>
        </is>
      </c>
      <c r="D721" s="11" t="inlineStr">
        <is>
          <t>SC</t>
        </is>
      </c>
      <c r="E721" s="12" t="inlineStr">
        <is>
          <t>Networking</t>
        </is>
      </c>
      <c r="F721" s="12" t="inlineStr">
        <is>
          <t>SC-23</t>
        </is>
      </c>
      <c r="G721" s="13">
        <f>IFERROR('[Networking.xlsx]SC-23'!B20,"Not Started")</f>
        <v/>
      </c>
      <c r="H721" s="14">
        <f>IF(OR(G721="Passed",G721="Accepted Exception"),"GREEN",IF(OR(G721="Not Started",G721="Failed"),"RED","AMBER"))</f>
        <v/>
      </c>
      <c r="I721" s="15">
        <f>IFERROR('[Networking.xlsx]SC-23'!E20,"Non commencé")</f>
        <v/>
      </c>
      <c r="J721" s="16">
        <f>IF(OR(I721="Réussi",I721="Exception acceptée"),"GREEN",IF(OR(I721="Non commencé",I721="Échec"),"RED","AMBER"))</f>
        <v/>
      </c>
      <c r="K721" s="12" t="inlineStr"/>
      <c r="L721" s="12" t="inlineStr"/>
      <c r="M721" s="17" t="inlineStr"/>
    </row>
    <row r="722" ht="18" customHeight="1">
      <c r="A722" s="18" t="inlineStr">
        <is>
          <t>SC-23(1)</t>
        </is>
      </c>
      <c r="B722" s="19" t="inlineStr">
        <is>
          <t>Session Authenticity</t>
        </is>
      </c>
      <c r="C722" s="19" t="inlineStr">
        <is>
          <t>Networking</t>
        </is>
      </c>
      <c r="D722" s="18" t="inlineStr">
        <is>
          <t>SC</t>
        </is>
      </c>
      <c r="E722" s="19" t="inlineStr">
        <is>
          <t>Networking</t>
        </is>
      </c>
      <c r="F722" s="19" t="inlineStr">
        <is>
          <t>SC-23-1</t>
        </is>
      </c>
      <c r="G722" s="20">
        <f>IFERROR('[Networking.xlsx]SC-23-1'!B20,"Not Started")</f>
        <v/>
      </c>
      <c r="H722" s="14">
        <f>IF(OR(G722="Passed",G722="Accepted Exception"),"GREEN",IF(OR(G722="Not Started",G722="Failed"),"RED","AMBER"))</f>
        <v/>
      </c>
      <c r="I722" s="21">
        <f>IFERROR('[Networking.xlsx]SC-23-1'!E20,"Non commencé")</f>
        <v/>
      </c>
      <c r="J722" s="16">
        <f>IF(OR(I722="Réussi",I722="Exception acceptée"),"GREEN",IF(OR(I722="Non commencé",I722="Échec"),"RED","AMBER"))</f>
        <v/>
      </c>
      <c r="K722" s="19" t="inlineStr"/>
      <c r="L722" s="19" t="inlineStr"/>
      <c r="M722" s="22" t="inlineStr"/>
    </row>
    <row r="723" ht="18" customHeight="1">
      <c r="A723" s="11" t="inlineStr">
        <is>
          <t>SC-28</t>
        </is>
      </c>
      <c r="B723" s="12" t="inlineStr">
        <is>
          <t>Protection of Information At Rest</t>
        </is>
      </c>
      <c r="C723" s="12" t="inlineStr">
        <is>
          <t>Networking</t>
        </is>
      </c>
      <c r="D723" s="11" t="inlineStr">
        <is>
          <t>SC</t>
        </is>
      </c>
      <c r="E723" s="12" t="inlineStr">
        <is>
          <t>Networking</t>
        </is>
      </c>
      <c r="F723" s="12" t="inlineStr">
        <is>
          <t>SC-28</t>
        </is>
      </c>
      <c r="G723" s="13">
        <f>IFERROR('[Networking.xlsx]SC-28'!B20,"Not Started")</f>
        <v/>
      </c>
      <c r="H723" s="14">
        <f>IF(OR(G723="Passed",G723="Accepted Exception"),"GREEN",IF(OR(G723="Not Started",G723="Failed"),"RED","AMBER"))</f>
        <v/>
      </c>
      <c r="I723" s="15">
        <f>IFERROR('[Networking.xlsx]SC-28'!E20,"Non commencé")</f>
        <v/>
      </c>
      <c r="J723" s="16">
        <f>IF(OR(I723="Réussi",I723="Exception acceptée"),"GREEN",IF(OR(I723="Non commencé",I723="Échec"),"RED","AMBER"))</f>
        <v/>
      </c>
      <c r="K723" s="12" t="inlineStr"/>
      <c r="L723" s="12" t="inlineStr"/>
      <c r="M723" s="17" t="inlineStr"/>
    </row>
    <row r="724" ht="18" customHeight="1">
      <c r="A724" s="18" t="inlineStr">
        <is>
          <t>SI-3</t>
        </is>
      </c>
      <c r="B724" s="19" t="inlineStr">
        <is>
          <t>Malicious Code Protection</t>
        </is>
      </c>
      <c r="C724" s="19" t="inlineStr">
        <is>
          <t>Networking</t>
        </is>
      </c>
      <c r="D724" s="18" t="inlineStr">
        <is>
          <t>SI</t>
        </is>
      </c>
      <c r="E724" s="19" t="inlineStr">
        <is>
          <t>Networking</t>
        </is>
      </c>
      <c r="F724" s="19" t="inlineStr">
        <is>
          <t>SI-3</t>
        </is>
      </c>
      <c r="G724" s="20">
        <f>IFERROR('[Networking.xlsx]SI-3'!B20,"Not Started")</f>
        <v/>
      </c>
      <c r="H724" s="14">
        <f>IF(OR(G724="Passed",G724="Accepted Exception"),"GREEN",IF(OR(G724="Not Started",G724="Failed"),"RED","AMBER"))</f>
        <v/>
      </c>
      <c r="I724" s="21">
        <f>IFERROR('[Networking.xlsx]SI-3'!E20,"Non commencé")</f>
        <v/>
      </c>
      <c r="J724" s="16">
        <f>IF(OR(I724="Réussi",I724="Exception acceptée"),"GREEN",IF(OR(I724="Non commencé",I724="Échec"),"RED","AMBER"))</f>
        <v/>
      </c>
      <c r="K724" s="19" t="inlineStr"/>
      <c r="L724" s="19" t="inlineStr"/>
      <c r="M724" s="22" t="inlineStr"/>
    </row>
    <row r="725" ht="18" customHeight="1">
      <c r="A725" s="11" t="inlineStr">
        <is>
          <t>SI-4</t>
        </is>
      </c>
      <c r="B725" s="12" t="inlineStr">
        <is>
          <t>Information System Monitoring</t>
        </is>
      </c>
      <c r="C725" s="12" t="inlineStr">
        <is>
          <t>Networking</t>
        </is>
      </c>
      <c r="D725" s="11" t="inlineStr">
        <is>
          <t>SI</t>
        </is>
      </c>
      <c r="E725" s="12" t="inlineStr">
        <is>
          <t>Networking</t>
        </is>
      </c>
      <c r="F725" s="12" t="inlineStr">
        <is>
          <t>SI-4</t>
        </is>
      </c>
      <c r="G725" s="13">
        <f>IFERROR('[Networking.xlsx]SI-4'!B20,"Not Started")</f>
        <v/>
      </c>
      <c r="H725" s="14">
        <f>IF(OR(G725="Passed",G725="Accepted Exception"),"GREEN",IF(OR(G725="Not Started",G725="Failed"),"RED","AMBER"))</f>
        <v/>
      </c>
      <c r="I725" s="15">
        <f>IFERROR('[Networking.xlsx]SI-4'!E20,"Non commencé")</f>
        <v/>
      </c>
      <c r="J725" s="16">
        <f>IF(OR(I725="Réussi",I725="Exception acceptée"),"GREEN",IF(OR(I725="Non commencé",I725="Échec"),"RED","AMBER"))</f>
        <v/>
      </c>
      <c r="K725" s="12" t="inlineStr"/>
      <c r="L725" s="12" t="inlineStr"/>
      <c r="M725" s="17" t="inlineStr"/>
    </row>
    <row r="726" ht="18" customHeight="1">
      <c r="A726" s="18" t="inlineStr">
        <is>
          <t>SI-4(1)</t>
        </is>
      </c>
      <c r="B726" s="19" t="inlineStr">
        <is>
          <t>Information System Monitoring</t>
        </is>
      </c>
      <c r="C726" s="19" t="inlineStr">
        <is>
          <t>Networking</t>
        </is>
      </c>
      <c r="D726" s="18" t="inlineStr">
        <is>
          <t>SI</t>
        </is>
      </c>
      <c r="E726" s="19" t="inlineStr">
        <is>
          <t>Networking</t>
        </is>
      </c>
      <c r="F726" s="19" t="inlineStr">
        <is>
          <t>SI-4-1</t>
        </is>
      </c>
      <c r="G726" s="20">
        <f>IFERROR('[Networking.xlsx]SI-4-1'!B20,"Not Started")</f>
        <v/>
      </c>
      <c r="H726" s="14">
        <f>IF(OR(G726="Passed",G726="Accepted Exception"),"GREEN",IF(OR(G726="Not Started",G726="Failed"),"RED","AMBER"))</f>
        <v/>
      </c>
      <c r="I726" s="21">
        <f>IFERROR('[Networking.xlsx]SI-4-1'!E20,"Non commencé")</f>
        <v/>
      </c>
      <c r="J726" s="16">
        <f>IF(OR(I726="Réussi",I726="Exception acceptée"),"GREEN",IF(OR(I726="Non commencé",I726="Échec"),"RED","AMBER"))</f>
        <v/>
      </c>
      <c r="K726" s="19" t="inlineStr"/>
      <c r="L726" s="19" t="inlineStr"/>
      <c r="M726" s="22" t="inlineStr"/>
    </row>
    <row r="727" ht="18" customHeight="1">
      <c r="A727" s="11" t="inlineStr">
        <is>
          <t>SI-4(2)</t>
        </is>
      </c>
      <c r="B727" s="12" t="inlineStr">
        <is>
          <t>Information System Monitoring</t>
        </is>
      </c>
      <c r="C727" s="12" t="inlineStr">
        <is>
          <t>Networking</t>
        </is>
      </c>
      <c r="D727" s="11" t="inlineStr">
        <is>
          <t>SI</t>
        </is>
      </c>
      <c r="E727" s="12" t="inlineStr">
        <is>
          <t>Networking</t>
        </is>
      </c>
      <c r="F727" s="12" t="inlineStr">
        <is>
          <t>SI-4-2</t>
        </is>
      </c>
      <c r="G727" s="13">
        <f>IFERROR('[Networking.xlsx]SI-4-2'!B20,"Not Started")</f>
        <v/>
      </c>
      <c r="H727" s="14">
        <f>IF(OR(G727="Passed",G727="Accepted Exception"),"GREEN",IF(OR(G727="Not Started",G727="Failed"),"RED","AMBER"))</f>
        <v/>
      </c>
      <c r="I727" s="15">
        <f>IFERROR('[Networking.xlsx]SI-4-2'!E20,"Non commencé")</f>
        <v/>
      </c>
      <c r="J727" s="16">
        <f>IF(OR(I727="Réussi",I727="Exception acceptée"),"GREEN",IF(OR(I727="Non commencé",I727="Échec"),"RED","AMBER"))</f>
        <v/>
      </c>
      <c r="K727" s="12" t="inlineStr"/>
      <c r="L727" s="12" t="inlineStr"/>
      <c r="M727" s="17" t="inlineStr"/>
    </row>
    <row r="728" ht="18" customHeight="1">
      <c r="A728" s="18" t="inlineStr">
        <is>
          <t>SI-4(4)</t>
        </is>
      </c>
      <c r="B728" s="19" t="inlineStr">
        <is>
          <t>Information System Monitoring</t>
        </is>
      </c>
      <c r="C728" s="19" t="inlineStr">
        <is>
          <t>Networking</t>
        </is>
      </c>
      <c r="D728" s="18" t="inlineStr">
        <is>
          <t>SI</t>
        </is>
      </c>
      <c r="E728" s="19" t="inlineStr">
        <is>
          <t>Networking</t>
        </is>
      </c>
      <c r="F728" s="19" t="inlineStr">
        <is>
          <t>SI-4-4</t>
        </is>
      </c>
      <c r="G728" s="20">
        <f>IFERROR('[Networking.xlsx]SI-4-4'!B20,"Not Started")</f>
        <v/>
      </c>
      <c r="H728" s="14">
        <f>IF(OR(G728="Passed",G728="Accepted Exception"),"GREEN",IF(OR(G728="Not Started",G728="Failed"),"RED","AMBER"))</f>
        <v/>
      </c>
      <c r="I728" s="21">
        <f>IFERROR('[Networking.xlsx]SI-4-4'!E20,"Non commencé")</f>
        <v/>
      </c>
      <c r="J728" s="16">
        <f>IF(OR(I728="Réussi",I728="Exception acceptée"),"GREEN",IF(OR(I728="Non commencé",I728="Échec"),"RED","AMBER"))</f>
        <v/>
      </c>
      <c r="K728" s="19" t="inlineStr"/>
      <c r="L728" s="19" t="inlineStr"/>
      <c r="M728" s="22" t="inlineStr"/>
    </row>
    <row r="729" ht="18" customHeight="1">
      <c r="A729" s="11" t="inlineStr">
        <is>
          <t>SI-4(5)</t>
        </is>
      </c>
      <c r="B729" s="12" t="inlineStr">
        <is>
          <t>Information System Monitoring</t>
        </is>
      </c>
      <c r="C729" s="12" t="inlineStr">
        <is>
          <t>Networking</t>
        </is>
      </c>
      <c r="D729" s="11" t="inlineStr">
        <is>
          <t>SI</t>
        </is>
      </c>
      <c r="E729" s="12" t="inlineStr">
        <is>
          <t>Networking</t>
        </is>
      </c>
      <c r="F729" s="12" t="inlineStr">
        <is>
          <t>SI-4-5</t>
        </is>
      </c>
      <c r="G729" s="13">
        <f>IFERROR('[Networking.xlsx]SI-4-5'!B20,"Not Started")</f>
        <v/>
      </c>
      <c r="H729" s="14">
        <f>IF(OR(G729="Passed",G729="Accepted Exception"),"GREEN",IF(OR(G729="Not Started",G729="Failed"),"RED","AMBER"))</f>
        <v/>
      </c>
      <c r="I729" s="15">
        <f>IFERROR('[Networking.xlsx]SI-4-5'!E20,"Non commencé")</f>
        <v/>
      </c>
      <c r="J729" s="16">
        <f>IF(OR(I729="Réussi",I729="Exception acceptée"),"GREEN",IF(OR(I729="Non commencé",I729="Échec"),"RED","AMBER"))</f>
        <v/>
      </c>
      <c r="K729" s="12" t="inlineStr"/>
      <c r="L729" s="12" t="inlineStr"/>
      <c r="M729" s="17" t="inlineStr"/>
    </row>
    <row r="730" ht="18" customHeight="1">
      <c r="A730" s="18" t="inlineStr">
        <is>
          <t>SI-4(11)</t>
        </is>
      </c>
      <c r="B730" s="19" t="inlineStr">
        <is>
          <t>Information System Monitoring</t>
        </is>
      </c>
      <c r="C730" s="19" t="inlineStr">
        <is>
          <t>Networking</t>
        </is>
      </c>
      <c r="D730" s="18" t="inlineStr">
        <is>
          <t>SI</t>
        </is>
      </c>
      <c r="E730" s="19" t="inlineStr">
        <is>
          <t>Networking</t>
        </is>
      </c>
      <c r="F730" s="19" t="inlineStr">
        <is>
          <t>SI-4-11</t>
        </is>
      </c>
      <c r="G730" s="20">
        <f>IFERROR('[Networking.xlsx]SI-4-11'!B20,"Not Started")</f>
        <v/>
      </c>
      <c r="H730" s="14">
        <f>IF(OR(G730="Passed",G730="Accepted Exception"),"GREEN",IF(OR(G730="Not Started",G730="Failed"),"RED","AMBER"))</f>
        <v/>
      </c>
      <c r="I730" s="21">
        <f>IFERROR('[Networking.xlsx]SI-4-11'!E20,"Non commencé")</f>
        <v/>
      </c>
      <c r="J730" s="16">
        <f>IF(OR(I730="Réussi",I730="Exception acceptée"),"GREEN",IF(OR(I730="Non commencé",I730="Échec"),"RED","AMBER"))</f>
        <v/>
      </c>
      <c r="K730" s="19" t="inlineStr"/>
      <c r="L730" s="19" t="inlineStr"/>
      <c r="M730" s="22" t="inlineStr"/>
    </row>
    <row r="731" ht="18" customHeight="1">
      <c r="A731" s="11" t="inlineStr">
        <is>
          <t>SI-6</t>
        </is>
      </c>
      <c r="B731" s="12" t="inlineStr">
        <is>
          <t>Security Functional Verification</t>
        </is>
      </c>
      <c r="C731" s="12" t="inlineStr">
        <is>
          <t>Networking</t>
        </is>
      </c>
      <c r="D731" s="11" t="inlineStr">
        <is>
          <t>SI</t>
        </is>
      </c>
      <c r="E731" s="12" t="inlineStr">
        <is>
          <t>Networking</t>
        </is>
      </c>
      <c r="F731" s="12" t="inlineStr">
        <is>
          <t>SI-6</t>
        </is>
      </c>
      <c r="G731" s="13">
        <f>IFERROR('[Networking.xlsx]SI-6'!B20,"Not Started")</f>
        <v/>
      </c>
      <c r="H731" s="14">
        <f>IF(OR(G731="Passed",G731="Accepted Exception"),"GREEN",IF(OR(G731="Not Started",G731="Failed"),"RED","AMBER"))</f>
        <v/>
      </c>
      <c r="I731" s="15">
        <f>IFERROR('[Networking.xlsx]SI-6'!E20,"Non commencé")</f>
        <v/>
      </c>
      <c r="J731" s="16">
        <f>IF(OR(I731="Réussi",I731="Exception acceptée"),"GREEN",IF(OR(I731="Non commencé",I731="Échec"),"RED","AMBER"))</f>
        <v/>
      </c>
      <c r="K731" s="12" t="inlineStr"/>
      <c r="L731" s="12" t="inlineStr"/>
      <c r="M731" s="17" t="inlineStr"/>
    </row>
    <row r="732" ht="18" customHeight="1">
      <c r="A732" s="18" t="inlineStr">
        <is>
          <t>SI-8</t>
        </is>
      </c>
      <c r="B732" s="19" t="inlineStr">
        <is>
          <t>Spam Protection</t>
        </is>
      </c>
      <c r="C732" s="19" t="inlineStr">
        <is>
          <t>Networking</t>
        </is>
      </c>
      <c r="D732" s="18" t="inlineStr">
        <is>
          <t>SI</t>
        </is>
      </c>
      <c r="E732" s="19" t="inlineStr">
        <is>
          <t>Networking</t>
        </is>
      </c>
      <c r="F732" s="19" t="inlineStr">
        <is>
          <t>SI-8</t>
        </is>
      </c>
      <c r="G732" s="20">
        <f>IFERROR('[Networking.xlsx]SI-8'!B20,"Not Started")</f>
        <v/>
      </c>
      <c r="H732" s="14">
        <f>IF(OR(G732="Passed",G732="Accepted Exception"),"GREEN",IF(OR(G732="Not Started",G732="Failed"),"RED","AMBER"))</f>
        <v/>
      </c>
      <c r="I732" s="21">
        <f>IFERROR('[Networking.xlsx]SI-8'!E20,"Non commencé")</f>
        <v/>
      </c>
      <c r="J732" s="16">
        <f>IF(OR(I732="Réussi",I732="Exception acceptée"),"GREEN",IF(OR(I732="Non commencé",I732="Échec"),"RED","AMBER"))</f>
        <v/>
      </c>
      <c r="K732" s="19" t="inlineStr"/>
      <c r="L732" s="19" t="inlineStr"/>
      <c r="M732" s="22" t="inlineStr"/>
    </row>
    <row r="733" ht="18" customHeight="1">
      <c r="A733" s="11" t="inlineStr">
        <is>
          <t>SI-8(1)</t>
        </is>
      </c>
      <c r="B733" s="12" t="inlineStr">
        <is>
          <t>Spam Protection</t>
        </is>
      </c>
      <c r="C733" s="12" t="inlineStr">
        <is>
          <t>Networking</t>
        </is>
      </c>
      <c r="D733" s="11" t="inlineStr">
        <is>
          <t>SI</t>
        </is>
      </c>
      <c r="E733" s="12" t="inlineStr">
        <is>
          <t>Networking</t>
        </is>
      </c>
      <c r="F733" s="12" t="inlineStr">
        <is>
          <t>SI-8-1</t>
        </is>
      </c>
      <c r="G733" s="13">
        <f>IFERROR('[Networking.xlsx]SI-8-1'!B20,"Not Started")</f>
        <v/>
      </c>
      <c r="H733" s="14">
        <f>IF(OR(G733="Passed",G733="Accepted Exception"),"GREEN",IF(OR(G733="Not Started",G733="Failed"),"RED","AMBER"))</f>
        <v/>
      </c>
      <c r="I733" s="15">
        <f>IFERROR('[Networking.xlsx]SI-8-1'!E20,"Non commencé")</f>
        <v/>
      </c>
      <c r="J733" s="16">
        <f>IF(OR(I733="Réussi",I733="Exception acceptée"),"GREEN",IF(OR(I733="Non commencé",I733="Échec"),"RED","AMBER"))</f>
        <v/>
      </c>
      <c r="K733" s="12" t="inlineStr"/>
      <c r="L733" s="12" t="inlineStr"/>
      <c r="M733" s="17" t="inlineStr"/>
    </row>
    <row r="734" ht="18" customHeight="1">
      <c r="A734" s="18" t="inlineStr">
        <is>
          <t>SI-8(2)</t>
        </is>
      </c>
      <c r="B734" s="19" t="inlineStr">
        <is>
          <t>Spam Protection</t>
        </is>
      </c>
      <c r="C734" s="19" t="inlineStr">
        <is>
          <t>Networking</t>
        </is>
      </c>
      <c r="D734" s="18" t="inlineStr">
        <is>
          <t>SI</t>
        </is>
      </c>
      <c r="E734" s="19" t="inlineStr">
        <is>
          <t>Networking</t>
        </is>
      </c>
      <c r="F734" s="19" t="inlineStr">
        <is>
          <t>SI-8-2</t>
        </is>
      </c>
      <c r="G734" s="20">
        <f>IFERROR('[Networking.xlsx]SI-8-2'!B20,"Not Started")</f>
        <v/>
      </c>
      <c r="H734" s="14">
        <f>IF(OR(G734="Passed",G734="Accepted Exception"),"GREEN",IF(OR(G734="Not Started",G734="Failed"),"RED","AMBER"))</f>
        <v/>
      </c>
      <c r="I734" s="21">
        <f>IFERROR('[Networking.xlsx]SI-8-2'!E20,"Non commencé")</f>
        <v/>
      </c>
      <c r="J734" s="16">
        <f>IF(OR(I734="Réussi",I734="Exception acceptée"),"GREEN",IF(OR(I734="Non commencé",I734="Échec"),"RED","AMBER"))</f>
        <v/>
      </c>
      <c r="K734" s="19" t="inlineStr"/>
      <c r="L734" s="19" t="inlineStr"/>
      <c r="M734" s="22" t="inlineStr"/>
    </row>
    <row r="735" ht="18" customHeight="1">
      <c r="A735" s="11" t="inlineStr">
        <is>
          <t>SI-11</t>
        </is>
      </c>
      <c r="B735" s="12" t="inlineStr">
        <is>
          <t>Error Handling</t>
        </is>
      </c>
      <c r="C735" s="12" t="inlineStr">
        <is>
          <t>Networking</t>
        </is>
      </c>
      <c r="D735" s="11" t="inlineStr">
        <is>
          <t>SI</t>
        </is>
      </c>
      <c r="E735" s="12" t="inlineStr">
        <is>
          <t>Networking</t>
        </is>
      </c>
      <c r="F735" s="12" t="inlineStr">
        <is>
          <t>SI-11</t>
        </is>
      </c>
      <c r="G735" s="13">
        <f>IFERROR('[Networking.xlsx]SI-11'!B20,"Not Started")</f>
        <v/>
      </c>
      <c r="H735" s="14">
        <f>IF(OR(G735="Passed",G735="Accepted Exception"),"GREEN",IF(OR(G735="Not Started",G735="Failed"),"RED","AMBER"))</f>
        <v/>
      </c>
      <c r="I735" s="15">
        <f>IFERROR('[Networking.xlsx]SI-11'!E20,"Non commencé")</f>
        <v/>
      </c>
      <c r="J735" s="16">
        <f>IF(OR(I735="Réussi",I735="Exception acceptée"),"GREEN",IF(OR(I735="Non commencé",I735="Échec"),"RED","AMBER"))</f>
        <v/>
      </c>
      <c r="K735" s="12" t="inlineStr"/>
      <c r="L735" s="12" t="inlineStr"/>
      <c r="M735" s="17" t="inlineStr"/>
    </row>
    <row r="736" ht="18" customHeight="1">
      <c r="A736" s="18" t="inlineStr">
        <is>
          <t>AC-2(2)</t>
        </is>
      </c>
      <c r="B736" s="19" t="inlineStr">
        <is>
          <t>Account Management</t>
        </is>
      </c>
      <c r="C736" s="19" t="inlineStr">
        <is>
          <t>Palo Alto Firewalls</t>
        </is>
      </c>
      <c r="D736" s="18" t="inlineStr">
        <is>
          <t>AC</t>
        </is>
      </c>
      <c r="E736" s="19" t="inlineStr">
        <is>
          <t>Palo Alto Firewalls</t>
        </is>
      </c>
      <c r="F736" s="19" t="inlineStr">
        <is>
          <t>AC-2-2</t>
        </is>
      </c>
      <c r="G736" s="20">
        <f>IFERROR('[Palo_Alto_Firewalls.xlsx]AC-2-2'!B20,"Not Started")</f>
        <v/>
      </c>
      <c r="H736" s="14">
        <f>IF(OR(G736="Passed",G736="Accepted Exception"),"GREEN",IF(OR(G736="Not Started",G736="Failed"),"RED","AMBER"))</f>
        <v/>
      </c>
      <c r="I736" s="21">
        <f>IFERROR('[Palo_Alto_Firewalls.xlsx]AC-2-2'!E20,"Non commencé")</f>
        <v/>
      </c>
      <c r="J736" s="16">
        <f>IF(OR(I736="Réussi",I736="Exception acceptée"),"GREEN",IF(OR(I736="Non commencé",I736="Échec"),"RED","AMBER"))</f>
        <v/>
      </c>
      <c r="K736" s="19" t="inlineStr"/>
      <c r="L736" s="19" t="inlineStr"/>
      <c r="M736" s="22" t="inlineStr"/>
    </row>
    <row r="737" ht="18" customHeight="1">
      <c r="A737" s="11" t="inlineStr">
        <is>
          <t>AC-2(4)</t>
        </is>
      </c>
      <c r="B737" s="12" t="inlineStr">
        <is>
          <t>Account Management</t>
        </is>
      </c>
      <c r="C737" s="12" t="inlineStr">
        <is>
          <t>Palo Alto Firewalls</t>
        </is>
      </c>
      <c r="D737" s="11" t="inlineStr">
        <is>
          <t>AC</t>
        </is>
      </c>
      <c r="E737" s="12" t="inlineStr">
        <is>
          <t>Palo Alto Firewalls</t>
        </is>
      </c>
      <c r="F737" s="12" t="inlineStr">
        <is>
          <t>AC-2-4</t>
        </is>
      </c>
      <c r="G737" s="13">
        <f>IFERROR('[Palo_Alto_Firewalls.xlsx]AC-2-4'!B20,"Not Started")</f>
        <v/>
      </c>
      <c r="H737" s="14">
        <f>IF(OR(G737="Passed",G737="Accepted Exception"),"GREEN",IF(OR(G737="Not Started",G737="Failed"),"RED","AMBER"))</f>
        <v/>
      </c>
      <c r="I737" s="15">
        <f>IFERROR('[Palo_Alto_Firewalls.xlsx]AC-2-4'!E20,"Non commencé")</f>
        <v/>
      </c>
      <c r="J737" s="16">
        <f>IF(OR(I737="Réussi",I737="Exception acceptée"),"GREEN",IF(OR(I737="Non commencé",I737="Échec"),"RED","AMBER"))</f>
        <v/>
      </c>
      <c r="K737" s="12" t="inlineStr"/>
      <c r="L737" s="12" t="inlineStr"/>
      <c r="M737" s="17" t="inlineStr"/>
    </row>
    <row r="738" ht="18" customHeight="1">
      <c r="A738" s="18" t="inlineStr">
        <is>
          <t>AC-3</t>
        </is>
      </c>
      <c r="B738" s="19" t="inlineStr">
        <is>
          <t>Access Enforcement</t>
        </is>
      </c>
      <c r="C738" s="19" t="inlineStr">
        <is>
          <t>Palo Alto Firewalls</t>
        </is>
      </c>
      <c r="D738" s="18" t="inlineStr">
        <is>
          <t>AC</t>
        </is>
      </c>
      <c r="E738" s="19" t="inlineStr">
        <is>
          <t>Palo Alto Firewalls</t>
        </is>
      </c>
      <c r="F738" s="19" t="inlineStr">
        <is>
          <t>AC-3</t>
        </is>
      </c>
      <c r="G738" s="20">
        <f>IFERROR('[Palo_Alto_Firewalls.xlsx]AC-3'!B20,"Not Started")</f>
        <v/>
      </c>
      <c r="H738" s="14">
        <f>IF(OR(G738="Passed",G738="Accepted Exception"),"GREEN",IF(OR(G738="Not Started",G738="Failed"),"RED","AMBER"))</f>
        <v/>
      </c>
      <c r="I738" s="21">
        <f>IFERROR('[Palo_Alto_Firewalls.xlsx]AC-3'!E20,"Non commencé")</f>
        <v/>
      </c>
      <c r="J738" s="16">
        <f>IF(OR(I738="Réussi",I738="Exception acceptée"),"GREEN",IF(OR(I738="Non commencé",I738="Échec"),"RED","AMBER"))</f>
        <v/>
      </c>
      <c r="K738" s="19" t="inlineStr"/>
      <c r="L738" s="19" t="inlineStr"/>
      <c r="M738" s="22" t="inlineStr"/>
    </row>
    <row r="739" ht="18" customHeight="1">
      <c r="A739" s="11" t="inlineStr">
        <is>
          <t>AC-4</t>
        </is>
      </c>
      <c r="B739" s="12" t="inlineStr">
        <is>
          <t>Information Flow Enforcement</t>
        </is>
      </c>
      <c r="C739" s="12" t="inlineStr">
        <is>
          <t>Palo Alto Firewalls</t>
        </is>
      </c>
      <c r="D739" s="11" t="inlineStr">
        <is>
          <t>AC</t>
        </is>
      </c>
      <c r="E739" s="12" t="inlineStr">
        <is>
          <t>Palo Alto Firewalls</t>
        </is>
      </c>
      <c r="F739" s="12" t="inlineStr">
        <is>
          <t>AC-4</t>
        </is>
      </c>
      <c r="G739" s="13">
        <f>IFERROR('[Palo_Alto_Firewalls.xlsx]AC-4'!B20,"Not Started")</f>
        <v/>
      </c>
      <c r="H739" s="14">
        <f>IF(OR(G739="Passed",G739="Accepted Exception"),"GREEN",IF(OR(G739="Not Started",G739="Failed"),"RED","AMBER"))</f>
        <v/>
      </c>
      <c r="I739" s="15">
        <f>IFERROR('[Palo_Alto_Firewalls.xlsx]AC-4'!E20,"Non commencé")</f>
        <v/>
      </c>
      <c r="J739" s="16">
        <f>IF(OR(I739="Réussi",I739="Exception acceptée"),"GREEN",IF(OR(I739="Non commencé",I739="Échec"),"RED","AMBER"))</f>
        <v/>
      </c>
      <c r="K739" s="12" t="inlineStr"/>
      <c r="L739" s="12" t="inlineStr"/>
      <c r="M739" s="17" t="inlineStr"/>
    </row>
    <row r="740" ht="18" customHeight="1">
      <c r="A740" s="18" t="inlineStr">
        <is>
          <t>AC-4(21)</t>
        </is>
      </c>
      <c r="B740" s="19" t="inlineStr">
        <is>
          <t>Information Flow Enforcement</t>
        </is>
      </c>
      <c r="C740" s="19" t="inlineStr">
        <is>
          <t>Palo Alto Firewalls</t>
        </is>
      </c>
      <c r="D740" s="18" t="inlineStr">
        <is>
          <t>AC</t>
        </is>
      </c>
      <c r="E740" s="19" t="inlineStr">
        <is>
          <t>Palo Alto Firewalls</t>
        </is>
      </c>
      <c r="F740" s="19" t="inlineStr">
        <is>
          <t>AC-4-21</t>
        </is>
      </c>
      <c r="G740" s="20">
        <f>IFERROR('[Palo_Alto_Firewalls.xlsx]AC-4-21'!B20,"Not Started")</f>
        <v/>
      </c>
      <c r="H740" s="14">
        <f>IF(OR(G740="Passed",G740="Accepted Exception"),"GREEN",IF(OR(G740="Not Started",G740="Failed"),"RED","AMBER"))</f>
        <v/>
      </c>
      <c r="I740" s="21">
        <f>IFERROR('[Palo_Alto_Firewalls.xlsx]AC-4-21'!E20,"Non commencé")</f>
        <v/>
      </c>
      <c r="J740" s="16">
        <f>IF(OR(I740="Réussi",I740="Exception acceptée"),"GREEN",IF(OR(I740="Non commencé",I740="Échec"),"RED","AMBER"))</f>
        <v/>
      </c>
      <c r="K740" s="19" t="inlineStr"/>
      <c r="L740" s="19" t="inlineStr"/>
      <c r="M740" s="22" t="inlineStr"/>
    </row>
    <row r="741" ht="18" customHeight="1">
      <c r="A741" s="11" t="inlineStr">
        <is>
          <t>AC-6</t>
        </is>
      </c>
      <c r="B741" s="12" t="inlineStr">
        <is>
          <t>Least Privilege</t>
        </is>
      </c>
      <c r="C741" s="12" t="inlineStr">
        <is>
          <t>Palo Alto Firewalls</t>
        </is>
      </c>
      <c r="D741" s="11" t="inlineStr">
        <is>
          <t>AC</t>
        </is>
      </c>
      <c r="E741" s="12" t="inlineStr">
        <is>
          <t>Palo Alto Firewalls</t>
        </is>
      </c>
      <c r="F741" s="12" t="inlineStr">
        <is>
          <t>AC-6</t>
        </is>
      </c>
      <c r="G741" s="13">
        <f>IFERROR('[Palo_Alto_Firewalls.xlsx]AC-6'!B20,"Not Started")</f>
        <v/>
      </c>
      <c r="H741" s="14">
        <f>IF(OR(G741="Passed",G741="Accepted Exception"),"GREEN",IF(OR(G741="Not Started",G741="Failed"),"RED","AMBER"))</f>
        <v/>
      </c>
      <c r="I741" s="15">
        <f>IFERROR('[Palo_Alto_Firewalls.xlsx]AC-6'!E20,"Non commencé")</f>
        <v/>
      </c>
      <c r="J741" s="16">
        <f>IF(OR(I741="Réussi",I741="Exception acceptée"),"GREEN",IF(OR(I741="Non commencé",I741="Échec"),"RED","AMBER"))</f>
        <v/>
      </c>
      <c r="K741" s="12" t="inlineStr"/>
      <c r="L741" s="12" t="inlineStr"/>
      <c r="M741" s="17" t="inlineStr"/>
    </row>
    <row r="742" ht="18" customHeight="1">
      <c r="A742" s="18" t="inlineStr">
        <is>
          <t>AC-6(1)</t>
        </is>
      </c>
      <c r="B742" s="19" t="inlineStr">
        <is>
          <t>Least Privilege</t>
        </is>
      </c>
      <c r="C742" s="19" t="inlineStr">
        <is>
          <t>Palo Alto Firewalls</t>
        </is>
      </c>
      <c r="D742" s="18" t="inlineStr">
        <is>
          <t>AC</t>
        </is>
      </c>
      <c r="E742" s="19" t="inlineStr">
        <is>
          <t>Palo Alto Firewalls</t>
        </is>
      </c>
      <c r="F742" s="19" t="inlineStr">
        <is>
          <t>AC-6-1</t>
        </is>
      </c>
      <c r="G742" s="20">
        <f>IFERROR('[Palo_Alto_Firewalls.xlsx]AC-6-1'!B20,"Not Started")</f>
        <v/>
      </c>
      <c r="H742" s="14">
        <f>IF(OR(G742="Passed",G742="Accepted Exception"),"GREEN",IF(OR(G742="Not Started",G742="Failed"),"RED","AMBER"))</f>
        <v/>
      </c>
      <c r="I742" s="21">
        <f>IFERROR('[Palo_Alto_Firewalls.xlsx]AC-6-1'!E20,"Non commencé")</f>
        <v/>
      </c>
      <c r="J742" s="16">
        <f>IF(OR(I742="Réussi",I742="Exception acceptée"),"GREEN",IF(OR(I742="Non commencé",I742="Échec"),"RED","AMBER"))</f>
        <v/>
      </c>
      <c r="K742" s="19" t="inlineStr"/>
      <c r="L742" s="19" t="inlineStr"/>
      <c r="M742" s="22" t="inlineStr"/>
    </row>
    <row r="743" ht="18" customHeight="1">
      <c r="A743" s="11" t="inlineStr">
        <is>
          <t>AC-6(9)</t>
        </is>
      </c>
      <c r="B743" s="12" t="inlineStr">
        <is>
          <t>Least Privilege</t>
        </is>
      </c>
      <c r="C743" s="12" t="inlineStr">
        <is>
          <t>Palo Alto Firewalls</t>
        </is>
      </c>
      <c r="D743" s="11" t="inlineStr">
        <is>
          <t>AC</t>
        </is>
      </c>
      <c r="E743" s="12" t="inlineStr">
        <is>
          <t>Palo Alto Firewalls</t>
        </is>
      </c>
      <c r="F743" s="12" t="inlineStr">
        <is>
          <t>AC-6-9</t>
        </is>
      </c>
      <c r="G743" s="13">
        <f>IFERROR('[Palo_Alto_Firewalls.xlsx]AC-6-9'!B20,"Not Started")</f>
        <v/>
      </c>
      <c r="H743" s="14">
        <f>IF(OR(G743="Passed",G743="Accepted Exception"),"GREEN",IF(OR(G743="Not Started",G743="Failed"),"RED","AMBER"))</f>
        <v/>
      </c>
      <c r="I743" s="15">
        <f>IFERROR('[Palo_Alto_Firewalls.xlsx]AC-6-9'!E20,"Non commencé")</f>
        <v/>
      </c>
      <c r="J743" s="16">
        <f>IF(OR(I743="Réussi",I743="Exception acceptée"),"GREEN",IF(OR(I743="Non commencé",I743="Échec"),"RED","AMBER"))</f>
        <v/>
      </c>
      <c r="K743" s="12" t="inlineStr"/>
      <c r="L743" s="12" t="inlineStr"/>
      <c r="M743" s="17" t="inlineStr"/>
    </row>
    <row r="744" ht="18" customHeight="1">
      <c r="A744" s="18" t="inlineStr">
        <is>
          <t>AC-6(10)</t>
        </is>
      </c>
      <c r="B744" s="19" t="inlineStr">
        <is>
          <t>Least Privilege</t>
        </is>
      </c>
      <c r="C744" s="19" t="inlineStr">
        <is>
          <t>Palo Alto Firewalls</t>
        </is>
      </c>
      <c r="D744" s="18" t="inlineStr">
        <is>
          <t>AC</t>
        </is>
      </c>
      <c r="E744" s="19" t="inlineStr">
        <is>
          <t>Palo Alto Firewalls</t>
        </is>
      </c>
      <c r="F744" s="19" t="inlineStr">
        <is>
          <t>AC-6-10</t>
        </is>
      </c>
      <c r="G744" s="20">
        <f>IFERROR('[Palo_Alto_Firewalls.xlsx]AC-6-10'!B20,"Not Started")</f>
        <v/>
      </c>
      <c r="H744" s="14">
        <f>IF(OR(G744="Passed",G744="Accepted Exception"),"GREEN",IF(OR(G744="Not Started",G744="Failed"),"RED","AMBER"))</f>
        <v/>
      </c>
      <c r="I744" s="21">
        <f>IFERROR('[Palo_Alto_Firewalls.xlsx]AC-6-10'!E20,"Non commencé")</f>
        <v/>
      </c>
      <c r="J744" s="16">
        <f>IF(OR(I744="Réussi",I744="Exception acceptée"),"GREEN",IF(OR(I744="Non commencé",I744="Échec"),"RED","AMBER"))</f>
        <v/>
      </c>
      <c r="K744" s="19" t="inlineStr"/>
      <c r="L744" s="19" t="inlineStr"/>
      <c r="M744" s="22" t="inlineStr"/>
    </row>
    <row r="745" ht="18" customHeight="1">
      <c r="A745" s="11" t="inlineStr">
        <is>
          <t>AC-7</t>
        </is>
      </c>
      <c r="B745" s="12" t="inlineStr">
        <is>
          <t>Unsuccessful Login Attempts</t>
        </is>
      </c>
      <c r="C745" s="12" t="inlineStr">
        <is>
          <t>Palo Alto Firewalls</t>
        </is>
      </c>
      <c r="D745" s="11" t="inlineStr">
        <is>
          <t>AC</t>
        </is>
      </c>
      <c r="E745" s="12" t="inlineStr">
        <is>
          <t>Palo Alto Firewalls</t>
        </is>
      </c>
      <c r="F745" s="12" t="inlineStr">
        <is>
          <t>AC-7</t>
        </is>
      </c>
      <c r="G745" s="13">
        <f>IFERROR('[Palo_Alto_Firewalls.xlsx]AC-7'!B20,"Not Started")</f>
        <v/>
      </c>
      <c r="H745" s="14">
        <f>IF(OR(G745="Passed",G745="Accepted Exception"),"GREEN",IF(OR(G745="Not Started",G745="Failed"),"RED","AMBER"))</f>
        <v/>
      </c>
      <c r="I745" s="15">
        <f>IFERROR('[Palo_Alto_Firewalls.xlsx]AC-7'!E20,"Non commencé")</f>
        <v/>
      </c>
      <c r="J745" s="16">
        <f>IF(OR(I745="Réussi",I745="Exception acceptée"),"GREEN",IF(OR(I745="Non commencé",I745="Échec"),"RED","AMBER"))</f>
        <v/>
      </c>
      <c r="K745" s="12" t="inlineStr"/>
      <c r="L745" s="12" t="inlineStr"/>
      <c r="M745" s="17" t="inlineStr"/>
    </row>
    <row r="746" ht="18" customHeight="1">
      <c r="A746" s="18" t="inlineStr">
        <is>
          <t>AC-10</t>
        </is>
      </c>
      <c r="B746" s="19" t="inlineStr">
        <is>
          <t>Concurrent Session Control</t>
        </is>
      </c>
      <c r="C746" s="19" t="inlineStr">
        <is>
          <t>Palo Alto Firewalls</t>
        </is>
      </c>
      <c r="D746" s="18" t="inlineStr">
        <is>
          <t>AC</t>
        </is>
      </c>
      <c r="E746" s="19" t="inlineStr">
        <is>
          <t>Palo Alto Firewalls</t>
        </is>
      </c>
      <c r="F746" s="19" t="inlineStr">
        <is>
          <t>AC-10</t>
        </is>
      </c>
      <c r="G746" s="20">
        <f>IFERROR('[Palo_Alto_Firewalls.xlsx]AC-10'!B20,"Not Started")</f>
        <v/>
      </c>
      <c r="H746" s="14">
        <f>IF(OR(G746="Passed",G746="Accepted Exception"),"GREEN",IF(OR(G746="Not Started",G746="Failed"),"RED","AMBER"))</f>
        <v/>
      </c>
      <c r="I746" s="21">
        <f>IFERROR('[Palo_Alto_Firewalls.xlsx]AC-10'!E20,"Non commencé")</f>
        <v/>
      </c>
      <c r="J746" s="16">
        <f>IF(OR(I746="Réussi",I746="Exception acceptée"),"GREEN",IF(OR(I746="Non commencé",I746="Échec"),"RED","AMBER"))</f>
        <v/>
      </c>
      <c r="K746" s="19" t="inlineStr"/>
      <c r="L746" s="19" t="inlineStr"/>
      <c r="M746" s="22" t="inlineStr"/>
    </row>
    <row r="747" ht="18" customHeight="1">
      <c r="A747" s="11" t="inlineStr">
        <is>
          <t>AC-17(1)</t>
        </is>
      </c>
      <c r="B747" s="12" t="inlineStr">
        <is>
          <t>Remote Access</t>
        </is>
      </c>
      <c r="C747" s="12" t="inlineStr">
        <is>
          <t>Palo Alto Firewalls</t>
        </is>
      </c>
      <c r="D747" s="11" t="inlineStr">
        <is>
          <t>AC</t>
        </is>
      </c>
      <c r="E747" s="12" t="inlineStr">
        <is>
          <t>Palo Alto Firewalls</t>
        </is>
      </c>
      <c r="F747" s="12" t="inlineStr">
        <is>
          <t>AC-17-1</t>
        </is>
      </c>
      <c r="G747" s="13">
        <f>IFERROR('[Palo_Alto_Firewalls.xlsx]AC-17-1'!B20,"Not Started")</f>
        <v/>
      </c>
      <c r="H747" s="14">
        <f>IF(OR(G747="Passed",G747="Accepted Exception"),"GREEN",IF(OR(G747="Not Started",G747="Failed"),"RED","AMBER"))</f>
        <v/>
      </c>
      <c r="I747" s="15">
        <f>IFERROR('[Palo_Alto_Firewalls.xlsx]AC-17-1'!E20,"Non commencé")</f>
        <v/>
      </c>
      <c r="J747" s="16">
        <f>IF(OR(I747="Réussi",I747="Exception acceptée"),"GREEN",IF(OR(I747="Non commencé",I747="Échec"),"RED","AMBER"))</f>
        <v/>
      </c>
      <c r="K747" s="12" t="inlineStr"/>
      <c r="L747" s="12" t="inlineStr"/>
      <c r="M747" s="17" t="inlineStr"/>
    </row>
    <row r="748" ht="18" customHeight="1">
      <c r="A748" s="18" t="inlineStr">
        <is>
          <t>AC-17(2)</t>
        </is>
      </c>
      <c r="B748" s="19" t="inlineStr">
        <is>
          <t>Remote Access</t>
        </is>
      </c>
      <c r="C748" s="19" t="inlineStr">
        <is>
          <t>Palo Alto Firewalls</t>
        </is>
      </c>
      <c r="D748" s="18" t="inlineStr">
        <is>
          <t>AC</t>
        </is>
      </c>
      <c r="E748" s="19" t="inlineStr">
        <is>
          <t>Palo Alto Firewalls</t>
        </is>
      </c>
      <c r="F748" s="19" t="inlineStr">
        <is>
          <t>AC-17-2</t>
        </is>
      </c>
      <c r="G748" s="20">
        <f>IFERROR('[Palo_Alto_Firewalls.xlsx]AC-17-2'!B20,"Not Started")</f>
        <v/>
      </c>
      <c r="H748" s="14">
        <f>IF(OR(G748="Passed",G748="Accepted Exception"),"GREEN",IF(OR(G748="Not Started",G748="Failed"),"RED","AMBER"))</f>
        <v/>
      </c>
      <c r="I748" s="21">
        <f>IFERROR('[Palo_Alto_Firewalls.xlsx]AC-17-2'!E20,"Non commencé")</f>
        <v/>
      </c>
      <c r="J748" s="16">
        <f>IF(OR(I748="Réussi",I748="Exception acceptée"),"GREEN",IF(OR(I748="Non commencé",I748="Échec"),"RED","AMBER"))</f>
        <v/>
      </c>
      <c r="K748" s="19" t="inlineStr"/>
      <c r="L748" s="19" t="inlineStr"/>
      <c r="M748" s="22" t="inlineStr"/>
    </row>
    <row r="749" ht="18" customHeight="1">
      <c r="A749" s="11" t="inlineStr">
        <is>
          <t>AC-17(3)</t>
        </is>
      </c>
      <c r="B749" s="12" t="inlineStr">
        <is>
          <t>Remote Access</t>
        </is>
      </c>
      <c r="C749" s="12" t="inlineStr">
        <is>
          <t>Palo Alto Firewalls</t>
        </is>
      </c>
      <c r="D749" s="11" t="inlineStr">
        <is>
          <t>AC</t>
        </is>
      </c>
      <c r="E749" s="12" t="inlineStr">
        <is>
          <t>Palo Alto Firewalls</t>
        </is>
      </c>
      <c r="F749" s="12" t="inlineStr">
        <is>
          <t>AC-17-3</t>
        </is>
      </c>
      <c r="G749" s="13">
        <f>IFERROR('[Palo_Alto_Firewalls.xlsx]AC-17-3'!B20,"Not Started")</f>
        <v/>
      </c>
      <c r="H749" s="14">
        <f>IF(OR(G749="Passed",G749="Accepted Exception"),"GREEN",IF(OR(G749="Not Started",G749="Failed"),"RED","AMBER"))</f>
        <v/>
      </c>
      <c r="I749" s="15">
        <f>IFERROR('[Palo_Alto_Firewalls.xlsx]AC-17-3'!E20,"Non commencé")</f>
        <v/>
      </c>
      <c r="J749" s="16">
        <f>IF(OR(I749="Réussi",I749="Exception acceptée"),"GREEN",IF(OR(I749="Non commencé",I749="Échec"),"RED","AMBER"))</f>
        <v/>
      </c>
      <c r="K749" s="12" t="inlineStr"/>
      <c r="L749" s="12" t="inlineStr"/>
      <c r="M749" s="17" t="inlineStr"/>
    </row>
    <row r="750" ht="18" customHeight="1">
      <c r="A750" s="18" t="inlineStr">
        <is>
          <t>AC-17(9)</t>
        </is>
      </c>
      <c r="B750" s="19" t="inlineStr">
        <is>
          <t>Remote Access</t>
        </is>
      </c>
      <c r="C750" s="19" t="inlineStr">
        <is>
          <t>Palo Alto Firewalls</t>
        </is>
      </c>
      <c r="D750" s="18" t="inlineStr">
        <is>
          <t>AC</t>
        </is>
      </c>
      <c r="E750" s="19" t="inlineStr">
        <is>
          <t>Palo Alto Firewalls</t>
        </is>
      </c>
      <c r="F750" s="19" t="inlineStr">
        <is>
          <t>AC-17-9</t>
        </is>
      </c>
      <c r="G750" s="20">
        <f>IFERROR('[Palo_Alto_Firewalls.xlsx]AC-17-9'!B20,"Not Started")</f>
        <v/>
      </c>
      <c r="H750" s="14">
        <f>IF(OR(G750="Passed",G750="Accepted Exception"),"GREEN",IF(OR(G750="Not Started",G750="Failed"),"RED","AMBER"))</f>
        <v/>
      </c>
      <c r="I750" s="21">
        <f>IFERROR('[Palo_Alto_Firewalls.xlsx]AC-17-9'!E20,"Non commencé")</f>
        <v/>
      </c>
      <c r="J750" s="16">
        <f>IF(OR(I750="Réussi",I750="Exception acceptée"),"GREEN",IF(OR(I750="Non commencé",I750="Échec"),"RED","AMBER"))</f>
        <v/>
      </c>
      <c r="K750" s="19" t="inlineStr"/>
      <c r="L750" s="19" t="inlineStr"/>
      <c r="M750" s="22" t="inlineStr"/>
    </row>
    <row r="751" ht="18" customHeight="1">
      <c r="A751" s="11" t="inlineStr">
        <is>
          <t>AC-17(100)</t>
        </is>
      </c>
      <c r="B751" s="12" t="inlineStr">
        <is>
          <t>Remote Access</t>
        </is>
      </c>
      <c r="C751" s="12" t="inlineStr">
        <is>
          <t>Palo Alto Firewalls</t>
        </is>
      </c>
      <c r="D751" s="11" t="inlineStr">
        <is>
          <t>AC</t>
        </is>
      </c>
      <c r="E751" s="12" t="inlineStr">
        <is>
          <t>Palo Alto Firewalls</t>
        </is>
      </c>
      <c r="F751" s="12" t="inlineStr">
        <is>
          <t>AC-17-100</t>
        </is>
      </c>
      <c r="G751" s="13">
        <f>IFERROR('[Palo_Alto_Firewalls.xlsx]AC-17-100'!B20,"Not Started")</f>
        <v/>
      </c>
      <c r="H751" s="14">
        <f>IF(OR(G751="Passed",G751="Accepted Exception"),"GREEN",IF(OR(G751="Not Started",G751="Failed"),"RED","AMBER"))</f>
        <v/>
      </c>
      <c r="I751" s="15">
        <f>IFERROR('[Palo_Alto_Firewalls.xlsx]AC-17-100'!E20,"Non commencé")</f>
        <v/>
      </c>
      <c r="J751" s="16">
        <f>IF(OR(I751="Réussi",I751="Exception acceptée"),"GREEN",IF(OR(I751="Non commencé",I751="Échec"),"RED","AMBER"))</f>
        <v/>
      </c>
      <c r="K751" s="12" t="inlineStr"/>
      <c r="L751" s="12" t="inlineStr"/>
      <c r="M751" s="17" t="inlineStr"/>
    </row>
    <row r="752" ht="18" customHeight="1">
      <c r="A752" s="18" t="inlineStr">
        <is>
          <t>AU-2</t>
        </is>
      </c>
      <c r="B752" s="19" t="inlineStr">
        <is>
          <t>Auditable Events</t>
        </is>
      </c>
      <c r="C752" s="19" t="inlineStr">
        <is>
          <t>Palo Alto Firewalls</t>
        </is>
      </c>
      <c r="D752" s="18" t="inlineStr">
        <is>
          <t>AU</t>
        </is>
      </c>
      <c r="E752" s="19" t="inlineStr">
        <is>
          <t>Palo Alto Firewalls</t>
        </is>
      </c>
      <c r="F752" s="19" t="inlineStr">
        <is>
          <t>AU-2</t>
        </is>
      </c>
      <c r="G752" s="20">
        <f>IFERROR('[Palo_Alto_Firewalls.xlsx]AU-2'!B20,"Not Started")</f>
        <v/>
      </c>
      <c r="H752" s="14">
        <f>IF(OR(G752="Passed",G752="Accepted Exception"),"GREEN",IF(OR(G752="Not Started",G752="Failed"),"RED","AMBER"))</f>
        <v/>
      </c>
      <c r="I752" s="21">
        <f>IFERROR('[Palo_Alto_Firewalls.xlsx]AU-2'!E20,"Non commencé")</f>
        <v/>
      </c>
      <c r="J752" s="16">
        <f>IF(OR(I752="Réussi",I752="Exception acceptée"),"GREEN",IF(OR(I752="Non commencé",I752="Échec"),"RED","AMBER"))</f>
        <v/>
      </c>
      <c r="K752" s="19" t="inlineStr"/>
      <c r="L752" s="19" t="inlineStr"/>
      <c r="M752" s="22" t="inlineStr"/>
    </row>
    <row r="753" ht="18" customHeight="1">
      <c r="A753" s="11" t="inlineStr">
        <is>
          <t>AU-3</t>
        </is>
      </c>
      <c r="B753" s="12" t="inlineStr">
        <is>
          <t>Content of Audit Records</t>
        </is>
      </c>
      <c r="C753" s="12" t="inlineStr">
        <is>
          <t>Palo Alto Firewalls</t>
        </is>
      </c>
      <c r="D753" s="11" t="inlineStr">
        <is>
          <t>AU</t>
        </is>
      </c>
      <c r="E753" s="12" t="inlineStr">
        <is>
          <t>Palo Alto Firewalls</t>
        </is>
      </c>
      <c r="F753" s="12" t="inlineStr">
        <is>
          <t>AU-3</t>
        </is>
      </c>
      <c r="G753" s="13">
        <f>IFERROR('[Palo_Alto_Firewalls.xlsx]AU-3'!B20,"Not Started")</f>
        <v/>
      </c>
      <c r="H753" s="14">
        <f>IF(OR(G753="Passed",G753="Accepted Exception"),"GREEN",IF(OR(G753="Not Started",G753="Failed"),"RED","AMBER"))</f>
        <v/>
      </c>
      <c r="I753" s="15">
        <f>IFERROR('[Palo_Alto_Firewalls.xlsx]AU-3'!E20,"Non commencé")</f>
        <v/>
      </c>
      <c r="J753" s="16">
        <f>IF(OR(I753="Réussi",I753="Exception acceptée"),"GREEN",IF(OR(I753="Non commencé",I753="Échec"),"RED","AMBER"))</f>
        <v/>
      </c>
      <c r="K753" s="12" t="inlineStr"/>
      <c r="L753" s="12" t="inlineStr"/>
      <c r="M753" s="17" t="inlineStr"/>
    </row>
    <row r="754" ht="18" customHeight="1">
      <c r="A754" s="18" t="inlineStr">
        <is>
          <t>AU-3(1)</t>
        </is>
      </c>
      <c r="B754" s="19" t="inlineStr">
        <is>
          <t>Content of Audit Records</t>
        </is>
      </c>
      <c r="C754" s="19" t="inlineStr">
        <is>
          <t>Palo Alto Firewalls</t>
        </is>
      </c>
      <c r="D754" s="18" t="inlineStr">
        <is>
          <t>AU</t>
        </is>
      </c>
      <c r="E754" s="19" t="inlineStr">
        <is>
          <t>Palo Alto Firewalls</t>
        </is>
      </c>
      <c r="F754" s="19" t="inlineStr">
        <is>
          <t>AU-3-1</t>
        </is>
      </c>
      <c r="G754" s="20">
        <f>IFERROR('[Palo_Alto_Firewalls.xlsx]AU-3-1'!B20,"Not Started")</f>
        <v/>
      </c>
      <c r="H754" s="14">
        <f>IF(OR(G754="Passed",G754="Accepted Exception"),"GREEN",IF(OR(G754="Not Started",G754="Failed"),"RED","AMBER"))</f>
        <v/>
      </c>
      <c r="I754" s="21">
        <f>IFERROR('[Palo_Alto_Firewalls.xlsx]AU-3-1'!E20,"Non commencé")</f>
        <v/>
      </c>
      <c r="J754" s="16">
        <f>IF(OR(I754="Réussi",I754="Exception acceptée"),"GREEN",IF(OR(I754="Non commencé",I754="Échec"),"RED","AMBER"))</f>
        <v/>
      </c>
      <c r="K754" s="19" t="inlineStr"/>
      <c r="L754" s="19" t="inlineStr"/>
      <c r="M754" s="22" t="inlineStr"/>
    </row>
    <row r="755" ht="18" customHeight="1">
      <c r="A755" s="11" t="inlineStr">
        <is>
          <t>AU-8</t>
        </is>
      </c>
      <c r="B755" s="12" t="inlineStr">
        <is>
          <t>Time Stamps</t>
        </is>
      </c>
      <c r="C755" s="12" t="inlineStr">
        <is>
          <t>Palo Alto Firewalls</t>
        </is>
      </c>
      <c r="D755" s="11" t="inlineStr">
        <is>
          <t>AU</t>
        </is>
      </c>
      <c r="E755" s="12" t="inlineStr">
        <is>
          <t>Palo Alto Firewalls</t>
        </is>
      </c>
      <c r="F755" s="12" t="inlineStr">
        <is>
          <t>AU-8</t>
        </is>
      </c>
      <c r="G755" s="13">
        <f>IFERROR('[Palo_Alto_Firewalls.xlsx]AU-8'!B20,"Not Started")</f>
        <v/>
      </c>
      <c r="H755" s="14">
        <f>IF(OR(G755="Passed",G755="Accepted Exception"),"GREEN",IF(OR(G755="Not Started",G755="Failed"),"RED","AMBER"))</f>
        <v/>
      </c>
      <c r="I755" s="15">
        <f>IFERROR('[Palo_Alto_Firewalls.xlsx]AU-8'!E20,"Non commencé")</f>
        <v/>
      </c>
      <c r="J755" s="16">
        <f>IF(OR(I755="Réussi",I755="Exception acceptée"),"GREEN",IF(OR(I755="Non commencé",I755="Échec"),"RED","AMBER"))</f>
        <v/>
      </c>
      <c r="K755" s="12" t="inlineStr"/>
      <c r="L755" s="12" t="inlineStr"/>
      <c r="M755" s="17" t="inlineStr"/>
    </row>
    <row r="756" ht="18" customHeight="1">
      <c r="A756" s="18" t="inlineStr">
        <is>
          <t>AU-8(1)</t>
        </is>
      </c>
      <c r="B756" s="19" t="inlineStr">
        <is>
          <t>Time Stamps</t>
        </is>
      </c>
      <c r="C756" s="19" t="inlineStr">
        <is>
          <t>Palo Alto Firewalls</t>
        </is>
      </c>
      <c r="D756" s="18" t="inlineStr">
        <is>
          <t>AU</t>
        </is>
      </c>
      <c r="E756" s="19" t="inlineStr">
        <is>
          <t>Palo Alto Firewalls</t>
        </is>
      </c>
      <c r="F756" s="19" t="inlineStr">
        <is>
          <t>AU-8-1</t>
        </is>
      </c>
      <c r="G756" s="20">
        <f>IFERROR('[Palo_Alto_Firewalls.xlsx]AU-8-1'!B20,"Not Started")</f>
        <v/>
      </c>
      <c r="H756" s="14">
        <f>IF(OR(G756="Passed",G756="Accepted Exception"),"GREEN",IF(OR(G756="Not Started",G756="Failed"),"RED","AMBER"))</f>
        <v/>
      </c>
      <c r="I756" s="21">
        <f>IFERROR('[Palo_Alto_Firewalls.xlsx]AU-8-1'!E20,"Non commencé")</f>
        <v/>
      </c>
      <c r="J756" s="16">
        <f>IF(OR(I756="Réussi",I756="Exception acceptée"),"GREEN",IF(OR(I756="Non commencé",I756="Échec"),"RED","AMBER"))</f>
        <v/>
      </c>
      <c r="K756" s="19" t="inlineStr"/>
      <c r="L756" s="19" t="inlineStr"/>
      <c r="M756" s="22" t="inlineStr"/>
    </row>
    <row r="757" ht="18" customHeight="1">
      <c r="A757" s="11" t="inlineStr">
        <is>
          <t>AU-9(2)</t>
        </is>
      </c>
      <c r="B757" s="12" t="inlineStr">
        <is>
          <t>Protection of Audit Information</t>
        </is>
      </c>
      <c r="C757" s="12" t="inlineStr">
        <is>
          <t>Palo Alto Firewalls</t>
        </is>
      </c>
      <c r="D757" s="11" t="inlineStr">
        <is>
          <t>AU</t>
        </is>
      </c>
      <c r="E757" s="12" t="inlineStr">
        <is>
          <t>Palo Alto Firewalls</t>
        </is>
      </c>
      <c r="F757" s="12" t="inlineStr">
        <is>
          <t>AU-9-2</t>
        </is>
      </c>
      <c r="G757" s="13">
        <f>IFERROR('[Palo_Alto_Firewalls.xlsx]AU-9-2'!B20,"Not Started")</f>
        <v/>
      </c>
      <c r="H757" s="14">
        <f>IF(OR(G757="Passed",G757="Accepted Exception"),"GREEN",IF(OR(G757="Not Started",G757="Failed"),"RED","AMBER"))</f>
        <v/>
      </c>
      <c r="I757" s="15">
        <f>IFERROR('[Palo_Alto_Firewalls.xlsx]AU-9-2'!E20,"Non commencé")</f>
        <v/>
      </c>
      <c r="J757" s="16">
        <f>IF(OR(I757="Réussi",I757="Exception acceptée"),"GREEN",IF(OR(I757="Non commencé",I757="Échec"),"RED","AMBER"))</f>
        <v/>
      </c>
      <c r="K757" s="12" t="inlineStr"/>
      <c r="L757" s="12" t="inlineStr"/>
      <c r="M757" s="17" t="inlineStr"/>
    </row>
    <row r="758" ht="18" customHeight="1">
      <c r="A758" s="18" t="inlineStr">
        <is>
          <t>AU-12</t>
        </is>
      </c>
      <c r="B758" s="19" t="inlineStr">
        <is>
          <t>Audit Generation</t>
        </is>
      </c>
      <c r="C758" s="19" t="inlineStr">
        <is>
          <t>Palo Alto Firewalls</t>
        </is>
      </c>
      <c r="D758" s="18" t="inlineStr">
        <is>
          <t>AU</t>
        </is>
      </c>
      <c r="E758" s="19" t="inlineStr">
        <is>
          <t>Palo Alto Firewalls</t>
        </is>
      </c>
      <c r="F758" s="19" t="inlineStr">
        <is>
          <t>AU-12</t>
        </is>
      </c>
      <c r="G758" s="20">
        <f>IFERROR('[Palo_Alto_Firewalls.xlsx]AU-12'!B20,"Not Started")</f>
        <v/>
      </c>
      <c r="H758" s="14">
        <f>IF(OR(G758="Passed",G758="Accepted Exception"),"GREEN",IF(OR(G758="Not Started",G758="Failed"),"RED","AMBER"))</f>
        <v/>
      </c>
      <c r="I758" s="21">
        <f>IFERROR('[Palo_Alto_Firewalls.xlsx]AU-12'!E20,"Non commencé")</f>
        <v/>
      </c>
      <c r="J758" s="16">
        <f>IF(OR(I758="Réussi",I758="Exception acceptée"),"GREEN",IF(OR(I758="Non commencé",I758="Échec"),"RED","AMBER"))</f>
        <v/>
      </c>
      <c r="K758" s="19" t="inlineStr"/>
      <c r="L758" s="19" t="inlineStr"/>
      <c r="M758" s="22" t="inlineStr"/>
    </row>
    <row r="759" ht="18" customHeight="1">
      <c r="A759" s="11" t="inlineStr">
        <is>
          <t>CA-3(5)</t>
        </is>
      </c>
      <c r="B759" s="12" t="inlineStr">
        <is>
          <t>Information System Connections</t>
        </is>
      </c>
      <c r="C759" s="12" t="inlineStr">
        <is>
          <t>Palo Alto Firewalls</t>
        </is>
      </c>
      <c r="D759" s="11" t="inlineStr">
        <is>
          <t>CA</t>
        </is>
      </c>
      <c r="E759" s="12" t="inlineStr">
        <is>
          <t>Palo Alto Firewalls</t>
        </is>
      </c>
      <c r="F759" s="12" t="inlineStr">
        <is>
          <t>CA-3-5</t>
        </is>
      </c>
      <c r="G759" s="13">
        <f>IFERROR('[Palo_Alto_Firewalls.xlsx]CA-3-5'!B20,"Not Started")</f>
        <v/>
      </c>
      <c r="H759" s="14">
        <f>IF(OR(G759="Passed",G759="Accepted Exception"),"GREEN",IF(OR(G759="Not Started",G759="Failed"),"RED","AMBER"))</f>
        <v/>
      </c>
      <c r="I759" s="15">
        <f>IFERROR('[Palo_Alto_Firewalls.xlsx]CA-3-5'!E20,"Non commencé")</f>
        <v/>
      </c>
      <c r="J759" s="16">
        <f>IF(OR(I759="Réussi",I759="Exception acceptée"),"GREEN",IF(OR(I759="Non commencé",I759="Échec"),"RED","AMBER"))</f>
        <v/>
      </c>
      <c r="K759" s="12" t="inlineStr"/>
      <c r="L759" s="12" t="inlineStr"/>
      <c r="M759" s="17" t="inlineStr"/>
    </row>
    <row r="760" ht="18" customHeight="1">
      <c r="A760" s="18" t="inlineStr">
        <is>
          <t>CA-9</t>
        </is>
      </c>
      <c r="B760" s="19" t="inlineStr">
        <is>
          <t>Internal System Connections</t>
        </is>
      </c>
      <c r="C760" s="19" t="inlineStr">
        <is>
          <t>Palo Alto Firewalls</t>
        </is>
      </c>
      <c r="D760" s="18" t="inlineStr">
        <is>
          <t>CA</t>
        </is>
      </c>
      <c r="E760" s="19" t="inlineStr">
        <is>
          <t>Palo Alto Firewalls</t>
        </is>
      </c>
      <c r="F760" s="19" t="inlineStr">
        <is>
          <t>CA-9</t>
        </is>
      </c>
      <c r="G760" s="20">
        <f>IFERROR('[Palo_Alto_Firewalls.xlsx]CA-9'!B20,"Not Started")</f>
        <v/>
      </c>
      <c r="H760" s="14">
        <f>IF(OR(G760="Passed",G760="Accepted Exception"),"GREEN",IF(OR(G760="Not Started",G760="Failed"),"RED","AMBER"))</f>
        <v/>
      </c>
      <c r="I760" s="21">
        <f>IFERROR('[Palo_Alto_Firewalls.xlsx]CA-9'!E20,"Non commencé")</f>
        <v/>
      </c>
      <c r="J760" s="16">
        <f>IF(OR(I760="Réussi",I760="Exception acceptée"),"GREEN",IF(OR(I760="Non commencé",I760="Échec"),"RED","AMBER"))</f>
        <v/>
      </c>
      <c r="K760" s="19" t="inlineStr"/>
      <c r="L760" s="19" t="inlineStr"/>
      <c r="M760" s="22" t="inlineStr"/>
    </row>
    <row r="761" ht="18" customHeight="1">
      <c r="A761" s="11" t="inlineStr">
        <is>
          <t>CM-2</t>
        </is>
      </c>
      <c r="B761" s="12" t="inlineStr">
        <is>
          <t>Baseline Configuration</t>
        </is>
      </c>
      <c r="C761" s="12" t="inlineStr">
        <is>
          <t>Palo Alto Firewalls</t>
        </is>
      </c>
      <c r="D761" s="11" t="inlineStr">
        <is>
          <t>CM</t>
        </is>
      </c>
      <c r="E761" s="12" t="inlineStr">
        <is>
          <t>Palo Alto Firewalls</t>
        </is>
      </c>
      <c r="F761" s="12" t="inlineStr">
        <is>
          <t>CM-2</t>
        </is>
      </c>
      <c r="G761" s="13">
        <f>IFERROR('[Palo_Alto_Firewalls.xlsx]CM-2'!B20,"Not Started")</f>
        <v/>
      </c>
      <c r="H761" s="14">
        <f>IF(OR(G761="Passed",G761="Accepted Exception"),"GREEN",IF(OR(G761="Not Started",G761="Failed"),"RED","AMBER"))</f>
        <v/>
      </c>
      <c r="I761" s="15">
        <f>IFERROR('[Palo_Alto_Firewalls.xlsx]CM-2'!E20,"Non commencé")</f>
        <v/>
      </c>
      <c r="J761" s="16">
        <f>IF(OR(I761="Réussi",I761="Exception acceptée"),"GREEN",IF(OR(I761="Non commencé",I761="Échec"),"RED","AMBER"))</f>
        <v/>
      </c>
      <c r="K761" s="12" t="inlineStr"/>
      <c r="L761" s="12" t="inlineStr"/>
      <c r="M761" s="17" t="inlineStr"/>
    </row>
    <row r="762" ht="18" customHeight="1">
      <c r="A762" s="18" t="inlineStr">
        <is>
          <t>CM-2(1)</t>
        </is>
      </c>
      <c r="B762" s="19" t="inlineStr">
        <is>
          <t>Baseline Configuration</t>
        </is>
      </c>
      <c r="C762" s="19" t="inlineStr">
        <is>
          <t>Palo Alto Firewalls</t>
        </is>
      </c>
      <c r="D762" s="18" t="inlineStr">
        <is>
          <t>CM</t>
        </is>
      </c>
      <c r="E762" s="19" t="inlineStr">
        <is>
          <t>Palo Alto Firewalls</t>
        </is>
      </c>
      <c r="F762" s="19" t="inlineStr">
        <is>
          <t>CM-2-1</t>
        </is>
      </c>
      <c r="G762" s="20">
        <f>IFERROR('[Palo_Alto_Firewalls.xlsx]CM-2-1'!B20,"Not Started")</f>
        <v/>
      </c>
      <c r="H762" s="14">
        <f>IF(OR(G762="Passed",G762="Accepted Exception"),"GREEN",IF(OR(G762="Not Started",G762="Failed"),"RED","AMBER"))</f>
        <v/>
      </c>
      <c r="I762" s="21">
        <f>IFERROR('[Palo_Alto_Firewalls.xlsx]CM-2-1'!E20,"Non commencé")</f>
        <v/>
      </c>
      <c r="J762" s="16">
        <f>IF(OR(I762="Réussi",I762="Exception acceptée"),"GREEN",IF(OR(I762="Non commencé",I762="Échec"),"RED","AMBER"))</f>
        <v/>
      </c>
      <c r="K762" s="19" t="inlineStr"/>
      <c r="L762" s="19" t="inlineStr"/>
      <c r="M762" s="22" t="inlineStr"/>
    </row>
    <row r="763" ht="18" customHeight="1">
      <c r="A763" s="11" t="inlineStr">
        <is>
          <t>CM-5(5)</t>
        </is>
      </c>
      <c r="B763" s="12" t="inlineStr">
        <is>
          <t>Access Restrictions for Change</t>
        </is>
      </c>
      <c r="C763" s="12" t="inlineStr">
        <is>
          <t>Palo Alto Firewalls</t>
        </is>
      </c>
      <c r="D763" s="11" t="inlineStr">
        <is>
          <t>CM</t>
        </is>
      </c>
      <c r="E763" s="12" t="inlineStr">
        <is>
          <t>Palo Alto Firewalls</t>
        </is>
      </c>
      <c r="F763" s="12" t="inlineStr">
        <is>
          <t>CM-5-5</t>
        </is>
      </c>
      <c r="G763" s="13">
        <f>IFERROR('[Palo_Alto_Firewalls.xlsx]CM-5-5'!B20,"Not Started")</f>
        <v/>
      </c>
      <c r="H763" s="14">
        <f>IF(OR(G763="Passed",G763="Accepted Exception"),"GREEN",IF(OR(G763="Not Started",G763="Failed"),"RED","AMBER"))</f>
        <v/>
      </c>
      <c r="I763" s="15">
        <f>IFERROR('[Palo_Alto_Firewalls.xlsx]CM-5-5'!E20,"Non commencé")</f>
        <v/>
      </c>
      <c r="J763" s="16">
        <f>IF(OR(I763="Réussi",I763="Exception acceptée"),"GREEN",IF(OR(I763="Non commencé",I763="Échec"),"RED","AMBER"))</f>
        <v/>
      </c>
      <c r="K763" s="12" t="inlineStr"/>
      <c r="L763" s="12" t="inlineStr"/>
      <c r="M763" s="17" t="inlineStr"/>
    </row>
    <row r="764" ht="18" customHeight="1">
      <c r="A764" s="18" t="inlineStr">
        <is>
          <t>CM-6</t>
        </is>
      </c>
      <c r="B764" s="19" t="inlineStr">
        <is>
          <t>Configuration Settings</t>
        </is>
      </c>
      <c r="C764" s="19" t="inlineStr">
        <is>
          <t>Palo Alto Firewalls</t>
        </is>
      </c>
      <c r="D764" s="18" t="inlineStr">
        <is>
          <t>CM</t>
        </is>
      </c>
      <c r="E764" s="19" t="inlineStr">
        <is>
          <t>Palo Alto Firewalls</t>
        </is>
      </c>
      <c r="F764" s="19" t="inlineStr">
        <is>
          <t>CM-6</t>
        </is>
      </c>
      <c r="G764" s="20">
        <f>IFERROR('[Palo_Alto_Firewalls.xlsx]CM-6'!B20,"Not Started")</f>
        <v/>
      </c>
      <c r="H764" s="14">
        <f>IF(OR(G764="Passed",G764="Accepted Exception"),"GREEN",IF(OR(G764="Not Started",G764="Failed"),"RED","AMBER"))</f>
        <v/>
      </c>
      <c r="I764" s="21">
        <f>IFERROR('[Palo_Alto_Firewalls.xlsx]CM-6'!E20,"Non commencé")</f>
        <v/>
      </c>
      <c r="J764" s="16">
        <f>IF(OR(I764="Réussi",I764="Exception acceptée"),"GREEN",IF(OR(I764="Non commencé",I764="Échec"),"RED","AMBER"))</f>
        <v/>
      </c>
      <c r="K764" s="19" t="inlineStr"/>
      <c r="L764" s="19" t="inlineStr"/>
      <c r="M764" s="22" t="inlineStr"/>
    </row>
    <row r="765" ht="18" customHeight="1">
      <c r="A765" s="11" t="inlineStr">
        <is>
          <t>CM-7</t>
        </is>
      </c>
      <c r="B765" s="12" t="inlineStr">
        <is>
          <t>Least Functionality</t>
        </is>
      </c>
      <c r="C765" s="12" t="inlineStr">
        <is>
          <t>Palo Alto Firewalls</t>
        </is>
      </c>
      <c r="D765" s="11" t="inlineStr">
        <is>
          <t>CM</t>
        </is>
      </c>
      <c r="E765" s="12" t="inlineStr">
        <is>
          <t>Palo Alto Firewalls</t>
        </is>
      </c>
      <c r="F765" s="12" t="inlineStr">
        <is>
          <t>CM-7</t>
        </is>
      </c>
      <c r="G765" s="13">
        <f>IFERROR('[Palo_Alto_Firewalls.xlsx]CM-7'!B20,"Not Started")</f>
        <v/>
      </c>
      <c r="H765" s="14">
        <f>IF(OR(G765="Passed",G765="Accepted Exception"),"GREEN",IF(OR(G765="Not Started",G765="Failed"),"RED","AMBER"))</f>
        <v/>
      </c>
      <c r="I765" s="15">
        <f>IFERROR('[Palo_Alto_Firewalls.xlsx]CM-7'!E20,"Non commencé")</f>
        <v/>
      </c>
      <c r="J765" s="16">
        <f>IF(OR(I765="Réussi",I765="Exception acceptée"),"GREEN",IF(OR(I765="Non commencé",I765="Échec"),"RED","AMBER"))</f>
        <v/>
      </c>
      <c r="K765" s="12" t="inlineStr"/>
      <c r="L765" s="12" t="inlineStr"/>
      <c r="M765" s="17" t="inlineStr"/>
    </row>
    <row r="766" ht="18" customHeight="1">
      <c r="A766" s="18" t="inlineStr">
        <is>
          <t>CM-7(1)</t>
        </is>
      </c>
      <c r="B766" s="19" t="inlineStr">
        <is>
          <t>Least Functionality</t>
        </is>
      </c>
      <c r="C766" s="19" t="inlineStr">
        <is>
          <t>Palo Alto Firewalls</t>
        </is>
      </c>
      <c r="D766" s="18" t="inlineStr">
        <is>
          <t>CM</t>
        </is>
      </c>
      <c r="E766" s="19" t="inlineStr">
        <is>
          <t>Palo Alto Firewalls</t>
        </is>
      </c>
      <c r="F766" s="19" t="inlineStr">
        <is>
          <t>CM-7-1</t>
        </is>
      </c>
      <c r="G766" s="20">
        <f>IFERROR('[Palo_Alto_Firewalls.xlsx]CM-7-1'!B20,"Not Started")</f>
        <v/>
      </c>
      <c r="H766" s="14">
        <f>IF(OR(G766="Passed",G766="Accepted Exception"),"GREEN",IF(OR(G766="Not Started",G766="Failed"),"RED","AMBER"))</f>
        <v/>
      </c>
      <c r="I766" s="21">
        <f>IFERROR('[Palo_Alto_Firewalls.xlsx]CM-7-1'!E20,"Non commencé")</f>
        <v/>
      </c>
      <c r="J766" s="16">
        <f>IF(OR(I766="Réussi",I766="Exception acceptée"),"GREEN",IF(OR(I766="Non commencé",I766="Échec"),"RED","AMBER"))</f>
        <v/>
      </c>
      <c r="K766" s="19" t="inlineStr"/>
      <c r="L766" s="19" t="inlineStr"/>
      <c r="M766" s="22" t="inlineStr"/>
    </row>
    <row r="767" ht="18" customHeight="1">
      <c r="A767" s="11" t="inlineStr">
        <is>
          <t>CM-10</t>
        </is>
      </c>
      <c r="B767" s="12" t="inlineStr">
        <is>
          <t>Software Usage Restrictions</t>
        </is>
      </c>
      <c r="C767" s="12" t="inlineStr">
        <is>
          <t>Palo Alto Firewalls</t>
        </is>
      </c>
      <c r="D767" s="11" t="inlineStr">
        <is>
          <t>CM</t>
        </is>
      </c>
      <c r="E767" s="12" t="inlineStr">
        <is>
          <t>Palo Alto Firewalls</t>
        </is>
      </c>
      <c r="F767" s="12" t="inlineStr">
        <is>
          <t>CM-10</t>
        </is>
      </c>
      <c r="G767" s="13">
        <f>IFERROR('[Palo_Alto_Firewalls.xlsx]CM-10'!B20,"Not Started")</f>
        <v/>
      </c>
      <c r="H767" s="14">
        <f>IF(OR(G767="Passed",G767="Accepted Exception"),"GREEN",IF(OR(G767="Not Started",G767="Failed"),"RED","AMBER"))</f>
        <v/>
      </c>
      <c r="I767" s="15">
        <f>IFERROR('[Palo_Alto_Firewalls.xlsx]CM-10'!E20,"Non commencé")</f>
        <v/>
      </c>
      <c r="J767" s="16">
        <f>IF(OR(I767="Réussi",I767="Exception acceptée"),"GREEN",IF(OR(I767="Non commencé",I767="Échec"),"RED","AMBER"))</f>
        <v/>
      </c>
      <c r="K767" s="12" t="inlineStr"/>
      <c r="L767" s="12" t="inlineStr"/>
      <c r="M767" s="17" t="inlineStr"/>
    </row>
    <row r="768" ht="18" customHeight="1">
      <c r="A768" s="18" t="inlineStr">
        <is>
          <t>CP-7</t>
        </is>
      </c>
      <c r="B768" s="19" t="inlineStr">
        <is>
          <t>Alternate Processing Site</t>
        </is>
      </c>
      <c r="C768" s="19" t="inlineStr">
        <is>
          <t>Palo Alto Firewalls</t>
        </is>
      </c>
      <c r="D768" s="18" t="inlineStr">
        <is>
          <t>CP</t>
        </is>
      </c>
      <c r="E768" s="19" t="inlineStr">
        <is>
          <t>Palo Alto Firewalls</t>
        </is>
      </c>
      <c r="F768" s="19" t="inlineStr">
        <is>
          <t>CP-7</t>
        </is>
      </c>
      <c r="G768" s="20">
        <f>IFERROR('[Palo_Alto_Firewalls.xlsx]CP-7'!B20,"Not Started")</f>
        <v/>
      </c>
      <c r="H768" s="14">
        <f>IF(OR(G768="Passed",G768="Accepted Exception"),"GREEN",IF(OR(G768="Not Started",G768="Failed"),"RED","AMBER"))</f>
        <v/>
      </c>
      <c r="I768" s="21">
        <f>IFERROR('[Palo_Alto_Firewalls.xlsx]CP-7'!E20,"Non commencé")</f>
        <v/>
      </c>
      <c r="J768" s="16">
        <f>IF(OR(I768="Réussi",I768="Exception acceptée"),"GREEN",IF(OR(I768="Non commencé",I768="Échec"),"RED","AMBER"))</f>
        <v/>
      </c>
      <c r="K768" s="19" t="inlineStr"/>
      <c r="L768" s="19" t="inlineStr"/>
      <c r="M768" s="22" t="inlineStr"/>
    </row>
    <row r="769" ht="18" customHeight="1">
      <c r="A769" s="11" t="inlineStr">
        <is>
          <t>CP-7(1)</t>
        </is>
      </c>
      <c r="B769" s="12" t="inlineStr">
        <is>
          <t>Alternate Processing Site</t>
        </is>
      </c>
      <c r="C769" s="12" t="inlineStr">
        <is>
          <t>Palo Alto Firewalls</t>
        </is>
      </c>
      <c r="D769" s="11" t="inlineStr">
        <is>
          <t>CP</t>
        </is>
      </c>
      <c r="E769" s="12" t="inlineStr">
        <is>
          <t>Palo Alto Firewalls</t>
        </is>
      </c>
      <c r="F769" s="12" t="inlineStr">
        <is>
          <t>CP-7-1</t>
        </is>
      </c>
      <c r="G769" s="13">
        <f>IFERROR('[Palo_Alto_Firewalls.xlsx]CP-7-1'!B20,"Not Started")</f>
        <v/>
      </c>
      <c r="H769" s="14">
        <f>IF(OR(G769="Passed",G769="Accepted Exception"),"GREEN",IF(OR(G769="Not Started",G769="Failed"),"RED","AMBER"))</f>
        <v/>
      </c>
      <c r="I769" s="15">
        <f>IFERROR('[Palo_Alto_Firewalls.xlsx]CP-7-1'!E20,"Non commencé")</f>
        <v/>
      </c>
      <c r="J769" s="16">
        <f>IF(OR(I769="Réussi",I769="Exception acceptée"),"GREEN",IF(OR(I769="Non commencé",I769="Échec"),"RED","AMBER"))</f>
        <v/>
      </c>
      <c r="K769" s="12" t="inlineStr"/>
      <c r="L769" s="12" t="inlineStr"/>
      <c r="M769" s="17" t="inlineStr"/>
    </row>
    <row r="770" ht="18" customHeight="1">
      <c r="A770" s="18" t="inlineStr">
        <is>
          <t>CP-7(4)</t>
        </is>
      </c>
      <c r="B770" s="19" t="inlineStr">
        <is>
          <t>Alternate Processing Site</t>
        </is>
      </c>
      <c r="C770" s="19" t="inlineStr">
        <is>
          <t>Palo Alto Firewalls</t>
        </is>
      </c>
      <c r="D770" s="18" t="inlineStr">
        <is>
          <t>CP</t>
        </is>
      </c>
      <c r="E770" s="19" t="inlineStr">
        <is>
          <t>Palo Alto Firewalls</t>
        </is>
      </c>
      <c r="F770" s="19" t="inlineStr">
        <is>
          <t>CP-7-4</t>
        </is>
      </c>
      <c r="G770" s="20">
        <f>IFERROR('[Palo_Alto_Firewalls.xlsx]CP-7-4'!B20,"Not Started")</f>
        <v/>
      </c>
      <c r="H770" s="14">
        <f>IF(OR(G770="Passed",G770="Accepted Exception"),"GREEN",IF(OR(G770="Not Started",G770="Failed"),"RED","AMBER"))</f>
        <v/>
      </c>
      <c r="I770" s="21">
        <f>IFERROR('[Palo_Alto_Firewalls.xlsx]CP-7-4'!E20,"Non commencé")</f>
        <v/>
      </c>
      <c r="J770" s="16">
        <f>IF(OR(I770="Réussi",I770="Exception acceptée"),"GREEN",IF(OR(I770="Non commencé",I770="Échec"),"RED","AMBER"))</f>
        <v/>
      </c>
      <c r="K770" s="19" t="inlineStr"/>
      <c r="L770" s="19" t="inlineStr"/>
      <c r="M770" s="22" t="inlineStr"/>
    </row>
    <row r="771" ht="18" customHeight="1">
      <c r="A771" s="11" t="inlineStr">
        <is>
          <t>CP-9</t>
        </is>
      </c>
      <c r="B771" s="12" t="inlineStr">
        <is>
          <t>Information System Backup</t>
        </is>
      </c>
      <c r="C771" s="12" t="inlineStr">
        <is>
          <t>Palo Alto Firewalls</t>
        </is>
      </c>
      <c r="D771" s="11" t="inlineStr">
        <is>
          <t>CP</t>
        </is>
      </c>
      <c r="E771" s="12" t="inlineStr">
        <is>
          <t>Palo Alto Firewalls</t>
        </is>
      </c>
      <c r="F771" s="12" t="inlineStr">
        <is>
          <t>CP-9</t>
        </is>
      </c>
      <c r="G771" s="13">
        <f>IFERROR('[Palo_Alto_Firewalls.xlsx]CP-9'!B20,"Not Started")</f>
        <v/>
      </c>
      <c r="H771" s="14">
        <f>IF(OR(G771="Passed",G771="Accepted Exception"),"GREEN",IF(OR(G771="Not Started",G771="Failed"),"RED","AMBER"))</f>
        <v/>
      </c>
      <c r="I771" s="15">
        <f>IFERROR('[Palo_Alto_Firewalls.xlsx]CP-9'!E20,"Non commencé")</f>
        <v/>
      </c>
      <c r="J771" s="16">
        <f>IF(OR(I771="Réussi",I771="Exception acceptée"),"GREEN",IF(OR(I771="Non commencé",I771="Échec"),"RED","AMBER"))</f>
        <v/>
      </c>
      <c r="K771" s="12" t="inlineStr"/>
      <c r="L771" s="12" t="inlineStr"/>
      <c r="M771" s="17" t="inlineStr"/>
    </row>
    <row r="772" ht="18" customHeight="1">
      <c r="A772" s="18" t="inlineStr">
        <is>
          <t>CP-9(3)</t>
        </is>
      </c>
      <c r="B772" s="19" t="inlineStr">
        <is>
          <t>Information System Backup</t>
        </is>
      </c>
      <c r="C772" s="19" t="inlineStr">
        <is>
          <t>Palo Alto Firewalls</t>
        </is>
      </c>
      <c r="D772" s="18" t="inlineStr">
        <is>
          <t>CP</t>
        </is>
      </c>
      <c r="E772" s="19" t="inlineStr">
        <is>
          <t>Palo Alto Firewalls</t>
        </is>
      </c>
      <c r="F772" s="19" t="inlineStr">
        <is>
          <t>CP-9-3</t>
        </is>
      </c>
      <c r="G772" s="20">
        <f>IFERROR('[Palo_Alto_Firewalls.xlsx]CP-9-3'!B20,"Not Started")</f>
        <v/>
      </c>
      <c r="H772" s="14">
        <f>IF(OR(G772="Passed",G772="Accepted Exception"),"GREEN",IF(OR(G772="Not Started",G772="Failed"),"RED","AMBER"))</f>
        <v/>
      </c>
      <c r="I772" s="21">
        <f>IFERROR('[Palo_Alto_Firewalls.xlsx]CP-9-3'!E20,"Non commencé")</f>
        <v/>
      </c>
      <c r="J772" s="16">
        <f>IF(OR(I772="Réussi",I772="Exception acceptée"),"GREEN",IF(OR(I772="Non commencé",I772="Échec"),"RED","AMBER"))</f>
        <v/>
      </c>
      <c r="K772" s="19" t="inlineStr"/>
      <c r="L772" s="19" t="inlineStr"/>
      <c r="M772" s="22" t="inlineStr"/>
    </row>
    <row r="773" ht="18" customHeight="1">
      <c r="A773" s="11" t="inlineStr">
        <is>
          <t>CP-9(5)</t>
        </is>
      </c>
      <c r="B773" s="12" t="inlineStr">
        <is>
          <t>Information System Backup</t>
        </is>
      </c>
      <c r="C773" s="12" t="inlineStr">
        <is>
          <t>Palo Alto Firewalls</t>
        </is>
      </c>
      <c r="D773" s="11" t="inlineStr">
        <is>
          <t>CP</t>
        </is>
      </c>
      <c r="E773" s="12" t="inlineStr">
        <is>
          <t>Palo Alto Firewalls</t>
        </is>
      </c>
      <c r="F773" s="12" t="inlineStr">
        <is>
          <t>CP-9-5</t>
        </is>
      </c>
      <c r="G773" s="13">
        <f>IFERROR('[Palo_Alto_Firewalls.xlsx]CP-9-5'!B20,"Not Started")</f>
        <v/>
      </c>
      <c r="H773" s="14">
        <f>IF(OR(G773="Passed",G773="Accepted Exception"),"GREEN",IF(OR(G773="Not Started",G773="Failed"),"RED","AMBER"))</f>
        <v/>
      </c>
      <c r="I773" s="15">
        <f>IFERROR('[Palo_Alto_Firewalls.xlsx]CP-9-5'!E20,"Non commencé")</f>
        <v/>
      </c>
      <c r="J773" s="16">
        <f>IF(OR(I773="Réussi",I773="Exception acceptée"),"GREEN",IF(OR(I773="Non commencé",I773="Échec"),"RED","AMBER"))</f>
        <v/>
      </c>
      <c r="K773" s="12" t="inlineStr"/>
      <c r="L773" s="12" t="inlineStr"/>
      <c r="M773" s="17" t="inlineStr"/>
    </row>
    <row r="774" ht="18" customHeight="1">
      <c r="A774" s="18" t="inlineStr">
        <is>
          <t>CP-9(7)</t>
        </is>
      </c>
      <c r="B774" s="19" t="inlineStr">
        <is>
          <t>Information System Backup</t>
        </is>
      </c>
      <c r="C774" s="19" t="inlineStr">
        <is>
          <t>Palo Alto Firewalls</t>
        </is>
      </c>
      <c r="D774" s="18" t="inlineStr">
        <is>
          <t>CP</t>
        </is>
      </c>
      <c r="E774" s="19" t="inlineStr">
        <is>
          <t>Palo Alto Firewalls</t>
        </is>
      </c>
      <c r="F774" s="19" t="inlineStr">
        <is>
          <t>CP-9-7</t>
        </is>
      </c>
      <c r="G774" s="20">
        <f>IFERROR('[Palo_Alto_Firewalls.xlsx]CP-9-7'!B20,"Not Started")</f>
        <v/>
      </c>
      <c r="H774" s="14">
        <f>IF(OR(G774="Passed",G774="Accepted Exception"),"GREEN",IF(OR(G774="Not Started",G774="Failed"),"RED","AMBER"))</f>
        <v/>
      </c>
      <c r="I774" s="21">
        <f>IFERROR('[Palo_Alto_Firewalls.xlsx]CP-9-7'!E20,"Non commencé")</f>
        <v/>
      </c>
      <c r="J774" s="16">
        <f>IF(OR(I774="Réussi",I774="Exception acceptée"),"GREEN",IF(OR(I774="Non commencé",I774="Échec"),"RED","AMBER"))</f>
        <v/>
      </c>
      <c r="K774" s="19" t="inlineStr"/>
      <c r="L774" s="19" t="inlineStr"/>
      <c r="M774" s="22" t="inlineStr"/>
    </row>
    <row r="775" ht="18" customHeight="1">
      <c r="A775" s="11" t="inlineStr">
        <is>
          <t>CP-10</t>
        </is>
      </c>
      <c r="B775" s="12" t="inlineStr">
        <is>
          <t>Information System Recovery and Reconstitution</t>
        </is>
      </c>
      <c r="C775" s="12" t="inlineStr">
        <is>
          <t>Palo Alto Firewalls</t>
        </is>
      </c>
      <c r="D775" s="11" t="inlineStr">
        <is>
          <t>CP</t>
        </is>
      </c>
      <c r="E775" s="12" t="inlineStr">
        <is>
          <t>Palo Alto Firewalls</t>
        </is>
      </c>
      <c r="F775" s="12" t="inlineStr">
        <is>
          <t>CP-10</t>
        </is>
      </c>
      <c r="G775" s="13">
        <f>IFERROR('[Palo_Alto_Firewalls.xlsx]CP-10'!B20,"Not Started")</f>
        <v/>
      </c>
      <c r="H775" s="14">
        <f>IF(OR(G775="Passed",G775="Accepted Exception"),"GREEN",IF(OR(G775="Not Started",G775="Failed"),"RED","AMBER"))</f>
        <v/>
      </c>
      <c r="I775" s="15">
        <f>IFERROR('[Palo_Alto_Firewalls.xlsx]CP-10'!E20,"Non commencé")</f>
        <v/>
      </c>
      <c r="J775" s="16">
        <f>IF(OR(I775="Réussi",I775="Exception acceptée"),"GREEN",IF(OR(I775="Non commencé",I775="Échec"),"RED","AMBER"))</f>
        <v/>
      </c>
      <c r="K775" s="12" t="inlineStr"/>
      <c r="L775" s="12" t="inlineStr"/>
      <c r="M775" s="17" t="inlineStr"/>
    </row>
    <row r="776" ht="18" customHeight="1">
      <c r="A776" s="18" t="inlineStr">
        <is>
          <t>CP-10(4)</t>
        </is>
      </c>
      <c r="B776" s="19" t="inlineStr">
        <is>
          <t>Information System Recovery and Reconstitution</t>
        </is>
      </c>
      <c r="C776" s="19" t="inlineStr">
        <is>
          <t>Palo Alto Firewalls</t>
        </is>
      </c>
      <c r="D776" s="18" t="inlineStr">
        <is>
          <t>CP</t>
        </is>
      </c>
      <c r="E776" s="19" t="inlineStr">
        <is>
          <t>Palo Alto Firewalls</t>
        </is>
      </c>
      <c r="F776" s="19" t="inlineStr">
        <is>
          <t>CP-10-4</t>
        </is>
      </c>
      <c r="G776" s="20">
        <f>IFERROR('[Palo_Alto_Firewalls.xlsx]CP-10-4'!B20,"Not Started")</f>
        <v/>
      </c>
      <c r="H776" s="14">
        <f>IF(OR(G776="Passed",G776="Accepted Exception"),"GREEN",IF(OR(G776="Not Started",G776="Failed"),"RED","AMBER"))</f>
        <v/>
      </c>
      <c r="I776" s="21">
        <f>IFERROR('[Palo_Alto_Firewalls.xlsx]CP-10-4'!E20,"Non commencé")</f>
        <v/>
      </c>
      <c r="J776" s="16">
        <f>IF(OR(I776="Réussi",I776="Exception acceptée"),"GREEN",IF(OR(I776="Non commencé",I776="Échec"),"RED","AMBER"))</f>
        <v/>
      </c>
      <c r="K776" s="19" t="inlineStr"/>
      <c r="L776" s="19" t="inlineStr"/>
      <c r="M776" s="22" t="inlineStr"/>
    </row>
    <row r="777" ht="18" customHeight="1">
      <c r="A777" s="11" t="inlineStr">
        <is>
          <t>IA-3</t>
        </is>
      </c>
      <c r="B777" s="12" t="inlineStr">
        <is>
          <t>Device Identification and Authentication</t>
        </is>
      </c>
      <c r="C777" s="12" t="inlineStr">
        <is>
          <t>Palo Alto Firewalls</t>
        </is>
      </c>
      <c r="D777" s="11" t="inlineStr">
        <is>
          <t>IA</t>
        </is>
      </c>
      <c r="E777" s="12" t="inlineStr">
        <is>
          <t>Palo Alto Firewalls</t>
        </is>
      </c>
      <c r="F777" s="12" t="inlineStr">
        <is>
          <t>IA-3</t>
        </is>
      </c>
      <c r="G777" s="13">
        <f>IFERROR('[Palo_Alto_Firewalls.xlsx]IA-3'!B20,"Not Started")</f>
        <v/>
      </c>
      <c r="H777" s="14">
        <f>IF(OR(G777="Passed",G777="Accepted Exception"),"GREEN",IF(OR(G777="Not Started",G777="Failed"),"RED","AMBER"))</f>
        <v/>
      </c>
      <c r="I777" s="15">
        <f>IFERROR('[Palo_Alto_Firewalls.xlsx]IA-3'!E20,"Non commencé")</f>
        <v/>
      </c>
      <c r="J777" s="16">
        <f>IF(OR(I777="Réussi",I777="Exception acceptée"),"GREEN",IF(OR(I777="Non commencé",I777="Échec"),"RED","AMBER"))</f>
        <v/>
      </c>
      <c r="K777" s="12" t="inlineStr"/>
      <c r="L777" s="12" t="inlineStr"/>
      <c r="M777" s="17" t="inlineStr"/>
    </row>
    <row r="778" ht="18" customHeight="1">
      <c r="A778" s="18" t="inlineStr">
        <is>
          <t>IA-5(2)</t>
        </is>
      </c>
      <c r="B778" s="19" t="inlineStr">
        <is>
          <t>Authenticator Management</t>
        </is>
      </c>
      <c r="C778" s="19" t="inlineStr">
        <is>
          <t>Palo Alto Firewalls</t>
        </is>
      </c>
      <c r="D778" s="18" t="inlineStr">
        <is>
          <t>IA</t>
        </is>
      </c>
      <c r="E778" s="19" t="inlineStr">
        <is>
          <t>Palo Alto Firewalls</t>
        </is>
      </c>
      <c r="F778" s="19" t="inlineStr">
        <is>
          <t>IA-5-2</t>
        </is>
      </c>
      <c r="G778" s="20">
        <f>IFERROR('[Palo_Alto_Firewalls.xlsx]IA-5-2'!B20,"Not Started")</f>
        <v/>
      </c>
      <c r="H778" s="14">
        <f>IF(OR(G778="Passed",G778="Accepted Exception"),"GREEN",IF(OR(G778="Not Started",G778="Failed"),"RED","AMBER"))</f>
        <v/>
      </c>
      <c r="I778" s="21">
        <f>IFERROR('[Palo_Alto_Firewalls.xlsx]IA-5-2'!E20,"Non commencé")</f>
        <v/>
      </c>
      <c r="J778" s="16">
        <f>IF(OR(I778="Réussi",I778="Exception acceptée"),"GREEN",IF(OR(I778="Non commencé",I778="Échec"),"RED","AMBER"))</f>
        <v/>
      </c>
      <c r="K778" s="19" t="inlineStr"/>
      <c r="L778" s="19" t="inlineStr"/>
      <c r="M778" s="22" t="inlineStr"/>
    </row>
    <row r="779" ht="18" customHeight="1">
      <c r="A779" s="11" t="inlineStr">
        <is>
          <t>MA-4(6)</t>
        </is>
      </c>
      <c r="B779" s="12" t="inlineStr">
        <is>
          <t>Non-Local Maintenance</t>
        </is>
      </c>
      <c r="C779" s="12" t="inlineStr">
        <is>
          <t>Palo Alto Firewalls</t>
        </is>
      </c>
      <c r="D779" s="11" t="inlineStr">
        <is>
          <t>MA</t>
        </is>
      </c>
      <c r="E779" s="12" t="inlineStr">
        <is>
          <t>Palo Alto Firewalls</t>
        </is>
      </c>
      <c r="F779" s="12" t="inlineStr">
        <is>
          <t>MA-4-6</t>
        </is>
      </c>
      <c r="G779" s="13">
        <f>IFERROR('[Palo_Alto_Firewalls.xlsx]MA-4-6'!B20,"Not Started")</f>
        <v/>
      </c>
      <c r="H779" s="14">
        <f>IF(OR(G779="Passed",G779="Accepted Exception"),"GREEN",IF(OR(G779="Not Started",G779="Failed"),"RED","AMBER"))</f>
        <v/>
      </c>
      <c r="I779" s="15">
        <f>IFERROR('[Palo_Alto_Firewalls.xlsx]MA-4-6'!E20,"Non commencé")</f>
        <v/>
      </c>
      <c r="J779" s="16">
        <f>IF(OR(I779="Réussi",I779="Exception acceptée"),"GREEN",IF(OR(I779="Non commencé",I779="Échec"),"RED","AMBER"))</f>
        <v/>
      </c>
      <c r="K779" s="12" t="inlineStr"/>
      <c r="L779" s="12" t="inlineStr"/>
      <c r="M779" s="17" t="inlineStr"/>
    </row>
    <row r="780" ht="18" customHeight="1">
      <c r="A780" s="18" t="inlineStr">
        <is>
          <t>SA-9(5)</t>
        </is>
      </c>
      <c r="B780" s="19" t="inlineStr">
        <is>
          <t>External Information System Services</t>
        </is>
      </c>
      <c r="C780" s="19" t="inlineStr">
        <is>
          <t>Palo Alto Firewalls</t>
        </is>
      </c>
      <c r="D780" s="18" t="inlineStr">
        <is>
          <t>SA</t>
        </is>
      </c>
      <c r="E780" s="19" t="inlineStr">
        <is>
          <t>Palo Alto Firewalls</t>
        </is>
      </c>
      <c r="F780" s="19" t="inlineStr">
        <is>
          <t>SA-9-5</t>
        </is>
      </c>
      <c r="G780" s="20">
        <f>IFERROR('[Palo_Alto_Firewalls.xlsx]SA-9-5'!B20,"Not Started")</f>
        <v/>
      </c>
      <c r="H780" s="14">
        <f>IF(OR(G780="Passed",G780="Accepted Exception"),"GREEN",IF(OR(G780="Not Started",G780="Failed"),"RED","AMBER"))</f>
        <v/>
      </c>
      <c r="I780" s="21">
        <f>IFERROR('[Palo_Alto_Firewalls.xlsx]SA-9-5'!E20,"Non commencé")</f>
        <v/>
      </c>
      <c r="J780" s="16">
        <f>IF(OR(I780="Réussi",I780="Exception acceptée"),"GREEN",IF(OR(I780="Non commencé",I780="Échec"),"RED","AMBER"))</f>
        <v/>
      </c>
      <c r="K780" s="19" t="inlineStr"/>
      <c r="L780" s="19" t="inlineStr"/>
      <c r="M780" s="22" t="inlineStr"/>
    </row>
    <row r="781" ht="18" customHeight="1">
      <c r="A781" s="11" t="inlineStr">
        <is>
          <t>SA-10(1)</t>
        </is>
      </c>
      <c r="B781" s="12" t="inlineStr">
        <is>
          <t>Developer Configuration Management</t>
        </is>
      </c>
      <c r="C781" s="12" t="inlineStr">
        <is>
          <t>Palo Alto Firewalls</t>
        </is>
      </c>
      <c r="D781" s="11" t="inlineStr">
        <is>
          <t>SA</t>
        </is>
      </c>
      <c r="E781" s="12" t="inlineStr">
        <is>
          <t>Palo Alto Firewalls</t>
        </is>
      </c>
      <c r="F781" s="12" t="inlineStr">
        <is>
          <t>SA-10-1</t>
        </is>
      </c>
      <c r="G781" s="13">
        <f>IFERROR('[Palo_Alto_Firewalls.xlsx]SA-10-1'!B20,"Not Started")</f>
        <v/>
      </c>
      <c r="H781" s="14">
        <f>IF(OR(G781="Passed",G781="Accepted Exception"),"GREEN",IF(OR(G781="Not Started",G781="Failed"),"RED","AMBER"))</f>
        <v/>
      </c>
      <c r="I781" s="15">
        <f>IFERROR('[Palo_Alto_Firewalls.xlsx]SA-10-1'!E20,"Non commencé")</f>
        <v/>
      </c>
      <c r="J781" s="16">
        <f>IF(OR(I781="Réussi",I781="Exception acceptée"),"GREEN",IF(OR(I781="Non commencé",I781="Échec"),"RED","AMBER"))</f>
        <v/>
      </c>
      <c r="K781" s="12" t="inlineStr"/>
      <c r="L781" s="12" t="inlineStr"/>
      <c r="M781" s="17" t="inlineStr"/>
    </row>
    <row r="782" ht="18" customHeight="1">
      <c r="A782" s="18" t="inlineStr">
        <is>
          <t>SC-4</t>
        </is>
      </c>
      <c r="B782" s="19" t="inlineStr">
        <is>
          <t>Information in Shared Resources</t>
        </is>
      </c>
      <c r="C782" s="19" t="inlineStr">
        <is>
          <t>Palo Alto Firewalls</t>
        </is>
      </c>
      <c r="D782" s="18" t="inlineStr">
        <is>
          <t>SC</t>
        </is>
      </c>
      <c r="E782" s="19" t="inlineStr">
        <is>
          <t>Palo Alto Firewalls</t>
        </is>
      </c>
      <c r="F782" s="19" t="inlineStr">
        <is>
          <t>SC-4</t>
        </is>
      </c>
      <c r="G782" s="20">
        <f>IFERROR('[Palo_Alto_Firewalls.xlsx]SC-4'!B20,"Not Started")</f>
        <v/>
      </c>
      <c r="H782" s="14">
        <f>IF(OR(G782="Passed",G782="Accepted Exception"),"GREEN",IF(OR(G782="Not Started",G782="Failed"),"RED","AMBER"))</f>
        <v/>
      </c>
      <c r="I782" s="21">
        <f>IFERROR('[Palo_Alto_Firewalls.xlsx]SC-4'!E20,"Non commencé")</f>
        <v/>
      </c>
      <c r="J782" s="16">
        <f>IF(OR(I782="Réussi",I782="Exception acceptée"),"GREEN",IF(OR(I782="Non commencé",I782="Échec"),"RED","AMBER"))</f>
        <v/>
      </c>
      <c r="K782" s="19" t="inlineStr"/>
      <c r="L782" s="19" t="inlineStr"/>
      <c r="M782" s="22" t="inlineStr"/>
    </row>
    <row r="783" ht="18" customHeight="1">
      <c r="A783" s="11" t="inlineStr">
        <is>
          <t>SC-5</t>
        </is>
      </c>
      <c r="B783" s="12" t="inlineStr">
        <is>
          <t>Denial of Service Protection</t>
        </is>
      </c>
      <c r="C783" s="12" t="inlineStr">
        <is>
          <t>Palo Alto Firewalls</t>
        </is>
      </c>
      <c r="D783" s="11" t="inlineStr">
        <is>
          <t>SC</t>
        </is>
      </c>
      <c r="E783" s="12" t="inlineStr">
        <is>
          <t>Palo Alto Firewalls</t>
        </is>
      </c>
      <c r="F783" s="12" t="inlineStr">
        <is>
          <t>SC-5</t>
        </is>
      </c>
      <c r="G783" s="13">
        <f>IFERROR('[Palo_Alto_Firewalls.xlsx]SC-5'!B20,"Not Started")</f>
        <v/>
      </c>
      <c r="H783" s="14">
        <f>IF(OR(G783="Passed",G783="Accepted Exception"),"GREEN",IF(OR(G783="Not Started",G783="Failed"),"RED","AMBER"))</f>
        <v/>
      </c>
      <c r="I783" s="15">
        <f>IFERROR('[Palo_Alto_Firewalls.xlsx]SC-5'!E20,"Non commencé")</f>
        <v/>
      </c>
      <c r="J783" s="16">
        <f>IF(OR(I783="Réussi",I783="Exception acceptée"),"GREEN",IF(OR(I783="Non commencé",I783="Échec"),"RED","AMBER"))</f>
        <v/>
      </c>
      <c r="K783" s="12" t="inlineStr"/>
      <c r="L783" s="12" t="inlineStr"/>
      <c r="M783" s="17" t="inlineStr"/>
    </row>
    <row r="784" ht="18" customHeight="1">
      <c r="A784" s="18" t="inlineStr">
        <is>
          <t>SC-7</t>
        </is>
      </c>
      <c r="B784" s="19" t="inlineStr">
        <is>
          <t>Boundary Protection</t>
        </is>
      </c>
      <c r="C784" s="19" t="inlineStr">
        <is>
          <t>Palo Alto Firewalls</t>
        </is>
      </c>
      <c r="D784" s="18" t="inlineStr">
        <is>
          <t>SC</t>
        </is>
      </c>
      <c r="E784" s="19" t="inlineStr">
        <is>
          <t>Palo Alto Firewalls</t>
        </is>
      </c>
      <c r="F784" s="19" t="inlineStr">
        <is>
          <t>SC-7</t>
        </is>
      </c>
      <c r="G784" s="20">
        <f>IFERROR('[Palo_Alto_Firewalls.xlsx]SC-7'!B20,"Not Started")</f>
        <v/>
      </c>
      <c r="H784" s="14">
        <f>IF(OR(G784="Passed",G784="Accepted Exception"),"GREEN",IF(OR(G784="Not Started",G784="Failed"),"RED","AMBER"))</f>
        <v/>
      </c>
      <c r="I784" s="21">
        <f>IFERROR('[Palo_Alto_Firewalls.xlsx]SC-7'!E20,"Non commencé")</f>
        <v/>
      </c>
      <c r="J784" s="16">
        <f>IF(OR(I784="Réussi",I784="Exception acceptée"),"GREEN",IF(OR(I784="Non commencé",I784="Échec"),"RED","AMBER"))</f>
        <v/>
      </c>
      <c r="K784" s="19" t="inlineStr"/>
      <c r="L784" s="19" t="inlineStr"/>
      <c r="M784" s="22" t="inlineStr"/>
    </row>
    <row r="785" ht="18" customHeight="1">
      <c r="A785" s="11" t="inlineStr">
        <is>
          <t>SC-7(3)</t>
        </is>
      </c>
      <c r="B785" s="12" t="inlineStr">
        <is>
          <t>Boundary Protection</t>
        </is>
      </c>
      <c r="C785" s="12" t="inlineStr">
        <is>
          <t>Palo Alto Firewalls</t>
        </is>
      </c>
      <c r="D785" s="11" t="inlineStr">
        <is>
          <t>SC</t>
        </is>
      </c>
      <c r="E785" s="12" t="inlineStr">
        <is>
          <t>Palo Alto Firewalls</t>
        </is>
      </c>
      <c r="F785" s="12" t="inlineStr">
        <is>
          <t>SC-7-3</t>
        </is>
      </c>
      <c r="G785" s="13">
        <f>IFERROR('[Palo_Alto_Firewalls.xlsx]SC-7-3'!B20,"Not Started")</f>
        <v/>
      </c>
      <c r="H785" s="14">
        <f>IF(OR(G785="Passed",G785="Accepted Exception"),"GREEN",IF(OR(G785="Not Started",G785="Failed"),"RED","AMBER"))</f>
        <v/>
      </c>
      <c r="I785" s="15">
        <f>IFERROR('[Palo_Alto_Firewalls.xlsx]SC-7-3'!E20,"Non commencé")</f>
        <v/>
      </c>
      <c r="J785" s="16">
        <f>IF(OR(I785="Réussi",I785="Exception acceptée"),"GREEN",IF(OR(I785="Non commencé",I785="Échec"),"RED","AMBER"))</f>
        <v/>
      </c>
      <c r="K785" s="12" t="inlineStr"/>
      <c r="L785" s="12" t="inlineStr"/>
      <c r="M785" s="17" t="inlineStr"/>
    </row>
    <row r="786" ht="18" customHeight="1">
      <c r="A786" s="18" t="inlineStr">
        <is>
          <t>SC-7(4)</t>
        </is>
      </c>
      <c r="B786" s="19" t="inlineStr">
        <is>
          <t>Boundary Protection</t>
        </is>
      </c>
      <c r="C786" s="19" t="inlineStr">
        <is>
          <t>Palo Alto Firewalls</t>
        </is>
      </c>
      <c r="D786" s="18" t="inlineStr">
        <is>
          <t>SC</t>
        </is>
      </c>
      <c r="E786" s="19" t="inlineStr">
        <is>
          <t>Palo Alto Firewalls</t>
        </is>
      </c>
      <c r="F786" s="19" t="inlineStr">
        <is>
          <t>SC-7-4</t>
        </is>
      </c>
      <c r="G786" s="20">
        <f>IFERROR('[Palo_Alto_Firewalls.xlsx]SC-7-4'!B20,"Not Started")</f>
        <v/>
      </c>
      <c r="H786" s="14">
        <f>IF(OR(G786="Passed",G786="Accepted Exception"),"GREEN",IF(OR(G786="Not Started",G786="Failed"),"RED","AMBER"))</f>
        <v/>
      </c>
      <c r="I786" s="21">
        <f>IFERROR('[Palo_Alto_Firewalls.xlsx]SC-7-4'!E20,"Non commencé")</f>
        <v/>
      </c>
      <c r="J786" s="16">
        <f>IF(OR(I786="Réussi",I786="Exception acceptée"),"GREEN",IF(OR(I786="Non commencé",I786="Échec"),"RED","AMBER"))</f>
        <v/>
      </c>
      <c r="K786" s="19" t="inlineStr"/>
      <c r="L786" s="19" t="inlineStr"/>
      <c r="M786" s="22" t="inlineStr"/>
    </row>
    <row r="787" ht="18" customHeight="1">
      <c r="A787" s="11" t="inlineStr">
        <is>
          <t>SC-7(5)</t>
        </is>
      </c>
      <c r="B787" s="12" t="inlineStr">
        <is>
          <t>Boundary Protection</t>
        </is>
      </c>
      <c r="C787" s="12" t="inlineStr">
        <is>
          <t>Palo Alto Firewalls</t>
        </is>
      </c>
      <c r="D787" s="11" t="inlineStr">
        <is>
          <t>SC</t>
        </is>
      </c>
      <c r="E787" s="12" t="inlineStr">
        <is>
          <t>Palo Alto Firewalls</t>
        </is>
      </c>
      <c r="F787" s="12" t="inlineStr">
        <is>
          <t>SC-7-5</t>
        </is>
      </c>
      <c r="G787" s="13">
        <f>IFERROR('[Palo_Alto_Firewalls.xlsx]SC-7-5'!B20,"Not Started")</f>
        <v/>
      </c>
      <c r="H787" s="14">
        <f>IF(OR(G787="Passed",G787="Accepted Exception"),"GREEN",IF(OR(G787="Not Started",G787="Failed"),"RED","AMBER"))</f>
        <v/>
      </c>
      <c r="I787" s="15">
        <f>IFERROR('[Palo_Alto_Firewalls.xlsx]SC-7-5'!E20,"Non commencé")</f>
        <v/>
      </c>
      <c r="J787" s="16">
        <f>IF(OR(I787="Réussi",I787="Exception acceptée"),"GREEN",IF(OR(I787="Non commencé",I787="Échec"),"RED","AMBER"))</f>
        <v/>
      </c>
      <c r="K787" s="12" t="inlineStr"/>
      <c r="L787" s="12" t="inlineStr"/>
      <c r="M787" s="17" t="inlineStr"/>
    </row>
    <row r="788" ht="18" customHeight="1">
      <c r="A788" s="18" t="inlineStr">
        <is>
          <t>SC-7(7)</t>
        </is>
      </c>
      <c r="B788" s="19" t="inlineStr">
        <is>
          <t>Boundary Protection</t>
        </is>
      </c>
      <c r="C788" s="19" t="inlineStr">
        <is>
          <t>Palo Alto Firewalls</t>
        </is>
      </c>
      <c r="D788" s="18" t="inlineStr">
        <is>
          <t>SC</t>
        </is>
      </c>
      <c r="E788" s="19" t="inlineStr">
        <is>
          <t>Palo Alto Firewalls</t>
        </is>
      </c>
      <c r="F788" s="19" t="inlineStr">
        <is>
          <t>SC-7-7</t>
        </is>
      </c>
      <c r="G788" s="20">
        <f>IFERROR('[Palo_Alto_Firewalls.xlsx]SC-7-7'!B20,"Not Started")</f>
        <v/>
      </c>
      <c r="H788" s="14">
        <f>IF(OR(G788="Passed",G788="Accepted Exception"),"GREEN",IF(OR(G788="Not Started",G788="Failed"),"RED","AMBER"))</f>
        <v/>
      </c>
      <c r="I788" s="21">
        <f>IFERROR('[Palo_Alto_Firewalls.xlsx]SC-7-7'!E20,"Non commencé")</f>
        <v/>
      </c>
      <c r="J788" s="16">
        <f>IF(OR(I788="Réussi",I788="Exception acceptée"),"GREEN",IF(OR(I788="Non commencé",I788="Échec"),"RED","AMBER"))</f>
        <v/>
      </c>
      <c r="K788" s="19" t="inlineStr"/>
      <c r="L788" s="19" t="inlineStr"/>
      <c r="M788" s="22" t="inlineStr"/>
    </row>
    <row r="789" ht="18" customHeight="1">
      <c r="A789" s="11" t="inlineStr">
        <is>
          <t>SC-7(8)</t>
        </is>
      </c>
      <c r="B789" s="12" t="inlineStr">
        <is>
          <t>Boundary Protection</t>
        </is>
      </c>
      <c r="C789" s="12" t="inlineStr">
        <is>
          <t>Palo Alto Firewalls</t>
        </is>
      </c>
      <c r="D789" s="11" t="inlineStr">
        <is>
          <t>SC</t>
        </is>
      </c>
      <c r="E789" s="12" t="inlineStr">
        <is>
          <t>Palo Alto Firewalls</t>
        </is>
      </c>
      <c r="F789" s="12" t="inlineStr">
        <is>
          <t>SC-7-8</t>
        </is>
      </c>
      <c r="G789" s="13">
        <f>IFERROR('[Palo_Alto_Firewalls.xlsx]SC-7-8'!B20,"Not Started")</f>
        <v/>
      </c>
      <c r="H789" s="14">
        <f>IF(OR(G789="Passed",G789="Accepted Exception"),"GREEN",IF(OR(G789="Not Started",G789="Failed"),"RED","AMBER"))</f>
        <v/>
      </c>
      <c r="I789" s="15">
        <f>IFERROR('[Palo_Alto_Firewalls.xlsx]SC-7-8'!E20,"Non commencé")</f>
        <v/>
      </c>
      <c r="J789" s="16">
        <f>IF(OR(I789="Réussi",I789="Exception acceptée"),"GREEN",IF(OR(I789="Non commencé",I789="Échec"),"RED","AMBER"))</f>
        <v/>
      </c>
      <c r="K789" s="12" t="inlineStr"/>
      <c r="L789" s="12" t="inlineStr"/>
      <c r="M789" s="17" t="inlineStr"/>
    </row>
    <row r="790" ht="18" customHeight="1">
      <c r="A790" s="18" t="inlineStr">
        <is>
          <t>SC-7(13)</t>
        </is>
      </c>
      <c r="B790" s="19" t="inlineStr">
        <is>
          <t>Boundary Protection</t>
        </is>
      </c>
      <c r="C790" s="19" t="inlineStr">
        <is>
          <t>Palo Alto Firewalls</t>
        </is>
      </c>
      <c r="D790" s="18" t="inlineStr">
        <is>
          <t>SC</t>
        </is>
      </c>
      <c r="E790" s="19" t="inlineStr">
        <is>
          <t>Palo Alto Firewalls</t>
        </is>
      </c>
      <c r="F790" s="19" t="inlineStr">
        <is>
          <t>SC-7-13</t>
        </is>
      </c>
      <c r="G790" s="20">
        <f>IFERROR('[Palo_Alto_Firewalls.xlsx]SC-7-13'!B20,"Not Started")</f>
        <v/>
      </c>
      <c r="H790" s="14">
        <f>IF(OR(G790="Passed",G790="Accepted Exception"),"GREEN",IF(OR(G790="Not Started",G790="Failed"),"RED","AMBER"))</f>
        <v/>
      </c>
      <c r="I790" s="21">
        <f>IFERROR('[Palo_Alto_Firewalls.xlsx]SC-7-13'!E20,"Non commencé")</f>
        <v/>
      </c>
      <c r="J790" s="16">
        <f>IF(OR(I790="Réussi",I790="Exception acceptée"),"GREEN",IF(OR(I790="Non commencé",I790="Échec"),"RED","AMBER"))</f>
        <v/>
      </c>
      <c r="K790" s="19" t="inlineStr"/>
      <c r="L790" s="19" t="inlineStr"/>
      <c r="M790" s="22" t="inlineStr"/>
    </row>
    <row r="791" ht="18" customHeight="1">
      <c r="A791" s="11" t="inlineStr">
        <is>
          <t>SC-7(18)</t>
        </is>
      </c>
      <c r="B791" s="12" t="inlineStr">
        <is>
          <t>Boundary Protection</t>
        </is>
      </c>
      <c r="C791" s="12" t="inlineStr">
        <is>
          <t>Palo Alto Firewalls</t>
        </is>
      </c>
      <c r="D791" s="11" t="inlineStr">
        <is>
          <t>SC</t>
        </is>
      </c>
      <c r="E791" s="12" t="inlineStr">
        <is>
          <t>Palo Alto Firewalls</t>
        </is>
      </c>
      <c r="F791" s="12" t="inlineStr">
        <is>
          <t>SC-7-18</t>
        </is>
      </c>
      <c r="G791" s="13">
        <f>IFERROR('[Palo_Alto_Firewalls.xlsx]SC-7-18'!B20,"Not Started")</f>
        <v/>
      </c>
      <c r="H791" s="14">
        <f>IF(OR(G791="Passed",G791="Accepted Exception"),"GREEN",IF(OR(G791="Not Started",G791="Failed"),"RED","AMBER"))</f>
        <v/>
      </c>
      <c r="I791" s="15">
        <f>IFERROR('[Palo_Alto_Firewalls.xlsx]SC-7-18'!E20,"Non commencé")</f>
        <v/>
      </c>
      <c r="J791" s="16">
        <f>IF(OR(I791="Réussi",I791="Exception acceptée"),"GREEN",IF(OR(I791="Non commencé",I791="Échec"),"RED","AMBER"))</f>
        <v/>
      </c>
      <c r="K791" s="12" t="inlineStr"/>
      <c r="L791" s="12" t="inlineStr"/>
      <c r="M791" s="17" t="inlineStr"/>
    </row>
    <row r="792" ht="18" customHeight="1">
      <c r="A792" s="18" t="inlineStr">
        <is>
          <t>SC-8</t>
        </is>
      </c>
      <c r="B792" s="19" t="inlineStr">
        <is>
          <t>Transmission Confidentiality and Integrity</t>
        </is>
      </c>
      <c r="C792" s="19" t="inlineStr">
        <is>
          <t>Palo Alto Firewalls</t>
        </is>
      </c>
      <c r="D792" s="18" t="inlineStr">
        <is>
          <t>SC</t>
        </is>
      </c>
      <c r="E792" s="19" t="inlineStr">
        <is>
          <t>Palo Alto Firewalls</t>
        </is>
      </c>
      <c r="F792" s="19" t="inlineStr">
        <is>
          <t>SC-8</t>
        </is>
      </c>
      <c r="G792" s="20">
        <f>IFERROR('[Palo_Alto_Firewalls.xlsx]SC-8'!B20,"Not Started")</f>
        <v/>
      </c>
      <c r="H792" s="14">
        <f>IF(OR(G792="Passed",G792="Accepted Exception"),"GREEN",IF(OR(G792="Not Started",G792="Failed"),"RED","AMBER"))</f>
        <v/>
      </c>
      <c r="I792" s="21">
        <f>IFERROR('[Palo_Alto_Firewalls.xlsx]SC-8'!E20,"Non commencé")</f>
        <v/>
      </c>
      <c r="J792" s="16">
        <f>IF(OR(I792="Réussi",I792="Exception acceptée"),"GREEN",IF(OR(I792="Non commencé",I792="Échec"),"RED","AMBER"))</f>
        <v/>
      </c>
      <c r="K792" s="19" t="inlineStr"/>
      <c r="L792" s="19" t="inlineStr"/>
      <c r="M792" s="22" t="inlineStr"/>
    </row>
    <row r="793" ht="18" customHeight="1">
      <c r="A793" s="11" t="inlineStr">
        <is>
          <t>SC-8(1)</t>
        </is>
      </c>
      <c r="B793" s="12" t="inlineStr">
        <is>
          <t>Transmission Confidentiality and Integrity</t>
        </is>
      </c>
      <c r="C793" s="12" t="inlineStr">
        <is>
          <t>Palo Alto Firewalls</t>
        </is>
      </c>
      <c r="D793" s="11" t="inlineStr">
        <is>
          <t>SC</t>
        </is>
      </c>
      <c r="E793" s="12" t="inlineStr">
        <is>
          <t>Palo Alto Firewalls</t>
        </is>
      </c>
      <c r="F793" s="12" t="inlineStr">
        <is>
          <t>SC-8-1</t>
        </is>
      </c>
      <c r="G793" s="13">
        <f>IFERROR('[Palo_Alto_Firewalls.xlsx]SC-8-1'!B20,"Not Started")</f>
        <v/>
      </c>
      <c r="H793" s="14">
        <f>IF(OR(G793="Passed",G793="Accepted Exception"),"GREEN",IF(OR(G793="Not Started",G793="Failed"),"RED","AMBER"))</f>
        <v/>
      </c>
      <c r="I793" s="15">
        <f>IFERROR('[Palo_Alto_Firewalls.xlsx]SC-8-1'!E20,"Non commencé")</f>
        <v/>
      </c>
      <c r="J793" s="16">
        <f>IF(OR(I793="Réussi",I793="Exception acceptée"),"GREEN",IF(OR(I793="Non commencé",I793="Échec"),"RED","AMBER"))</f>
        <v/>
      </c>
      <c r="K793" s="12" t="inlineStr"/>
      <c r="L793" s="12" t="inlineStr"/>
      <c r="M793" s="17" t="inlineStr"/>
    </row>
    <row r="794" ht="18" customHeight="1">
      <c r="A794" s="18" t="inlineStr">
        <is>
          <t>SC-10</t>
        </is>
      </c>
      <c r="B794" s="19" t="inlineStr">
        <is>
          <t>Network Disconnect</t>
        </is>
      </c>
      <c r="C794" s="19" t="inlineStr">
        <is>
          <t>Palo Alto Firewalls</t>
        </is>
      </c>
      <c r="D794" s="18" t="inlineStr">
        <is>
          <t>SC</t>
        </is>
      </c>
      <c r="E794" s="19" t="inlineStr">
        <is>
          <t>Palo Alto Firewalls</t>
        </is>
      </c>
      <c r="F794" s="19" t="inlineStr">
        <is>
          <t>SC-10</t>
        </is>
      </c>
      <c r="G794" s="20">
        <f>IFERROR('[Palo_Alto_Firewalls.xlsx]SC-10'!B20,"Not Started")</f>
        <v/>
      </c>
      <c r="H794" s="14">
        <f>IF(OR(G794="Passed",G794="Accepted Exception"),"GREEN",IF(OR(G794="Not Started",G794="Failed"),"RED","AMBER"))</f>
        <v/>
      </c>
      <c r="I794" s="21">
        <f>IFERROR('[Palo_Alto_Firewalls.xlsx]SC-10'!E20,"Non commencé")</f>
        <v/>
      </c>
      <c r="J794" s="16">
        <f>IF(OR(I794="Réussi",I794="Exception acceptée"),"GREEN",IF(OR(I794="Non commencé",I794="Échec"),"RED","AMBER"))</f>
        <v/>
      </c>
      <c r="K794" s="19" t="inlineStr"/>
      <c r="L794" s="19" t="inlineStr"/>
      <c r="M794" s="22" t="inlineStr"/>
    </row>
    <row r="795" ht="18" customHeight="1">
      <c r="A795" s="11" t="inlineStr">
        <is>
          <t>SC-18(3)</t>
        </is>
      </c>
      <c r="B795" s="12" t="inlineStr">
        <is>
          <t>Mobile Code</t>
        </is>
      </c>
      <c r="C795" s="12" t="inlineStr">
        <is>
          <t>Palo Alto Firewalls</t>
        </is>
      </c>
      <c r="D795" s="11" t="inlineStr">
        <is>
          <t>SC</t>
        </is>
      </c>
      <c r="E795" s="12" t="inlineStr">
        <is>
          <t>Palo Alto Firewalls</t>
        </is>
      </c>
      <c r="F795" s="12" t="inlineStr">
        <is>
          <t>SC-18-3</t>
        </is>
      </c>
      <c r="G795" s="13">
        <f>IFERROR('[Palo_Alto_Firewalls.xlsx]SC-18-3'!B20,"Not Started")</f>
        <v/>
      </c>
      <c r="H795" s="14">
        <f>IF(OR(G795="Passed",G795="Accepted Exception"),"GREEN",IF(OR(G795="Not Started",G795="Failed"),"RED","AMBER"))</f>
        <v/>
      </c>
      <c r="I795" s="15">
        <f>IFERROR('[Palo_Alto_Firewalls.xlsx]SC-18-3'!E20,"Non commencé")</f>
        <v/>
      </c>
      <c r="J795" s="16">
        <f>IF(OR(I795="Réussi",I795="Exception acceptée"),"GREEN",IF(OR(I795="Non commencé",I795="Échec"),"RED","AMBER"))</f>
        <v/>
      </c>
      <c r="K795" s="12" t="inlineStr"/>
      <c r="L795" s="12" t="inlineStr"/>
      <c r="M795" s="17" t="inlineStr"/>
    </row>
    <row r="796" ht="18" customHeight="1">
      <c r="A796" s="18" t="inlineStr">
        <is>
          <t>SC-23</t>
        </is>
      </c>
      <c r="B796" s="19" t="inlineStr">
        <is>
          <t>Session Authenticity</t>
        </is>
      </c>
      <c r="C796" s="19" t="inlineStr">
        <is>
          <t>Palo Alto Firewalls</t>
        </is>
      </c>
      <c r="D796" s="18" t="inlineStr">
        <is>
          <t>SC</t>
        </is>
      </c>
      <c r="E796" s="19" t="inlineStr">
        <is>
          <t>Palo Alto Firewalls</t>
        </is>
      </c>
      <c r="F796" s="19" t="inlineStr">
        <is>
          <t>SC-23</t>
        </is>
      </c>
      <c r="G796" s="20">
        <f>IFERROR('[Palo_Alto_Firewalls.xlsx]SC-23'!B20,"Not Started")</f>
        <v/>
      </c>
      <c r="H796" s="14">
        <f>IF(OR(G796="Passed",G796="Accepted Exception"),"GREEN",IF(OR(G796="Not Started",G796="Failed"),"RED","AMBER"))</f>
        <v/>
      </c>
      <c r="I796" s="21">
        <f>IFERROR('[Palo_Alto_Firewalls.xlsx]SC-23'!E20,"Non commencé")</f>
        <v/>
      </c>
      <c r="J796" s="16">
        <f>IF(OR(I796="Réussi",I796="Exception acceptée"),"GREEN",IF(OR(I796="Non commencé",I796="Échec"),"RED","AMBER"))</f>
        <v/>
      </c>
      <c r="K796" s="19" t="inlineStr"/>
      <c r="L796" s="19" t="inlineStr"/>
      <c r="M796" s="22" t="inlineStr"/>
    </row>
    <row r="797" ht="18" customHeight="1">
      <c r="A797" s="11" t="inlineStr">
        <is>
          <t>SI-4</t>
        </is>
      </c>
      <c r="B797" s="12" t="inlineStr">
        <is>
          <t>Information System Monitoring</t>
        </is>
      </c>
      <c r="C797" s="12" t="inlineStr">
        <is>
          <t>Palo Alto Firewalls</t>
        </is>
      </c>
      <c r="D797" s="11" t="inlineStr">
        <is>
          <t>SI</t>
        </is>
      </c>
      <c r="E797" s="12" t="inlineStr">
        <is>
          <t>Palo Alto Firewalls</t>
        </is>
      </c>
      <c r="F797" s="12" t="inlineStr">
        <is>
          <t>SI-4</t>
        </is>
      </c>
      <c r="G797" s="13">
        <f>IFERROR('[Palo_Alto_Firewalls.xlsx]SI-4'!B20,"Not Started")</f>
        <v/>
      </c>
      <c r="H797" s="14">
        <f>IF(OR(G797="Passed",G797="Accepted Exception"),"GREEN",IF(OR(G797="Not Started",G797="Failed"),"RED","AMBER"))</f>
        <v/>
      </c>
      <c r="I797" s="15">
        <f>IFERROR('[Palo_Alto_Firewalls.xlsx]SI-4'!E20,"Non commencé")</f>
        <v/>
      </c>
      <c r="J797" s="16">
        <f>IF(OR(I797="Réussi",I797="Exception acceptée"),"GREEN",IF(OR(I797="Non commencé",I797="Échec"),"RED","AMBER"))</f>
        <v/>
      </c>
      <c r="K797" s="12" t="inlineStr"/>
      <c r="L797" s="12" t="inlineStr"/>
      <c r="M797" s="17" t="inlineStr"/>
    </row>
    <row r="798" ht="18" customHeight="1">
      <c r="A798" s="18" t="inlineStr">
        <is>
          <t>SI-4(1)</t>
        </is>
      </c>
      <c r="B798" s="19" t="inlineStr">
        <is>
          <t>Information System Monitoring</t>
        </is>
      </c>
      <c r="C798" s="19" t="inlineStr">
        <is>
          <t>Palo Alto Firewalls</t>
        </is>
      </c>
      <c r="D798" s="18" t="inlineStr">
        <is>
          <t>SI</t>
        </is>
      </c>
      <c r="E798" s="19" t="inlineStr">
        <is>
          <t>Palo Alto Firewalls</t>
        </is>
      </c>
      <c r="F798" s="19" t="inlineStr">
        <is>
          <t>SI-4-1</t>
        </is>
      </c>
      <c r="G798" s="20">
        <f>IFERROR('[Palo_Alto_Firewalls.xlsx]SI-4-1'!B20,"Not Started")</f>
        <v/>
      </c>
      <c r="H798" s="14">
        <f>IF(OR(G798="Passed",G798="Accepted Exception"),"GREEN",IF(OR(G798="Not Started",G798="Failed"),"RED","AMBER"))</f>
        <v/>
      </c>
      <c r="I798" s="21">
        <f>IFERROR('[Palo_Alto_Firewalls.xlsx]SI-4-1'!E20,"Non commencé")</f>
        <v/>
      </c>
      <c r="J798" s="16">
        <f>IF(OR(I798="Réussi",I798="Exception acceptée"),"GREEN",IF(OR(I798="Non commencé",I798="Échec"),"RED","AMBER"))</f>
        <v/>
      </c>
      <c r="K798" s="19" t="inlineStr"/>
      <c r="L798" s="19" t="inlineStr"/>
      <c r="M798" s="22" t="inlineStr"/>
    </row>
    <row r="799" ht="18" customHeight="1">
      <c r="A799" s="11" t="inlineStr">
        <is>
          <t>SI-4(2)</t>
        </is>
      </c>
      <c r="B799" s="12" t="inlineStr">
        <is>
          <t>Information System Monitoring</t>
        </is>
      </c>
      <c r="C799" s="12" t="inlineStr">
        <is>
          <t>Palo Alto Firewalls</t>
        </is>
      </c>
      <c r="D799" s="11" t="inlineStr">
        <is>
          <t>SI</t>
        </is>
      </c>
      <c r="E799" s="12" t="inlineStr">
        <is>
          <t>Palo Alto Firewalls</t>
        </is>
      </c>
      <c r="F799" s="12" t="inlineStr">
        <is>
          <t>SI-4-2</t>
        </is>
      </c>
      <c r="G799" s="13">
        <f>IFERROR('[Palo_Alto_Firewalls.xlsx]SI-4-2'!B20,"Not Started")</f>
        <v/>
      </c>
      <c r="H799" s="14">
        <f>IF(OR(G799="Passed",G799="Accepted Exception"),"GREEN",IF(OR(G799="Not Started",G799="Failed"),"RED","AMBER"))</f>
        <v/>
      </c>
      <c r="I799" s="15">
        <f>IFERROR('[Palo_Alto_Firewalls.xlsx]SI-4-2'!E20,"Non commencé")</f>
        <v/>
      </c>
      <c r="J799" s="16">
        <f>IF(OR(I799="Réussi",I799="Exception acceptée"),"GREEN",IF(OR(I799="Non commencé",I799="Échec"),"RED","AMBER"))</f>
        <v/>
      </c>
      <c r="K799" s="12" t="inlineStr"/>
      <c r="L799" s="12" t="inlineStr"/>
      <c r="M799" s="17" t="inlineStr"/>
    </row>
    <row r="800" ht="18" customHeight="1">
      <c r="A800" s="18" t="inlineStr">
        <is>
          <t>SI-4(4)</t>
        </is>
      </c>
      <c r="B800" s="19" t="inlineStr">
        <is>
          <t>Information System Monitoring</t>
        </is>
      </c>
      <c r="C800" s="19" t="inlineStr">
        <is>
          <t>Palo Alto Firewalls</t>
        </is>
      </c>
      <c r="D800" s="18" t="inlineStr">
        <is>
          <t>SI</t>
        </is>
      </c>
      <c r="E800" s="19" t="inlineStr">
        <is>
          <t>Palo Alto Firewalls</t>
        </is>
      </c>
      <c r="F800" s="19" t="inlineStr">
        <is>
          <t>SI-4-4</t>
        </is>
      </c>
      <c r="G800" s="20">
        <f>IFERROR('[Palo_Alto_Firewalls.xlsx]SI-4-4'!B20,"Not Started")</f>
        <v/>
      </c>
      <c r="H800" s="14">
        <f>IF(OR(G800="Passed",G800="Accepted Exception"),"GREEN",IF(OR(G800="Not Started",G800="Failed"),"RED","AMBER"))</f>
        <v/>
      </c>
      <c r="I800" s="21">
        <f>IFERROR('[Palo_Alto_Firewalls.xlsx]SI-4-4'!E20,"Non commencé")</f>
        <v/>
      </c>
      <c r="J800" s="16">
        <f>IF(OR(I800="Réussi",I800="Exception acceptée"),"GREEN",IF(OR(I800="Non commencé",I800="Échec"),"RED","AMBER"))</f>
        <v/>
      </c>
      <c r="K800" s="19" t="inlineStr"/>
      <c r="L800" s="19" t="inlineStr"/>
      <c r="M800" s="22" t="inlineStr"/>
    </row>
    <row r="801" ht="18" customHeight="1">
      <c r="A801" s="11" t="inlineStr">
        <is>
          <t>SI-4(11)</t>
        </is>
      </c>
      <c r="B801" s="12" t="inlineStr">
        <is>
          <t>Information System Monitoring</t>
        </is>
      </c>
      <c r="C801" s="12" t="inlineStr">
        <is>
          <t>Palo Alto Firewalls</t>
        </is>
      </c>
      <c r="D801" s="11" t="inlineStr">
        <is>
          <t>SI</t>
        </is>
      </c>
      <c r="E801" s="12" t="inlineStr">
        <is>
          <t>Palo Alto Firewalls</t>
        </is>
      </c>
      <c r="F801" s="12" t="inlineStr">
        <is>
          <t>SI-4-11</t>
        </is>
      </c>
      <c r="G801" s="13">
        <f>IFERROR('[Palo_Alto_Firewalls.xlsx]SI-4-11'!B20,"Not Started")</f>
        <v/>
      </c>
      <c r="H801" s="14">
        <f>IF(OR(G801="Passed",G801="Accepted Exception"),"GREEN",IF(OR(G801="Not Started",G801="Failed"),"RED","AMBER"))</f>
        <v/>
      </c>
      <c r="I801" s="15">
        <f>IFERROR('[Palo_Alto_Firewalls.xlsx]SI-4-11'!E20,"Non commencé")</f>
        <v/>
      </c>
      <c r="J801" s="16">
        <f>IF(OR(I801="Réussi",I801="Exception acceptée"),"GREEN",IF(OR(I801="Non commencé",I801="Échec"),"RED","AMBER"))</f>
        <v/>
      </c>
      <c r="K801" s="12" t="inlineStr"/>
      <c r="L801" s="12" t="inlineStr"/>
      <c r="M801" s="17" t="inlineStr"/>
    </row>
    <row r="802" ht="18" customHeight="1">
      <c r="A802" s="18" t="inlineStr">
        <is>
          <t>SI-6</t>
        </is>
      </c>
      <c r="B802" s="19" t="inlineStr">
        <is>
          <t>Security Functional Verification</t>
        </is>
      </c>
      <c r="C802" s="19" t="inlineStr">
        <is>
          <t>Palo Alto Firewalls</t>
        </is>
      </c>
      <c r="D802" s="18" t="inlineStr">
        <is>
          <t>SI</t>
        </is>
      </c>
      <c r="E802" s="19" t="inlineStr">
        <is>
          <t>Palo Alto Firewalls</t>
        </is>
      </c>
      <c r="F802" s="19" t="inlineStr">
        <is>
          <t>SI-6</t>
        </is>
      </c>
      <c r="G802" s="20">
        <f>IFERROR('[Palo_Alto_Firewalls.xlsx]SI-6'!B20,"Not Started")</f>
        <v/>
      </c>
      <c r="H802" s="14">
        <f>IF(OR(G802="Passed",G802="Accepted Exception"),"GREEN",IF(OR(G802="Not Started",G802="Failed"),"RED","AMBER"))</f>
        <v/>
      </c>
      <c r="I802" s="21">
        <f>IFERROR('[Palo_Alto_Firewalls.xlsx]SI-6'!E20,"Non commencé")</f>
        <v/>
      </c>
      <c r="J802" s="16">
        <f>IF(OR(I802="Réussi",I802="Exception acceptée"),"GREEN",IF(OR(I802="Non commencé",I802="Échec"),"RED","AMBER"))</f>
        <v/>
      </c>
      <c r="K802" s="19" t="inlineStr"/>
      <c r="L802" s="19" t="inlineStr"/>
      <c r="M802" s="22" t="inlineStr"/>
    </row>
    <row r="803" ht="18" customHeight="1">
      <c r="A803" s="11" t="inlineStr">
        <is>
          <t>SI-7(1)</t>
        </is>
      </c>
      <c r="B803" s="12" t="inlineStr">
        <is>
          <t>Software, Firmware, and Information Integrity</t>
        </is>
      </c>
      <c r="C803" s="12" t="inlineStr">
        <is>
          <t>Palo Alto Firewalls</t>
        </is>
      </c>
      <c r="D803" s="11" t="inlineStr">
        <is>
          <t>SI</t>
        </is>
      </c>
      <c r="E803" s="12" t="inlineStr">
        <is>
          <t>Palo Alto Firewalls</t>
        </is>
      </c>
      <c r="F803" s="12" t="inlineStr">
        <is>
          <t>SI-7-1</t>
        </is>
      </c>
      <c r="G803" s="13">
        <f>IFERROR('[Palo_Alto_Firewalls.xlsx]SI-7-1'!B20,"Not Started")</f>
        <v/>
      </c>
      <c r="H803" s="14">
        <f>IF(OR(G803="Passed",G803="Accepted Exception"),"GREEN",IF(OR(G803="Not Started",G803="Failed"),"RED","AMBER"))</f>
        <v/>
      </c>
      <c r="I803" s="15">
        <f>IFERROR('[Palo_Alto_Firewalls.xlsx]SI-7-1'!E20,"Non commencé")</f>
        <v/>
      </c>
      <c r="J803" s="16">
        <f>IF(OR(I803="Réussi",I803="Exception acceptée"),"GREEN",IF(OR(I803="Non commencé",I803="Échec"),"RED","AMBER"))</f>
        <v/>
      </c>
      <c r="K803" s="12" t="inlineStr"/>
      <c r="L803" s="12" t="inlineStr"/>
      <c r="M803" s="17" t="inlineStr"/>
    </row>
    <row r="804" ht="18" customHeight="1">
      <c r="A804" s="18" t="inlineStr">
        <is>
          <t>SI-8</t>
        </is>
      </c>
      <c r="B804" s="19" t="inlineStr">
        <is>
          <t>Spam Protection</t>
        </is>
      </c>
      <c r="C804" s="19" t="inlineStr">
        <is>
          <t>Palo Alto Firewalls</t>
        </is>
      </c>
      <c r="D804" s="18" t="inlineStr">
        <is>
          <t>SI</t>
        </is>
      </c>
      <c r="E804" s="19" t="inlineStr">
        <is>
          <t>Palo Alto Firewalls</t>
        </is>
      </c>
      <c r="F804" s="19" t="inlineStr">
        <is>
          <t>SI-8</t>
        </is>
      </c>
      <c r="G804" s="20">
        <f>IFERROR('[Palo_Alto_Firewalls.xlsx]SI-8'!B20,"Not Started")</f>
        <v/>
      </c>
      <c r="H804" s="14">
        <f>IF(OR(G804="Passed",G804="Accepted Exception"),"GREEN",IF(OR(G804="Not Started",G804="Failed"),"RED","AMBER"))</f>
        <v/>
      </c>
      <c r="I804" s="21">
        <f>IFERROR('[Palo_Alto_Firewalls.xlsx]SI-8'!E20,"Non commencé")</f>
        <v/>
      </c>
      <c r="J804" s="16">
        <f>IF(OR(I804="Réussi",I804="Exception acceptée"),"GREEN",IF(OR(I804="Non commencé",I804="Échec"),"RED","AMBER"))</f>
        <v/>
      </c>
      <c r="K804" s="19" t="inlineStr"/>
      <c r="L804" s="19" t="inlineStr"/>
      <c r="M804" s="22" t="inlineStr"/>
    </row>
    <row r="805" ht="18" customHeight="1">
      <c r="A805" s="11" t="inlineStr">
        <is>
          <t>SI-8(1)</t>
        </is>
      </c>
      <c r="B805" s="12" t="inlineStr">
        <is>
          <t>Spam Protection</t>
        </is>
      </c>
      <c r="C805" s="12" t="inlineStr">
        <is>
          <t>Palo Alto Firewalls</t>
        </is>
      </c>
      <c r="D805" s="11" t="inlineStr">
        <is>
          <t>SI</t>
        </is>
      </c>
      <c r="E805" s="12" t="inlineStr">
        <is>
          <t>Palo Alto Firewalls</t>
        </is>
      </c>
      <c r="F805" s="12" t="inlineStr">
        <is>
          <t>SI-8-1</t>
        </is>
      </c>
      <c r="G805" s="13">
        <f>IFERROR('[Palo_Alto_Firewalls.xlsx]SI-8-1'!B20,"Not Started")</f>
        <v/>
      </c>
      <c r="H805" s="14">
        <f>IF(OR(G805="Passed",G805="Accepted Exception"),"GREEN",IF(OR(G805="Not Started",G805="Failed"),"RED","AMBER"))</f>
        <v/>
      </c>
      <c r="I805" s="15">
        <f>IFERROR('[Palo_Alto_Firewalls.xlsx]SI-8-1'!E20,"Non commencé")</f>
        <v/>
      </c>
      <c r="J805" s="16">
        <f>IF(OR(I805="Réussi",I805="Exception acceptée"),"GREEN",IF(OR(I805="Non commencé",I805="Échec"),"RED","AMBER"))</f>
        <v/>
      </c>
      <c r="K805" s="12" t="inlineStr"/>
      <c r="L805" s="12" t="inlineStr"/>
      <c r="M805" s="17" t="inlineStr"/>
    </row>
    <row r="806" ht="18" customHeight="1">
      <c r="A806" s="18" t="inlineStr">
        <is>
          <t>SI-8(2)</t>
        </is>
      </c>
      <c r="B806" s="19" t="inlineStr">
        <is>
          <t>Spam Protection</t>
        </is>
      </c>
      <c r="C806" s="19" t="inlineStr">
        <is>
          <t>Palo Alto Firewalls</t>
        </is>
      </c>
      <c r="D806" s="18" t="inlineStr">
        <is>
          <t>SI</t>
        </is>
      </c>
      <c r="E806" s="19" t="inlineStr">
        <is>
          <t>Palo Alto Firewalls</t>
        </is>
      </c>
      <c r="F806" s="19" t="inlineStr">
        <is>
          <t>SI-8-2</t>
        </is>
      </c>
      <c r="G806" s="20">
        <f>IFERROR('[Palo_Alto_Firewalls.xlsx]SI-8-2'!B20,"Not Started")</f>
        <v/>
      </c>
      <c r="H806" s="14">
        <f>IF(OR(G806="Passed",G806="Accepted Exception"),"GREEN",IF(OR(G806="Not Started",G806="Failed"),"RED","AMBER"))</f>
        <v/>
      </c>
      <c r="I806" s="21">
        <f>IFERROR('[Palo_Alto_Firewalls.xlsx]SI-8-2'!E20,"Non commencé")</f>
        <v/>
      </c>
      <c r="J806" s="16">
        <f>IF(OR(I806="Réussi",I806="Exception acceptée"),"GREEN",IF(OR(I806="Non commencé",I806="Échec"),"RED","AMBER"))</f>
        <v/>
      </c>
      <c r="K806" s="19" t="inlineStr"/>
      <c r="L806" s="19" t="inlineStr"/>
      <c r="M806" s="22" t="inlineStr"/>
    </row>
    <row r="807" ht="18" customHeight="1">
      <c r="A807" s="11" t="inlineStr">
        <is>
          <t>AC-2(2)</t>
        </is>
      </c>
      <c r="B807" s="12" t="inlineStr">
        <is>
          <t>Account Management</t>
        </is>
      </c>
      <c r="C807" s="12" t="inlineStr">
        <is>
          <t>Panorama</t>
        </is>
      </c>
      <c r="D807" s="11" t="inlineStr">
        <is>
          <t>AC</t>
        </is>
      </c>
      <c r="E807" s="12" t="inlineStr">
        <is>
          <t>Panorama</t>
        </is>
      </c>
      <c r="F807" s="12" t="inlineStr">
        <is>
          <t>AC-2-2</t>
        </is>
      </c>
      <c r="G807" s="13">
        <f>IFERROR('[Panorama.xlsx]AC-2-2'!B20,"Not Started")</f>
        <v/>
      </c>
      <c r="H807" s="14">
        <f>IF(OR(G807="Passed",G807="Accepted Exception"),"GREEN",IF(OR(G807="Not Started",G807="Failed"),"RED","AMBER"))</f>
        <v/>
      </c>
      <c r="I807" s="15">
        <f>IFERROR('[Panorama.xlsx]AC-2-2'!E20,"Non commencé")</f>
        <v/>
      </c>
      <c r="J807" s="16">
        <f>IF(OR(I807="Réussi",I807="Exception acceptée"),"GREEN",IF(OR(I807="Non commencé",I807="Échec"),"RED","AMBER"))</f>
        <v/>
      </c>
      <c r="K807" s="12" t="inlineStr"/>
      <c r="L807" s="12" t="inlineStr"/>
      <c r="M807" s="17" t="inlineStr"/>
    </row>
    <row r="808" ht="18" customHeight="1">
      <c r="A808" s="18" t="inlineStr">
        <is>
          <t>AC-2(4)</t>
        </is>
      </c>
      <c r="B808" s="19" t="inlineStr">
        <is>
          <t>Account Management</t>
        </is>
      </c>
      <c r="C808" s="19" t="inlineStr">
        <is>
          <t>Panorama</t>
        </is>
      </c>
      <c r="D808" s="18" t="inlineStr">
        <is>
          <t>AC</t>
        </is>
      </c>
      <c r="E808" s="19" t="inlineStr">
        <is>
          <t>Panorama</t>
        </is>
      </c>
      <c r="F808" s="19" t="inlineStr">
        <is>
          <t>AC-2-4</t>
        </is>
      </c>
      <c r="G808" s="20">
        <f>IFERROR('[Panorama.xlsx]AC-2-4'!B20,"Not Started")</f>
        <v/>
      </c>
      <c r="H808" s="14">
        <f>IF(OR(G808="Passed",G808="Accepted Exception"),"GREEN",IF(OR(G808="Not Started",G808="Failed"),"RED","AMBER"))</f>
        <v/>
      </c>
      <c r="I808" s="21">
        <f>IFERROR('[Panorama.xlsx]AC-2-4'!E20,"Non commencé")</f>
        <v/>
      </c>
      <c r="J808" s="16">
        <f>IF(OR(I808="Réussi",I808="Exception acceptée"),"GREEN",IF(OR(I808="Non commencé",I808="Échec"),"RED","AMBER"))</f>
        <v/>
      </c>
      <c r="K808" s="19" t="inlineStr"/>
      <c r="L808" s="19" t="inlineStr"/>
      <c r="M808" s="22" t="inlineStr"/>
    </row>
    <row r="809" ht="18" customHeight="1">
      <c r="A809" s="11" t="inlineStr">
        <is>
          <t>AC-3</t>
        </is>
      </c>
      <c r="B809" s="12" t="inlineStr">
        <is>
          <t>Access Enforcement</t>
        </is>
      </c>
      <c r="C809" s="12" t="inlineStr">
        <is>
          <t>Panorama</t>
        </is>
      </c>
      <c r="D809" s="11" t="inlineStr">
        <is>
          <t>AC</t>
        </is>
      </c>
      <c r="E809" s="12" t="inlineStr">
        <is>
          <t>Panorama</t>
        </is>
      </c>
      <c r="F809" s="12" t="inlineStr">
        <is>
          <t>AC-3</t>
        </is>
      </c>
      <c r="G809" s="13">
        <f>IFERROR('[Panorama.xlsx]AC-3'!B20,"Not Started")</f>
        <v/>
      </c>
      <c r="H809" s="14">
        <f>IF(OR(G809="Passed",G809="Accepted Exception"),"GREEN",IF(OR(G809="Not Started",G809="Failed"),"RED","AMBER"))</f>
        <v/>
      </c>
      <c r="I809" s="15">
        <f>IFERROR('[Panorama.xlsx]AC-3'!E20,"Non commencé")</f>
        <v/>
      </c>
      <c r="J809" s="16">
        <f>IF(OR(I809="Réussi",I809="Exception acceptée"),"GREEN",IF(OR(I809="Non commencé",I809="Échec"),"RED","AMBER"))</f>
        <v/>
      </c>
      <c r="K809" s="12" t="inlineStr"/>
      <c r="L809" s="12" t="inlineStr"/>
      <c r="M809" s="17" t="inlineStr"/>
    </row>
    <row r="810" ht="18" customHeight="1">
      <c r="A810" s="18" t="inlineStr">
        <is>
          <t>AC-4</t>
        </is>
      </c>
      <c r="B810" s="19" t="inlineStr">
        <is>
          <t>Information Flow Enforcement</t>
        </is>
      </c>
      <c r="C810" s="19" t="inlineStr">
        <is>
          <t>Panorama</t>
        </is>
      </c>
      <c r="D810" s="18" t="inlineStr">
        <is>
          <t>AC</t>
        </is>
      </c>
      <c r="E810" s="19" t="inlineStr">
        <is>
          <t>Panorama</t>
        </is>
      </c>
      <c r="F810" s="19" t="inlineStr">
        <is>
          <t>AC-4</t>
        </is>
      </c>
      <c r="G810" s="20">
        <f>IFERROR('[Panorama.xlsx]AC-4'!B20,"Not Started")</f>
        <v/>
      </c>
      <c r="H810" s="14">
        <f>IF(OR(G810="Passed",G810="Accepted Exception"),"GREEN",IF(OR(G810="Not Started",G810="Failed"),"RED","AMBER"))</f>
        <v/>
      </c>
      <c r="I810" s="21">
        <f>IFERROR('[Panorama.xlsx]AC-4'!E20,"Non commencé")</f>
        <v/>
      </c>
      <c r="J810" s="16">
        <f>IF(OR(I810="Réussi",I810="Exception acceptée"),"GREEN",IF(OR(I810="Non commencé",I810="Échec"),"RED","AMBER"))</f>
        <v/>
      </c>
      <c r="K810" s="19" t="inlineStr"/>
      <c r="L810" s="19" t="inlineStr"/>
      <c r="M810" s="22" t="inlineStr"/>
    </row>
    <row r="811" ht="18" customHeight="1">
      <c r="A811" s="11" t="inlineStr">
        <is>
          <t>AC-4(21)</t>
        </is>
      </c>
      <c r="B811" s="12" t="inlineStr">
        <is>
          <t>Information Flow Enforcement</t>
        </is>
      </c>
      <c r="C811" s="12" t="inlineStr">
        <is>
          <t>Panorama</t>
        </is>
      </c>
      <c r="D811" s="11" t="inlineStr">
        <is>
          <t>AC</t>
        </is>
      </c>
      <c r="E811" s="12" t="inlineStr">
        <is>
          <t>Panorama</t>
        </is>
      </c>
      <c r="F811" s="12" t="inlineStr">
        <is>
          <t>AC-4-21</t>
        </is>
      </c>
      <c r="G811" s="13">
        <f>IFERROR('[Panorama.xlsx]AC-4-21'!B20,"Not Started")</f>
        <v/>
      </c>
      <c r="H811" s="14">
        <f>IF(OR(G811="Passed",G811="Accepted Exception"),"GREEN",IF(OR(G811="Not Started",G811="Failed"),"RED","AMBER"))</f>
        <v/>
      </c>
      <c r="I811" s="15">
        <f>IFERROR('[Panorama.xlsx]AC-4-21'!E20,"Non commencé")</f>
        <v/>
      </c>
      <c r="J811" s="16">
        <f>IF(OR(I811="Réussi",I811="Exception acceptée"),"GREEN",IF(OR(I811="Non commencé",I811="Échec"),"RED","AMBER"))</f>
        <v/>
      </c>
      <c r="K811" s="12" t="inlineStr"/>
      <c r="L811" s="12" t="inlineStr"/>
      <c r="M811" s="17" t="inlineStr"/>
    </row>
    <row r="812" ht="18" customHeight="1">
      <c r="A812" s="18" t="inlineStr">
        <is>
          <t>AC-6</t>
        </is>
      </c>
      <c r="B812" s="19" t="inlineStr">
        <is>
          <t>Least Privilege</t>
        </is>
      </c>
      <c r="C812" s="19" t="inlineStr">
        <is>
          <t>Panorama</t>
        </is>
      </c>
      <c r="D812" s="18" t="inlineStr">
        <is>
          <t>AC</t>
        </is>
      </c>
      <c r="E812" s="19" t="inlineStr">
        <is>
          <t>Panorama</t>
        </is>
      </c>
      <c r="F812" s="19" t="inlineStr">
        <is>
          <t>AC-6</t>
        </is>
      </c>
      <c r="G812" s="20">
        <f>IFERROR('[Panorama.xlsx]AC-6'!B20,"Not Started")</f>
        <v/>
      </c>
      <c r="H812" s="14">
        <f>IF(OR(G812="Passed",G812="Accepted Exception"),"GREEN",IF(OR(G812="Not Started",G812="Failed"),"RED","AMBER"))</f>
        <v/>
      </c>
      <c r="I812" s="21">
        <f>IFERROR('[Panorama.xlsx]AC-6'!E20,"Non commencé")</f>
        <v/>
      </c>
      <c r="J812" s="16">
        <f>IF(OR(I812="Réussi",I812="Exception acceptée"),"GREEN",IF(OR(I812="Non commencé",I812="Échec"),"RED","AMBER"))</f>
        <v/>
      </c>
      <c r="K812" s="19" t="inlineStr"/>
      <c r="L812" s="19" t="inlineStr"/>
      <c r="M812" s="22" t="inlineStr"/>
    </row>
    <row r="813" ht="18" customHeight="1">
      <c r="A813" s="11" t="inlineStr">
        <is>
          <t>AC-6(1)</t>
        </is>
      </c>
      <c r="B813" s="12" t="inlineStr">
        <is>
          <t>Least Privilege</t>
        </is>
      </c>
      <c r="C813" s="12" t="inlineStr">
        <is>
          <t>Panorama</t>
        </is>
      </c>
      <c r="D813" s="11" t="inlineStr">
        <is>
          <t>AC</t>
        </is>
      </c>
      <c r="E813" s="12" t="inlineStr">
        <is>
          <t>Panorama</t>
        </is>
      </c>
      <c r="F813" s="12" t="inlineStr">
        <is>
          <t>AC-6-1</t>
        </is>
      </c>
      <c r="G813" s="13">
        <f>IFERROR('[Panorama.xlsx]AC-6-1'!B20,"Not Started")</f>
        <v/>
      </c>
      <c r="H813" s="14">
        <f>IF(OR(G813="Passed",G813="Accepted Exception"),"GREEN",IF(OR(G813="Not Started",G813="Failed"),"RED","AMBER"))</f>
        <v/>
      </c>
      <c r="I813" s="15">
        <f>IFERROR('[Panorama.xlsx]AC-6-1'!E20,"Non commencé")</f>
        <v/>
      </c>
      <c r="J813" s="16">
        <f>IF(OR(I813="Réussi",I813="Exception acceptée"),"GREEN",IF(OR(I813="Non commencé",I813="Échec"),"RED","AMBER"))</f>
        <v/>
      </c>
      <c r="K813" s="12" t="inlineStr"/>
      <c r="L813" s="12" t="inlineStr"/>
      <c r="M813" s="17" t="inlineStr"/>
    </row>
    <row r="814" ht="18" customHeight="1">
      <c r="A814" s="18" t="inlineStr">
        <is>
          <t>AC-6(9)</t>
        </is>
      </c>
      <c r="B814" s="19" t="inlineStr">
        <is>
          <t>Least Privilege</t>
        </is>
      </c>
      <c r="C814" s="19" t="inlineStr">
        <is>
          <t>Panorama</t>
        </is>
      </c>
      <c r="D814" s="18" t="inlineStr">
        <is>
          <t>AC</t>
        </is>
      </c>
      <c r="E814" s="19" t="inlineStr">
        <is>
          <t>Panorama</t>
        </is>
      </c>
      <c r="F814" s="19" t="inlineStr">
        <is>
          <t>AC-6-9</t>
        </is>
      </c>
      <c r="G814" s="20">
        <f>IFERROR('[Panorama.xlsx]AC-6-9'!B20,"Not Started")</f>
        <v/>
      </c>
      <c r="H814" s="14">
        <f>IF(OR(G814="Passed",G814="Accepted Exception"),"GREEN",IF(OR(G814="Not Started",G814="Failed"),"RED","AMBER"))</f>
        <v/>
      </c>
      <c r="I814" s="21">
        <f>IFERROR('[Panorama.xlsx]AC-6-9'!E20,"Non commencé")</f>
        <v/>
      </c>
      <c r="J814" s="16">
        <f>IF(OR(I814="Réussi",I814="Exception acceptée"),"GREEN",IF(OR(I814="Non commencé",I814="Échec"),"RED","AMBER"))</f>
        <v/>
      </c>
      <c r="K814" s="19" t="inlineStr"/>
      <c r="L814" s="19" t="inlineStr"/>
      <c r="M814" s="22" t="inlineStr"/>
    </row>
    <row r="815" ht="18" customHeight="1">
      <c r="A815" s="11" t="inlineStr">
        <is>
          <t>AC-6(10)</t>
        </is>
      </c>
      <c r="B815" s="12" t="inlineStr">
        <is>
          <t>Least Privilege</t>
        </is>
      </c>
      <c r="C815" s="12" t="inlineStr">
        <is>
          <t>Panorama</t>
        </is>
      </c>
      <c r="D815" s="11" t="inlineStr">
        <is>
          <t>AC</t>
        </is>
      </c>
      <c r="E815" s="12" t="inlineStr">
        <is>
          <t>Panorama</t>
        </is>
      </c>
      <c r="F815" s="12" t="inlineStr">
        <is>
          <t>AC-6-10</t>
        </is>
      </c>
      <c r="G815" s="13">
        <f>IFERROR('[Panorama.xlsx]AC-6-10'!B20,"Not Started")</f>
        <v/>
      </c>
      <c r="H815" s="14">
        <f>IF(OR(G815="Passed",G815="Accepted Exception"),"GREEN",IF(OR(G815="Not Started",G815="Failed"),"RED","AMBER"))</f>
        <v/>
      </c>
      <c r="I815" s="15">
        <f>IFERROR('[Panorama.xlsx]AC-6-10'!E20,"Non commencé")</f>
        <v/>
      </c>
      <c r="J815" s="16">
        <f>IF(OR(I815="Réussi",I815="Exception acceptée"),"GREEN",IF(OR(I815="Non commencé",I815="Échec"),"RED","AMBER"))</f>
        <v/>
      </c>
      <c r="K815" s="12" t="inlineStr"/>
      <c r="L815" s="12" t="inlineStr"/>
      <c r="M815" s="17" t="inlineStr"/>
    </row>
    <row r="816" ht="18" customHeight="1">
      <c r="A816" s="18" t="inlineStr">
        <is>
          <t>AC-7</t>
        </is>
      </c>
      <c r="B816" s="19" t="inlineStr">
        <is>
          <t>Unsuccessful Login Attempts</t>
        </is>
      </c>
      <c r="C816" s="19" t="inlineStr">
        <is>
          <t>Panorama</t>
        </is>
      </c>
      <c r="D816" s="18" t="inlineStr">
        <is>
          <t>AC</t>
        </is>
      </c>
      <c r="E816" s="19" t="inlineStr">
        <is>
          <t>Panorama</t>
        </is>
      </c>
      <c r="F816" s="19" t="inlineStr">
        <is>
          <t>AC-7</t>
        </is>
      </c>
      <c r="G816" s="20">
        <f>IFERROR('[Panorama.xlsx]AC-7'!B20,"Not Started")</f>
        <v/>
      </c>
      <c r="H816" s="14">
        <f>IF(OR(G816="Passed",G816="Accepted Exception"),"GREEN",IF(OR(G816="Not Started",G816="Failed"),"RED","AMBER"))</f>
        <v/>
      </c>
      <c r="I816" s="21">
        <f>IFERROR('[Panorama.xlsx]AC-7'!E20,"Non commencé")</f>
        <v/>
      </c>
      <c r="J816" s="16">
        <f>IF(OR(I816="Réussi",I816="Exception acceptée"),"GREEN",IF(OR(I816="Non commencé",I816="Échec"),"RED","AMBER"))</f>
        <v/>
      </c>
      <c r="K816" s="19" t="inlineStr"/>
      <c r="L816" s="19" t="inlineStr"/>
      <c r="M816" s="22" t="inlineStr"/>
    </row>
    <row r="817" ht="18" customHeight="1">
      <c r="A817" s="11" t="inlineStr">
        <is>
          <t>AC-10</t>
        </is>
      </c>
      <c r="B817" s="12" t="inlineStr">
        <is>
          <t>Concurrent Session Control</t>
        </is>
      </c>
      <c r="C817" s="12" t="inlineStr">
        <is>
          <t>Panorama</t>
        </is>
      </c>
      <c r="D817" s="11" t="inlineStr">
        <is>
          <t>AC</t>
        </is>
      </c>
      <c r="E817" s="12" t="inlineStr">
        <is>
          <t>Panorama</t>
        </is>
      </c>
      <c r="F817" s="12" t="inlineStr">
        <is>
          <t>AC-10</t>
        </is>
      </c>
      <c r="G817" s="13">
        <f>IFERROR('[Panorama.xlsx]AC-10'!B20,"Not Started")</f>
        <v/>
      </c>
      <c r="H817" s="14">
        <f>IF(OR(G817="Passed",G817="Accepted Exception"),"GREEN",IF(OR(G817="Not Started",G817="Failed"),"RED","AMBER"))</f>
        <v/>
      </c>
      <c r="I817" s="15">
        <f>IFERROR('[Panorama.xlsx]AC-10'!E20,"Non commencé")</f>
        <v/>
      </c>
      <c r="J817" s="16">
        <f>IF(OR(I817="Réussi",I817="Exception acceptée"),"GREEN",IF(OR(I817="Non commencé",I817="Échec"),"RED","AMBER"))</f>
        <v/>
      </c>
      <c r="K817" s="12" t="inlineStr"/>
      <c r="L817" s="12" t="inlineStr"/>
      <c r="M817" s="17" t="inlineStr"/>
    </row>
    <row r="818" ht="18" customHeight="1">
      <c r="A818" s="18" t="inlineStr">
        <is>
          <t>AC-17(1)</t>
        </is>
      </c>
      <c r="B818" s="19" t="inlineStr">
        <is>
          <t>Remote Access</t>
        </is>
      </c>
      <c r="C818" s="19" t="inlineStr">
        <is>
          <t>Panorama</t>
        </is>
      </c>
      <c r="D818" s="18" t="inlineStr">
        <is>
          <t>AC</t>
        </is>
      </c>
      <c r="E818" s="19" t="inlineStr">
        <is>
          <t>Panorama</t>
        </is>
      </c>
      <c r="F818" s="19" t="inlineStr">
        <is>
          <t>AC-17-1</t>
        </is>
      </c>
      <c r="G818" s="20">
        <f>IFERROR('[Panorama.xlsx]AC-17-1'!B20,"Not Started")</f>
        <v/>
      </c>
      <c r="H818" s="14">
        <f>IF(OR(G818="Passed",G818="Accepted Exception"),"GREEN",IF(OR(G818="Not Started",G818="Failed"),"RED","AMBER"))</f>
        <v/>
      </c>
      <c r="I818" s="21">
        <f>IFERROR('[Panorama.xlsx]AC-17-1'!E20,"Non commencé")</f>
        <v/>
      </c>
      <c r="J818" s="16">
        <f>IF(OR(I818="Réussi",I818="Exception acceptée"),"GREEN",IF(OR(I818="Non commencé",I818="Échec"),"RED","AMBER"))</f>
        <v/>
      </c>
      <c r="K818" s="19" t="inlineStr"/>
      <c r="L818" s="19" t="inlineStr"/>
      <c r="M818" s="22" t="inlineStr"/>
    </row>
    <row r="819" ht="18" customHeight="1">
      <c r="A819" s="11" t="inlineStr">
        <is>
          <t>AC-17(2)</t>
        </is>
      </c>
      <c r="B819" s="12" t="inlineStr">
        <is>
          <t>Remote Access</t>
        </is>
      </c>
      <c r="C819" s="12" t="inlineStr">
        <is>
          <t>Panorama</t>
        </is>
      </c>
      <c r="D819" s="11" t="inlineStr">
        <is>
          <t>AC</t>
        </is>
      </c>
      <c r="E819" s="12" t="inlineStr">
        <is>
          <t>Panorama</t>
        </is>
      </c>
      <c r="F819" s="12" t="inlineStr">
        <is>
          <t>AC-17-2</t>
        </is>
      </c>
      <c r="G819" s="13">
        <f>IFERROR('[Panorama.xlsx]AC-17-2'!B20,"Not Started")</f>
        <v/>
      </c>
      <c r="H819" s="14">
        <f>IF(OR(G819="Passed",G819="Accepted Exception"),"GREEN",IF(OR(G819="Not Started",G819="Failed"),"RED","AMBER"))</f>
        <v/>
      </c>
      <c r="I819" s="15">
        <f>IFERROR('[Panorama.xlsx]AC-17-2'!E20,"Non commencé")</f>
        <v/>
      </c>
      <c r="J819" s="16">
        <f>IF(OR(I819="Réussi",I819="Exception acceptée"),"GREEN",IF(OR(I819="Non commencé",I819="Échec"),"RED","AMBER"))</f>
        <v/>
      </c>
      <c r="K819" s="12" t="inlineStr"/>
      <c r="L819" s="12" t="inlineStr"/>
      <c r="M819" s="17" t="inlineStr"/>
    </row>
    <row r="820" ht="18" customHeight="1">
      <c r="A820" s="18" t="inlineStr">
        <is>
          <t>AC-17(3)</t>
        </is>
      </c>
      <c r="B820" s="19" t="inlineStr">
        <is>
          <t>Remote Access</t>
        </is>
      </c>
      <c r="C820" s="19" t="inlineStr">
        <is>
          <t>Panorama</t>
        </is>
      </c>
      <c r="D820" s="18" t="inlineStr">
        <is>
          <t>AC</t>
        </is>
      </c>
      <c r="E820" s="19" t="inlineStr">
        <is>
          <t>Panorama</t>
        </is>
      </c>
      <c r="F820" s="19" t="inlineStr">
        <is>
          <t>AC-17-3</t>
        </is>
      </c>
      <c r="G820" s="20">
        <f>IFERROR('[Panorama.xlsx]AC-17-3'!B20,"Not Started")</f>
        <v/>
      </c>
      <c r="H820" s="14">
        <f>IF(OR(G820="Passed",G820="Accepted Exception"),"GREEN",IF(OR(G820="Not Started",G820="Failed"),"RED","AMBER"))</f>
        <v/>
      </c>
      <c r="I820" s="21">
        <f>IFERROR('[Panorama.xlsx]AC-17-3'!E20,"Non commencé")</f>
        <v/>
      </c>
      <c r="J820" s="16">
        <f>IF(OR(I820="Réussi",I820="Exception acceptée"),"GREEN",IF(OR(I820="Non commencé",I820="Échec"),"RED","AMBER"))</f>
        <v/>
      </c>
      <c r="K820" s="19" t="inlineStr"/>
      <c r="L820" s="19" t="inlineStr"/>
      <c r="M820" s="22" t="inlineStr"/>
    </row>
    <row r="821" ht="18" customHeight="1">
      <c r="A821" s="11" t="inlineStr">
        <is>
          <t>AC-17(9)</t>
        </is>
      </c>
      <c r="B821" s="12" t="inlineStr">
        <is>
          <t>Remote Access</t>
        </is>
      </c>
      <c r="C821" s="12" t="inlineStr">
        <is>
          <t>Panorama</t>
        </is>
      </c>
      <c r="D821" s="11" t="inlineStr">
        <is>
          <t>AC</t>
        </is>
      </c>
      <c r="E821" s="12" t="inlineStr">
        <is>
          <t>Panorama</t>
        </is>
      </c>
      <c r="F821" s="12" t="inlineStr">
        <is>
          <t>AC-17-9</t>
        </is>
      </c>
      <c r="G821" s="13">
        <f>IFERROR('[Panorama.xlsx]AC-17-9'!B20,"Not Started")</f>
        <v/>
      </c>
      <c r="H821" s="14">
        <f>IF(OR(G821="Passed",G821="Accepted Exception"),"GREEN",IF(OR(G821="Not Started",G821="Failed"),"RED","AMBER"))</f>
        <v/>
      </c>
      <c r="I821" s="15">
        <f>IFERROR('[Panorama.xlsx]AC-17-9'!E20,"Non commencé")</f>
        <v/>
      </c>
      <c r="J821" s="16">
        <f>IF(OR(I821="Réussi",I821="Exception acceptée"),"GREEN",IF(OR(I821="Non commencé",I821="Échec"),"RED","AMBER"))</f>
        <v/>
      </c>
      <c r="K821" s="12" t="inlineStr"/>
      <c r="L821" s="12" t="inlineStr"/>
      <c r="M821" s="17" t="inlineStr"/>
    </row>
    <row r="822" ht="18" customHeight="1">
      <c r="A822" s="18" t="inlineStr">
        <is>
          <t>AC-17(100)</t>
        </is>
      </c>
      <c r="B822" s="19" t="inlineStr">
        <is>
          <t>Remote Access</t>
        </is>
      </c>
      <c r="C822" s="19" t="inlineStr">
        <is>
          <t>Panorama</t>
        </is>
      </c>
      <c r="D822" s="18" t="inlineStr">
        <is>
          <t>AC</t>
        </is>
      </c>
      <c r="E822" s="19" t="inlineStr">
        <is>
          <t>Panorama</t>
        </is>
      </c>
      <c r="F822" s="19" t="inlineStr">
        <is>
          <t>AC-17-100</t>
        </is>
      </c>
      <c r="G822" s="20">
        <f>IFERROR('[Panorama.xlsx]AC-17-100'!B20,"Not Started")</f>
        <v/>
      </c>
      <c r="H822" s="14">
        <f>IF(OR(G822="Passed",G822="Accepted Exception"),"GREEN",IF(OR(G822="Not Started",G822="Failed"),"RED","AMBER"))</f>
        <v/>
      </c>
      <c r="I822" s="21">
        <f>IFERROR('[Panorama.xlsx]AC-17-100'!E20,"Non commencé")</f>
        <v/>
      </c>
      <c r="J822" s="16">
        <f>IF(OR(I822="Réussi",I822="Exception acceptée"),"GREEN",IF(OR(I822="Non commencé",I822="Échec"),"RED","AMBER"))</f>
        <v/>
      </c>
      <c r="K822" s="19" t="inlineStr"/>
      <c r="L822" s="19" t="inlineStr"/>
      <c r="M822" s="22" t="inlineStr"/>
    </row>
    <row r="823" ht="18" customHeight="1">
      <c r="A823" s="11" t="inlineStr">
        <is>
          <t>AU-2</t>
        </is>
      </c>
      <c r="B823" s="12" t="inlineStr">
        <is>
          <t>Auditable Events</t>
        </is>
      </c>
      <c r="C823" s="12" t="inlineStr">
        <is>
          <t>Panorama</t>
        </is>
      </c>
      <c r="D823" s="11" t="inlineStr">
        <is>
          <t>AU</t>
        </is>
      </c>
      <c r="E823" s="12" t="inlineStr">
        <is>
          <t>Panorama</t>
        </is>
      </c>
      <c r="F823" s="12" t="inlineStr">
        <is>
          <t>AU-2</t>
        </is>
      </c>
      <c r="G823" s="13">
        <f>IFERROR('[Panorama.xlsx]AU-2'!B20,"Not Started")</f>
        <v/>
      </c>
      <c r="H823" s="14">
        <f>IF(OR(G823="Passed",G823="Accepted Exception"),"GREEN",IF(OR(G823="Not Started",G823="Failed"),"RED","AMBER"))</f>
        <v/>
      </c>
      <c r="I823" s="15">
        <f>IFERROR('[Panorama.xlsx]AU-2'!E20,"Non commencé")</f>
        <v/>
      </c>
      <c r="J823" s="16">
        <f>IF(OR(I823="Réussi",I823="Exception acceptée"),"GREEN",IF(OR(I823="Non commencé",I823="Échec"),"RED","AMBER"))</f>
        <v/>
      </c>
      <c r="K823" s="12" t="inlineStr"/>
      <c r="L823" s="12" t="inlineStr"/>
      <c r="M823" s="17" t="inlineStr"/>
    </row>
    <row r="824" ht="18" customHeight="1">
      <c r="A824" s="18" t="inlineStr">
        <is>
          <t>AU-3</t>
        </is>
      </c>
      <c r="B824" s="19" t="inlineStr">
        <is>
          <t>Content of Audit Records</t>
        </is>
      </c>
      <c r="C824" s="19" t="inlineStr">
        <is>
          <t>Panorama</t>
        </is>
      </c>
      <c r="D824" s="18" t="inlineStr">
        <is>
          <t>AU</t>
        </is>
      </c>
      <c r="E824" s="19" t="inlineStr">
        <is>
          <t>Panorama</t>
        </is>
      </c>
      <c r="F824" s="19" t="inlineStr">
        <is>
          <t>AU-3</t>
        </is>
      </c>
      <c r="G824" s="20">
        <f>IFERROR('[Panorama.xlsx]AU-3'!B20,"Not Started")</f>
        <v/>
      </c>
      <c r="H824" s="14">
        <f>IF(OR(G824="Passed",G824="Accepted Exception"),"GREEN",IF(OR(G824="Not Started",G824="Failed"),"RED","AMBER"))</f>
        <v/>
      </c>
      <c r="I824" s="21">
        <f>IFERROR('[Panorama.xlsx]AU-3'!E20,"Non commencé")</f>
        <v/>
      </c>
      <c r="J824" s="16">
        <f>IF(OR(I824="Réussi",I824="Exception acceptée"),"GREEN",IF(OR(I824="Non commencé",I824="Échec"),"RED","AMBER"))</f>
        <v/>
      </c>
      <c r="K824" s="19" t="inlineStr"/>
      <c r="L824" s="19" t="inlineStr"/>
      <c r="M824" s="22" t="inlineStr"/>
    </row>
    <row r="825" ht="18" customHeight="1">
      <c r="A825" s="11" t="inlineStr">
        <is>
          <t>AU-3(1)</t>
        </is>
      </c>
      <c r="B825" s="12" t="inlineStr">
        <is>
          <t>Content of Audit Records</t>
        </is>
      </c>
      <c r="C825" s="12" t="inlineStr">
        <is>
          <t>Panorama</t>
        </is>
      </c>
      <c r="D825" s="11" t="inlineStr">
        <is>
          <t>AU</t>
        </is>
      </c>
      <c r="E825" s="12" t="inlineStr">
        <is>
          <t>Panorama</t>
        </is>
      </c>
      <c r="F825" s="12" t="inlineStr">
        <is>
          <t>AU-3-1</t>
        </is>
      </c>
      <c r="G825" s="13">
        <f>IFERROR('[Panorama.xlsx]AU-3-1'!B20,"Not Started")</f>
        <v/>
      </c>
      <c r="H825" s="14">
        <f>IF(OR(G825="Passed",G825="Accepted Exception"),"GREEN",IF(OR(G825="Not Started",G825="Failed"),"RED","AMBER"))</f>
        <v/>
      </c>
      <c r="I825" s="15">
        <f>IFERROR('[Panorama.xlsx]AU-3-1'!E20,"Non commencé")</f>
        <v/>
      </c>
      <c r="J825" s="16">
        <f>IF(OR(I825="Réussi",I825="Exception acceptée"),"GREEN",IF(OR(I825="Non commencé",I825="Échec"),"RED","AMBER"))</f>
        <v/>
      </c>
      <c r="K825" s="12" t="inlineStr"/>
      <c r="L825" s="12" t="inlineStr"/>
      <c r="M825" s="17" t="inlineStr"/>
    </row>
    <row r="826" ht="18" customHeight="1">
      <c r="A826" s="18" t="inlineStr">
        <is>
          <t>AU-8</t>
        </is>
      </c>
      <c r="B826" s="19" t="inlineStr">
        <is>
          <t>Time Stamps</t>
        </is>
      </c>
      <c r="C826" s="19" t="inlineStr">
        <is>
          <t>Panorama</t>
        </is>
      </c>
      <c r="D826" s="18" t="inlineStr">
        <is>
          <t>AU</t>
        </is>
      </c>
      <c r="E826" s="19" t="inlineStr">
        <is>
          <t>Panorama</t>
        </is>
      </c>
      <c r="F826" s="19" t="inlineStr">
        <is>
          <t>AU-8</t>
        </is>
      </c>
      <c r="G826" s="20">
        <f>IFERROR('[Panorama.xlsx]AU-8'!B20,"Not Started")</f>
        <v/>
      </c>
      <c r="H826" s="14">
        <f>IF(OR(G826="Passed",G826="Accepted Exception"),"GREEN",IF(OR(G826="Not Started",G826="Failed"),"RED","AMBER"))</f>
        <v/>
      </c>
      <c r="I826" s="21">
        <f>IFERROR('[Panorama.xlsx]AU-8'!E20,"Non commencé")</f>
        <v/>
      </c>
      <c r="J826" s="16">
        <f>IF(OR(I826="Réussi",I826="Exception acceptée"),"GREEN",IF(OR(I826="Non commencé",I826="Échec"),"RED","AMBER"))</f>
        <v/>
      </c>
      <c r="K826" s="19" t="inlineStr"/>
      <c r="L826" s="19" t="inlineStr"/>
      <c r="M826" s="22" t="inlineStr"/>
    </row>
    <row r="827" ht="18" customHeight="1">
      <c r="A827" s="11" t="inlineStr">
        <is>
          <t>AU-8(1)</t>
        </is>
      </c>
      <c r="B827" s="12" t="inlineStr">
        <is>
          <t>Time Stamps</t>
        </is>
      </c>
      <c r="C827" s="12" t="inlineStr">
        <is>
          <t>Panorama</t>
        </is>
      </c>
      <c r="D827" s="11" t="inlineStr">
        <is>
          <t>AU</t>
        </is>
      </c>
      <c r="E827" s="12" t="inlineStr">
        <is>
          <t>Panorama</t>
        </is>
      </c>
      <c r="F827" s="12" t="inlineStr">
        <is>
          <t>AU-8-1</t>
        </is>
      </c>
      <c r="G827" s="13">
        <f>IFERROR('[Panorama.xlsx]AU-8-1'!B20,"Not Started")</f>
        <v/>
      </c>
      <c r="H827" s="14">
        <f>IF(OR(G827="Passed",G827="Accepted Exception"),"GREEN",IF(OR(G827="Not Started",G827="Failed"),"RED","AMBER"))</f>
        <v/>
      </c>
      <c r="I827" s="15">
        <f>IFERROR('[Panorama.xlsx]AU-8-1'!E20,"Non commencé")</f>
        <v/>
      </c>
      <c r="J827" s="16">
        <f>IF(OR(I827="Réussi",I827="Exception acceptée"),"GREEN",IF(OR(I827="Non commencé",I827="Échec"),"RED","AMBER"))</f>
        <v/>
      </c>
      <c r="K827" s="12" t="inlineStr"/>
      <c r="L827" s="12" t="inlineStr"/>
      <c r="M827" s="17" t="inlineStr"/>
    </row>
    <row r="828" ht="18" customHeight="1">
      <c r="A828" s="18" t="inlineStr">
        <is>
          <t>AU-9(2)</t>
        </is>
      </c>
      <c r="B828" s="19" t="inlineStr">
        <is>
          <t>Protection of Audit Information</t>
        </is>
      </c>
      <c r="C828" s="19" t="inlineStr">
        <is>
          <t>Panorama</t>
        </is>
      </c>
      <c r="D828" s="18" t="inlineStr">
        <is>
          <t>AU</t>
        </is>
      </c>
      <c r="E828" s="19" t="inlineStr">
        <is>
          <t>Panorama</t>
        </is>
      </c>
      <c r="F828" s="19" t="inlineStr">
        <is>
          <t>AU-9-2</t>
        </is>
      </c>
      <c r="G828" s="20">
        <f>IFERROR('[Panorama.xlsx]AU-9-2'!B20,"Not Started")</f>
        <v/>
      </c>
      <c r="H828" s="14">
        <f>IF(OR(G828="Passed",G828="Accepted Exception"),"GREEN",IF(OR(G828="Not Started",G828="Failed"),"RED","AMBER"))</f>
        <v/>
      </c>
      <c r="I828" s="21">
        <f>IFERROR('[Panorama.xlsx]AU-9-2'!E20,"Non commencé")</f>
        <v/>
      </c>
      <c r="J828" s="16">
        <f>IF(OR(I828="Réussi",I828="Exception acceptée"),"GREEN",IF(OR(I828="Non commencé",I828="Échec"),"RED","AMBER"))</f>
        <v/>
      </c>
      <c r="K828" s="19" t="inlineStr"/>
      <c r="L828" s="19" t="inlineStr"/>
      <c r="M828" s="22" t="inlineStr"/>
    </row>
    <row r="829" ht="18" customHeight="1">
      <c r="A829" s="11" t="inlineStr">
        <is>
          <t>AU-12</t>
        </is>
      </c>
      <c r="B829" s="12" t="inlineStr">
        <is>
          <t>Audit Generation</t>
        </is>
      </c>
      <c r="C829" s="12" t="inlineStr">
        <is>
          <t>Panorama</t>
        </is>
      </c>
      <c r="D829" s="11" t="inlineStr">
        <is>
          <t>AU</t>
        </is>
      </c>
      <c r="E829" s="12" t="inlineStr">
        <is>
          <t>Panorama</t>
        </is>
      </c>
      <c r="F829" s="12" t="inlineStr">
        <is>
          <t>AU-12</t>
        </is>
      </c>
      <c r="G829" s="13">
        <f>IFERROR('[Panorama.xlsx]AU-12'!B20,"Not Started")</f>
        <v/>
      </c>
      <c r="H829" s="14">
        <f>IF(OR(G829="Passed",G829="Accepted Exception"),"GREEN",IF(OR(G829="Not Started",G829="Failed"),"RED","AMBER"))</f>
        <v/>
      </c>
      <c r="I829" s="15">
        <f>IFERROR('[Panorama.xlsx]AU-12'!E20,"Non commencé")</f>
        <v/>
      </c>
      <c r="J829" s="16">
        <f>IF(OR(I829="Réussi",I829="Exception acceptée"),"GREEN",IF(OR(I829="Non commencé",I829="Échec"),"RED","AMBER"))</f>
        <v/>
      </c>
      <c r="K829" s="12" t="inlineStr"/>
      <c r="L829" s="12" t="inlineStr"/>
      <c r="M829" s="17" t="inlineStr"/>
    </row>
    <row r="830" ht="18" customHeight="1">
      <c r="A830" s="18" t="inlineStr">
        <is>
          <t>CA-3(5)</t>
        </is>
      </c>
      <c r="B830" s="19" t="inlineStr">
        <is>
          <t>Information System Connections</t>
        </is>
      </c>
      <c r="C830" s="19" t="inlineStr">
        <is>
          <t>Panorama</t>
        </is>
      </c>
      <c r="D830" s="18" t="inlineStr">
        <is>
          <t>CA</t>
        </is>
      </c>
      <c r="E830" s="19" t="inlineStr">
        <is>
          <t>Panorama</t>
        </is>
      </c>
      <c r="F830" s="19" t="inlineStr">
        <is>
          <t>CA-3-5</t>
        </is>
      </c>
      <c r="G830" s="20">
        <f>IFERROR('[Panorama.xlsx]CA-3-5'!B20,"Not Started")</f>
        <v/>
      </c>
      <c r="H830" s="14">
        <f>IF(OR(G830="Passed",G830="Accepted Exception"),"GREEN",IF(OR(G830="Not Started",G830="Failed"),"RED","AMBER"))</f>
        <v/>
      </c>
      <c r="I830" s="21">
        <f>IFERROR('[Panorama.xlsx]CA-3-5'!E20,"Non commencé")</f>
        <v/>
      </c>
      <c r="J830" s="16">
        <f>IF(OR(I830="Réussi",I830="Exception acceptée"),"GREEN",IF(OR(I830="Non commencé",I830="Échec"),"RED","AMBER"))</f>
        <v/>
      </c>
      <c r="K830" s="19" t="inlineStr"/>
      <c r="L830" s="19" t="inlineStr"/>
      <c r="M830" s="22" t="inlineStr"/>
    </row>
    <row r="831" ht="18" customHeight="1">
      <c r="A831" s="11" t="inlineStr">
        <is>
          <t>CA-9</t>
        </is>
      </c>
      <c r="B831" s="12" t="inlineStr">
        <is>
          <t>Internal System Connections</t>
        </is>
      </c>
      <c r="C831" s="12" t="inlineStr">
        <is>
          <t>Panorama</t>
        </is>
      </c>
      <c r="D831" s="11" t="inlineStr">
        <is>
          <t>CA</t>
        </is>
      </c>
      <c r="E831" s="12" t="inlineStr">
        <is>
          <t>Panorama</t>
        </is>
      </c>
      <c r="F831" s="12" t="inlineStr">
        <is>
          <t>CA-9</t>
        </is>
      </c>
      <c r="G831" s="13">
        <f>IFERROR('[Panorama.xlsx]CA-9'!B20,"Not Started")</f>
        <v/>
      </c>
      <c r="H831" s="14">
        <f>IF(OR(G831="Passed",G831="Accepted Exception"),"GREEN",IF(OR(G831="Not Started",G831="Failed"),"RED","AMBER"))</f>
        <v/>
      </c>
      <c r="I831" s="15">
        <f>IFERROR('[Panorama.xlsx]CA-9'!E20,"Non commencé")</f>
        <v/>
      </c>
      <c r="J831" s="16">
        <f>IF(OR(I831="Réussi",I831="Exception acceptée"),"GREEN",IF(OR(I831="Non commencé",I831="Échec"),"RED","AMBER"))</f>
        <v/>
      </c>
      <c r="K831" s="12" t="inlineStr"/>
      <c r="L831" s="12" t="inlineStr"/>
      <c r="M831" s="17" t="inlineStr"/>
    </row>
    <row r="832" ht="18" customHeight="1">
      <c r="A832" s="18" t="inlineStr">
        <is>
          <t>CM-2</t>
        </is>
      </c>
      <c r="B832" s="19" t="inlineStr">
        <is>
          <t>Baseline Configuration</t>
        </is>
      </c>
      <c r="C832" s="19" t="inlineStr">
        <is>
          <t>Panorama</t>
        </is>
      </c>
      <c r="D832" s="18" t="inlineStr">
        <is>
          <t>CM</t>
        </is>
      </c>
      <c r="E832" s="19" t="inlineStr">
        <is>
          <t>Panorama</t>
        </is>
      </c>
      <c r="F832" s="19" t="inlineStr">
        <is>
          <t>CM-2</t>
        </is>
      </c>
      <c r="G832" s="20">
        <f>IFERROR('[Panorama.xlsx]CM-2'!B20,"Not Started")</f>
        <v/>
      </c>
      <c r="H832" s="14">
        <f>IF(OR(G832="Passed",G832="Accepted Exception"),"GREEN",IF(OR(G832="Not Started",G832="Failed"),"RED","AMBER"))</f>
        <v/>
      </c>
      <c r="I832" s="21">
        <f>IFERROR('[Panorama.xlsx]CM-2'!E20,"Non commencé")</f>
        <v/>
      </c>
      <c r="J832" s="16">
        <f>IF(OR(I832="Réussi",I832="Exception acceptée"),"GREEN",IF(OR(I832="Non commencé",I832="Échec"),"RED","AMBER"))</f>
        <v/>
      </c>
      <c r="K832" s="19" t="inlineStr"/>
      <c r="L832" s="19" t="inlineStr"/>
      <c r="M832" s="22" t="inlineStr"/>
    </row>
    <row r="833" ht="18" customHeight="1">
      <c r="A833" s="11" t="inlineStr">
        <is>
          <t>CM-2(1)</t>
        </is>
      </c>
      <c r="B833" s="12" t="inlineStr">
        <is>
          <t>Baseline Configuration</t>
        </is>
      </c>
      <c r="C833" s="12" t="inlineStr">
        <is>
          <t>Panorama</t>
        </is>
      </c>
      <c r="D833" s="11" t="inlineStr">
        <is>
          <t>CM</t>
        </is>
      </c>
      <c r="E833" s="12" t="inlineStr">
        <is>
          <t>Panorama</t>
        </is>
      </c>
      <c r="F833" s="12" t="inlineStr">
        <is>
          <t>CM-2-1</t>
        </is>
      </c>
      <c r="G833" s="13">
        <f>IFERROR('[Panorama.xlsx]CM-2-1'!B20,"Not Started")</f>
        <v/>
      </c>
      <c r="H833" s="14">
        <f>IF(OR(G833="Passed",G833="Accepted Exception"),"GREEN",IF(OR(G833="Not Started",G833="Failed"),"RED","AMBER"))</f>
        <v/>
      </c>
      <c r="I833" s="15">
        <f>IFERROR('[Panorama.xlsx]CM-2-1'!E20,"Non commencé")</f>
        <v/>
      </c>
      <c r="J833" s="16">
        <f>IF(OR(I833="Réussi",I833="Exception acceptée"),"GREEN",IF(OR(I833="Non commencé",I833="Échec"),"RED","AMBER"))</f>
        <v/>
      </c>
      <c r="K833" s="12" t="inlineStr"/>
      <c r="L833" s="12" t="inlineStr"/>
      <c r="M833" s="17" t="inlineStr"/>
    </row>
    <row r="834" ht="18" customHeight="1">
      <c r="A834" s="18" t="inlineStr">
        <is>
          <t>CM-5(5)</t>
        </is>
      </c>
      <c r="B834" s="19" t="inlineStr">
        <is>
          <t>Access Restrictions for Change</t>
        </is>
      </c>
      <c r="C834" s="19" t="inlineStr">
        <is>
          <t>Panorama</t>
        </is>
      </c>
      <c r="D834" s="18" t="inlineStr">
        <is>
          <t>CM</t>
        </is>
      </c>
      <c r="E834" s="19" t="inlineStr">
        <is>
          <t>Panorama</t>
        </is>
      </c>
      <c r="F834" s="19" t="inlineStr">
        <is>
          <t>CM-5-5</t>
        </is>
      </c>
      <c r="G834" s="20">
        <f>IFERROR('[Panorama.xlsx]CM-5-5'!B20,"Not Started")</f>
        <v/>
      </c>
      <c r="H834" s="14">
        <f>IF(OR(G834="Passed",G834="Accepted Exception"),"GREEN",IF(OR(G834="Not Started",G834="Failed"),"RED","AMBER"))</f>
        <v/>
      </c>
      <c r="I834" s="21">
        <f>IFERROR('[Panorama.xlsx]CM-5-5'!E20,"Non commencé")</f>
        <v/>
      </c>
      <c r="J834" s="16">
        <f>IF(OR(I834="Réussi",I834="Exception acceptée"),"GREEN",IF(OR(I834="Non commencé",I834="Échec"),"RED","AMBER"))</f>
        <v/>
      </c>
      <c r="K834" s="19" t="inlineStr"/>
      <c r="L834" s="19" t="inlineStr"/>
      <c r="M834" s="22" t="inlineStr"/>
    </row>
    <row r="835" ht="18" customHeight="1">
      <c r="A835" s="11" t="inlineStr">
        <is>
          <t>CM-6</t>
        </is>
      </c>
      <c r="B835" s="12" t="inlineStr">
        <is>
          <t>Configuration Settings</t>
        </is>
      </c>
      <c r="C835" s="12" t="inlineStr">
        <is>
          <t>Panorama</t>
        </is>
      </c>
      <c r="D835" s="11" t="inlineStr">
        <is>
          <t>CM</t>
        </is>
      </c>
      <c r="E835" s="12" t="inlineStr">
        <is>
          <t>Panorama</t>
        </is>
      </c>
      <c r="F835" s="12" t="inlineStr">
        <is>
          <t>CM-6</t>
        </is>
      </c>
      <c r="G835" s="13">
        <f>IFERROR('[Panorama.xlsx]CM-6'!B20,"Not Started")</f>
        <v/>
      </c>
      <c r="H835" s="14">
        <f>IF(OR(G835="Passed",G835="Accepted Exception"),"GREEN",IF(OR(G835="Not Started",G835="Failed"),"RED","AMBER"))</f>
        <v/>
      </c>
      <c r="I835" s="15">
        <f>IFERROR('[Panorama.xlsx]CM-6'!E20,"Non commencé")</f>
        <v/>
      </c>
      <c r="J835" s="16">
        <f>IF(OR(I835="Réussi",I835="Exception acceptée"),"GREEN",IF(OR(I835="Non commencé",I835="Échec"),"RED","AMBER"))</f>
        <v/>
      </c>
      <c r="K835" s="12" t="inlineStr"/>
      <c r="L835" s="12" t="inlineStr"/>
      <c r="M835" s="17" t="inlineStr"/>
    </row>
    <row r="836" ht="18" customHeight="1">
      <c r="A836" s="18" t="inlineStr">
        <is>
          <t>CM-7</t>
        </is>
      </c>
      <c r="B836" s="19" t="inlineStr">
        <is>
          <t>Least Functionality</t>
        </is>
      </c>
      <c r="C836" s="19" t="inlineStr">
        <is>
          <t>Panorama</t>
        </is>
      </c>
      <c r="D836" s="18" t="inlineStr">
        <is>
          <t>CM</t>
        </is>
      </c>
      <c r="E836" s="19" t="inlineStr">
        <is>
          <t>Panorama</t>
        </is>
      </c>
      <c r="F836" s="19" t="inlineStr">
        <is>
          <t>CM-7</t>
        </is>
      </c>
      <c r="G836" s="20">
        <f>IFERROR('[Panorama.xlsx]CM-7'!B20,"Not Started")</f>
        <v/>
      </c>
      <c r="H836" s="14">
        <f>IF(OR(G836="Passed",G836="Accepted Exception"),"GREEN",IF(OR(G836="Not Started",G836="Failed"),"RED","AMBER"))</f>
        <v/>
      </c>
      <c r="I836" s="21">
        <f>IFERROR('[Panorama.xlsx]CM-7'!E20,"Non commencé")</f>
        <v/>
      </c>
      <c r="J836" s="16">
        <f>IF(OR(I836="Réussi",I836="Exception acceptée"),"GREEN",IF(OR(I836="Non commencé",I836="Échec"),"RED","AMBER"))</f>
        <v/>
      </c>
      <c r="K836" s="19" t="inlineStr"/>
      <c r="L836" s="19" t="inlineStr"/>
      <c r="M836" s="22" t="inlineStr"/>
    </row>
    <row r="837" ht="18" customHeight="1">
      <c r="A837" s="11" t="inlineStr">
        <is>
          <t>CM-7(1)</t>
        </is>
      </c>
      <c r="B837" s="12" t="inlineStr">
        <is>
          <t>Least Functionality</t>
        </is>
      </c>
      <c r="C837" s="12" t="inlineStr">
        <is>
          <t>Panorama</t>
        </is>
      </c>
      <c r="D837" s="11" t="inlineStr">
        <is>
          <t>CM</t>
        </is>
      </c>
      <c r="E837" s="12" t="inlineStr">
        <is>
          <t>Panorama</t>
        </is>
      </c>
      <c r="F837" s="12" t="inlineStr">
        <is>
          <t>CM-7-1</t>
        </is>
      </c>
      <c r="G837" s="13">
        <f>IFERROR('[Panorama.xlsx]CM-7-1'!B20,"Not Started")</f>
        <v/>
      </c>
      <c r="H837" s="14">
        <f>IF(OR(G837="Passed",G837="Accepted Exception"),"GREEN",IF(OR(G837="Not Started",G837="Failed"),"RED","AMBER"))</f>
        <v/>
      </c>
      <c r="I837" s="15">
        <f>IFERROR('[Panorama.xlsx]CM-7-1'!E20,"Non commencé")</f>
        <v/>
      </c>
      <c r="J837" s="16">
        <f>IF(OR(I837="Réussi",I837="Exception acceptée"),"GREEN",IF(OR(I837="Non commencé",I837="Échec"),"RED","AMBER"))</f>
        <v/>
      </c>
      <c r="K837" s="12" t="inlineStr"/>
      <c r="L837" s="12" t="inlineStr"/>
      <c r="M837" s="17" t="inlineStr"/>
    </row>
    <row r="838" ht="18" customHeight="1">
      <c r="A838" s="18" t="inlineStr">
        <is>
          <t>CM-10</t>
        </is>
      </c>
      <c r="B838" s="19" t="inlineStr">
        <is>
          <t>Software Usage Restrictions</t>
        </is>
      </c>
      <c r="C838" s="19" t="inlineStr">
        <is>
          <t>Panorama</t>
        </is>
      </c>
      <c r="D838" s="18" t="inlineStr">
        <is>
          <t>CM</t>
        </is>
      </c>
      <c r="E838" s="19" t="inlineStr">
        <is>
          <t>Panorama</t>
        </is>
      </c>
      <c r="F838" s="19" t="inlineStr">
        <is>
          <t>CM-10</t>
        </is>
      </c>
      <c r="G838" s="20">
        <f>IFERROR('[Panorama.xlsx]CM-10'!B20,"Not Started")</f>
        <v/>
      </c>
      <c r="H838" s="14">
        <f>IF(OR(G838="Passed",G838="Accepted Exception"),"GREEN",IF(OR(G838="Not Started",G838="Failed"),"RED","AMBER"))</f>
        <v/>
      </c>
      <c r="I838" s="21">
        <f>IFERROR('[Panorama.xlsx]CM-10'!E20,"Non commencé")</f>
        <v/>
      </c>
      <c r="J838" s="16">
        <f>IF(OR(I838="Réussi",I838="Exception acceptée"),"GREEN",IF(OR(I838="Non commencé",I838="Échec"),"RED","AMBER"))</f>
        <v/>
      </c>
      <c r="K838" s="19" t="inlineStr"/>
      <c r="L838" s="19" t="inlineStr"/>
      <c r="M838" s="22" t="inlineStr"/>
    </row>
    <row r="839" ht="18" customHeight="1">
      <c r="A839" s="11" t="inlineStr">
        <is>
          <t>CP-7</t>
        </is>
      </c>
      <c r="B839" s="12" t="inlineStr">
        <is>
          <t>Alternate Processing Site</t>
        </is>
      </c>
      <c r="C839" s="12" t="inlineStr">
        <is>
          <t>Panorama</t>
        </is>
      </c>
      <c r="D839" s="11" t="inlineStr">
        <is>
          <t>CP</t>
        </is>
      </c>
      <c r="E839" s="12" t="inlineStr">
        <is>
          <t>Panorama</t>
        </is>
      </c>
      <c r="F839" s="12" t="inlineStr">
        <is>
          <t>CP-7</t>
        </is>
      </c>
      <c r="G839" s="13">
        <f>IFERROR('[Panorama.xlsx]CP-7'!B20,"Not Started")</f>
        <v/>
      </c>
      <c r="H839" s="14">
        <f>IF(OR(G839="Passed",G839="Accepted Exception"),"GREEN",IF(OR(G839="Not Started",G839="Failed"),"RED","AMBER"))</f>
        <v/>
      </c>
      <c r="I839" s="15">
        <f>IFERROR('[Panorama.xlsx]CP-7'!E20,"Non commencé")</f>
        <v/>
      </c>
      <c r="J839" s="16">
        <f>IF(OR(I839="Réussi",I839="Exception acceptée"),"GREEN",IF(OR(I839="Non commencé",I839="Échec"),"RED","AMBER"))</f>
        <v/>
      </c>
      <c r="K839" s="12" t="inlineStr"/>
      <c r="L839" s="12" t="inlineStr"/>
      <c r="M839" s="17" t="inlineStr"/>
    </row>
    <row r="840" ht="18" customHeight="1">
      <c r="A840" s="18" t="inlineStr">
        <is>
          <t>CP-7(1)</t>
        </is>
      </c>
      <c r="B840" s="19" t="inlineStr">
        <is>
          <t>Alternate Processing Site</t>
        </is>
      </c>
      <c r="C840" s="19" t="inlineStr">
        <is>
          <t>Panorama</t>
        </is>
      </c>
      <c r="D840" s="18" t="inlineStr">
        <is>
          <t>CP</t>
        </is>
      </c>
      <c r="E840" s="19" t="inlineStr">
        <is>
          <t>Panorama</t>
        </is>
      </c>
      <c r="F840" s="19" t="inlineStr">
        <is>
          <t>CP-7-1</t>
        </is>
      </c>
      <c r="G840" s="20">
        <f>IFERROR('[Panorama.xlsx]CP-7-1'!B20,"Not Started")</f>
        <v/>
      </c>
      <c r="H840" s="14">
        <f>IF(OR(G840="Passed",G840="Accepted Exception"),"GREEN",IF(OR(G840="Not Started",G840="Failed"),"RED","AMBER"))</f>
        <v/>
      </c>
      <c r="I840" s="21">
        <f>IFERROR('[Panorama.xlsx]CP-7-1'!E20,"Non commencé")</f>
        <v/>
      </c>
      <c r="J840" s="16">
        <f>IF(OR(I840="Réussi",I840="Exception acceptée"),"GREEN",IF(OR(I840="Non commencé",I840="Échec"),"RED","AMBER"))</f>
        <v/>
      </c>
      <c r="K840" s="19" t="inlineStr"/>
      <c r="L840" s="19" t="inlineStr"/>
      <c r="M840" s="22" t="inlineStr"/>
    </row>
    <row r="841" ht="18" customHeight="1">
      <c r="A841" s="11" t="inlineStr">
        <is>
          <t>CP-7(4)</t>
        </is>
      </c>
      <c r="B841" s="12" t="inlineStr">
        <is>
          <t>Alternate Processing Site</t>
        </is>
      </c>
      <c r="C841" s="12" t="inlineStr">
        <is>
          <t>Panorama</t>
        </is>
      </c>
      <c r="D841" s="11" t="inlineStr">
        <is>
          <t>CP</t>
        </is>
      </c>
      <c r="E841" s="12" t="inlineStr">
        <is>
          <t>Panorama</t>
        </is>
      </c>
      <c r="F841" s="12" t="inlineStr">
        <is>
          <t>CP-7-4</t>
        </is>
      </c>
      <c r="G841" s="13">
        <f>IFERROR('[Panorama.xlsx]CP-7-4'!B20,"Not Started")</f>
        <v/>
      </c>
      <c r="H841" s="14">
        <f>IF(OR(G841="Passed",G841="Accepted Exception"),"GREEN",IF(OR(G841="Not Started",G841="Failed"),"RED","AMBER"))</f>
        <v/>
      </c>
      <c r="I841" s="15">
        <f>IFERROR('[Panorama.xlsx]CP-7-4'!E20,"Non commencé")</f>
        <v/>
      </c>
      <c r="J841" s="16">
        <f>IF(OR(I841="Réussi",I841="Exception acceptée"),"GREEN",IF(OR(I841="Non commencé",I841="Échec"),"RED","AMBER"))</f>
        <v/>
      </c>
      <c r="K841" s="12" t="inlineStr"/>
      <c r="L841" s="12" t="inlineStr"/>
      <c r="M841" s="17" t="inlineStr"/>
    </row>
    <row r="842" ht="18" customHeight="1">
      <c r="A842" s="18" t="inlineStr">
        <is>
          <t>CP-9</t>
        </is>
      </c>
      <c r="B842" s="19" t="inlineStr">
        <is>
          <t>Information System Backup</t>
        </is>
      </c>
      <c r="C842" s="19" t="inlineStr">
        <is>
          <t>Panorama</t>
        </is>
      </c>
      <c r="D842" s="18" t="inlineStr">
        <is>
          <t>CP</t>
        </is>
      </c>
      <c r="E842" s="19" t="inlineStr">
        <is>
          <t>Panorama</t>
        </is>
      </c>
      <c r="F842" s="19" t="inlineStr">
        <is>
          <t>CP-9</t>
        </is>
      </c>
      <c r="G842" s="20">
        <f>IFERROR('[Panorama.xlsx]CP-9'!B20,"Not Started")</f>
        <v/>
      </c>
      <c r="H842" s="14">
        <f>IF(OR(G842="Passed",G842="Accepted Exception"),"GREEN",IF(OR(G842="Not Started",G842="Failed"),"RED","AMBER"))</f>
        <v/>
      </c>
      <c r="I842" s="21">
        <f>IFERROR('[Panorama.xlsx]CP-9'!E20,"Non commencé")</f>
        <v/>
      </c>
      <c r="J842" s="16">
        <f>IF(OR(I842="Réussi",I842="Exception acceptée"),"GREEN",IF(OR(I842="Non commencé",I842="Échec"),"RED","AMBER"))</f>
        <v/>
      </c>
      <c r="K842" s="19" t="inlineStr"/>
      <c r="L842" s="19" t="inlineStr"/>
      <c r="M842" s="22" t="inlineStr"/>
    </row>
    <row r="843" ht="18" customHeight="1">
      <c r="A843" s="11" t="inlineStr">
        <is>
          <t>CP-9(3)</t>
        </is>
      </c>
      <c r="B843" s="12" t="inlineStr">
        <is>
          <t>Information System Backup</t>
        </is>
      </c>
      <c r="C843" s="12" t="inlineStr">
        <is>
          <t>Panorama</t>
        </is>
      </c>
      <c r="D843" s="11" t="inlineStr">
        <is>
          <t>CP</t>
        </is>
      </c>
      <c r="E843" s="12" t="inlineStr">
        <is>
          <t>Panorama</t>
        </is>
      </c>
      <c r="F843" s="12" t="inlineStr">
        <is>
          <t>CP-9-3</t>
        </is>
      </c>
      <c r="G843" s="13">
        <f>IFERROR('[Panorama.xlsx]CP-9-3'!B20,"Not Started")</f>
        <v/>
      </c>
      <c r="H843" s="14">
        <f>IF(OR(G843="Passed",G843="Accepted Exception"),"GREEN",IF(OR(G843="Not Started",G843="Failed"),"RED","AMBER"))</f>
        <v/>
      </c>
      <c r="I843" s="15">
        <f>IFERROR('[Panorama.xlsx]CP-9-3'!E20,"Non commencé")</f>
        <v/>
      </c>
      <c r="J843" s="16">
        <f>IF(OR(I843="Réussi",I843="Exception acceptée"),"GREEN",IF(OR(I843="Non commencé",I843="Échec"),"RED","AMBER"))</f>
        <v/>
      </c>
      <c r="K843" s="12" t="inlineStr"/>
      <c r="L843" s="12" t="inlineStr"/>
      <c r="M843" s="17" t="inlineStr"/>
    </row>
    <row r="844" ht="18" customHeight="1">
      <c r="A844" s="18" t="inlineStr">
        <is>
          <t>CP-9(5)</t>
        </is>
      </c>
      <c r="B844" s="19" t="inlineStr">
        <is>
          <t>Information System Backup</t>
        </is>
      </c>
      <c r="C844" s="19" t="inlineStr">
        <is>
          <t>Panorama</t>
        </is>
      </c>
      <c r="D844" s="18" t="inlineStr">
        <is>
          <t>CP</t>
        </is>
      </c>
      <c r="E844" s="19" t="inlineStr">
        <is>
          <t>Panorama</t>
        </is>
      </c>
      <c r="F844" s="19" t="inlineStr">
        <is>
          <t>CP-9-5</t>
        </is>
      </c>
      <c r="G844" s="20">
        <f>IFERROR('[Panorama.xlsx]CP-9-5'!B20,"Not Started")</f>
        <v/>
      </c>
      <c r="H844" s="14">
        <f>IF(OR(G844="Passed",G844="Accepted Exception"),"GREEN",IF(OR(G844="Not Started",G844="Failed"),"RED","AMBER"))</f>
        <v/>
      </c>
      <c r="I844" s="21">
        <f>IFERROR('[Panorama.xlsx]CP-9-5'!E20,"Non commencé")</f>
        <v/>
      </c>
      <c r="J844" s="16">
        <f>IF(OR(I844="Réussi",I844="Exception acceptée"),"GREEN",IF(OR(I844="Non commencé",I844="Échec"),"RED","AMBER"))</f>
        <v/>
      </c>
      <c r="K844" s="19" t="inlineStr"/>
      <c r="L844" s="19" t="inlineStr"/>
      <c r="M844" s="22" t="inlineStr"/>
    </row>
    <row r="845" ht="18" customHeight="1">
      <c r="A845" s="11" t="inlineStr">
        <is>
          <t>CP-9(7)</t>
        </is>
      </c>
      <c r="B845" s="12" t="inlineStr">
        <is>
          <t>Information System Backup</t>
        </is>
      </c>
      <c r="C845" s="12" t="inlineStr">
        <is>
          <t>Panorama</t>
        </is>
      </c>
      <c r="D845" s="11" t="inlineStr">
        <is>
          <t>CP</t>
        </is>
      </c>
      <c r="E845" s="12" t="inlineStr">
        <is>
          <t>Panorama</t>
        </is>
      </c>
      <c r="F845" s="12" t="inlineStr">
        <is>
          <t>CP-9-7</t>
        </is>
      </c>
      <c r="G845" s="13">
        <f>IFERROR('[Panorama.xlsx]CP-9-7'!B20,"Not Started")</f>
        <v/>
      </c>
      <c r="H845" s="14">
        <f>IF(OR(G845="Passed",G845="Accepted Exception"),"GREEN",IF(OR(G845="Not Started",G845="Failed"),"RED","AMBER"))</f>
        <v/>
      </c>
      <c r="I845" s="15">
        <f>IFERROR('[Panorama.xlsx]CP-9-7'!E20,"Non commencé")</f>
        <v/>
      </c>
      <c r="J845" s="16">
        <f>IF(OR(I845="Réussi",I845="Exception acceptée"),"GREEN",IF(OR(I845="Non commencé",I845="Échec"),"RED","AMBER"))</f>
        <v/>
      </c>
      <c r="K845" s="12" t="inlineStr"/>
      <c r="L845" s="12" t="inlineStr"/>
      <c r="M845" s="17" t="inlineStr"/>
    </row>
    <row r="846" ht="18" customHeight="1">
      <c r="A846" s="18" t="inlineStr">
        <is>
          <t>CP-10</t>
        </is>
      </c>
      <c r="B846" s="19" t="inlineStr">
        <is>
          <t>Information System Recovery and Reconstitution</t>
        </is>
      </c>
      <c r="C846" s="19" t="inlineStr">
        <is>
          <t>Panorama</t>
        </is>
      </c>
      <c r="D846" s="18" t="inlineStr">
        <is>
          <t>CP</t>
        </is>
      </c>
      <c r="E846" s="19" t="inlineStr">
        <is>
          <t>Panorama</t>
        </is>
      </c>
      <c r="F846" s="19" t="inlineStr">
        <is>
          <t>CP-10</t>
        </is>
      </c>
      <c r="G846" s="20">
        <f>IFERROR('[Panorama.xlsx]CP-10'!B20,"Not Started")</f>
        <v/>
      </c>
      <c r="H846" s="14">
        <f>IF(OR(G846="Passed",G846="Accepted Exception"),"GREEN",IF(OR(G846="Not Started",G846="Failed"),"RED","AMBER"))</f>
        <v/>
      </c>
      <c r="I846" s="21">
        <f>IFERROR('[Panorama.xlsx]CP-10'!E20,"Non commencé")</f>
        <v/>
      </c>
      <c r="J846" s="16">
        <f>IF(OR(I846="Réussi",I846="Exception acceptée"),"GREEN",IF(OR(I846="Non commencé",I846="Échec"),"RED","AMBER"))</f>
        <v/>
      </c>
      <c r="K846" s="19" t="inlineStr"/>
      <c r="L846" s="19" t="inlineStr"/>
      <c r="M846" s="22" t="inlineStr"/>
    </row>
    <row r="847" ht="18" customHeight="1">
      <c r="A847" s="11" t="inlineStr">
        <is>
          <t>CP-10(4)</t>
        </is>
      </c>
      <c r="B847" s="12" t="inlineStr">
        <is>
          <t>Information System Recovery and Reconstitution</t>
        </is>
      </c>
      <c r="C847" s="12" t="inlineStr">
        <is>
          <t>Panorama</t>
        </is>
      </c>
      <c r="D847" s="11" t="inlineStr">
        <is>
          <t>CP</t>
        </is>
      </c>
      <c r="E847" s="12" t="inlineStr">
        <is>
          <t>Panorama</t>
        </is>
      </c>
      <c r="F847" s="12" t="inlineStr">
        <is>
          <t>CP-10-4</t>
        </is>
      </c>
      <c r="G847" s="13">
        <f>IFERROR('[Panorama.xlsx]CP-10-4'!B20,"Not Started")</f>
        <v/>
      </c>
      <c r="H847" s="14">
        <f>IF(OR(G847="Passed",G847="Accepted Exception"),"GREEN",IF(OR(G847="Not Started",G847="Failed"),"RED","AMBER"))</f>
        <v/>
      </c>
      <c r="I847" s="15">
        <f>IFERROR('[Panorama.xlsx]CP-10-4'!E20,"Non commencé")</f>
        <v/>
      </c>
      <c r="J847" s="16">
        <f>IF(OR(I847="Réussi",I847="Exception acceptée"),"GREEN",IF(OR(I847="Non commencé",I847="Échec"),"RED","AMBER"))</f>
        <v/>
      </c>
      <c r="K847" s="12" t="inlineStr"/>
      <c r="L847" s="12" t="inlineStr"/>
      <c r="M847" s="17" t="inlineStr"/>
    </row>
    <row r="848" ht="18" customHeight="1">
      <c r="A848" s="18" t="inlineStr">
        <is>
          <t>IA-3</t>
        </is>
      </c>
      <c r="B848" s="19" t="inlineStr">
        <is>
          <t>Device Identification and Authentication</t>
        </is>
      </c>
      <c r="C848" s="19" t="inlineStr">
        <is>
          <t>Panorama</t>
        </is>
      </c>
      <c r="D848" s="18" t="inlineStr">
        <is>
          <t>IA</t>
        </is>
      </c>
      <c r="E848" s="19" t="inlineStr">
        <is>
          <t>Panorama</t>
        </is>
      </c>
      <c r="F848" s="19" t="inlineStr">
        <is>
          <t>IA-3</t>
        </is>
      </c>
      <c r="G848" s="20">
        <f>IFERROR('[Panorama.xlsx]IA-3'!B20,"Not Started")</f>
        <v/>
      </c>
      <c r="H848" s="14">
        <f>IF(OR(G848="Passed",G848="Accepted Exception"),"GREEN",IF(OR(G848="Not Started",G848="Failed"),"RED","AMBER"))</f>
        <v/>
      </c>
      <c r="I848" s="21">
        <f>IFERROR('[Panorama.xlsx]IA-3'!E20,"Non commencé")</f>
        <v/>
      </c>
      <c r="J848" s="16">
        <f>IF(OR(I848="Réussi",I848="Exception acceptée"),"GREEN",IF(OR(I848="Non commencé",I848="Échec"),"RED","AMBER"))</f>
        <v/>
      </c>
      <c r="K848" s="19" t="inlineStr"/>
      <c r="L848" s="19" t="inlineStr"/>
      <c r="M848" s="22" t="inlineStr"/>
    </row>
    <row r="849" ht="18" customHeight="1">
      <c r="A849" s="11" t="inlineStr">
        <is>
          <t>IA-5(2)</t>
        </is>
      </c>
      <c r="B849" s="12" t="inlineStr">
        <is>
          <t>Authenticator Management</t>
        </is>
      </c>
      <c r="C849" s="12" t="inlineStr">
        <is>
          <t>Panorama</t>
        </is>
      </c>
      <c r="D849" s="11" t="inlineStr">
        <is>
          <t>IA</t>
        </is>
      </c>
      <c r="E849" s="12" t="inlineStr">
        <is>
          <t>Panorama</t>
        </is>
      </c>
      <c r="F849" s="12" t="inlineStr">
        <is>
          <t>IA-5-2</t>
        </is>
      </c>
      <c r="G849" s="13">
        <f>IFERROR('[Panorama.xlsx]IA-5-2'!B20,"Not Started")</f>
        <v/>
      </c>
      <c r="H849" s="14">
        <f>IF(OR(G849="Passed",G849="Accepted Exception"),"GREEN",IF(OR(G849="Not Started",G849="Failed"),"RED","AMBER"))</f>
        <v/>
      </c>
      <c r="I849" s="15">
        <f>IFERROR('[Panorama.xlsx]IA-5-2'!E20,"Non commencé")</f>
        <v/>
      </c>
      <c r="J849" s="16">
        <f>IF(OR(I849="Réussi",I849="Exception acceptée"),"GREEN",IF(OR(I849="Non commencé",I849="Échec"),"RED","AMBER"))</f>
        <v/>
      </c>
      <c r="K849" s="12" t="inlineStr"/>
      <c r="L849" s="12" t="inlineStr"/>
      <c r="M849" s="17" t="inlineStr"/>
    </row>
    <row r="850" ht="18" customHeight="1">
      <c r="A850" s="18" t="inlineStr">
        <is>
          <t>MA-4(6)</t>
        </is>
      </c>
      <c r="B850" s="19" t="inlineStr">
        <is>
          <t>Non-Local Maintenance</t>
        </is>
      </c>
      <c r="C850" s="19" t="inlineStr">
        <is>
          <t>Panorama</t>
        </is>
      </c>
      <c r="D850" s="18" t="inlineStr">
        <is>
          <t>MA</t>
        </is>
      </c>
      <c r="E850" s="19" t="inlineStr">
        <is>
          <t>Panorama</t>
        </is>
      </c>
      <c r="F850" s="19" t="inlineStr">
        <is>
          <t>MA-4-6</t>
        </is>
      </c>
      <c r="G850" s="20">
        <f>IFERROR('[Panorama.xlsx]MA-4-6'!B20,"Not Started")</f>
        <v/>
      </c>
      <c r="H850" s="14">
        <f>IF(OR(G850="Passed",G850="Accepted Exception"),"GREEN",IF(OR(G850="Not Started",G850="Failed"),"RED","AMBER"))</f>
        <v/>
      </c>
      <c r="I850" s="21">
        <f>IFERROR('[Panorama.xlsx]MA-4-6'!E20,"Non commencé")</f>
        <v/>
      </c>
      <c r="J850" s="16">
        <f>IF(OR(I850="Réussi",I850="Exception acceptée"),"GREEN",IF(OR(I850="Non commencé",I850="Échec"),"RED","AMBER"))</f>
        <v/>
      </c>
      <c r="K850" s="19" t="inlineStr"/>
      <c r="L850" s="19" t="inlineStr"/>
      <c r="M850" s="22" t="inlineStr"/>
    </row>
    <row r="851" ht="18" customHeight="1">
      <c r="A851" s="11" t="inlineStr">
        <is>
          <t>SA-9(5)</t>
        </is>
      </c>
      <c r="B851" s="12" t="inlineStr">
        <is>
          <t>External Information System Services</t>
        </is>
      </c>
      <c r="C851" s="12" t="inlineStr">
        <is>
          <t>Panorama</t>
        </is>
      </c>
      <c r="D851" s="11" t="inlineStr">
        <is>
          <t>SA</t>
        </is>
      </c>
      <c r="E851" s="12" t="inlineStr">
        <is>
          <t>Panorama</t>
        </is>
      </c>
      <c r="F851" s="12" t="inlineStr">
        <is>
          <t>SA-9-5</t>
        </is>
      </c>
      <c r="G851" s="13">
        <f>IFERROR('[Panorama.xlsx]SA-9-5'!B20,"Not Started")</f>
        <v/>
      </c>
      <c r="H851" s="14">
        <f>IF(OR(G851="Passed",G851="Accepted Exception"),"GREEN",IF(OR(G851="Not Started",G851="Failed"),"RED","AMBER"))</f>
        <v/>
      </c>
      <c r="I851" s="15">
        <f>IFERROR('[Panorama.xlsx]SA-9-5'!E20,"Non commencé")</f>
        <v/>
      </c>
      <c r="J851" s="16">
        <f>IF(OR(I851="Réussi",I851="Exception acceptée"),"GREEN",IF(OR(I851="Non commencé",I851="Échec"),"RED","AMBER"))</f>
        <v/>
      </c>
      <c r="K851" s="12" t="inlineStr"/>
      <c r="L851" s="12" t="inlineStr"/>
      <c r="M851" s="17" t="inlineStr"/>
    </row>
    <row r="852" ht="18" customHeight="1">
      <c r="A852" s="18" t="inlineStr">
        <is>
          <t>SA-10(1)</t>
        </is>
      </c>
      <c r="B852" s="19" t="inlineStr">
        <is>
          <t>Developer Configuration Management</t>
        </is>
      </c>
      <c r="C852" s="19" t="inlineStr">
        <is>
          <t>Panorama</t>
        </is>
      </c>
      <c r="D852" s="18" t="inlineStr">
        <is>
          <t>SA</t>
        </is>
      </c>
      <c r="E852" s="19" t="inlineStr">
        <is>
          <t>Panorama</t>
        </is>
      </c>
      <c r="F852" s="19" t="inlineStr">
        <is>
          <t>SA-10-1</t>
        </is>
      </c>
      <c r="G852" s="20">
        <f>IFERROR('[Panorama.xlsx]SA-10-1'!B20,"Not Started")</f>
        <v/>
      </c>
      <c r="H852" s="14">
        <f>IF(OR(G852="Passed",G852="Accepted Exception"),"GREEN",IF(OR(G852="Not Started",G852="Failed"),"RED","AMBER"))</f>
        <v/>
      </c>
      <c r="I852" s="21">
        <f>IFERROR('[Panorama.xlsx]SA-10-1'!E20,"Non commencé")</f>
        <v/>
      </c>
      <c r="J852" s="16">
        <f>IF(OR(I852="Réussi",I852="Exception acceptée"),"GREEN",IF(OR(I852="Non commencé",I852="Échec"),"RED","AMBER"))</f>
        <v/>
      </c>
      <c r="K852" s="19" t="inlineStr"/>
      <c r="L852" s="19" t="inlineStr"/>
      <c r="M852" s="22" t="inlineStr"/>
    </row>
    <row r="853" ht="18" customHeight="1">
      <c r="A853" s="11" t="inlineStr">
        <is>
          <t>SC-4</t>
        </is>
      </c>
      <c r="B853" s="12" t="inlineStr">
        <is>
          <t>Information in Shared Resources</t>
        </is>
      </c>
      <c r="C853" s="12" t="inlineStr">
        <is>
          <t>Panorama</t>
        </is>
      </c>
      <c r="D853" s="11" t="inlineStr">
        <is>
          <t>SC</t>
        </is>
      </c>
      <c r="E853" s="12" t="inlineStr">
        <is>
          <t>Panorama</t>
        </is>
      </c>
      <c r="F853" s="12" t="inlineStr">
        <is>
          <t>SC-4</t>
        </is>
      </c>
      <c r="G853" s="13">
        <f>IFERROR('[Panorama.xlsx]SC-4'!B20,"Not Started")</f>
        <v/>
      </c>
      <c r="H853" s="14">
        <f>IF(OR(G853="Passed",G853="Accepted Exception"),"GREEN",IF(OR(G853="Not Started",G853="Failed"),"RED","AMBER"))</f>
        <v/>
      </c>
      <c r="I853" s="15">
        <f>IFERROR('[Panorama.xlsx]SC-4'!E20,"Non commencé")</f>
        <v/>
      </c>
      <c r="J853" s="16">
        <f>IF(OR(I853="Réussi",I853="Exception acceptée"),"GREEN",IF(OR(I853="Non commencé",I853="Échec"),"RED","AMBER"))</f>
        <v/>
      </c>
      <c r="K853" s="12" t="inlineStr"/>
      <c r="L853" s="12" t="inlineStr"/>
      <c r="M853" s="17" t="inlineStr"/>
    </row>
    <row r="854" ht="18" customHeight="1">
      <c r="A854" s="18" t="inlineStr">
        <is>
          <t>SC-5</t>
        </is>
      </c>
      <c r="B854" s="19" t="inlineStr">
        <is>
          <t>Denial of Service Protection</t>
        </is>
      </c>
      <c r="C854" s="19" t="inlineStr">
        <is>
          <t>Panorama</t>
        </is>
      </c>
      <c r="D854" s="18" t="inlineStr">
        <is>
          <t>SC</t>
        </is>
      </c>
      <c r="E854" s="19" t="inlineStr">
        <is>
          <t>Panorama</t>
        </is>
      </c>
      <c r="F854" s="19" t="inlineStr">
        <is>
          <t>SC-5</t>
        </is>
      </c>
      <c r="G854" s="20">
        <f>IFERROR('[Panorama.xlsx]SC-5'!B20,"Not Started")</f>
        <v/>
      </c>
      <c r="H854" s="14">
        <f>IF(OR(G854="Passed",G854="Accepted Exception"),"GREEN",IF(OR(G854="Not Started",G854="Failed"),"RED","AMBER"))</f>
        <v/>
      </c>
      <c r="I854" s="21">
        <f>IFERROR('[Panorama.xlsx]SC-5'!E20,"Non commencé")</f>
        <v/>
      </c>
      <c r="J854" s="16">
        <f>IF(OR(I854="Réussi",I854="Exception acceptée"),"GREEN",IF(OR(I854="Non commencé",I854="Échec"),"RED","AMBER"))</f>
        <v/>
      </c>
      <c r="K854" s="19" t="inlineStr"/>
      <c r="L854" s="19" t="inlineStr"/>
      <c r="M854" s="22" t="inlineStr"/>
    </row>
    <row r="855" ht="18" customHeight="1">
      <c r="A855" s="11" t="inlineStr">
        <is>
          <t>SC-7</t>
        </is>
      </c>
      <c r="B855" s="12" t="inlineStr">
        <is>
          <t>Boundary Protection</t>
        </is>
      </c>
      <c r="C855" s="12" t="inlineStr">
        <is>
          <t>Panorama</t>
        </is>
      </c>
      <c r="D855" s="11" t="inlineStr">
        <is>
          <t>SC</t>
        </is>
      </c>
      <c r="E855" s="12" t="inlineStr">
        <is>
          <t>Panorama</t>
        </is>
      </c>
      <c r="F855" s="12" t="inlineStr">
        <is>
          <t>SC-7</t>
        </is>
      </c>
      <c r="G855" s="13">
        <f>IFERROR('[Panorama.xlsx]SC-7'!B20,"Not Started")</f>
        <v/>
      </c>
      <c r="H855" s="14">
        <f>IF(OR(G855="Passed",G855="Accepted Exception"),"GREEN",IF(OR(G855="Not Started",G855="Failed"),"RED","AMBER"))</f>
        <v/>
      </c>
      <c r="I855" s="15">
        <f>IFERROR('[Panorama.xlsx]SC-7'!E20,"Non commencé")</f>
        <v/>
      </c>
      <c r="J855" s="16">
        <f>IF(OR(I855="Réussi",I855="Exception acceptée"),"GREEN",IF(OR(I855="Non commencé",I855="Échec"),"RED","AMBER"))</f>
        <v/>
      </c>
      <c r="K855" s="12" t="inlineStr"/>
      <c r="L855" s="12" t="inlineStr"/>
      <c r="M855" s="17" t="inlineStr"/>
    </row>
    <row r="856" ht="18" customHeight="1">
      <c r="A856" s="18" t="inlineStr">
        <is>
          <t>SC-7(3)</t>
        </is>
      </c>
      <c r="B856" s="19" t="inlineStr">
        <is>
          <t>Boundary Protection</t>
        </is>
      </c>
      <c r="C856" s="19" t="inlineStr">
        <is>
          <t>Panorama</t>
        </is>
      </c>
      <c r="D856" s="18" t="inlineStr">
        <is>
          <t>SC</t>
        </is>
      </c>
      <c r="E856" s="19" t="inlineStr">
        <is>
          <t>Panorama</t>
        </is>
      </c>
      <c r="F856" s="19" t="inlineStr">
        <is>
          <t>SC-7-3</t>
        </is>
      </c>
      <c r="G856" s="20">
        <f>IFERROR('[Panorama.xlsx]SC-7-3'!B20,"Not Started")</f>
        <v/>
      </c>
      <c r="H856" s="14">
        <f>IF(OR(G856="Passed",G856="Accepted Exception"),"GREEN",IF(OR(G856="Not Started",G856="Failed"),"RED","AMBER"))</f>
        <v/>
      </c>
      <c r="I856" s="21">
        <f>IFERROR('[Panorama.xlsx]SC-7-3'!E20,"Non commencé")</f>
        <v/>
      </c>
      <c r="J856" s="16">
        <f>IF(OR(I856="Réussi",I856="Exception acceptée"),"GREEN",IF(OR(I856="Non commencé",I856="Échec"),"RED","AMBER"))</f>
        <v/>
      </c>
      <c r="K856" s="19" t="inlineStr"/>
      <c r="L856" s="19" t="inlineStr"/>
      <c r="M856" s="22" t="inlineStr"/>
    </row>
    <row r="857" ht="18" customHeight="1">
      <c r="A857" s="11" t="inlineStr">
        <is>
          <t>SC-7(4)</t>
        </is>
      </c>
      <c r="B857" s="12" t="inlineStr">
        <is>
          <t>Boundary Protection</t>
        </is>
      </c>
      <c r="C857" s="12" t="inlineStr">
        <is>
          <t>Panorama</t>
        </is>
      </c>
      <c r="D857" s="11" t="inlineStr">
        <is>
          <t>SC</t>
        </is>
      </c>
      <c r="E857" s="12" t="inlineStr">
        <is>
          <t>Panorama</t>
        </is>
      </c>
      <c r="F857" s="12" t="inlineStr">
        <is>
          <t>SC-7-4</t>
        </is>
      </c>
      <c r="G857" s="13">
        <f>IFERROR('[Panorama.xlsx]SC-7-4'!B20,"Not Started")</f>
        <v/>
      </c>
      <c r="H857" s="14">
        <f>IF(OR(G857="Passed",G857="Accepted Exception"),"GREEN",IF(OR(G857="Not Started",G857="Failed"),"RED","AMBER"))</f>
        <v/>
      </c>
      <c r="I857" s="15">
        <f>IFERROR('[Panorama.xlsx]SC-7-4'!E20,"Non commencé")</f>
        <v/>
      </c>
      <c r="J857" s="16">
        <f>IF(OR(I857="Réussi",I857="Exception acceptée"),"GREEN",IF(OR(I857="Non commencé",I857="Échec"),"RED","AMBER"))</f>
        <v/>
      </c>
      <c r="K857" s="12" t="inlineStr"/>
      <c r="L857" s="12" t="inlineStr"/>
      <c r="M857" s="17" t="inlineStr"/>
    </row>
    <row r="858" ht="18" customHeight="1">
      <c r="A858" s="18" t="inlineStr">
        <is>
          <t>SC-7(5)</t>
        </is>
      </c>
      <c r="B858" s="19" t="inlineStr">
        <is>
          <t>Boundary Protection</t>
        </is>
      </c>
      <c r="C858" s="19" t="inlineStr">
        <is>
          <t>Panorama</t>
        </is>
      </c>
      <c r="D858" s="18" t="inlineStr">
        <is>
          <t>SC</t>
        </is>
      </c>
      <c r="E858" s="19" t="inlineStr">
        <is>
          <t>Panorama</t>
        </is>
      </c>
      <c r="F858" s="19" t="inlineStr">
        <is>
          <t>SC-7-5</t>
        </is>
      </c>
      <c r="G858" s="20">
        <f>IFERROR('[Panorama.xlsx]SC-7-5'!B20,"Not Started")</f>
        <v/>
      </c>
      <c r="H858" s="14">
        <f>IF(OR(G858="Passed",G858="Accepted Exception"),"GREEN",IF(OR(G858="Not Started",G858="Failed"),"RED","AMBER"))</f>
        <v/>
      </c>
      <c r="I858" s="21">
        <f>IFERROR('[Panorama.xlsx]SC-7-5'!E20,"Non commencé")</f>
        <v/>
      </c>
      <c r="J858" s="16">
        <f>IF(OR(I858="Réussi",I858="Exception acceptée"),"GREEN",IF(OR(I858="Non commencé",I858="Échec"),"RED","AMBER"))</f>
        <v/>
      </c>
      <c r="K858" s="19" t="inlineStr"/>
      <c r="L858" s="19" t="inlineStr"/>
      <c r="M858" s="22" t="inlineStr"/>
    </row>
    <row r="859" ht="18" customHeight="1">
      <c r="A859" s="11" t="inlineStr">
        <is>
          <t>SC-7(7)</t>
        </is>
      </c>
      <c r="B859" s="12" t="inlineStr">
        <is>
          <t>Boundary Protection</t>
        </is>
      </c>
      <c r="C859" s="12" t="inlineStr">
        <is>
          <t>Panorama</t>
        </is>
      </c>
      <c r="D859" s="11" t="inlineStr">
        <is>
          <t>SC</t>
        </is>
      </c>
      <c r="E859" s="12" t="inlineStr">
        <is>
          <t>Panorama</t>
        </is>
      </c>
      <c r="F859" s="12" t="inlineStr">
        <is>
          <t>SC-7-7</t>
        </is>
      </c>
      <c r="G859" s="13">
        <f>IFERROR('[Panorama.xlsx]SC-7-7'!B20,"Not Started")</f>
        <v/>
      </c>
      <c r="H859" s="14">
        <f>IF(OR(G859="Passed",G859="Accepted Exception"),"GREEN",IF(OR(G859="Not Started",G859="Failed"),"RED","AMBER"))</f>
        <v/>
      </c>
      <c r="I859" s="15">
        <f>IFERROR('[Panorama.xlsx]SC-7-7'!E20,"Non commencé")</f>
        <v/>
      </c>
      <c r="J859" s="16">
        <f>IF(OR(I859="Réussi",I859="Exception acceptée"),"GREEN",IF(OR(I859="Non commencé",I859="Échec"),"RED","AMBER"))</f>
        <v/>
      </c>
      <c r="K859" s="12" t="inlineStr"/>
      <c r="L859" s="12" t="inlineStr"/>
      <c r="M859" s="17" t="inlineStr"/>
    </row>
    <row r="860" ht="18" customHeight="1">
      <c r="A860" s="18" t="inlineStr">
        <is>
          <t>SC-7(8)</t>
        </is>
      </c>
      <c r="B860" s="19" t="inlineStr">
        <is>
          <t>Boundary Protection</t>
        </is>
      </c>
      <c r="C860" s="19" t="inlineStr">
        <is>
          <t>Panorama</t>
        </is>
      </c>
      <c r="D860" s="18" t="inlineStr">
        <is>
          <t>SC</t>
        </is>
      </c>
      <c r="E860" s="19" t="inlineStr">
        <is>
          <t>Panorama</t>
        </is>
      </c>
      <c r="F860" s="19" t="inlineStr">
        <is>
          <t>SC-7-8</t>
        </is>
      </c>
      <c r="G860" s="20">
        <f>IFERROR('[Panorama.xlsx]SC-7-8'!B20,"Not Started")</f>
        <v/>
      </c>
      <c r="H860" s="14">
        <f>IF(OR(G860="Passed",G860="Accepted Exception"),"GREEN",IF(OR(G860="Not Started",G860="Failed"),"RED","AMBER"))</f>
        <v/>
      </c>
      <c r="I860" s="21">
        <f>IFERROR('[Panorama.xlsx]SC-7-8'!E20,"Non commencé")</f>
        <v/>
      </c>
      <c r="J860" s="16">
        <f>IF(OR(I860="Réussi",I860="Exception acceptée"),"GREEN",IF(OR(I860="Non commencé",I860="Échec"),"RED","AMBER"))</f>
        <v/>
      </c>
      <c r="K860" s="19" t="inlineStr"/>
      <c r="L860" s="19" t="inlineStr"/>
      <c r="M860" s="22" t="inlineStr"/>
    </row>
    <row r="861" ht="18" customHeight="1">
      <c r="A861" s="11" t="inlineStr">
        <is>
          <t>SC-7(13)</t>
        </is>
      </c>
      <c r="B861" s="12" t="inlineStr">
        <is>
          <t>Boundary Protection</t>
        </is>
      </c>
      <c r="C861" s="12" t="inlineStr">
        <is>
          <t>Panorama</t>
        </is>
      </c>
      <c r="D861" s="11" t="inlineStr">
        <is>
          <t>SC</t>
        </is>
      </c>
      <c r="E861" s="12" t="inlineStr">
        <is>
          <t>Panorama</t>
        </is>
      </c>
      <c r="F861" s="12" t="inlineStr">
        <is>
          <t>SC-7-13</t>
        </is>
      </c>
      <c r="G861" s="13">
        <f>IFERROR('[Panorama.xlsx]SC-7-13'!B20,"Not Started")</f>
        <v/>
      </c>
      <c r="H861" s="14">
        <f>IF(OR(G861="Passed",G861="Accepted Exception"),"GREEN",IF(OR(G861="Not Started",G861="Failed"),"RED","AMBER"))</f>
        <v/>
      </c>
      <c r="I861" s="15">
        <f>IFERROR('[Panorama.xlsx]SC-7-13'!E20,"Non commencé")</f>
        <v/>
      </c>
      <c r="J861" s="16">
        <f>IF(OR(I861="Réussi",I861="Exception acceptée"),"GREEN",IF(OR(I861="Non commencé",I861="Échec"),"RED","AMBER"))</f>
        <v/>
      </c>
      <c r="K861" s="12" t="inlineStr"/>
      <c r="L861" s="12" t="inlineStr"/>
      <c r="M861" s="17" t="inlineStr"/>
    </row>
    <row r="862" ht="18" customHeight="1">
      <c r="A862" s="18" t="inlineStr">
        <is>
          <t>SC-7(18)</t>
        </is>
      </c>
      <c r="B862" s="19" t="inlineStr">
        <is>
          <t>Boundary Protection</t>
        </is>
      </c>
      <c r="C862" s="19" t="inlineStr">
        <is>
          <t>Panorama</t>
        </is>
      </c>
      <c r="D862" s="18" t="inlineStr">
        <is>
          <t>SC</t>
        </is>
      </c>
      <c r="E862" s="19" t="inlineStr">
        <is>
          <t>Panorama</t>
        </is>
      </c>
      <c r="F862" s="19" t="inlineStr">
        <is>
          <t>SC-7-18</t>
        </is>
      </c>
      <c r="G862" s="20">
        <f>IFERROR('[Panorama.xlsx]SC-7-18'!B20,"Not Started")</f>
        <v/>
      </c>
      <c r="H862" s="14">
        <f>IF(OR(G862="Passed",G862="Accepted Exception"),"GREEN",IF(OR(G862="Not Started",G862="Failed"),"RED","AMBER"))</f>
        <v/>
      </c>
      <c r="I862" s="21">
        <f>IFERROR('[Panorama.xlsx]SC-7-18'!E20,"Non commencé")</f>
        <v/>
      </c>
      <c r="J862" s="16">
        <f>IF(OR(I862="Réussi",I862="Exception acceptée"),"GREEN",IF(OR(I862="Non commencé",I862="Échec"),"RED","AMBER"))</f>
        <v/>
      </c>
      <c r="K862" s="19" t="inlineStr"/>
      <c r="L862" s="19" t="inlineStr"/>
      <c r="M862" s="22" t="inlineStr"/>
    </row>
    <row r="863" ht="18" customHeight="1">
      <c r="A863" s="11" t="inlineStr">
        <is>
          <t>SC-8</t>
        </is>
      </c>
      <c r="B863" s="12" t="inlineStr">
        <is>
          <t>Transmission Confidentiality and Integrity</t>
        </is>
      </c>
      <c r="C863" s="12" t="inlineStr">
        <is>
          <t>Panorama</t>
        </is>
      </c>
      <c r="D863" s="11" t="inlineStr">
        <is>
          <t>SC</t>
        </is>
      </c>
      <c r="E863" s="12" t="inlineStr">
        <is>
          <t>Panorama</t>
        </is>
      </c>
      <c r="F863" s="12" t="inlineStr">
        <is>
          <t>SC-8</t>
        </is>
      </c>
      <c r="G863" s="13">
        <f>IFERROR('[Panorama.xlsx]SC-8'!B20,"Not Started")</f>
        <v/>
      </c>
      <c r="H863" s="14">
        <f>IF(OR(G863="Passed",G863="Accepted Exception"),"GREEN",IF(OR(G863="Not Started",G863="Failed"),"RED","AMBER"))</f>
        <v/>
      </c>
      <c r="I863" s="15">
        <f>IFERROR('[Panorama.xlsx]SC-8'!E20,"Non commencé")</f>
        <v/>
      </c>
      <c r="J863" s="16">
        <f>IF(OR(I863="Réussi",I863="Exception acceptée"),"GREEN",IF(OR(I863="Non commencé",I863="Échec"),"RED","AMBER"))</f>
        <v/>
      </c>
      <c r="K863" s="12" t="inlineStr"/>
      <c r="L863" s="12" t="inlineStr"/>
      <c r="M863" s="17" t="inlineStr"/>
    </row>
    <row r="864" ht="18" customHeight="1">
      <c r="A864" s="18" t="inlineStr">
        <is>
          <t>SC-8(1)</t>
        </is>
      </c>
      <c r="B864" s="19" t="inlineStr">
        <is>
          <t>Transmission Confidentiality and Integrity</t>
        </is>
      </c>
      <c r="C864" s="19" t="inlineStr">
        <is>
          <t>Panorama</t>
        </is>
      </c>
      <c r="D864" s="18" t="inlineStr">
        <is>
          <t>SC</t>
        </is>
      </c>
      <c r="E864" s="19" t="inlineStr">
        <is>
          <t>Panorama</t>
        </is>
      </c>
      <c r="F864" s="19" t="inlineStr">
        <is>
          <t>SC-8-1</t>
        </is>
      </c>
      <c r="G864" s="20">
        <f>IFERROR('[Panorama.xlsx]SC-8-1'!B20,"Not Started")</f>
        <v/>
      </c>
      <c r="H864" s="14">
        <f>IF(OR(G864="Passed",G864="Accepted Exception"),"GREEN",IF(OR(G864="Not Started",G864="Failed"),"RED","AMBER"))</f>
        <v/>
      </c>
      <c r="I864" s="21">
        <f>IFERROR('[Panorama.xlsx]SC-8-1'!E20,"Non commencé")</f>
        <v/>
      </c>
      <c r="J864" s="16">
        <f>IF(OR(I864="Réussi",I864="Exception acceptée"),"GREEN",IF(OR(I864="Non commencé",I864="Échec"),"RED","AMBER"))</f>
        <v/>
      </c>
      <c r="K864" s="19" t="inlineStr"/>
      <c r="L864" s="19" t="inlineStr"/>
      <c r="M864" s="22" t="inlineStr"/>
    </row>
    <row r="865" ht="18" customHeight="1">
      <c r="A865" s="11" t="inlineStr">
        <is>
          <t>SC-10</t>
        </is>
      </c>
      <c r="B865" s="12" t="inlineStr">
        <is>
          <t>Network Disconnect</t>
        </is>
      </c>
      <c r="C865" s="12" t="inlineStr">
        <is>
          <t>Panorama</t>
        </is>
      </c>
      <c r="D865" s="11" t="inlineStr">
        <is>
          <t>SC</t>
        </is>
      </c>
      <c r="E865" s="12" t="inlineStr">
        <is>
          <t>Panorama</t>
        </is>
      </c>
      <c r="F865" s="12" t="inlineStr">
        <is>
          <t>SC-10</t>
        </is>
      </c>
      <c r="G865" s="13">
        <f>IFERROR('[Panorama.xlsx]SC-10'!B20,"Not Started")</f>
        <v/>
      </c>
      <c r="H865" s="14">
        <f>IF(OR(G865="Passed",G865="Accepted Exception"),"GREEN",IF(OR(G865="Not Started",G865="Failed"),"RED","AMBER"))</f>
        <v/>
      </c>
      <c r="I865" s="15">
        <f>IFERROR('[Panorama.xlsx]SC-10'!E20,"Non commencé")</f>
        <v/>
      </c>
      <c r="J865" s="16">
        <f>IF(OR(I865="Réussi",I865="Exception acceptée"),"GREEN",IF(OR(I865="Non commencé",I865="Échec"),"RED","AMBER"))</f>
        <v/>
      </c>
      <c r="K865" s="12" t="inlineStr"/>
      <c r="L865" s="12" t="inlineStr"/>
      <c r="M865" s="17" t="inlineStr"/>
    </row>
    <row r="866" ht="18" customHeight="1">
      <c r="A866" s="18" t="inlineStr">
        <is>
          <t>SC-18(3)</t>
        </is>
      </c>
      <c r="B866" s="19" t="inlineStr">
        <is>
          <t>Mobile Code</t>
        </is>
      </c>
      <c r="C866" s="19" t="inlineStr">
        <is>
          <t>Panorama</t>
        </is>
      </c>
      <c r="D866" s="18" t="inlineStr">
        <is>
          <t>SC</t>
        </is>
      </c>
      <c r="E866" s="19" t="inlineStr">
        <is>
          <t>Panorama</t>
        </is>
      </c>
      <c r="F866" s="19" t="inlineStr">
        <is>
          <t>SC-18-3</t>
        </is>
      </c>
      <c r="G866" s="20">
        <f>IFERROR('[Panorama.xlsx]SC-18-3'!B20,"Not Started")</f>
        <v/>
      </c>
      <c r="H866" s="14">
        <f>IF(OR(G866="Passed",G866="Accepted Exception"),"GREEN",IF(OR(G866="Not Started",G866="Failed"),"RED","AMBER"))</f>
        <v/>
      </c>
      <c r="I866" s="21">
        <f>IFERROR('[Panorama.xlsx]SC-18-3'!E20,"Non commencé")</f>
        <v/>
      </c>
      <c r="J866" s="16">
        <f>IF(OR(I866="Réussi",I866="Exception acceptée"),"GREEN",IF(OR(I866="Non commencé",I866="Échec"),"RED","AMBER"))</f>
        <v/>
      </c>
      <c r="K866" s="19" t="inlineStr"/>
      <c r="L866" s="19" t="inlineStr"/>
      <c r="M866" s="22" t="inlineStr"/>
    </row>
    <row r="867" ht="18" customHeight="1">
      <c r="A867" s="11" t="inlineStr">
        <is>
          <t>SC-23</t>
        </is>
      </c>
      <c r="B867" s="12" t="inlineStr">
        <is>
          <t>Session Authenticity</t>
        </is>
      </c>
      <c r="C867" s="12" t="inlineStr">
        <is>
          <t>Panorama</t>
        </is>
      </c>
      <c r="D867" s="11" t="inlineStr">
        <is>
          <t>SC</t>
        </is>
      </c>
      <c r="E867" s="12" t="inlineStr">
        <is>
          <t>Panorama</t>
        </is>
      </c>
      <c r="F867" s="12" t="inlineStr">
        <is>
          <t>SC-23</t>
        </is>
      </c>
      <c r="G867" s="13">
        <f>IFERROR('[Panorama.xlsx]SC-23'!B20,"Not Started")</f>
        <v/>
      </c>
      <c r="H867" s="14">
        <f>IF(OR(G867="Passed",G867="Accepted Exception"),"GREEN",IF(OR(G867="Not Started",G867="Failed"),"RED","AMBER"))</f>
        <v/>
      </c>
      <c r="I867" s="15">
        <f>IFERROR('[Panorama.xlsx]SC-23'!E20,"Non commencé")</f>
        <v/>
      </c>
      <c r="J867" s="16">
        <f>IF(OR(I867="Réussi",I867="Exception acceptée"),"GREEN",IF(OR(I867="Non commencé",I867="Échec"),"RED","AMBER"))</f>
        <v/>
      </c>
      <c r="K867" s="12" t="inlineStr"/>
      <c r="L867" s="12" t="inlineStr"/>
      <c r="M867" s="17" t="inlineStr"/>
    </row>
    <row r="868" ht="18" customHeight="1">
      <c r="A868" s="18" t="inlineStr">
        <is>
          <t>SI-4</t>
        </is>
      </c>
      <c r="B868" s="19" t="inlineStr">
        <is>
          <t>Information System Monitoring</t>
        </is>
      </c>
      <c r="C868" s="19" t="inlineStr">
        <is>
          <t>Panorama</t>
        </is>
      </c>
      <c r="D868" s="18" t="inlineStr">
        <is>
          <t>SI</t>
        </is>
      </c>
      <c r="E868" s="19" t="inlineStr">
        <is>
          <t>Panorama</t>
        </is>
      </c>
      <c r="F868" s="19" t="inlineStr">
        <is>
          <t>SI-4</t>
        </is>
      </c>
      <c r="G868" s="20">
        <f>IFERROR('[Panorama.xlsx]SI-4'!B20,"Not Started")</f>
        <v/>
      </c>
      <c r="H868" s="14">
        <f>IF(OR(G868="Passed",G868="Accepted Exception"),"GREEN",IF(OR(G868="Not Started",G868="Failed"),"RED","AMBER"))</f>
        <v/>
      </c>
      <c r="I868" s="21">
        <f>IFERROR('[Panorama.xlsx]SI-4'!E20,"Non commencé")</f>
        <v/>
      </c>
      <c r="J868" s="16">
        <f>IF(OR(I868="Réussi",I868="Exception acceptée"),"GREEN",IF(OR(I868="Non commencé",I868="Échec"),"RED","AMBER"))</f>
        <v/>
      </c>
      <c r="K868" s="19" t="inlineStr"/>
      <c r="L868" s="19" t="inlineStr"/>
      <c r="M868" s="22" t="inlineStr"/>
    </row>
    <row r="869" ht="18" customHeight="1">
      <c r="A869" s="11" t="inlineStr">
        <is>
          <t>SI-4(1)</t>
        </is>
      </c>
      <c r="B869" s="12" t="inlineStr">
        <is>
          <t>Information System Monitoring</t>
        </is>
      </c>
      <c r="C869" s="12" t="inlineStr">
        <is>
          <t>Panorama</t>
        </is>
      </c>
      <c r="D869" s="11" t="inlineStr">
        <is>
          <t>SI</t>
        </is>
      </c>
      <c r="E869" s="12" t="inlineStr">
        <is>
          <t>Panorama</t>
        </is>
      </c>
      <c r="F869" s="12" t="inlineStr">
        <is>
          <t>SI-4-1</t>
        </is>
      </c>
      <c r="G869" s="13">
        <f>IFERROR('[Panorama.xlsx]SI-4-1'!B20,"Not Started")</f>
        <v/>
      </c>
      <c r="H869" s="14">
        <f>IF(OR(G869="Passed",G869="Accepted Exception"),"GREEN",IF(OR(G869="Not Started",G869="Failed"),"RED","AMBER"))</f>
        <v/>
      </c>
      <c r="I869" s="15">
        <f>IFERROR('[Panorama.xlsx]SI-4-1'!E20,"Non commencé")</f>
        <v/>
      </c>
      <c r="J869" s="16">
        <f>IF(OR(I869="Réussi",I869="Exception acceptée"),"GREEN",IF(OR(I869="Non commencé",I869="Échec"),"RED","AMBER"))</f>
        <v/>
      </c>
      <c r="K869" s="12" t="inlineStr"/>
      <c r="L869" s="12" t="inlineStr"/>
      <c r="M869" s="17" t="inlineStr"/>
    </row>
    <row r="870" ht="18" customHeight="1">
      <c r="A870" s="18" t="inlineStr">
        <is>
          <t>SI-4(2)</t>
        </is>
      </c>
      <c r="B870" s="19" t="inlineStr">
        <is>
          <t>Information System Monitoring</t>
        </is>
      </c>
      <c r="C870" s="19" t="inlineStr">
        <is>
          <t>Panorama</t>
        </is>
      </c>
      <c r="D870" s="18" t="inlineStr">
        <is>
          <t>SI</t>
        </is>
      </c>
      <c r="E870" s="19" t="inlineStr">
        <is>
          <t>Panorama</t>
        </is>
      </c>
      <c r="F870" s="19" t="inlineStr">
        <is>
          <t>SI-4-2</t>
        </is>
      </c>
      <c r="G870" s="20">
        <f>IFERROR('[Panorama.xlsx]SI-4-2'!B20,"Not Started")</f>
        <v/>
      </c>
      <c r="H870" s="14">
        <f>IF(OR(G870="Passed",G870="Accepted Exception"),"GREEN",IF(OR(G870="Not Started",G870="Failed"),"RED","AMBER"))</f>
        <v/>
      </c>
      <c r="I870" s="21">
        <f>IFERROR('[Panorama.xlsx]SI-4-2'!E20,"Non commencé")</f>
        <v/>
      </c>
      <c r="J870" s="16">
        <f>IF(OR(I870="Réussi",I870="Exception acceptée"),"GREEN",IF(OR(I870="Non commencé",I870="Échec"),"RED","AMBER"))</f>
        <v/>
      </c>
      <c r="K870" s="19" t="inlineStr"/>
      <c r="L870" s="19" t="inlineStr"/>
      <c r="M870" s="22" t="inlineStr"/>
    </row>
    <row r="871" ht="18" customHeight="1">
      <c r="A871" s="11" t="inlineStr">
        <is>
          <t>SI-4(4)</t>
        </is>
      </c>
      <c r="B871" s="12" t="inlineStr">
        <is>
          <t>Information System Monitoring</t>
        </is>
      </c>
      <c r="C871" s="12" t="inlineStr">
        <is>
          <t>Panorama</t>
        </is>
      </c>
      <c r="D871" s="11" t="inlineStr">
        <is>
          <t>SI</t>
        </is>
      </c>
      <c r="E871" s="12" t="inlineStr">
        <is>
          <t>Panorama</t>
        </is>
      </c>
      <c r="F871" s="12" t="inlineStr">
        <is>
          <t>SI-4-4</t>
        </is>
      </c>
      <c r="G871" s="13">
        <f>IFERROR('[Panorama.xlsx]SI-4-4'!B20,"Not Started")</f>
        <v/>
      </c>
      <c r="H871" s="14">
        <f>IF(OR(G871="Passed",G871="Accepted Exception"),"GREEN",IF(OR(G871="Not Started",G871="Failed"),"RED","AMBER"))</f>
        <v/>
      </c>
      <c r="I871" s="15">
        <f>IFERROR('[Panorama.xlsx]SI-4-4'!E20,"Non commencé")</f>
        <v/>
      </c>
      <c r="J871" s="16">
        <f>IF(OR(I871="Réussi",I871="Exception acceptée"),"GREEN",IF(OR(I871="Non commencé",I871="Échec"),"RED","AMBER"))</f>
        <v/>
      </c>
      <c r="K871" s="12" t="inlineStr"/>
      <c r="L871" s="12" t="inlineStr"/>
      <c r="M871" s="17" t="inlineStr"/>
    </row>
    <row r="872" ht="18" customHeight="1">
      <c r="A872" s="18" t="inlineStr">
        <is>
          <t>SI-4(11)</t>
        </is>
      </c>
      <c r="B872" s="19" t="inlineStr">
        <is>
          <t>Information System Monitoring</t>
        </is>
      </c>
      <c r="C872" s="19" t="inlineStr">
        <is>
          <t>Panorama</t>
        </is>
      </c>
      <c r="D872" s="18" t="inlineStr">
        <is>
          <t>SI</t>
        </is>
      </c>
      <c r="E872" s="19" t="inlineStr">
        <is>
          <t>Panorama</t>
        </is>
      </c>
      <c r="F872" s="19" t="inlineStr">
        <is>
          <t>SI-4-11</t>
        </is>
      </c>
      <c r="G872" s="20">
        <f>IFERROR('[Panorama.xlsx]SI-4-11'!B20,"Not Started")</f>
        <v/>
      </c>
      <c r="H872" s="14">
        <f>IF(OR(G872="Passed",G872="Accepted Exception"),"GREEN",IF(OR(G872="Not Started",G872="Failed"),"RED","AMBER"))</f>
        <v/>
      </c>
      <c r="I872" s="21">
        <f>IFERROR('[Panorama.xlsx]SI-4-11'!E20,"Non commencé")</f>
        <v/>
      </c>
      <c r="J872" s="16">
        <f>IF(OR(I872="Réussi",I872="Exception acceptée"),"GREEN",IF(OR(I872="Non commencé",I872="Échec"),"RED","AMBER"))</f>
        <v/>
      </c>
      <c r="K872" s="19" t="inlineStr"/>
      <c r="L872" s="19" t="inlineStr"/>
      <c r="M872" s="22" t="inlineStr"/>
    </row>
    <row r="873" ht="18" customHeight="1">
      <c r="A873" s="11" t="inlineStr">
        <is>
          <t>SI-6</t>
        </is>
      </c>
      <c r="B873" s="12" t="inlineStr">
        <is>
          <t>Security Functional Verification</t>
        </is>
      </c>
      <c r="C873" s="12" t="inlineStr">
        <is>
          <t>Panorama</t>
        </is>
      </c>
      <c r="D873" s="11" t="inlineStr">
        <is>
          <t>SI</t>
        </is>
      </c>
      <c r="E873" s="12" t="inlineStr">
        <is>
          <t>Panorama</t>
        </is>
      </c>
      <c r="F873" s="12" t="inlineStr">
        <is>
          <t>SI-6</t>
        </is>
      </c>
      <c r="G873" s="13">
        <f>IFERROR('[Panorama.xlsx]SI-6'!B20,"Not Started")</f>
        <v/>
      </c>
      <c r="H873" s="14">
        <f>IF(OR(G873="Passed",G873="Accepted Exception"),"GREEN",IF(OR(G873="Not Started",G873="Failed"),"RED","AMBER"))</f>
        <v/>
      </c>
      <c r="I873" s="15">
        <f>IFERROR('[Panorama.xlsx]SI-6'!E20,"Non commencé")</f>
        <v/>
      </c>
      <c r="J873" s="16">
        <f>IF(OR(I873="Réussi",I873="Exception acceptée"),"GREEN",IF(OR(I873="Non commencé",I873="Échec"),"RED","AMBER"))</f>
        <v/>
      </c>
      <c r="K873" s="12" t="inlineStr"/>
      <c r="L873" s="12" t="inlineStr"/>
      <c r="M873" s="17" t="inlineStr"/>
    </row>
    <row r="874" ht="18" customHeight="1">
      <c r="A874" s="18" t="inlineStr">
        <is>
          <t>SI-7(1)</t>
        </is>
      </c>
      <c r="B874" s="19" t="inlineStr">
        <is>
          <t>Software, Firmware, and Information Integrity</t>
        </is>
      </c>
      <c r="C874" s="19" t="inlineStr">
        <is>
          <t>Panorama</t>
        </is>
      </c>
      <c r="D874" s="18" t="inlineStr">
        <is>
          <t>SI</t>
        </is>
      </c>
      <c r="E874" s="19" t="inlineStr">
        <is>
          <t>Panorama</t>
        </is>
      </c>
      <c r="F874" s="19" t="inlineStr">
        <is>
          <t>SI-7-1</t>
        </is>
      </c>
      <c r="G874" s="20">
        <f>IFERROR('[Panorama.xlsx]SI-7-1'!B20,"Not Started")</f>
        <v/>
      </c>
      <c r="H874" s="14">
        <f>IF(OR(G874="Passed",G874="Accepted Exception"),"GREEN",IF(OR(G874="Not Started",G874="Failed"),"RED","AMBER"))</f>
        <v/>
      </c>
      <c r="I874" s="21">
        <f>IFERROR('[Panorama.xlsx]SI-7-1'!E20,"Non commencé")</f>
        <v/>
      </c>
      <c r="J874" s="16">
        <f>IF(OR(I874="Réussi",I874="Exception acceptée"),"GREEN",IF(OR(I874="Non commencé",I874="Échec"),"RED","AMBER"))</f>
        <v/>
      </c>
      <c r="K874" s="19" t="inlineStr"/>
      <c r="L874" s="19" t="inlineStr"/>
      <c r="M874" s="22" t="inlineStr"/>
    </row>
    <row r="875" ht="18" customHeight="1">
      <c r="A875" s="11" t="inlineStr">
        <is>
          <t>SI-8</t>
        </is>
      </c>
      <c r="B875" s="12" t="inlineStr">
        <is>
          <t>Spam Protection</t>
        </is>
      </c>
      <c r="C875" s="12" t="inlineStr">
        <is>
          <t>Panorama</t>
        </is>
      </c>
      <c r="D875" s="11" t="inlineStr">
        <is>
          <t>SI</t>
        </is>
      </c>
      <c r="E875" s="12" t="inlineStr">
        <is>
          <t>Panorama</t>
        </is>
      </c>
      <c r="F875" s="12" t="inlineStr">
        <is>
          <t>SI-8</t>
        </is>
      </c>
      <c r="G875" s="13">
        <f>IFERROR('[Panorama.xlsx]SI-8'!B20,"Not Started")</f>
        <v/>
      </c>
      <c r="H875" s="14">
        <f>IF(OR(G875="Passed",G875="Accepted Exception"),"GREEN",IF(OR(G875="Not Started",G875="Failed"),"RED","AMBER"))</f>
        <v/>
      </c>
      <c r="I875" s="15">
        <f>IFERROR('[Panorama.xlsx]SI-8'!E20,"Non commencé")</f>
        <v/>
      </c>
      <c r="J875" s="16">
        <f>IF(OR(I875="Réussi",I875="Exception acceptée"),"GREEN",IF(OR(I875="Non commencé",I875="Échec"),"RED","AMBER"))</f>
        <v/>
      </c>
      <c r="K875" s="12" t="inlineStr"/>
      <c r="L875" s="12" t="inlineStr"/>
      <c r="M875" s="17" t="inlineStr"/>
    </row>
    <row r="876" ht="18" customHeight="1">
      <c r="A876" s="18" t="inlineStr">
        <is>
          <t>SI-8(1)</t>
        </is>
      </c>
      <c r="B876" s="19" t="inlineStr">
        <is>
          <t>Spam Protection</t>
        </is>
      </c>
      <c r="C876" s="19" t="inlineStr">
        <is>
          <t>Panorama</t>
        </is>
      </c>
      <c r="D876" s="18" t="inlineStr">
        <is>
          <t>SI</t>
        </is>
      </c>
      <c r="E876" s="19" t="inlineStr">
        <is>
          <t>Panorama</t>
        </is>
      </c>
      <c r="F876" s="19" t="inlineStr">
        <is>
          <t>SI-8-1</t>
        </is>
      </c>
      <c r="G876" s="20">
        <f>IFERROR('[Panorama.xlsx]SI-8-1'!B20,"Not Started")</f>
        <v/>
      </c>
      <c r="H876" s="14">
        <f>IF(OR(G876="Passed",G876="Accepted Exception"),"GREEN",IF(OR(G876="Not Started",G876="Failed"),"RED","AMBER"))</f>
        <v/>
      </c>
      <c r="I876" s="21">
        <f>IFERROR('[Panorama.xlsx]SI-8-1'!E20,"Non commencé")</f>
        <v/>
      </c>
      <c r="J876" s="16">
        <f>IF(OR(I876="Réussi",I876="Exception acceptée"),"GREEN",IF(OR(I876="Non commencé",I876="Échec"),"RED","AMBER"))</f>
        <v/>
      </c>
      <c r="K876" s="19" t="inlineStr"/>
      <c r="L876" s="19" t="inlineStr"/>
      <c r="M876" s="22" t="inlineStr"/>
    </row>
    <row r="877" ht="18" customHeight="1">
      <c r="A877" s="11" t="inlineStr">
        <is>
          <t>SI-8(2)</t>
        </is>
      </c>
      <c r="B877" s="12" t="inlineStr">
        <is>
          <t>Spam Protection</t>
        </is>
      </c>
      <c r="C877" s="12" t="inlineStr">
        <is>
          <t>Panorama</t>
        </is>
      </c>
      <c r="D877" s="11" t="inlineStr">
        <is>
          <t>SI</t>
        </is>
      </c>
      <c r="E877" s="12" t="inlineStr">
        <is>
          <t>Panorama</t>
        </is>
      </c>
      <c r="F877" s="12" t="inlineStr">
        <is>
          <t>SI-8-2</t>
        </is>
      </c>
      <c r="G877" s="13">
        <f>IFERROR('[Panorama.xlsx]SI-8-2'!B20,"Not Started")</f>
        <v/>
      </c>
      <c r="H877" s="14">
        <f>IF(OR(G877="Passed",G877="Accepted Exception"),"GREEN",IF(OR(G877="Not Started",G877="Failed"),"RED","AMBER"))</f>
        <v/>
      </c>
      <c r="I877" s="15">
        <f>IFERROR('[Panorama.xlsx]SI-8-2'!E20,"Non commencé")</f>
        <v/>
      </c>
      <c r="J877" s="16">
        <f>IF(OR(I877="Réussi",I877="Exception acceptée"),"GREEN",IF(OR(I877="Non commencé",I877="Échec"),"RED","AMBER"))</f>
        <v/>
      </c>
      <c r="K877" s="12" t="inlineStr"/>
      <c r="L877" s="12" t="inlineStr"/>
      <c r="M877" s="17" t="inlineStr"/>
    </row>
    <row r="878" ht="18" customHeight="1">
      <c r="A878" s="18" t="inlineStr">
        <is>
          <t>AC-2(4)</t>
        </is>
      </c>
      <c r="B878" s="19" t="inlineStr">
        <is>
          <t>Account Management</t>
        </is>
      </c>
      <c r="C878" s="19" t="inlineStr">
        <is>
          <t>Security</t>
        </is>
      </c>
      <c r="D878" s="18" t="inlineStr">
        <is>
          <t>AC</t>
        </is>
      </c>
      <c r="E878" s="19" t="inlineStr">
        <is>
          <t>Security</t>
        </is>
      </c>
      <c r="F878" s="19" t="inlineStr">
        <is>
          <t>AC-2-4</t>
        </is>
      </c>
      <c r="G878" s="20">
        <f>IFERROR('[Security.xlsx]AC-2-4'!B20,"Not Started")</f>
        <v/>
      </c>
      <c r="H878" s="14">
        <f>IF(OR(G878="Passed",G878="Accepted Exception"),"GREEN",IF(OR(G878="Not Started",G878="Failed"),"RED","AMBER"))</f>
        <v/>
      </c>
      <c r="I878" s="21">
        <f>IFERROR('[Security.xlsx]AC-2-4'!E20,"Non commencé")</f>
        <v/>
      </c>
      <c r="J878" s="16">
        <f>IF(OR(I878="Réussi",I878="Exception acceptée"),"GREEN",IF(OR(I878="Non commencé",I878="Échec"),"RED","AMBER"))</f>
        <v/>
      </c>
      <c r="K878" s="19" t="inlineStr"/>
      <c r="L878" s="19" t="inlineStr"/>
      <c r="M878" s="22" t="inlineStr"/>
    </row>
    <row r="879" ht="18" customHeight="1">
      <c r="A879" s="11" t="inlineStr">
        <is>
          <t>AC-2(5)</t>
        </is>
      </c>
      <c r="B879" s="12" t="inlineStr">
        <is>
          <t>Account Management</t>
        </is>
      </c>
      <c r="C879" s="12" t="inlineStr">
        <is>
          <t>Security</t>
        </is>
      </c>
      <c r="D879" s="11" t="inlineStr">
        <is>
          <t>AC</t>
        </is>
      </c>
      <c r="E879" s="12" t="inlineStr">
        <is>
          <t>Security</t>
        </is>
      </c>
      <c r="F879" s="12" t="inlineStr">
        <is>
          <t>AC-2-5</t>
        </is>
      </c>
      <c r="G879" s="13">
        <f>IFERROR('[Security.xlsx]AC-2-5'!B20,"Not Started")</f>
        <v/>
      </c>
      <c r="H879" s="14">
        <f>IF(OR(G879="Passed",G879="Accepted Exception"),"GREEN",IF(OR(G879="Not Started",G879="Failed"),"RED","AMBER"))</f>
        <v/>
      </c>
      <c r="I879" s="15">
        <f>IFERROR('[Security.xlsx]AC-2-5'!E20,"Non commencé")</f>
        <v/>
      </c>
      <c r="J879" s="16">
        <f>IF(OR(I879="Réussi",I879="Exception acceptée"),"GREEN",IF(OR(I879="Non commencé",I879="Échec"),"RED","AMBER"))</f>
        <v/>
      </c>
      <c r="K879" s="12" t="inlineStr"/>
      <c r="L879" s="12" t="inlineStr"/>
      <c r="M879" s="17" t="inlineStr"/>
    </row>
    <row r="880" ht="18" customHeight="1">
      <c r="A880" s="18" t="inlineStr">
        <is>
          <t>AC-2(7)</t>
        </is>
      </c>
      <c r="B880" s="19" t="inlineStr">
        <is>
          <t>Account Management</t>
        </is>
      </c>
      <c r="C880" s="19" t="inlineStr">
        <is>
          <t>Security</t>
        </is>
      </c>
      <c r="D880" s="18" t="inlineStr">
        <is>
          <t>AC</t>
        </is>
      </c>
      <c r="E880" s="19" t="inlineStr">
        <is>
          <t>Security</t>
        </is>
      </c>
      <c r="F880" s="19" t="inlineStr">
        <is>
          <t>AC-2-7</t>
        </is>
      </c>
      <c r="G880" s="20">
        <f>IFERROR('[Security.xlsx]AC-2-7'!B20,"Not Started")</f>
        <v/>
      </c>
      <c r="H880" s="14">
        <f>IF(OR(G880="Passed",G880="Accepted Exception"),"GREEN",IF(OR(G880="Not Started",G880="Failed"),"RED","AMBER"))</f>
        <v/>
      </c>
      <c r="I880" s="21">
        <f>IFERROR('[Security.xlsx]AC-2-7'!E20,"Non commencé")</f>
        <v/>
      </c>
      <c r="J880" s="16">
        <f>IF(OR(I880="Réussi",I880="Exception acceptée"),"GREEN",IF(OR(I880="Non commencé",I880="Échec"),"RED","AMBER"))</f>
        <v/>
      </c>
      <c r="K880" s="19" t="inlineStr"/>
      <c r="L880" s="19" t="inlineStr"/>
      <c r="M880" s="22" t="inlineStr"/>
    </row>
    <row r="881" ht="18" customHeight="1">
      <c r="A881" s="11" t="inlineStr">
        <is>
          <t>AC-4</t>
        </is>
      </c>
      <c r="B881" s="12" t="inlineStr">
        <is>
          <t>Information Flow Enforcement</t>
        </is>
      </c>
      <c r="C881" s="12" t="inlineStr">
        <is>
          <t>Security</t>
        </is>
      </c>
      <c r="D881" s="11" t="inlineStr">
        <is>
          <t>AC</t>
        </is>
      </c>
      <c r="E881" s="12" t="inlineStr">
        <is>
          <t>Security</t>
        </is>
      </c>
      <c r="F881" s="12" t="inlineStr">
        <is>
          <t>AC-4</t>
        </is>
      </c>
      <c r="G881" s="13">
        <f>IFERROR('[Security.xlsx]AC-4'!B20,"Not Started")</f>
        <v/>
      </c>
      <c r="H881" s="14">
        <f>IF(OR(G881="Passed",G881="Accepted Exception"),"GREEN",IF(OR(G881="Not Started",G881="Failed"),"RED","AMBER"))</f>
        <v/>
      </c>
      <c r="I881" s="15">
        <f>IFERROR('[Security.xlsx]AC-4'!E20,"Non commencé")</f>
        <v/>
      </c>
      <c r="J881" s="16">
        <f>IF(OR(I881="Réussi",I881="Exception acceptée"),"GREEN",IF(OR(I881="Non commencé",I881="Échec"),"RED","AMBER"))</f>
        <v/>
      </c>
      <c r="K881" s="12" t="inlineStr"/>
      <c r="L881" s="12" t="inlineStr"/>
      <c r="M881" s="17" t="inlineStr"/>
    </row>
    <row r="882" ht="18" customHeight="1">
      <c r="A882" s="18" t="inlineStr">
        <is>
          <t>AC-4(21)</t>
        </is>
      </c>
      <c r="B882" s="19" t="inlineStr">
        <is>
          <t>Information Flow Enforcement</t>
        </is>
      </c>
      <c r="C882" s="19" t="inlineStr">
        <is>
          <t>Security</t>
        </is>
      </c>
      <c r="D882" s="18" t="inlineStr">
        <is>
          <t>AC</t>
        </is>
      </c>
      <c r="E882" s="19" t="inlineStr">
        <is>
          <t>Security</t>
        </is>
      </c>
      <c r="F882" s="19" t="inlineStr">
        <is>
          <t>AC-4-21</t>
        </is>
      </c>
      <c r="G882" s="20">
        <f>IFERROR('[Security.xlsx]AC-4-21'!B20,"Not Started")</f>
        <v/>
      </c>
      <c r="H882" s="14">
        <f>IF(OR(G882="Passed",G882="Accepted Exception"),"GREEN",IF(OR(G882="Not Started",G882="Failed"),"RED","AMBER"))</f>
        <v/>
      </c>
      <c r="I882" s="21">
        <f>IFERROR('[Security.xlsx]AC-4-21'!E20,"Non commencé")</f>
        <v/>
      </c>
      <c r="J882" s="16">
        <f>IF(OR(I882="Réussi",I882="Exception acceptée"),"GREEN",IF(OR(I882="Non commencé",I882="Échec"),"RED","AMBER"))</f>
        <v/>
      </c>
      <c r="K882" s="19" t="inlineStr"/>
      <c r="L882" s="19" t="inlineStr"/>
      <c r="M882" s="22" t="inlineStr"/>
    </row>
    <row r="883" ht="18" customHeight="1">
      <c r="A883" s="11" t="inlineStr">
        <is>
          <t>AC-6(9)</t>
        </is>
      </c>
      <c r="B883" s="12" t="inlineStr">
        <is>
          <t>Least Privilege</t>
        </is>
      </c>
      <c r="C883" s="12" t="inlineStr">
        <is>
          <t>Security</t>
        </is>
      </c>
      <c r="D883" s="11" t="inlineStr">
        <is>
          <t>AC</t>
        </is>
      </c>
      <c r="E883" s="12" t="inlineStr">
        <is>
          <t>Security</t>
        </is>
      </c>
      <c r="F883" s="12" t="inlineStr">
        <is>
          <t>AC-6-9</t>
        </is>
      </c>
      <c r="G883" s="13">
        <f>IFERROR('[Security.xlsx]AC-6-9'!B20,"Not Started")</f>
        <v/>
      </c>
      <c r="H883" s="14">
        <f>IF(OR(G883="Passed",G883="Accepted Exception"),"GREEN",IF(OR(G883="Not Started",G883="Failed"),"RED","AMBER"))</f>
        <v/>
      </c>
      <c r="I883" s="15">
        <f>IFERROR('[Security.xlsx]AC-6-9'!E20,"Non commencé")</f>
        <v/>
      </c>
      <c r="J883" s="16">
        <f>IF(OR(I883="Réussi",I883="Exception acceptée"),"GREEN",IF(OR(I883="Non commencé",I883="Échec"),"RED","AMBER"))</f>
        <v/>
      </c>
      <c r="K883" s="12" t="inlineStr"/>
      <c r="L883" s="12" t="inlineStr"/>
      <c r="M883" s="17" t="inlineStr"/>
    </row>
    <row r="884" ht="18" customHeight="1">
      <c r="A884" s="18" t="inlineStr">
        <is>
          <t>AC-6(10)</t>
        </is>
      </c>
      <c r="B884" s="19" t="inlineStr">
        <is>
          <t>Least Privilege</t>
        </is>
      </c>
      <c r="C884" s="19" t="inlineStr">
        <is>
          <t>Security</t>
        </is>
      </c>
      <c r="D884" s="18" t="inlineStr">
        <is>
          <t>AC</t>
        </is>
      </c>
      <c r="E884" s="19" t="inlineStr">
        <is>
          <t>Security</t>
        </is>
      </c>
      <c r="F884" s="19" t="inlineStr">
        <is>
          <t>AC-6-10</t>
        </is>
      </c>
      <c r="G884" s="20">
        <f>IFERROR('[Security.xlsx]AC-6-10'!B20,"Not Started")</f>
        <v/>
      </c>
      <c r="H884" s="14">
        <f>IF(OR(G884="Passed",G884="Accepted Exception"),"GREEN",IF(OR(G884="Not Started",G884="Failed"),"RED","AMBER"))</f>
        <v/>
      </c>
      <c r="I884" s="21">
        <f>IFERROR('[Security.xlsx]AC-6-10'!E20,"Non commencé")</f>
        <v/>
      </c>
      <c r="J884" s="16">
        <f>IF(OR(I884="Réussi",I884="Exception acceptée"),"GREEN",IF(OR(I884="Non commencé",I884="Échec"),"RED","AMBER"))</f>
        <v/>
      </c>
      <c r="K884" s="19" t="inlineStr"/>
      <c r="L884" s="19" t="inlineStr"/>
      <c r="M884" s="22" t="inlineStr"/>
    </row>
    <row r="885" ht="18" customHeight="1">
      <c r="A885" s="11" t="inlineStr">
        <is>
          <t>AC-17(1)</t>
        </is>
      </c>
      <c r="B885" s="12" t="inlineStr">
        <is>
          <t>Remote Access</t>
        </is>
      </c>
      <c r="C885" s="12" t="inlineStr">
        <is>
          <t>Security</t>
        </is>
      </c>
      <c r="D885" s="11" t="inlineStr">
        <is>
          <t>AC</t>
        </is>
      </c>
      <c r="E885" s="12" t="inlineStr">
        <is>
          <t>Security</t>
        </is>
      </c>
      <c r="F885" s="12" t="inlineStr">
        <is>
          <t>AC-17-1</t>
        </is>
      </c>
      <c r="G885" s="13">
        <f>IFERROR('[Security.xlsx]AC-17-1'!B20,"Not Started")</f>
        <v/>
      </c>
      <c r="H885" s="14">
        <f>IF(OR(G885="Passed",G885="Accepted Exception"),"GREEN",IF(OR(G885="Not Started",G885="Failed"),"RED","AMBER"))</f>
        <v/>
      </c>
      <c r="I885" s="15">
        <f>IFERROR('[Security.xlsx]AC-17-1'!E20,"Non commencé")</f>
        <v/>
      </c>
      <c r="J885" s="16">
        <f>IF(OR(I885="Réussi",I885="Exception acceptée"),"GREEN",IF(OR(I885="Non commencé",I885="Échec"),"RED","AMBER"))</f>
        <v/>
      </c>
      <c r="K885" s="12" t="inlineStr"/>
      <c r="L885" s="12" t="inlineStr"/>
      <c r="M885" s="17" t="inlineStr"/>
    </row>
    <row r="886" ht="18" customHeight="1">
      <c r="A886" s="18" t="inlineStr">
        <is>
          <t>AC-17(2)</t>
        </is>
      </c>
      <c r="B886" s="19" t="inlineStr">
        <is>
          <t>Remote Access</t>
        </is>
      </c>
      <c r="C886" s="19" t="inlineStr">
        <is>
          <t>Security</t>
        </is>
      </c>
      <c r="D886" s="18" t="inlineStr">
        <is>
          <t>AC</t>
        </is>
      </c>
      <c r="E886" s="19" t="inlineStr">
        <is>
          <t>Security</t>
        </is>
      </c>
      <c r="F886" s="19" t="inlineStr">
        <is>
          <t>AC-17-2</t>
        </is>
      </c>
      <c r="G886" s="20">
        <f>IFERROR('[Security.xlsx]AC-17-2'!B20,"Not Started")</f>
        <v/>
      </c>
      <c r="H886" s="14">
        <f>IF(OR(G886="Passed",G886="Accepted Exception"),"GREEN",IF(OR(G886="Not Started",G886="Failed"),"RED","AMBER"))</f>
        <v/>
      </c>
      <c r="I886" s="21">
        <f>IFERROR('[Security.xlsx]AC-17-2'!E20,"Non commencé")</f>
        <v/>
      </c>
      <c r="J886" s="16">
        <f>IF(OR(I886="Réussi",I886="Exception acceptée"),"GREEN",IF(OR(I886="Non commencé",I886="Échec"),"RED","AMBER"))</f>
        <v/>
      </c>
      <c r="K886" s="19" t="inlineStr"/>
      <c r="L886" s="19" t="inlineStr"/>
      <c r="M886" s="22" t="inlineStr"/>
    </row>
    <row r="887" ht="18" customHeight="1">
      <c r="A887" s="11" t="inlineStr">
        <is>
          <t>AC-17(3)</t>
        </is>
      </c>
      <c r="B887" s="12" t="inlineStr">
        <is>
          <t>Remote Access</t>
        </is>
      </c>
      <c r="C887" s="12" t="inlineStr">
        <is>
          <t>Security</t>
        </is>
      </c>
      <c r="D887" s="11" t="inlineStr">
        <is>
          <t>AC</t>
        </is>
      </c>
      <c r="E887" s="12" t="inlineStr">
        <is>
          <t>Security</t>
        </is>
      </c>
      <c r="F887" s="12" t="inlineStr">
        <is>
          <t>AC-17-3</t>
        </is>
      </c>
      <c r="G887" s="13">
        <f>IFERROR('[Security.xlsx]AC-17-3'!B20,"Not Started")</f>
        <v/>
      </c>
      <c r="H887" s="14">
        <f>IF(OR(G887="Passed",G887="Accepted Exception"),"GREEN",IF(OR(G887="Not Started",G887="Failed"),"RED","AMBER"))</f>
        <v/>
      </c>
      <c r="I887" s="15">
        <f>IFERROR('[Security.xlsx]AC-17-3'!E20,"Non commencé")</f>
        <v/>
      </c>
      <c r="J887" s="16">
        <f>IF(OR(I887="Réussi",I887="Exception acceptée"),"GREEN",IF(OR(I887="Non commencé",I887="Échec"),"RED","AMBER"))</f>
        <v/>
      </c>
      <c r="K887" s="12" t="inlineStr"/>
      <c r="L887" s="12" t="inlineStr"/>
      <c r="M887" s="17" t="inlineStr"/>
    </row>
    <row r="888" ht="18" customHeight="1">
      <c r="A888" s="18" t="inlineStr">
        <is>
          <t>AC-17(9)</t>
        </is>
      </c>
      <c r="B888" s="19" t="inlineStr">
        <is>
          <t>Remote Access</t>
        </is>
      </c>
      <c r="C888" s="19" t="inlineStr">
        <is>
          <t>Security</t>
        </is>
      </c>
      <c r="D888" s="18" t="inlineStr">
        <is>
          <t>AC</t>
        </is>
      </c>
      <c r="E888" s="19" t="inlineStr">
        <is>
          <t>Security</t>
        </is>
      </c>
      <c r="F888" s="19" t="inlineStr">
        <is>
          <t>AC-17-9</t>
        </is>
      </c>
      <c r="G888" s="20">
        <f>IFERROR('[Security.xlsx]AC-17-9'!B20,"Not Started")</f>
        <v/>
      </c>
      <c r="H888" s="14">
        <f>IF(OR(G888="Passed",G888="Accepted Exception"),"GREEN",IF(OR(G888="Not Started",G888="Failed"),"RED","AMBER"))</f>
        <v/>
      </c>
      <c r="I888" s="21">
        <f>IFERROR('[Security.xlsx]AC-17-9'!E20,"Non commencé")</f>
        <v/>
      </c>
      <c r="J888" s="16">
        <f>IF(OR(I888="Réussi",I888="Exception acceptée"),"GREEN",IF(OR(I888="Non commencé",I888="Échec"),"RED","AMBER"))</f>
        <v/>
      </c>
      <c r="K888" s="19" t="inlineStr"/>
      <c r="L888" s="19" t="inlineStr"/>
      <c r="M888" s="22" t="inlineStr"/>
    </row>
    <row r="889" ht="18" customHeight="1">
      <c r="A889" s="11" t="inlineStr">
        <is>
          <t>AU-2</t>
        </is>
      </c>
      <c r="B889" s="12" t="inlineStr">
        <is>
          <t>Auditable Events</t>
        </is>
      </c>
      <c r="C889" s="12" t="inlineStr">
        <is>
          <t>Security</t>
        </is>
      </c>
      <c r="D889" s="11" t="inlineStr">
        <is>
          <t>AU</t>
        </is>
      </c>
      <c r="E889" s="12" t="inlineStr">
        <is>
          <t>Security</t>
        </is>
      </c>
      <c r="F889" s="12" t="inlineStr">
        <is>
          <t>AU-2</t>
        </is>
      </c>
      <c r="G889" s="13">
        <f>IFERROR('[Security.xlsx]AU-2'!B20,"Not Started")</f>
        <v/>
      </c>
      <c r="H889" s="14">
        <f>IF(OR(G889="Passed",G889="Accepted Exception"),"GREEN",IF(OR(G889="Not Started",G889="Failed"),"RED","AMBER"))</f>
        <v/>
      </c>
      <c r="I889" s="15">
        <f>IFERROR('[Security.xlsx]AU-2'!E20,"Non commencé")</f>
        <v/>
      </c>
      <c r="J889" s="16">
        <f>IF(OR(I889="Réussi",I889="Exception acceptée"),"GREEN",IF(OR(I889="Non commencé",I889="Échec"),"RED","AMBER"))</f>
        <v/>
      </c>
      <c r="K889" s="12" t="inlineStr"/>
      <c r="L889" s="12" t="inlineStr"/>
      <c r="M889" s="17" t="inlineStr"/>
    </row>
    <row r="890" ht="18" customHeight="1">
      <c r="A890" s="18" t="inlineStr">
        <is>
          <t>AU-3</t>
        </is>
      </c>
      <c r="B890" s="19" t="inlineStr">
        <is>
          <t>Content of Audit Records</t>
        </is>
      </c>
      <c r="C890" s="19" t="inlineStr">
        <is>
          <t>Security</t>
        </is>
      </c>
      <c r="D890" s="18" t="inlineStr">
        <is>
          <t>AU</t>
        </is>
      </c>
      <c r="E890" s="19" t="inlineStr">
        <is>
          <t>Security</t>
        </is>
      </c>
      <c r="F890" s="19" t="inlineStr">
        <is>
          <t>AU-3</t>
        </is>
      </c>
      <c r="G890" s="20">
        <f>IFERROR('[Security.xlsx]AU-3'!B20,"Not Started")</f>
        <v/>
      </c>
      <c r="H890" s="14">
        <f>IF(OR(G890="Passed",G890="Accepted Exception"),"GREEN",IF(OR(G890="Not Started",G890="Failed"),"RED","AMBER"))</f>
        <v/>
      </c>
      <c r="I890" s="21">
        <f>IFERROR('[Security.xlsx]AU-3'!E20,"Non commencé")</f>
        <v/>
      </c>
      <c r="J890" s="16">
        <f>IF(OR(I890="Réussi",I890="Exception acceptée"),"GREEN",IF(OR(I890="Non commencé",I890="Échec"),"RED","AMBER"))</f>
        <v/>
      </c>
      <c r="K890" s="19" t="inlineStr"/>
      <c r="L890" s="19" t="inlineStr"/>
      <c r="M890" s="22" t="inlineStr"/>
    </row>
    <row r="891" ht="18" customHeight="1">
      <c r="A891" s="11" t="inlineStr">
        <is>
          <t>AU-3(1)</t>
        </is>
      </c>
      <c r="B891" s="12" t="inlineStr">
        <is>
          <t>Content of Audit Records</t>
        </is>
      </c>
      <c r="C891" s="12" t="inlineStr">
        <is>
          <t>Security</t>
        </is>
      </c>
      <c r="D891" s="11" t="inlineStr">
        <is>
          <t>AU</t>
        </is>
      </c>
      <c r="E891" s="12" t="inlineStr">
        <is>
          <t>Security</t>
        </is>
      </c>
      <c r="F891" s="12" t="inlineStr">
        <is>
          <t>AU-3-1</t>
        </is>
      </c>
      <c r="G891" s="13">
        <f>IFERROR('[Security.xlsx]AU-3-1'!B20,"Not Started")</f>
        <v/>
      </c>
      <c r="H891" s="14">
        <f>IF(OR(G891="Passed",G891="Accepted Exception"),"GREEN",IF(OR(G891="Not Started",G891="Failed"),"RED","AMBER"))</f>
        <v/>
      </c>
      <c r="I891" s="15">
        <f>IFERROR('[Security.xlsx]AU-3-1'!E20,"Non commencé")</f>
        <v/>
      </c>
      <c r="J891" s="16">
        <f>IF(OR(I891="Réussi",I891="Exception acceptée"),"GREEN",IF(OR(I891="Non commencé",I891="Échec"),"RED","AMBER"))</f>
        <v/>
      </c>
      <c r="K891" s="12" t="inlineStr"/>
      <c r="L891" s="12" t="inlineStr"/>
      <c r="M891" s="17" t="inlineStr"/>
    </row>
    <row r="892" ht="18" customHeight="1">
      <c r="A892" s="18" t="inlineStr">
        <is>
          <t>AU-5</t>
        </is>
      </c>
      <c r="B892" s="19" t="inlineStr">
        <is>
          <t>Response To Audit Processing Failures</t>
        </is>
      </c>
      <c r="C892" s="19" t="inlineStr">
        <is>
          <t>Security</t>
        </is>
      </c>
      <c r="D892" s="18" t="inlineStr">
        <is>
          <t>AU</t>
        </is>
      </c>
      <c r="E892" s="19" t="inlineStr">
        <is>
          <t>Security</t>
        </is>
      </c>
      <c r="F892" s="19" t="inlineStr">
        <is>
          <t>AU-5</t>
        </is>
      </c>
      <c r="G892" s="20">
        <f>IFERROR('[Security.xlsx]AU-5'!B20,"Not Started")</f>
        <v/>
      </c>
      <c r="H892" s="14">
        <f>IF(OR(G892="Passed",G892="Accepted Exception"),"GREEN",IF(OR(G892="Not Started",G892="Failed"),"RED","AMBER"))</f>
        <v/>
      </c>
      <c r="I892" s="21">
        <f>IFERROR('[Security.xlsx]AU-5'!E20,"Non commencé")</f>
        <v/>
      </c>
      <c r="J892" s="16">
        <f>IF(OR(I892="Réussi",I892="Exception acceptée"),"GREEN",IF(OR(I892="Non commencé",I892="Échec"),"RED","AMBER"))</f>
        <v/>
      </c>
      <c r="K892" s="19" t="inlineStr"/>
      <c r="L892" s="19" t="inlineStr"/>
      <c r="M892" s="22" t="inlineStr"/>
    </row>
    <row r="893" ht="18" customHeight="1">
      <c r="A893" s="11" t="inlineStr">
        <is>
          <t>AU-6(1)</t>
        </is>
      </c>
      <c r="B893" s="12" t="inlineStr">
        <is>
          <t>Audit Review, Analysis, and Reporting</t>
        </is>
      </c>
      <c r="C893" s="12" t="inlineStr">
        <is>
          <t>Security</t>
        </is>
      </c>
      <c r="D893" s="11" t="inlineStr">
        <is>
          <t>AU</t>
        </is>
      </c>
      <c r="E893" s="12" t="inlineStr">
        <is>
          <t>Security</t>
        </is>
      </c>
      <c r="F893" s="12" t="inlineStr">
        <is>
          <t>AU-6-1</t>
        </is>
      </c>
      <c r="G893" s="13">
        <f>IFERROR('[Security.xlsx]AU-6-1'!B20,"Not Started")</f>
        <v/>
      </c>
      <c r="H893" s="14">
        <f>IF(OR(G893="Passed",G893="Accepted Exception"),"GREEN",IF(OR(G893="Not Started",G893="Failed"),"RED","AMBER"))</f>
        <v/>
      </c>
      <c r="I893" s="15">
        <f>IFERROR('[Security.xlsx]AU-6-1'!E20,"Non commencé")</f>
        <v/>
      </c>
      <c r="J893" s="16">
        <f>IF(OR(I893="Réussi",I893="Exception acceptée"),"GREEN",IF(OR(I893="Non commencé",I893="Échec"),"RED","AMBER"))</f>
        <v/>
      </c>
      <c r="K893" s="12" t="inlineStr"/>
      <c r="L893" s="12" t="inlineStr"/>
      <c r="M893" s="17" t="inlineStr"/>
    </row>
    <row r="894" ht="18" customHeight="1">
      <c r="A894" s="18" t="inlineStr">
        <is>
          <t>AU-6(3)</t>
        </is>
      </c>
      <c r="B894" s="19" t="inlineStr">
        <is>
          <t>Audit Review, Analysis, and Reporting</t>
        </is>
      </c>
      <c r="C894" s="19" t="inlineStr">
        <is>
          <t>Security</t>
        </is>
      </c>
      <c r="D894" s="18" t="inlineStr">
        <is>
          <t>AU</t>
        </is>
      </c>
      <c r="E894" s="19" t="inlineStr">
        <is>
          <t>Security</t>
        </is>
      </c>
      <c r="F894" s="19" t="inlineStr">
        <is>
          <t>AU-6-3</t>
        </is>
      </c>
      <c r="G894" s="20">
        <f>IFERROR('[Security.xlsx]AU-6-3'!B20,"Not Started")</f>
        <v/>
      </c>
      <c r="H894" s="14">
        <f>IF(OR(G894="Passed",G894="Accepted Exception"),"GREEN",IF(OR(G894="Not Started",G894="Failed"),"RED","AMBER"))</f>
        <v/>
      </c>
      <c r="I894" s="21">
        <f>IFERROR('[Security.xlsx]AU-6-3'!E20,"Non commencé")</f>
        <v/>
      </c>
      <c r="J894" s="16">
        <f>IF(OR(I894="Réussi",I894="Exception acceptée"),"GREEN",IF(OR(I894="Non commencé",I894="Échec"),"RED","AMBER"))</f>
        <v/>
      </c>
      <c r="K894" s="19" t="inlineStr"/>
      <c r="L894" s="19" t="inlineStr"/>
      <c r="M894" s="22" t="inlineStr"/>
    </row>
    <row r="895" ht="18" customHeight="1">
      <c r="A895" s="11" t="inlineStr">
        <is>
          <t>AU-7</t>
        </is>
      </c>
      <c r="B895" s="12" t="inlineStr">
        <is>
          <t>Audit Reduction and Report Generation</t>
        </is>
      </c>
      <c r="C895" s="12" t="inlineStr">
        <is>
          <t>Security</t>
        </is>
      </c>
      <c r="D895" s="11" t="inlineStr">
        <is>
          <t>AU</t>
        </is>
      </c>
      <c r="E895" s="12" t="inlineStr">
        <is>
          <t>Security</t>
        </is>
      </c>
      <c r="F895" s="12" t="inlineStr">
        <is>
          <t>AU-7</t>
        </is>
      </c>
      <c r="G895" s="13">
        <f>IFERROR('[Security.xlsx]AU-7'!B20,"Not Started")</f>
        <v/>
      </c>
      <c r="H895" s="14">
        <f>IF(OR(G895="Passed",G895="Accepted Exception"),"GREEN",IF(OR(G895="Not Started",G895="Failed"),"RED","AMBER"))</f>
        <v/>
      </c>
      <c r="I895" s="15">
        <f>IFERROR('[Security.xlsx]AU-7'!E20,"Non commencé")</f>
        <v/>
      </c>
      <c r="J895" s="16">
        <f>IF(OR(I895="Réussi",I895="Exception acceptée"),"GREEN",IF(OR(I895="Non commencé",I895="Échec"),"RED","AMBER"))</f>
        <v/>
      </c>
      <c r="K895" s="12" t="inlineStr"/>
      <c r="L895" s="12" t="inlineStr"/>
      <c r="M895" s="17" t="inlineStr"/>
    </row>
    <row r="896" ht="18" customHeight="1">
      <c r="A896" s="18" t="inlineStr">
        <is>
          <t>AU-7(1)</t>
        </is>
      </c>
      <c r="B896" s="19" t="inlineStr">
        <is>
          <t>Audit Reduction and Report Generation</t>
        </is>
      </c>
      <c r="C896" s="19" t="inlineStr">
        <is>
          <t>Security</t>
        </is>
      </c>
      <c r="D896" s="18" t="inlineStr">
        <is>
          <t>AU</t>
        </is>
      </c>
      <c r="E896" s="19" t="inlineStr">
        <is>
          <t>Security</t>
        </is>
      </c>
      <c r="F896" s="19" t="inlineStr">
        <is>
          <t>AU-7-1</t>
        </is>
      </c>
      <c r="G896" s="20">
        <f>IFERROR('[Security.xlsx]AU-7-1'!B20,"Not Started")</f>
        <v/>
      </c>
      <c r="H896" s="14">
        <f>IF(OR(G896="Passed",G896="Accepted Exception"),"GREEN",IF(OR(G896="Not Started",G896="Failed"),"RED","AMBER"))</f>
        <v/>
      </c>
      <c r="I896" s="21">
        <f>IFERROR('[Security.xlsx]AU-7-1'!E20,"Non commencé")</f>
        <v/>
      </c>
      <c r="J896" s="16">
        <f>IF(OR(I896="Réussi",I896="Exception acceptée"),"GREEN",IF(OR(I896="Non commencé",I896="Échec"),"RED","AMBER"))</f>
        <v/>
      </c>
      <c r="K896" s="19" t="inlineStr"/>
      <c r="L896" s="19" t="inlineStr"/>
      <c r="M896" s="22" t="inlineStr"/>
    </row>
    <row r="897" ht="18" customHeight="1">
      <c r="A897" s="11" t="inlineStr">
        <is>
          <t>AU-8</t>
        </is>
      </c>
      <c r="B897" s="12" t="inlineStr">
        <is>
          <t>Time Stamps</t>
        </is>
      </c>
      <c r="C897" s="12" t="inlineStr">
        <is>
          <t>Security</t>
        </is>
      </c>
      <c r="D897" s="11" t="inlineStr">
        <is>
          <t>AU</t>
        </is>
      </c>
      <c r="E897" s="12" t="inlineStr">
        <is>
          <t>Security</t>
        </is>
      </c>
      <c r="F897" s="12" t="inlineStr">
        <is>
          <t>AU-8</t>
        </is>
      </c>
      <c r="G897" s="13">
        <f>IFERROR('[Security.xlsx]AU-8'!B20,"Not Started")</f>
        <v/>
      </c>
      <c r="H897" s="14">
        <f>IF(OR(G897="Passed",G897="Accepted Exception"),"GREEN",IF(OR(G897="Not Started",G897="Failed"),"RED","AMBER"))</f>
        <v/>
      </c>
      <c r="I897" s="15">
        <f>IFERROR('[Security.xlsx]AU-8'!E20,"Non commencé")</f>
        <v/>
      </c>
      <c r="J897" s="16">
        <f>IF(OR(I897="Réussi",I897="Exception acceptée"),"GREEN",IF(OR(I897="Non commencé",I897="Échec"),"RED","AMBER"))</f>
        <v/>
      </c>
      <c r="K897" s="12" t="inlineStr"/>
      <c r="L897" s="12" t="inlineStr"/>
      <c r="M897" s="17" t="inlineStr"/>
    </row>
    <row r="898" ht="18" customHeight="1">
      <c r="A898" s="18" t="inlineStr">
        <is>
          <t>AU-8(1)</t>
        </is>
      </c>
      <c r="B898" s="19" t="inlineStr">
        <is>
          <t>Time Stamps</t>
        </is>
      </c>
      <c r="C898" s="19" t="inlineStr">
        <is>
          <t>Security</t>
        </is>
      </c>
      <c r="D898" s="18" t="inlineStr">
        <is>
          <t>AU</t>
        </is>
      </c>
      <c r="E898" s="19" t="inlineStr">
        <is>
          <t>Security</t>
        </is>
      </c>
      <c r="F898" s="19" t="inlineStr">
        <is>
          <t>AU-8-1</t>
        </is>
      </c>
      <c r="G898" s="20">
        <f>IFERROR('[Security.xlsx]AU-8-1'!B20,"Not Started")</f>
        <v/>
      </c>
      <c r="H898" s="14">
        <f>IF(OR(G898="Passed",G898="Accepted Exception"),"GREEN",IF(OR(G898="Not Started",G898="Failed"),"RED","AMBER"))</f>
        <v/>
      </c>
      <c r="I898" s="21">
        <f>IFERROR('[Security.xlsx]AU-8-1'!E20,"Non commencé")</f>
        <v/>
      </c>
      <c r="J898" s="16">
        <f>IF(OR(I898="Réussi",I898="Exception acceptée"),"GREEN",IF(OR(I898="Non commencé",I898="Échec"),"RED","AMBER"))</f>
        <v/>
      </c>
      <c r="K898" s="19" t="inlineStr"/>
      <c r="L898" s="19" t="inlineStr"/>
      <c r="M898" s="22" t="inlineStr"/>
    </row>
    <row r="899" ht="18" customHeight="1">
      <c r="A899" s="11" t="inlineStr">
        <is>
          <t>AU-9</t>
        </is>
      </c>
      <c r="B899" s="12" t="inlineStr">
        <is>
          <t>Protection of Audit Information</t>
        </is>
      </c>
      <c r="C899" s="12" t="inlineStr">
        <is>
          <t>Security</t>
        </is>
      </c>
      <c r="D899" s="11" t="inlineStr">
        <is>
          <t>AU</t>
        </is>
      </c>
      <c r="E899" s="12" t="inlineStr">
        <is>
          <t>Security</t>
        </is>
      </c>
      <c r="F899" s="12" t="inlineStr">
        <is>
          <t>AU-9</t>
        </is>
      </c>
      <c r="G899" s="13">
        <f>IFERROR('[Security.xlsx]AU-9'!B20,"Not Started")</f>
        <v/>
      </c>
      <c r="H899" s="14">
        <f>IF(OR(G899="Passed",G899="Accepted Exception"),"GREEN",IF(OR(G899="Not Started",G899="Failed"),"RED","AMBER"))</f>
        <v/>
      </c>
      <c r="I899" s="15">
        <f>IFERROR('[Security.xlsx]AU-9'!E20,"Non commencé")</f>
        <v/>
      </c>
      <c r="J899" s="16">
        <f>IF(OR(I899="Réussi",I899="Exception acceptée"),"GREEN",IF(OR(I899="Non commencé",I899="Échec"),"RED","AMBER"))</f>
        <v/>
      </c>
      <c r="K899" s="12" t="inlineStr"/>
      <c r="L899" s="12" t="inlineStr"/>
      <c r="M899" s="17" t="inlineStr"/>
    </row>
    <row r="900" ht="18" customHeight="1">
      <c r="A900" s="18" t="inlineStr">
        <is>
          <t>AU-9(2)</t>
        </is>
      </c>
      <c r="B900" s="19" t="inlineStr">
        <is>
          <t>Protection of Audit Information</t>
        </is>
      </c>
      <c r="C900" s="19" t="inlineStr">
        <is>
          <t>Security</t>
        </is>
      </c>
      <c r="D900" s="18" t="inlineStr">
        <is>
          <t>AU</t>
        </is>
      </c>
      <c r="E900" s="19" t="inlineStr">
        <is>
          <t>Security</t>
        </is>
      </c>
      <c r="F900" s="19" t="inlineStr">
        <is>
          <t>AU-9-2</t>
        </is>
      </c>
      <c r="G900" s="20">
        <f>IFERROR('[Security.xlsx]AU-9-2'!B20,"Not Started")</f>
        <v/>
      </c>
      <c r="H900" s="14">
        <f>IF(OR(G900="Passed",G900="Accepted Exception"),"GREEN",IF(OR(G900="Not Started",G900="Failed"),"RED","AMBER"))</f>
        <v/>
      </c>
      <c r="I900" s="21">
        <f>IFERROR('[Security.xlsx]AU-9-2'!E20,"Non commencé")</f>
        <v/>
      </c>
      <c r="J900" s="16">
        <f>IF(OR(I900="Réussi",I900="Exception acceptée"),"GREEN",IF(OR(I900="Non commencé",I900="Échec"),"RED","AMBER"))</f>
        <v/>
      </c>
      <c r="K900" s="19" t="inlineStr"/>
      <c r="L900" s="19" t="inlineStr"/>
      <c r="M900" s="22" t="inlineStr"/>
    </row>
    <row r="901" ht="18" customHeight="1">
      <c r="A901" s="11" t="inlineStr">
        <is>
          <t>AU-9(4)</t>
        </is>
      </c>
      <c r="B901" s="12" t="inlineStr">
        <is>
          <t>Protection of Audit Information</t>
        </is>
      </c>
      <c r="C901" s="12" t="inlineStr">
        <is>
          <t>Security</t>
        </is>
      </c>
      <c r="D901" s="11" t="inlineStr">
        <is>
          <t>AU</t>
        </is>
      </c>
      <c r="E901" s="12" t="inlineStr">
        <is>
          <t>Security</t>
        </is>
      </c>
      <c r="F901" s="12" t="inlineStr">
        <is>
          <t>AU-9-4</t>
        </is>
      </c>
      <c r="G901" s="13">
        <f>IFERROR('[Security.xlsx]AU-9-4'!B20,"Not Started")</f>
        <v/>
      </c>
      <c r="H901" s="14">
        <f>IF(OR(G901="Passed",G901="Accepted Exception"),"GREEN",IF(OR(G901="Not Started",G901="Failed"),"RED","AMBER"))</f>
        <v/>
      </c>
      <c r="I901" s="15">
        <f>IFERROR('[Security.xlsx]AU-9-4'!E20,"Non commencé")</f>
        <v/>
      </c>
      <c r="J901" s="16">
        <f>IF(OR(I901="Réussi",I901="Exception acceptée"),"GREEN",IF(OR(I901="Non commencé",I901="Échec"),"RED","AMBER"))</f>
        <v/>
      </c>
      <c r="K901" s="12" t="inlineStr"/>
      <c r="L901" s="12" t="inlineStr"/>
      <c r="M901" s="17" t="inlineStr"/>
    </row>
    <row r="902" ht="18" customHeight="1">
      <c r="A902" s="18" t="inlineStr">
        <is>
          <t>AU-11</t>
        </is>
      </c>
      <c r="B902" s="19" t="inlineStr">
        <is>
          <t>Audit Record Retention</t>
        </is>
      </c>
      <c r="C902" s="19" t="inlineStr">
        <is>
          <t>Security</t>
        </is>
      </c>
      <c r="D902" s="18" t="inlineStr">
        <is>
          <t>AU</t>
        </is>
      </c>
      <c r="E902" s="19" t="inlineStr">
        <is>
          <t>Security</t>
        </is>
      </c>
      <c r="F902" s="19" t="inlineStr">
        <is>
          <t>AU-11</t>
        </is>
      </c>
      <c r="G902" s="20">
        <f>IFERROR('[Security.xlsx]AU-11'!B20,"Not Started")</f>
        <v/>
      </c>
      <c r="H902" s="14">
        <f>IF(OR(G902="Passed",G902="Accepted Exception"),"GREEN",IF(OR(G902="Not Started",G902="Failed"),"RED","AMBER"))</f>
        <v/>
      </c>
      <c r="I902" s="21">
        <f>IFERROR('[Security.xlsx]AU-11'!E20,"Non commencé")</f>
        <v/>
      </c>
      <c r="J902" s="16">
        <f>IF(OR(I902="Réussi",I902="Exception acceptée"),"GREEN",IF(OR(I902="Non commencé",I902="Échec"),"RED","AMBER"))</f>
        <v/>
      </c>
      <c r="K902" s="19" t="inlineStr"/>
      <c r="L902" s="19" t="inlineStr"/>
      <c r="M902" s="22" t="inlineStr"/>
    </row>
    <row r="903" ht="18" customHeight="1">
      <c r="A903" s="11" t="inlineStr">
        <is>
          <t>AU-12</t>
        </is>
      </c>
      <c r="B903" s="12" t="inlineStr">
        <is>
          <t>Audit Generation</t>
        </is>
      </c>
      <c r="C903" s="12" t="inlineStr">
        <is>
          <t>Security</t>
        </is>
      </c>
      <c r="D903" s="11" t="inlineStr">
        <is>
          <t>AU</t>
        </is>
      </c>
      <c r="E903" s="12" t="inlineStr">
        <is>
          <t>Security</t>
        </is>
      </c>
      <c r="F903" s="12" t="inlineStr">
        <is>
          <t>AU-12</t>
        </is>
      </c>
      <c r="G903" s="13">
        <f>IFERROR('[Security.xlsx]AU-12'!B20,"Not Started")</f>
        <v/>
      </c>
      <c r="H903" s="14">
        <f>IF(OR(G903="Passed",G903="Accepted Exception"),"GREEN",IF(OR(G903="Not Started",G903="Failed"),"RED","AMBER"))</f>
        <v/>
      </c>
      <c r="I903" s="15">
        <f>IFERROR('[Security.xlsx]AU-12'!E20,"Non commencé")</f>
        <v/>
      </c>
      <c r="J903" s="16">
        <f>IF(OR(I903="Réussi",I903="Exception acceptée"),"GREEN",IF(OR(I903="Non commencé",I903="Échec"),"RED","AMBER"))</f>
        <v/>
      </c>
      <c r="K903" s="12" t="inlineStr"/>
      <c r="L903" s="12" t="inlineStr"/>
      <c r="M903" s="17" t="inlineStr"/>
    </row>
    <row r="904" ht="18" customHeight="1">
      <c r="A904" s="18" t="inlineStr">
        <is>
          <t>CA-3(5)</t>
        </is>
      </c>
      <c r="B904" s="19" t="inlineStr">
        <is>
          <t>Information System Connections</t>
        </is>
      </c>
      <c r="C904" s="19" t="inlineStr">
        <is>
          <t>Security</t>
        </is>
      </c>
      <c r="D904" s="18" t="inlineStr">
        <is>
          <t>CA</t>
        </is>
      </c>
      <c r="E904" s="19" t="inlineStr">
        <is>
          <t>Security</t>
        </is>
      </c>
      <c r="F904" s="19" t="inlineStr">
        <is>
          <t>CA-3-5</t>
        </is>
      </c>
      <c r="G904" s="20">
        <f>IFERROR('[Security.xlsx]CA-3-5'!B20,"Not Started")</f>
        <v/>
      </c>
      <c r="H904" s="14">
        <f>IF(OR(G904="Passed",G904="Accepted Exception"),"GREEN",IF(OR(G904="Not Started",G904="Failed"),"RED","AMBER"))</f>
        <v/>
      </c>
      <c r="I904" s="21">
        <f>IFERROR('[Security.xlsx]CA-3-5'!E20,"Non commencé")</f>
        <v/>
      </c>
      <c r="J904" s="16">
        <f>IF(OR(I904="Réussi",I904="Exception acceptée"),"GREEN",IF(OR(I904="Non commencé",I904="Échec"),"RED","AMBER"))</f>
        <v/>
      </c>
      <c r="K904" s="19" t="inlineStr"/>
      <c r="L904" s="19" t="inlineStr"/>
      <c r="M904" s="22" t="inlineStr"/>
    </row>
    <row r="905" ht="18" customHeight="1">
      <c r="A905" s="11" t="inlineStr">
        <is>
          <t>CA-9</t>
        </is>
      </c>
      <c r="B905" s="12" t="inlineStr">
        <is>
          <t>Internal System Connections</t>
        </is>
      </c>
      <c r="C905" s="12" t="inlineStr">
        <is>
          <t>Security</t>
        </is>
      </c>
      <c r="D905" s="11" t="inlineStr">
        <is>
          <t>CA</t>
        </is>
      </c>
      <c r="E905" s="12" t="inlineStr">
        <is>
          <t>Security</t>
        </is>
      </c>
      <c r="F905" s="12" t="inlineStr">
        <is>
          <t>CA-9</t>
        </is>
      </c>
      <c r="G905" s="13">
        <f>IFERROR('[Security.xlsx]CA-9'!B20,"Not Started")</f>
        <v/>
      </c>
      <c r="H905" s="14">
        <f>IF(OR(G905="Passed",G905="Accepted Exception"),"GREEN",IF(OR(G905="Not Started",G905="Failed"),"RED","AMBER"))</f>
        <v/>
      </c>
      <c r="I905" s="15">
        <f>IFERROR('[Security.xlsx]CA-9'!E20,"Non commencé")</f>
        <v/>
      </c>
      <c r="J905" s="16">
        <f>IF(OR(I905="Réussi",I905="Exception acceptée"),"GREEN",IF(OR(I905="Non commencé",I905="Échec"),"RED","AMBER"))</f>
        <v/>
      </c>
      <c r="K905" s="12" t="inlineStr"/>
      <c r="L905" s="12" t="inlineStr"/>
      <c r="M905" s="17" t="inlineStr"/>
    </row>
    <row r="906" ht="18" customHeight="1">
      <c r="A906" s="18" t="inlineStr">
        <is>
          <t>CM-5(1)</t>
        </is>
      </c>
      <c r="B906" s="19" t="inlineStr">
        <is>
          <t>Access Restrictions for Change</t>
        </is>
      </c>
      <c r="C906" s="19" t="inlineStr">
        <is>
          <t>Security</t>
        </is>
      </c>
      <c r="D906" s="18" t="inlineStr">
        <is>
          <t>CM</t>
        </is>
      </c>
      <c r="E906" s="19" t="inlineStr">
        <is>
          <t>Security</t>
        </is>
      </c>
      <c r="F906" s="19" t="inlineStr">
        <is>
          <t>CM-5-1</t>
        </is>
      </c>
      <c r="G906" s="20">
        <f>IFERROR('[Security.xlsx]CM-5-1'!B20,"Not Started")</f>
        <v/>
      </c>
      <c r="H906" s="14">
        <f>IF(OR(G906="Passed",G906="Accepted Exception"),"GREEN",IF(OR(G906="Not Started",G906="Failed"),"RED","AMBER"))</f>
        <v/>
      </c>
      <c r="I906" s="21">
        <f>IFERROR('[Security.xlsx]CM-5-1'!E20,"Non commencé")</f>
        <v/>
      </c>
      <c r="J906" s="16">
        <f>IF(OR(I906="Réussi",I906="Exception acceptée"),"GREEN",IF(OR(I906="Non commencé",I906="Échec"),"RED","AMBER"))</f>
        <v/>
      </c>
      <c r="K906" s="19" t="inlineStr"/>
      <c r="L906" s="19" t="inlineStr"/>
      <c r="M906" s="22" t="inlineStr"/>
    </row>
    <row r="907" ht="18" customHeight="1">
      <c r="A907" s="11" t="inlineStr">
        <is>
          <t>CM-6</t>
        </is>
      </c>
      <c r="B907" s="12" t="inlineStr">
        <is>
          <t>Configuration Settings</t>
        </is>
      </c>
      <c r="C907" s="12" t="inlineStr">
        <is>
          <t>Security</t>
        </is>
      </c>
      <c r="D907" s="11" t="inlineStr">
        <is>
          <t>CM</t>
        </is>
      </c>
      <c r="E907" s="12" t="inlineStr">
        <is>
          <t>Security</t>
        </is>
      </c>
      <c r="F907" s="12" t="inlineStr">
        <is>
          <t>CM-6</t>
        </is>
      </c>
      <c r="G907" s="13">
        <f>IFERROR('[Security.xlsx]CM-6'!B20,"Not Started")</f>
        <v/>
      </c>
      <c r="H907" s="14">
        <f>IF(OR(G907="Passed",G907="Accepted Exception"),"GREEN",IF(OR(G907="Not Started",G907="Failed"),"RED","AMBER"))</f>
        <v/>
      </c>
      <c r="I907" s="15">
        <f>IFERROR('[Security.xlsx]CM-6'!E20,"Non commencé")</f>
        <v/>
      </c>
      <c r="J907" s="16">
        <f>IF(OR(I907="Réussi",I907="Exception acceptée"),"GREEN",IF(OR(I907="Non commencé",I907="Échec"),"RED","AMBER"))</f>
        <v/>
      </c>
      <c r="K907" s="12" t="inlineStr"/>
      <c r="L907" s="12" t="inlineStr"/>
      <c r="M907" s="17" t="inlineStr"/>
    </row>
    <row r="908" ht="18" customHeight="1">
      <c r="A908" s="18" t="inlineStr">
        <is>
          <t>CM-7</t>
        </is>
      </c>
      <c r="B908" s="19" t="inlineStr">
        <is>
          <t>Least Functionality</t>
        </is>
      </c>
      <c r="C908" s="19" t="inlineStr">
        <is>
          <t>Security</t>
        </is>
      </c>
      <c r="D908" s="18" t="inlineStr">
        <is>
          <t>CM</t>
        </is>
      </c>
      <c r="E908" s="19" t="inlineStr">
        <is>
          <t>Security</t>
        </is>
      </c>
      <c r="F908" s="19" t="inlineStr">
        <is>
          <t>CM-7</t>
        </is>
      </c>
      <c r="G908" s="20">
        <f>IFERROR('[Security.xlsx]CM-7'!B20,"Not Started")</f>
        <v/>
      </c>
      <c r="H908" s="14">
        <f>IF(OR(G908="Passed",G908="Accepted Exception"),"GREEN",IF(OR(G908="Not Started",G908="Failed"),"RED","AMBER"))</f>
        <v/>
      </c>
      <c r="I908" s="21">
        <f>IFERROR('[Security.xlsx]CM-7'!E20,"Non commencé")</f>
        <v/>
      </c>
      <c r="J908" s="16">
        <f>IF(OR(I908="Réussi",I908="Exception acceptée"),"GREEN",IF(OR(I908="Non commencé",I908="Échec"),"RED","AMBER"))</f>
        <v/>
      </c>
      <c r="K908" s="19" t="inlineStr"/>
      <c r="L908" s="19" t="inlineStr"/>
      <c r="M908" s="22" t="inlineStr"/>
    </row>
    <row r="909" ht="18" customHeight="1">
      <c r="A909" s="11" t="inlineStr">
        <is>
          <t>CM-7(1)</t>
        </is>
      </c>
      <c r="B909" s="12" t="inlineStr">
        <is>
          <t>Least Functionality</t>
        </is>
      </c>
      <c r="C909" s="12" t="inlineStr">
        <is>
          <t>Security</t>
        </is>
      </c>
      <c r="D909" s="11" t="inlineStr">
        <is>
          <t>CM</t>
        </is>
      </c>
      <c r="E909" s="12" t="inlineStr">
        <is>
          <t>Security</t>
        </is>
      </c>
      <c r="F909" s="12" t="inlineStr">
        <is>
          <t>CM-7-1</t>
        </is>
      </c>
      <c r="G909" s="13">
        <f>IFERROR('[Security.xlsx]CM-7-1'!B20,"Not Started")</f>
        <v/>
      </c>
      <c r="H909" s="14">
        <f>IF(OR(G909="Passed",G909="Accepted Exception"),"GREEN",IF(OR(G909="Not Started",G909="Failed"),"RED","AMBER"))</f>
        <v/>
      </c>
      <c r="I909" s="15">
        <f>IFERROR('[Security.xlsx]CM-7-1'!E20,"Non commencé")</f>
        <v/>
      </c>
      <c r="J909" s="16">
        <f>IF(OR(I909="Réussi",I909="Exception acceptée"),"GREEN",IF(OR(I909="Non commencé",I909="Échec"),"RED","AMBER"))</f>
        <v/>
      </c>
      <c r="K909" s="12" t="inlineStr"/>
      <c r="L909" s="12" t="inlineStr"/>
      <c r="M909" s="17" t="inlineStr"/>
    </row>
    <row r="910" ht="18" customHeight="1">
      <c r="A910" s="18" t="inlineStr">
        <is>
          <t>CM-10</t>
        </is>
      </c>
      <c r="B910" s="19" t="inlineStr">
        <is>
          <t>Software Usage Restrictions</t>
        </is>
      </c>
      <c r="C910" s="19" t="inlineStr">
        <is>
          <t>Security</t>
        </is>
      </c>
      <c r="D910" s="18" t="inlineStr">
        <is>
          <t>CM</t>
        </is>
      </c>
      <c r="E910" s="19" t="inlineStr">
        <is>
          <t>Security</t>
        </is>
      </c>
      <c r="F910" s="19" t="inlineStr">
        <is>
          <t>CM-10</t>
        </is>
      </c>
      <c r="G910" s="20">
        <f>IFERROR('[Security.xlsx]CM-10'!B20,"Not Started")</f>
        <v/>
      </c>
      <c r="H910" s="14">
        <f>IF(OR(G910="Passed",G910="Accepted Exception"),"GREEN",IF(OR(G910="Not Started",G910="Failed"),"RED","AMBER"))</f>
        <v/>
      </c>
      <c r="I910" s="21">
        <f>IFERROR('[Security.xlsx]CM-10'!E20,"Non commencé")</f>
        <v/>
      </c>
      <c r="J910" s="16">
        <f>IF(OR(I910="Réussi",I910="Exception acceptée"),"GREEN",IF(OR(I910="Non commencé",I910="Échec"),"RED","AMBER"))</f>
        <v/>
      </c>
      <c r="K910" s="19" t="inlineStr"/>
      <c r="L910" s="19" t="inlineStr"/>
      <c r="M910" s="22" t="inlineStr"/>
    </row>
    <row r="911" ht="18" customHeight="1">
      <c r="A911" s="11" t="inlineStr">
        <is>
          <t>CP-6</t>
        </is>
      </c>
      <c r="B911" s="12" t="inlineStr">
        <is>
          <t>Alternate Storage Site</t>
        </is>
      </c>
      <c r="C911" s="12" t="inlineStr">
        <is>
          <t>Security</t>
        </is>
      </c>
      <c r="D911" s="11" t="inlineStr">
        <is>
          <t>CP</t>
        </is>
      </c>
      <c r="E911" s="12" t="inlineStr">
        <is>
          <t>Security</t>
        </is>
      </c>
      <c r="F911" s="12" t="inlineStr">
        <is>
          <t>CP-6</t>
        </is>
      </c>
      <c r="G911" s="13">
        <f>IFERROR('[Security.xlsx]CP-6'!B20,"Not Started")</f>
        <v/>
      </c>
      <c r="H911" s="14">
        <f>IF(OR(G911="Passed",G911="Accepted Exception"),"GREEN",IF(OR(G911="Not Started",G911="Failed"),"RED","AMBER"))</f>
        <v/>
      </c>
      <c r="I911" s="15">
        <f>IFERROR('[Security.xlsx]CP-6'!E20,"Non commencé")</f>
        <v/>
      </c>
      <c r="J911" s="16">
        <f>IF(OR(I911="Réussi",I911="Exception acceptée"),"GREEN",IF(OR(I911="Non commencé",I911="Échec"),"RED","AMBER"))</f>
        <v/>
      </c>
      <c r="K911" s="12" t="inlineStr"/>
      <c r="L911" s="12" t="inlineStr"/>
      <c r="M911" s="17" t="inlineStr"/>
    </row>
    <row r="912" ht="18" customHeight="1">
      <c r="A912" s="18" t="inlineStr">
        <is>
          <t>CP-6(2)</t>
        </is>
      </c>
      <c r="B912" s="19" t="inlineStr">
        <is>
          <t>Alternate Storage Site</t>
        </is>
      </c>
      <c r="C912" s="19" t="inlineStr">
        <is>
          <t>Security</t>
        </is>
      </c>
      <c r="D912" s="18" t="inlineStr">
        <is>
          <t>CP</t>
        </is>
      </c>
      <c r="E912" s="19" t="inlineStr">
        <is>
          <t>Security</t>
        </is>
      </c>
      <c r="F912" s="19" t="inlineStr">
        <is>
          <t>CP-6-2</t>
        </is>
      </c>
      <c r="G912" s="20">
        <f>IFERROR('[Security.xlsx]CP-6-2'!B20,"Not Started")</f>
        <v/>
      </c>
      <c r="H912" s="14">
        <f>IF(OR(G912="Passed",G912="Accepted Exception"),"GREEN",IF(OR(G912="Not Started",G912="Failed"),"RED","AMBER"))</f>
        <v/>
      </c>
      <c r="I912" s="21">
        <f>IFERROR('[Security.xlsx]CP-6-2'!E20,"Non commencé")</f>
        <v/>
      </c>
      <c r="J912" s="16">
        <f>IF(OR(I912="Réussi",I912="Exception acceptée"),"GREEN",IF(OR(I912="Non commencé",I912="Échec"),"RED","AMBER"))</f>
        <v/>
      </c>
      <c r="K912" s="19" t="inlineStr"/>
      <c r="L912" s="19" t="inlineStr"/>
      <c r="M912" s="22" t="inlineStr"/>
    </row>
    <row r="913" ht="18" customHeight="1">
      <c r="A913" s="11" t="inlineStr">
        <is>
          <t>CP-7</t>
        </is>
      </c>
      <c r="B913" s="12" t="inlineStr">
        <is>
          <t>Alternate Processing Site</t>
        </is>
      </c>
      <c r="C913" s="12" t="inlineStr">
        <is>
          <t>Security</t>
        </is>
      </c>
      <c r="D913" s="11" t="inlineStr">
        <is>
          <t>CP</t>
        </is>
      </c>
      <c r="E913" s="12" t="inlineStr">
        <is>
          <t>Security</t>
        </is>
      </c>
      <c r="F913" s="12" t="inlineStr">
        <is>
          <t>CP-7</t>
        </is>
      </c>
      <c r="G913" s="13">
        <f>IFERROR('[Security.xlsx]CP-7'!B20,"Not Started")</f>
        <v/>
      </c>
      <c r="H913" s="14">
        <f>IF(OR(G913="Passed",G913="Accepted Exception"),"GREEN",IF(OR(G913="Not Started",G913="Failed"),"RED","AMBER"))</f>
        <v/>
      </c>
      <c r="I913" s="15">
        <f>IFERROR('[Security.xlsx]CP-7'!E20,"Non commencé")</f>
        <v/>
      </c>
      <c r="J913" s="16">
        <f>IF(OR(I913="Réussi",I913="Exception acceptée"),"GREEN",IF(OR(I913="Non commencé",I913="Échec"),"RED","AMBER"))</f>
        <v/>
      </c>
      <c r="K913" s="12" t="inlineStr"/>
      <c r="L913" s="12" t="inlineStr"/>
      <c r="M913" s="17" t="inlineStr"/>
    </row>
    <row r="914" ht="18" customHeight="1">
      <c r="A914" s="18" t="inlineStr">
        <is>
          <t>CP-7(4)</t>
        </is>
      </c>
      <c r="B914" s="19" t="inlineStr">
        <is>
          <t>Alternate Processing Site</t>
        </is>
      </c>
      <c r="C914" s="19" t="inlineStr">
        <is>
          <t>Security</t>
        </is>
      </c>
      <c r="D914" s="18" t="inlineStr">
        <is>
          <t>CP</t>
        </is>
      </c>
      <c r="E914" s="19" t="inlineStr">
        <is>
          <t>Security</t>
        </is>
      </c>
      <c r="F914" s="19" t="inlineStr">
        <is>
          <t>CP-7-4</t>
        </is>
      </c>
      <c r="G914" s="20">
        <f>IFERROR('[Security.xlsx]CP-7-4'!B20,"Not Started")</f>
        <v/>
      </c>
      <c r="H914" s="14">
        <f>IF(OR(G914="Passed",G914="Accepted Exception"),"GREEN",IF(OR(G914="Not Started",G914="Failed"),"RED","AMBER"))</f>
        <v/>
      </c>
      <c r="I914" s="21">
        <f>IFERROR('[Security.xlsx]CP-7-4'!E20,"Non commencé")</f>
        <v/>
      </c>
      <c r="J914" s="16">
        <f>IF(OR(I914="Réussi",I914="Exception acceptée"),"GREEN",IF(OR(I914="Non commencé",I914="Échec"),"RED","AMBER"))</f>
        <v/>
      </c>
      <c r="K914" s="19" t="inlineStr"/>
      <c r="L914" s="19" t="inlineStr"/>
      <c r="M914" s="22" t="inlineStr"/>
    </row>
    <row r="915" ht="18" customHeight="1">
      <c r="A915" s="11" t="inlineStr">
        <is>
          <t>CP-10</t>
        </is>
      </c>
      <c r="B915" s="12" t="inlineStr">
        <is>
          <t>Information System Recovery and Reconstitution</t>
        </is>
      </c>
      <c r="C915" s="12" t="inlineStr">
        <is>
          <t>Security</t>
        </is>
      </c>
      <c r="D915" s="11" t="inlineStr">
        <is>
          <t>CP</t>
        </is>
      </c>
      <c r="E915" s="12" t="inlineStr">
        <is>
          <t>Security</t>
        </is>
      </c>
      <c r="F915" s="12" t="inlineStr">
        <is>
          <t>CP-10</t>
        </is>
      </c>
      <c r="G915" s="13">
        <f>IFERROR('[Security.xlsx]CP-10'!B20,"Not Started")</f>
        <v/>
      </c>
      <c r="H915" s="14">
        <f>IF(OR(G915="Passed",G915="Accepted Exception"),"GREEN",IF(OR(G915="Not Started",G915="Failed"),"RED","AMBER"))</f>
        <v/>
      </c>
      <c r="I915" s="15">
        <f>IFERROR('[Security.xlsx]CP-10'!E20,"Non commencé")</f>
        <v/>
      </c>
      <c r="J915" s="16">
        <f>IF(OR(I915="Réussi",I915="Exception acceptée"),"GREEN",IF(OR(I915="Non commencé",I915="Échec"),"RED","AMBER"))</f>
        <v/>
      </c>
      <c r="K915" s="12" t="inlineStr"/>
      <c r="L915" s="12" t="inlineStr"/>
      <c r="M915" s="17" t="inlineStr"/>
    </row>
    <row r="916" ht="18" customHeight="1">
      <c r="A916" s="18" t="inlineStr">
        <is>
          <t>CP-10(4)</t>
        </is>
      </c>
      <c r="B916" s="19" t="inlineStr">
        <is>
          <t>Information System Recovery and Reconstitution</t>
        </is>
      </c>
      <c r="C916" s="19" t="inlineStr">
        <is>
          <t>Security</t>
        </is>
      </c>
      <c r="D916" s="18" t="inlineStr">
        <is>
          <t>CP</t>
        </is>
      </c>
      <c r="E916" s="19" t="inlineStr">
        <is>
          <t>Security</t>
        </is>
      </c>
      <c r="F916" s="19" t="inlineStr">
        <is>
          <t>CP-10-4</t>
        </is>
      </c>
      <c r="G916" s="20">
        <f>IFERROR('[Security.xlsx]CP-10-4'!B20,"Not Started")</f>
        <v/>
      </c>
      <c r="H916" s="14">
        <f>IF(OR(G916="Passed",G916="Accepted Exception"),"GREEN",IF(OR(G916="Not Started",G916="Failed"),"RED","AMBER"))</f>
        <v/>
      </c>
      <c r="I916" s="21">
        <f>IFERROR('[Security.xlsx]CP-10-4'!E20,"Non commencé")</f>
        <v/>
      </c>
      <c r="J916" s="16">
        <f>IF(OR(I916="Réussi",I916="Exception acceptée"),"GREEN",IF(OR(I916="Non commencé",I916="Échec"),"RED","AMBER"))</f>
        <v/>
      </c>
      <c r="K916" s="19" t="inlineStr"/>
      <c r="L916" s="19" t="inlineStr"/>
      <c r="M916" s="22" t="inlineStr"/>
    </row>
    <row r="917" ht="18" customHeight="1">
      <c r="A917" s="11" t="inlineStr">
        <is>
          <t>IA-3</t>
        </is>
      </c>
      <c r="B917" s="12" t="inlineStr">
        <is>
          <t>Device Identification and Authentication</t>
        </is>
      </c>
      <c r="C917" s="12" t="inlineStr">
        <is>
          <t>Security</t>
        </is>
      </c>
      <c r="D917" s="11" t="inlineStr">
        <is>
          <t>IA</t>
        </is>
      </c>
      <c r="E917" s="12" t="inlineStr">
        <is>
          <t>Security</t>
        </is>
      </c>
      <c r="F917" s="12" t="inlineStr">
        <is>
          <t>IA-3</t>
        </is>
      </c>
      <c r="G917" s="13">
        <f>IFERROR('[Security.xlsx]IA-3'!B20,"Not Started")</f>
        <v/>
      </c>
      <c r="H917" s="14">
        <f>IF(OR(G917="Passed",G917="Accepted Exception"),"GREEN",IF(OR(G917="Not Started",G917="Failed"),"RED","AMBER"))</f>
        <v/>
      </c>
      <c r="I917" s="15">
        <f>IFERROR('[Security.xlsx]IA-3'!E20,"Non commencé")</f>
        <v/>
      </c>
      <c r="J917" s="16">
        <f>IF(OR(I917="Réussi",I917="Exception acceptée"),"GREEN",IF(OR(I917="Non commencé",I917="Échec"),"RED","AMBER"))</f>
        <v/>
      </c>
      <c r="K917" s="12" t="inlineStr"/>
      <c r="L917" s="12" t="inlineStr"/>
      <c r="M917" s="17" t="inlineStr"/>
    </row>
    <row r="918" ht="18" customHeight="1">
      <c r="A918" s="18" t="inlineStr">
        <is>
          <t>IA-5(4)</t>
        </is>
      </c>
      <c r="B918" s="19" t="inlineStr">
        <is>
          <t>Authenticator Management</t>
        </is>
      </c>
      <c r="C918" s="19" t="inlineStr">
        <is>
          <t>Security</t>
        </is>
      </c>
      <c r="D918" s="18" t="inlineStr">
        <is>
          <t>IA</t>
        </is>
      </c>
      <c r="E918" s="19" t="inlineStr">
        <is>
          <t>Security</t>
        </is>
      </c>
      <c r="F918" s="19" t="inlineStr">
        <is>
          <t>IA-5-4</t>
        </is>
      </c>
      <c r="G918" s="20">
        <f>IFERROR('[Security.xlsx]IA-5-4'!B20,"Not Started")</f>
        <v/>
      </c>
      <c r="H918" s="14">
        <f>IF(OR(G918="Passed",G918="Accepted Exception"),"GREEN",IF(OR(G918="Not Started",G918="Failed"),"RED","AMBER"))</f>
        <v/>
      </c>
      <c r="I918" s="21">
        <f>IFERROR('[Security.xlsx]IA-5-4'!E20,"Non commencé")</f>
        <v/>
      </c>
      <c r="J918" s="16">
        <f>IF(OR(I918="Réussi",I918="Exception acceptée"),"GREEN",IF(OR(I918="Non commencé",I918="Échec"),"RED","AMBER"))</f>
        <v/>
      </c>
      <c r="K918" s="19" t="inlineStr"/>
      <c r="L918" s="19" t="inlineStr"/>
      <c r="M918" s="22" t="inlineStr"/>
    </row>
    <row r="919" ht="18" customHeight="1">
      <c r="A919" s="11" t="inlineStr">
        <is>
          <t>IA-5(6)</t>
        </is>
      </c>
      <c r="B919" s="12" t="inlineStr">
        <is>
          <t>Authenticator Management</t>
        </is>
      </c>
      <c r="C919" s="12" t="inlineStr">
        <is>
          <t>Security</t>
        </is>
      </c>
      <c r="D919" s="11" t="inlineStr">
        <is>
          <t>IA</t>
        </is>
      </c>
      <c r="E919" s="12" t="inlineStr">
        <is>
          <t>Security</t>
        </is>
      </c>
      <c r="F919" s="12" t="inlineStr">
        <is>
          <t>IA-5-6</t>
        </is>
      </c>
      <c r="G919" s="13">
        <f>IFERROR('[Security.xlsx]IA-5-6'!B20,"Not Started")</f>
        <v/>
      </c>
      <c r="H919" s="14">
        <f>IF(OR(G919="Passed",G919="Accepted Exception"),"GREEN",IF(OR(G919="Not Started",G919="Failed"),"RED","AMBER"))</f>
        <v/>
      </c>
      <c r="I919" s="15">
        <f>IFERROR('[Security.xlsx]IA-5-6'!E20,"Non commencé")</f>
        <v/>
      </c>
      <c r="J919" s="16">
        <f>IF(OR(I919="Réussi",I919="Exception acceptée"),"GREEN",IF(OR(I919="Non commencé",I919="Échec"),"RED","AMBER"))</f>
        <v/>
      </c>
      <c r="K919" s="12" t="inlineStr"/>
      <c r="L919" s="12" t="inlineStr"/>
      <c r="M919" s="17" t="inlineStr"/>
    </row>
    <row r="920" ht="18" customHeight="1">
      <c r="A920" s="18" t="inlineStr">
        <is>
          <t>MA-4(6)</t>
        </is>
      </c>
      <c r="B920" s="19" t="inlineStr">
        <is>
          <t>Non-Local Maintenance</t>
        </is>
      </c>
      <c r="C920" s="19" t="inlineStr">
        <is>
          <t>Security</t>
        </is>
      </c>
      <c r="D920" s="18" t="inlineStr">
        <is>
          <t>MA</t>
        </is>
      </c>
      <c r="E920" s="19" t="inlineStr">
        <is>
          <t>Security</t>
        </is>
      </c>
      <c r="F920" s="19" t="inlineStr">
        <is>
          <t>MA-4-6</t>
        </is>
      </c>
      <c r="G920" s="20">
        <f>IFERROR('[Security.xlsx]MA-4-6'!B20,"Not Started")</f>
        <v/>
      </c>
      <c r="H920" s="14">
        <f>IF(OR(G920="Passed",G920="Accepted Exception"),"GREEN",IF(OR(G920="Not Started",G920="Failed"),"RED","AMBER"))</f>
        <v/>
      </c>
      <c r="I920" s="21">
        <f>IFERROR('[Security.xlsx]MA-4-6'!E20,"Non commencé")</f>
        <v/>
      </c>
      <c r="J920" s="16">
        <f>IF(OR(I920="Réussi",I920="Exception acceptée"),"GREEN",IF(OR(I920="Non commencé",I920="Échec"),"RED","AMBER"))</f>
        <v/>
      </c>
      <c r="K920" s="19" t="inlineStr"/>
      <c r="L920" s="19" t="inlineStr"/>
      <c r="M920" s="22" t="inlineStr"/>
    </row>
    <row r="921" ht="18" customHeight="1">
      <c r="A921" s="11" t="inlineStr">
        <is>
          <t>RA-5</t>
        </is>
      </c>
      <c r="B921" s="12" t="inlineStr">
        <is>
          <t>Vulnerability Scanning</t>
        </is>
      </c>
      <c r="C921" s="12" t="inlineStr">
        <is>
          <t>Security</t>
        </is>
      </c>
      <c r="D921" s="11" t="inlineStr">
        <is>
          <t>RA</t>
        </is>
      </c>
      <c r="E921" s="12" t="inlineStr">
        <is>
          <t>Security</t>
        </is>
      </c>
      <c r="F921" s="12" t="inlineStr">
        <is>
          <t>RA-5</t>
        </is>
      </c>
      <c r="G921" s="13">
        <f>IFERROR('[Security.xlsx]RA-5'!B20,"Not Started")</f>
        <v/>
      </c>
      <c r="H921" s="14">
        <f>IF(OR(G921="Passed",G921="Accepted Exception"),"GREEN",IF(OR(G921="Not Started",G921="Failed"),"RED","AMBER"))</f>
        <v/>
      </c>
      <c r="I921" s="15">
        <f>IFERROR('[Security.xlsx]RA-5'!E20,"Non commencé")</f>
        <v/>
      </c>
      <c r="J921" s="16">
        <f>IF(OR(I921="Réussi",I921="Exception acceptée"),"GREEN",IF(OR(I921="Non commencé",I921="Échec"),"RED","AMBER"))</f>
        <v/>
      </c>
      <c r="K921" s="12" t="inlineStr"/>
      <c r="L921" s="12" t="inlineStr"/>
      <c r="M921" s="17" t="inlineStr"/>
    </row>
    <row r="922" ht="18" customHeight="1">
      <c r="A922" s="18" t="inlineStr">
        <is>
          <t>RA-5(1)</t>
        </is>
      </c>
      <c r="B922" s="19" t="inlineStr">
        <is>
          <t>Vulnerability Scanning</t>
        </is>
      </c>
      <c r="C922" s="19" t="inlineStr">
        <is>
          <t>Security</t>
        </is>
      </c>
      <c r="D922" s="18" t="inlineStr">
        <is>
          <t>RA</t>
        </is>
      </c>
      <c r="E922" s="19" t="inlineStr">
        <is>
          <t>Security</t>
        </is>
      </c>
      <c r="F922" s="19" t="inlineStr">
        <is>
          <t>RA-5-1</t>
        </is>
      </c>
      <c r="G922" s="20">
        <f>IFERROR('[Security.xlsx]RA-5-1'!B20,"Not Started")</f>
        <v/>
      </c>
      <c r="H922" s="14">
        <f>IF(OR(G922="Passed",G922="Accepted Exception"),"GREEN",IF(OR(G922="Not Started",G922="Failed"),"RED","AMBER"))</f>
        <v/>
      </c>
      <c r="I922" s="21">
        <f>IFERROR('[Security.xlsx]RA-5-1'!E20,"Non commencé")</f>
        <v/>
      </c>
      <c r="J922" s="16">
        <f>IF(OR(I922="Réussi",I922="Exception acceptée"),"GREEN",IF(OR(I922="Non commencé",I922="Échec"),"RED","AMBER"))</f>
        <v/>
      </c>
      <c r="K922" s="19" t="inlineStr"/>
      <c r="L922" s="19" t="inlineStr"/>
      <c r="M922" s="22" t="inlineStr"/>
    </row>
    <row r="923" ht="18" customHeight="1">
      <c r="A923" s="11" t="inlineStr">
        <is>
          <t>RA-5(2)</t>
        </is>
      </c>
      <c r="B923" s="12" t="inlineStr">
        <is>
          <t>Vulnerability Scanning</t>
        </is>
      </c>
      <c r="C923" s="12" t="inlineStr">
        <is>
          <t>Security</t>
        </is>
      </c>
      <c r="D923" s="11" t="inlineStr">
        <is>
          <t>RA</t>
        </is>
      </c>
      <c r="E923" s="12" t="inlineStr">
        <is>
          <t>Security</t>
        </is>
      </c>
      <c r="F923" s="12" t="inlineStr">
        <is>
          <t>RA-5-2</t>
        </is>
      </c>
      <c r="G923" s="13">
        <f>IFERROR('[Security.xlsx]RA-5-2'!B20,"Not Started")</f>
        <v/>
      </c>
      <c r="H923" s="14">
        <f>IF(OR(G923="Passed",G923="Accepted Exception"),"GREEN",IF(OR(G923="Not Started",G923="Failed"),"RED","AMBER"))</f>
        <v/>
      </c>
      <c r="I923" s="15">
        <f>IFERROR('[Security.xlsx]RA-5-2'!E20,"Non commencé")</f>
        <v/>
      </c>
      <c r="J923" s="16">
        <f>IF(OR(I923="Réussi",I923="Exception acceptée"),"GREEN",IF(OR(I923="Non commencé",I923="Échec"),"RED","AMBER"))</f>
        <v/>
      </c>
      <c r="K923" s="12" t="inlineStr"/>
      <c r="L923" s="12" t="inlineStr"/>
      <c r="M923" s="17" t="inlineStr"/>
    </row>
    <row r="924" ht="18" customHeight="1">
      <c r="A924" s="18" t="inlineStr">
        <is>
          <t>RA-5(3)</t>
        </is>
      </c>
      <c r="B924" s="19" t="inlineStr">
        <is>
          <t>Vulnerability Scanning</t>
        </is>
      </c>
      <c r="C924" s="19" t="inlineStr">
        <is>
          <t>Security</t>
        </is>
      </c>
      <c r="D924" s="18" t="inlineStr">
        <is>
          <t>RA</t>
        </is>
      </c>
      <c r="E924" s="19" t="inlineStr">
        <is>
          <t>Security</t>
        </is>
      </c>
      <c r="F924" s="19" t="inlineStr">
        <is>
          <t>RA-5-3</t>
        </is>
      </c>
      <c r="G924" s="20">
        <f>IFERROR('[Security.xlsx]RA-5-3'!B20,"Not Started")</f>
        <v/>
      </c>
      <c r="H924" s="14">
        <f>IF(OR(G924="Passed",G924="Accepted Exception"),"GREEN",IF(OR(G924="Not Started",G924="Failed"),"RED","AMBER"))</f>
        <v/>
      </c>
      <c r="I924" s="21">
        <f>IFERROR('[Security.xlsx]RA-5-3'!E20,"Non commencé")</f>
        <v/>
      </c>
      <c r="J924" s="16">
        <f>IF(OR(I924="Réussi",I924="Exception acceptée"),"GREEN",IF(OR(I924="Non commencé",I924="Échec"),"RED","AMBER"))</f>
        <v/>
      </c>
      <c r="K924" s="19" t="inlineStr"/>
      <c r="L924" s="19" t="inlineStr"/>
      <c r="M924" s="22" t="inlineStr"/>
    </row>
    <row r="925" ht="18" customHeight="1">
      <c r="A925" s="11" t="inlineStr">
        <is>
          <t>RA-5(5)</t>
        </is>
      </c>
      <c r="B925" s="12" t="inlineStr">
        <is>
          <t>Vulnerability Scanning</t>
        </is>
      </c>
      <c r="C925" s="12" t="inlineStr">
        <is>
          <t>Security</t>
        </is>
      </c>
      <c r="D925" s="11" t="inlineStr">
        <is>
          <t>RA</t>
        </is>
      </c>
      <c r="E925" s="12" t="inlineStr">
        <is>
          <t>Security</t>
        </is>
      </c>
      <c r="F925" s="12" t="inlineStr">
        <is>
          <t>RA-5-5</t>
        </is>
      </c>
      <c r="G925" s="13">
        <f>IFERROR('[Security.xlsx]RA-5-5'!B20,"Not Started")</f>
        <v/>
      </c>
      <c r="H925" s="14">
        <f>IF(OR(G925="Passed",G925="Accepted Exception"),"GREEN",IF(OR(G925="Not Started",G925="Failed"),"RED","AMBER"))</f>
        <v/>
      </c>
      <c r="I925" s="15">
        <f>IFERROR('[Security.xlsx]RA-5-5'!E20,"Non commencé")</f>
        <v/>
      </c>
      <c r="J925" s="16">
        <f>IF(OR(I925="Réussi",I925="Exception acceptée"),"GREEN",IF(OR(I925="Non commencé",I925="Échec"),"RED","AMBER"))</f>
        <v/>
      </c>
      <c r="K925" s="12" t="inlineStr"/>
      <c r="L925" s="12" t="inlineStr"/>
      <c r="M925" s="17" t="inlineStr"/>
    </row>
    <row r="926" ht="18" customHeight="1">
      <c r="A926" s="18" t="inlineStr">
        <is>
          <t>RA-5(6)</t>
        </is>
      </c>
      <c r="B926" s="19" t="inlineStr">
        <is>
          <t>Vulnerability Scanning</t>
        </is>
      </c>
      <c r="C926" s="19" t="inlineStr">
        <is>
          <t>Security</t>
        </is>
      </c>
      <c r="D926" s="18" t="inlineStr">
        <is>
          <t>RA</t>
        </is>
      </c>
      <c r="E926" s="19" t="inlineStr">
        <is>
          <t>Security</t>
        </is>
      </c>
      <c r="F926" s="19" t="inlineStr">
        <is>
          <t>RA-5-6</t>
        </is>
      </c>
      <c r="G926" s="20">
        <f>IFERROR('[Security.xlsx]RA-5-6'!B20,"Not Started")</f>
        <v/>
      </c>
      <c r="H926" s="14">
        <f>IF(OR(G926="Passed",G926="Accepted Exception"),"GREEN",IF(OR(G926="Not Started",G926="Failed"),"RED","AMBER"))</f>
        <v/>
      </c>
      <c r="I926" s="21">
        <f>IFERROR('[Security.xlsx]RA-5-6'!E20,"Non commencé")</f>
        <v/>
      </c>
      <c r="J926" s="16">
        <f>IF(OR(I926="Réussi",I926="Exception acceptée"),"GREEN",IF(OR(I926="Non commencé",I926="Échec"),"RED","AMBER"))</f>
        <v/>
      </c>
      <c r="K926" s="19" t="inlineStr"/>
      <c r="L926" s="19" t="inlineStr"/>
      <c r="M926" s="22" t="inlineStr"/>
    </row>
    <row r="927" ht="18" customHeight="1">
      <c r="A927" s="11" t="inlineStr">
        <is>
          <t>RA-5(8)</t>
        </is>
      </c>
      <c r="B927" s="12" t="inlineStr">
        <is>
          <t>Vulnerability Scanning</t>
        </is>
      </c>
      <c r="C927" s="12" t="inlineStr">
        <is>
          <t>Security</t>
        </is>
      </c>
      <c r="D927" s="11" t="inlineStr">
        <is>
          <t>RA</t>
        </is>
      </c>
      <c r="E927" s="12" t="inlineStr">
        <is>
          <t>Security</t>
        </is>
      </c>
      <c r="F927" s="12" t="inlineStr">
        <is>
          <t>RA-5-8</t>
        </is>
      </c>
      <c r="G927" s="13">
        <f>IFERROR('[Security.xlsx]RA-5-8'!B20,"Not Started")</f>
        <v/>
      </c>
      <c r="H927" s="14">
        <f>IF(OR(G927="Passed",G927="Accepted Exception"),"GREEN",IF(OR(G927="Not Started",G927="Failed"),"RED","AMBER"))</f>
        <v/>
      </c>
      <c r="I927" s="15">
        <f>IFERROR('[Security.xlsx]RA-5-8'!E20,"Non commencé")</f>
        <v/>
      </c>
      <c r="J927" s="16">
        <f>IF(OR(I927="Réussi",I927="Exception acceptée"),"GREEN",IF(OR(I927="Non commencé",I927="Échec"),"RED","AMBER"))</f>
        <v/>
      </c>
      <c r="K927" s="12" t="inlineStr"/>
      <c r="L927" s="12" t="inlineStr"/>
      <c r="M927" s="17" t="inlineStr"/>
    </row>
    <row r="928" ht="18" customHeight="1">
      <c r="A928" s="18" t="inlineStr">
        <is>
          <t>SA-9(5)</t>
        </is>
      </c>
      <c r="B928" s="19" t="inlineStr">
        <is>
          <t>External Information System Services</t>
        </is>
      </c>
      <c r="C928" s="19" t="inlineStr">
        <is>
          <t>Security</t>
        </is>
      </c>
      <c r="D928" s="18" t="inlineStr">
        <is>
          <t>SA</t>
        </is>
      </c>
      <c r="E928" s="19" t="inlineStr">
        <is>
          <t>Security</t>
        </is>
      </c>
      <c r="F928" s="19" t="inlineStr">
        <is>
          <t>SA-9-5</t>
        </is>
      </c>
      <c r="G928" s="20">
        <f>IFERROR('[Security.xlsx]SA-9-5'!B20,"Not Started")</f>
        <v/>
      </c>
      <c r="H928" s="14">
        <f>IF(OR(G928="Passed",G928="Accepted Exception"),"GREEN",IF(OR(G928="Not Started",G928="Failed"),"RED","AMBER"))</f>
        <v/>
      </c>
      <c r="I928" s="21">
        <f>IFERROR('[Security.xlsx]SA-9-5'!E20,"Non commencé")</f>
        <v/>
      </c>
      <c r="J928" s="16">
        <f>IF(OR(I928="Réussi",I928="Exception acceptée"),"GREEN",IF(OR(I928="Non commencé",I928="Échec"),"RED","AMBER"))</f>
        <v/>
      </c>
      <c r="K928" s="19" t="inlineStr"/>
      <c r="L928" s="19" t="inlineStr"/>
      <c r="M928" s="22" t="inlineStr"/>
    </row>
    <row r="929" ht="18" customHeight="1">
      <c r="A929" s="11" t="inlineStr">
        <is>
          <t>SC-2</t>
        </is>
      </c>
      <c r="B929" s="12" t="inlineStr">
        <is>
          <t>Application Partitioning</t>
        </is>
      </c>
      <c r="C929" s="12" t="inlineStr">
        <is>
          <t>Security</t>
        </is>
      </c>
      <c r="D929" s="11" t="inlineStr">
        <is>
          <t>SC</t>
        </is>
      </c>
      <c r="E929" s="12" t="inlineStr">
        <is>
          <t>Security</t>
        </is>
      </c>
      <c r="F929" s="12" t="inlineStr">
        <is>
          <t>SC-2</t>
        </is>
      </c>
      <c r="G929" s="13">
        <f>IFERROR('[Security.xlsx]SC-2'!B20,"Not Started")</f>
        <v/>
      </c>
      <c r="H929" s="14">
        <f>IF(OR(G929="Passed",G929="Accepted Exception"),"GREEN",IF(OR(G929="Not Started",G929="Failed"),"RED","AMBER"))</f>
        <v/>
      </c>
      <c r="I929" s="15">
        <f>IFERROR('[Security.xlsx]SC-2'!E20,"Non commencé")</f>
        <v/>
      </c>
      <c r="J929" s="16">
        <f>IF(OR(I929="Réussi",I929="Exception acceptée"),"GREEN",IF(OR(I929="Non commencé",I929="Échec"),"RED","AMBER"))</f>
        <v/>
      </c>
      <c r="K929" s="12" t="inlineStr"/>
      <c r="L929" s="12" t="inlineStr"/>
      <c r="M929" s="17" t="inlineStr"/>
    </row>
    <row r="930" ht="18" customHeight="1">
      <c r="A930" s="18" t="inlineStr">
        <is>
          <t>SC-4</t>
        </is>
      </c>
      <c r="B930" s="19" t="inlineStr">
        <is>
          <t>Information in Shared Resources</t>
        </is>
      </c>
      <c r="C930" s="19" t="inlineStr">
        <is>
          <t>Security</t>
        </is>
      </c>
      <c r="D930" s="18" t="inlineStr">
        <is>
          <t>SC</t>
        </is>
      </c>
      <c r="E930" s="19" t="inlineStr">
        <is>
          <t>Security</t>
        </is>
      </c>
      <c r="F930" s="19" t="inlineStr">
        <is>
          <t>SC-4</t>
        </is>
      </c>
      <c r="G930" s="20">
        <f>IFERROR('[Security.xlsx]SC-4'!B20,"Not Started")</f>
        <v/>
      </c>
      <c r="H930" s="14">
        <f>IF(OR(G930="Passed",G930="Accepted Exception"),"GREEN",IF(OR(G930="Not Started",G930="Failed"),"RED","AMBER"))</f>
        <v/>
      </c>
      <c r="I930" s="21">
        <f>IFERROR('[Security.xlsx]SC-4'!E20,"Non commencé")</f>
        <v/>
      </c>
      <c r="J930" s="16">
        <f>IF(OR(I930="Réussi",I930="Exception acceptée"),"GREEN",IF(OR(I930="Non commencé",I930="Échec"),"RED","AMBER"))</f>
        <v/>
      </c>
      <c r="K930" s="19" t="inlineStr"/>
      <c r="L930" s="19" t="inlineStr"/>
      <c r="M930" s="22" t="inlineStr"/>
    </row>
    <row r="931" ht="18" customHeight="1">
      <c r="A931" s="11" t="inlineStr">
        <is>
          <t>SC-5</t>
        </is>
      </c>
      <c r="B931" s="12" t="inlineStr">
        <is>
          <t>Denial of Service Protection</t>
        </is>
      </c>
      <c r="C931" s="12" t="inlineStr">
        <is>
          <t>Security</t>
        </is>
      </c>
      <c r="D931" s="11" t="inlineStr">
        <is>
          <t>SC</t>
        </is>
      </c>
      <c r="E931" s="12" t="inlineStr">
        <is>
          <t>Security</t>
        </is>
      </c>
      <c r="F931" s="12" t="inlineStr">
        <is>
          <t>SC-5</t>
        </is>
      </c>
      <c r="G931" s="13">
        <f>IFERROR('[Security.xlsx]SC-5'!B20,"Not Started")</f>
        <v/>
      </c>
      <c r="H931" s="14">
        <f>IF(OR(G931="Passed",G931="Accepted Exception"),"GREEN",IF(OR(G931="Not Started",G931="Failed"),"RED","AMBER"))</f>
        <v/>
      </c>
      <c r="I931" s="15">
        <f>IFERROR('[Security.xlsx]SC-5'!E20,"Non commencé")</f>
        <v/>
      </c>
      <c r="J931" s="16">
        <f>IF(OR(I931="Réussi",I931="Exception acceptée"),"GREEN",IF(OR(I931="Non commencé",I931="Échec"),"RED","AMBER"))</f>
        <v/>
      </c>
      <c r="K931" s="12" t="inlineStr"/>
      <c r="L931" s="12" t="inlineStr"/>
      <c r="M931" s="17" t="inlineStr"/>
    </row>
    <row r="932" ht="18" customHeight="1">
      <c r="A932" s="18" t="inlineStr">
        <is>
          <t>SC-7</t>
        </is>
      </c>
      <c r="B932" s="19" t="inlineStr">
        <is>
          <t>Boundary Protection</t>
        </is>
      </c>
      <c r="C932" s="19" t="inlineStr">
        <is>
          <t>Security</t>
        </is>
      </c>
      <c r="D932" s="18" t="inlineStr">
        <is>
          <t>SC</t>
        </is>
      </c>
      <c r="E932" s="19" t="inlineStr">
        <is>
          <t>Security</t>
        </is>
      </c>
      <c r="F932" s="19" t="inlineStr">
        <is>
          <t>SC-7</t>
        </is>
      </c>
      <c r="G932" s="20">
        <f>IFERROR('[Security.xlsx]SC-7'!B20,"Not Started")</f>
        <v/>
      </c>
      <c r="H932" s="14">
        <f>IF(OR(G932="Passed",G932="Accepted Exception"),"GREEN",IF(OR(G932="Not Started",G932="Failed"),"RED","AMBER"))</f>
        <v/>
      </c>
      <c r="I932" s="21">
        <f>IFERROR('[Security.xlsx]SC-7'!E20,"Non commencé")</f>
        <v/>
      </c>
      <c r="J932" s="16">
        <f>IF(OR(I932="Réussi",I932="Exception acceptée"),"GREEN",IF(OR(I932="Non commencé",I932="Échec"),"RED","AMBER"))</f>
        <v/>
      </c>
      <c r="K932" s="19" t="inlineStr"/>
      <c r="L932" s="19" t="inlineStr"/>
      <c r="M932" s="22" t="inlineStr"/>
    </row>
    <row r="933" ht="18" customHeight="1">
      <c r="A933" s="11" t="inlineStr">
        <is>
          <t>SC-7(3)</t>
        </is>
      </c>
      <c r="B933" s="12" t="inlineStr">
        <is>
          <t>Boundary Protection</t>
        </is>
      </c>
      <c r="C933" s="12" t="inlineStr">
        <is>
          <t>Security</t>
        </is>
      </c>
      <c r="D933" s="11" t="inlineStr">
        <is>
          <t>SC</t>
        </is>
      </c>
      <c r="E933" s="12" t="inlineStr">
        <is>
          <t>Security</t>
        </is>
      </c>
      <c r="F933" s="12" t="inlineStr">
        <is>
          <t>SC-7-3</t>
        </is>
      </c>
      <c r="G933" s="13">
        <f>IFERROR('[Security.xlsx]SC-7-3'!B20,"Not Started")</f>
        <v/>
      </c>
      <c r="H933" s="14">
        <f>IF(OR(G933="Passed",G933="Accepted Exception"),"GREEN",IF(OR(G933="Not Started",G933="Failed"),"RED","AMBER"))</f>
        <v/>
      </c>
      <c r="I933" s="15">
        <f>IFERROR('[Security.xlsx]SC-7-3'!E20,"Non commencé")</f>
        <v/>
      </c>
      <c r="J933" s="16">
        <f>IF(OR(I933="Réussi",I933="Exception acceptée"),"GREEN",IF(OR(I933="Non commencé",I933="Échec"),"RED","AMBER"))</f>
        <v/>
      </c>
      <c r="K933" s="12" t="inlineStr"/>
      <c r="L933" s="12" t="inlineStr"/>
      <c r="M933" s="17" t="inlineStr"/>
    </row>
    <row r="934" ht="18" customHeight="1">
      <c r="A934" s="18" t="inlineStr">
        <is>
          <t>SC-7(4)</t>
        </is>
      </c>
      <c r="B934" s="19" t="inlineStr">
        <is>
          <t>Boundary Protection</t>
        </is>
      </c>
      <c r="C934" s="19" t="inlineStr">
        <is>
          <t>Security</t>
        </is>
      </c>
      <c r="D934" s="18" t="inlineStr">
        <is>
          <t>SC</t>
        </is>
      </c>
      <c r="E934" s="19" t="inlineStr">
        <is>
          <t>Security</t>
        </is>
      </c>
      <c r="F934" s="19" t="inlineStr">
        <is>
          <t>SC-7-4</t>
        </is>
      </c>
      <c r="G934" s="20">
        <f>IFERROR('[Security.xlsx]SC-7-4'!B20,"Not Started")</f>
        <v/>
      </c>
      <c r="H934" s="14">
        <f>IF(OR(G934="Passed",G934="Accepted Exception"),"GREEN",IF(OR(G934="Not Started",G934="Failed"),"RED","AMBER"))</f>
        <v/>
      </c>
      <c r="I934" s="21">
        <f>IFERROR('[Security.xlsx]SC-7-4'!E20,"Non commencé")</f>
        <v/>
      </c>
      <c r="J934" s="16">
        <f>IF(OR(I934="Réussi",I934="Exception acceptée"),"GREEN",IF(OR(I934="Non commencé",I934="Échec"),"RED","AMBER"))</f>
        <v/>
      </c>
      <c r="K934" s="19" t="inlineStr"/>
      <c r="L934" s="19" t="inlineStr"/>
      <c r="M934" s="22" t="inlineStr"/>
    </row>
    <row r="935" ht="18" customHeight="1">
      <c r="A935" s="11" t="inlineStr">
        <is>
          <t>SC-7(5)</t>
        </is>
      </c>
      <c r="B935" s="12" t="inlineStr">
        <is>
          <t>Boundary Protection</t>
        </is>
      </c>
      <c r="C935" s="12" t="inlineStr">
        <is>
          <t>Security</t>
        </is>
      </c>
      <c r="D935" s="11" t="inlineStr">
        <is>
          <t>SC</t>
        </is>
      </c>
      <c r="E935" s="12" t="inlineStr">
        <is>
          <t>Security</t>
        </is>
      </c>
      <c r="F935" s="12" t="inlineStr">
        <is>
          <t>SC-7-5</t>
        </is>
      </c>
      <c r="G935" s="13">
        <f>IFERROR('[Security.xlsx]SC-7-5'!B20,"Not Started")</f>
        <v/>
      </c>
      <c r="H935" s="14">
        <f>IF(OR(G935="Passed",G935="Accepted Exception"),"GREEN",IF(OR(G935="Not Started",G935="Failed"),"RED","AMBER"))</f>
        <v/>
      </c>
      <c r="I935" s="15">
        <f>IFERROR('[Security.xlsx]SC-7-5'!E20,"Non commencé")</f>
        <v/>
      </c>
      <c r="J935" s="16">
        <f>IF(OR(I935="Réussi",I935="Exception acceptée"),"GREEN",IF(OR(I935="Non commencé",I935="Échec"),"RED","AMBER"))</f>
        <v/>
      </c>
      <c r="K935" s="12" t="inlineStr"/>
      <c r="L935" s="12" t="inlineStr"/>
      <c r="M935" s="17" t="inlineStr"/>
    </row>
    <row r="936" ht="18" customHeight="1">
      <c r="A936" s="18" t="inlineStr">
        <is>
          <t>SC-7(8)</t>
        </is>
      </c>
      <c r="B936" s="19" t="inlineStr">
        <is>
          <t>Boundary Protection</t>
        </is>
      </c>
      <c r="C936" s="19" t="inlineStr">
        <is>
          <t>Security</t>
        </is>
      </c>
      <c r="D936" s="18" t="inlineStr">
        <is>
          <t>SC</t>
        </is>
      </c>
      <c r="E936" s="19" t="inlineStr">
        <is>
          <t>Security</t>
        </is>
      </c>
      <c r="F936" s="19" t="inlineStr">
        <is>
          <t>SC-7-8</t>
        </is>
      </c>
      <c r="G936" s="20">
        <f>IFERROR('[Security.xlsx]SC-7-8'!B20,"Not Started")</f>
        <v/>
      </c>
      <c r="H936" s="14">
        <f>IF(OR(G936="Passed",G936="Accepted Exception"),"GREEN",IF(OR(G936="Not Started",G936="Failed"),"RED","AMBER"))</f>
        <v/>
      </c>
      <c r="I936" s="21">
        <f>IFERROR('[Security.xlsx]SC-7-8'!E20,"Non commencé")</f>
        <v/>
      </c>
      <c r="J936" s="16">
        <f>IF(OR(I936="Réussi",I936="Exception acceptée"),"GREEN",IF(OR(I936="Non commencé",I936="Échec"),"RED","AMBER"))</f>
        <v/>
      </c>
      <c r="K936" s="19" t="inlineStr"/>
      <c r="L936" s="19" t="inlineStr"/>
      <c r="M936" s="22" t="inlineStr"/>
    </row>
    <row r="937" ht="18" customHeight="1">
      <c r="A937" s="11" t="inlineStr">
        <is>
          <t>SC-7(18)</t>
        </is>
      </c>
      <c r="B937" s="12" t="inlineStr">
        <is>
          <t>Boundary Protection</t>
        </is>
      </c>
      <c r="C937" s="12" t="inlineStr">
        <is>
          <t>Security</t>
        </is>
      </c>
      <c r="D937" s="11" t="inlineStr">
        <is>
          <t>SC</t>
        </is>
      </c>
      <c r="E937" s="12" t="inlineStr">
        <is>
          <t>Security</t>
        </is>
      </c>
      <c r="F937" s="12" t="inlineStr">
        <is>
          <t>SC-7-18</t>
        </is>
      </c>
      <c r="G937" s="13">
        <f>IFERROR('[Security.xlsx]SC-7-18'!B20,"Not Started")</f>
        <v/>
      </c>
      <c r="H937" s="14">
        <f>IF(OR(G937="Passed",G937="Accepted Exception"),"GREEN",IF(OR(G937="Not Started",G937="Failed"),"RED","AMBER"))</f>
        <v/>
      </c>
      <c r="I937" s="15">
        <f>IFERROR('[Security.xlsx]SC-7-18'!E20,"Non commencé")</f>
        <v/>
      </c>
      <c r="J937" s="16">
        <f>IF(OR(I937="Réussi",I937="Exception acceptée"),"GREEN",IF(OR(I937="Non commencé",I937="Échec"),"RED","AMBER"))</f>
        <v/>
      </c>
      <c r="K937" s="12" t="inlineStr"/>
      <c r="L937" s="12" t="inlineStr"/>
      <c r="M937" s="17" t="inlineStr"/>
    </row>
    <row r="938" ht="18" customHeight="1">
      <c r="A938" s="18" t="inlineStr">
        <is>
          <t>SC-8</t>
        </is>
      </c>
      <c r="B938" s="19" t="inlineStr">
        <is>
          <t>Transmission Confidentiality and Integrity</t>
        </is>
      </c>
      <c r="C938" s="19" t="inlineStr">
        <is>
          <t>Security</t>
        </is>
      </c>
      <c r="D938" s="18" t="inlineStr">
        <is>
          <t>SC</t>
        </is>
      </c>
      <c r="E938" s="19" t="inlineStr">
        <is>
          <t>Security</t>
        </is>
      </c>
      <c r="F938" s="19" t="inlineStr">
        <is>
          <t>SC-8</t>
        </is>
      </c>
      <c r="G938" s="20">
        <f>IFERROR('[Security.xlsx]SC-8'!B20,"Not Started")</f>
        <v/>
      </c>
      <c r="H938" s="14">
        <f>IF(OR(G938="Passed",G938="Accepted Exception"),"GREEN",IF(OR(G938="Not Started",G938="Failed"),"RED","AMBER"))</f>
        <v/>
      </c>
      <c r="I938" s="21">
        <f>IFERROR('[Security.xlsx]SC-8'!E20,"Non commencé")</f>
        <v/>
      </c>
      <c r="J938" s="16">
        <f>IF(OR(I938="Réussi",I938="Exception acceptée"),"GREEN",IF(OR(I938="Non commencé",I938="Échec"),"RED","AMBER"))</f>
        <v/>
      </c>
      <c r="K938" s="19" t="inlineStr"/>
      <c r="L938" s="19" t="inlineStr"/>
      <c r="M938" s="22" t="inlineStr"/>
    </row>
    <row r="939" ht="18" customHeight="1">
      <c r="A939" s="11" t="inlineStr">
        <is>
          <t>SC-8(1)</t>
        </is>
      </c>
      <c r="B939" s="12" t="inlineStr">
        <is>
          <t>Transmission Confidentiality and Integrity</t>
        </is>
      </c>
      <c r="C939" s="12" t="inlineStr">
        <is>
          <t>Security</t>
        </is>
      </c>
      <c r="D939" s="11" t="inlineStr">
        <is>
          <t>SC</t>
        </is>
      </c>
      <c r="E939" s="12" t="inlineStr">
        <is>
          <t>Security</t>
        </is>
      </c>
      <c r="F939" s="12" t="inlineStr">
        <is>
          <t>SC-8-1</t>
        </is>
      </c>
      <c r="G939" s="13">
        <f>IFERROR('[Security.xlsx]SC-8-1'!B20,"Not Started")</f>
        <v/>
      </c>
      <c r="H939" s="14">
        <f>IF(OR(G939="Passed",G939="Accepted Exception"),"GREEN",IF(OR(G939="Not Started",G939="Failed"),"RED","AMBER"))</f>
        <v/>
      </c>
      <c r="I939" s="15">
        <f>IFERROR('[Security.xlsx]SC-8-1'!E20,"Non commencé")</f>
        <v/>
      </c>
      <c r="J939" s="16">
        <f>IF(OR(I939="Réussi",I939="Exception acceptée"),"GREEN",IF(OR(I939="Non commencé",I939="Échec"),"RED","AMBER"))</f>
        <v/>
      </c>
      <c r="K939" s="12" t="inlineStr"/>
      <c r="L939" s="12" t="inlineStr"/>
      <c r="M939" s="17" t="inlineStr"/>
    </row>
    <row r="940" ht="18" customHeight="1">
      <c r="A940" s="18" t="inlineStr">
        <is>
          <t>SC-10</t>
        </is>
      </c>
      <c r="B940" s="19" t="inlineStr">
        <is>
          <t>Network Disconnect</t>
        </is>
      </c>
      <c r="C940" s="19" t="inlineStr">
        <is>
          <t>Security</t>
        </is>
      </c>
      <c r="D940" s="18" t="inlineStr">
        <is>
          <t>SC</t>
        </is>
      </c>
      <c r="E940" s="19" t="inlineStr">
        <is>
          <t>Security</t>
        </is>
      </c>
      <c r="F940" s="19" t="inlineStr">
        <is>
          <t>SC-10</t>
        </is>
      </c>
      <c r="G940" s="20">
        <f>IFERROR('[Security.xlsx]SC-10'!B20,"Not Started")</f>
        <v/>
      </c>
      <c r="H940" s="14">
        <f>IF(OR(G940="Passed",G940="Accepted Exception"),"GREEN",IF(OR(G940="Not Started",G940="Failed"),"RED","AMBER"))</f>
        <v/>
      </c>
      <c r="I940" s="21">
        <f>IFERROR('[Security.xlsx]SC-10'!E20,"Non commencé")</f>
        <v/>
      </c>
      <c r="J940" s="16">
        <f>IF(OR(I940="Réussi",I940="Exception acceptée"),"GREEN",IF(OR(I940="Non commencé",I940="Échec"),"RED","AMBER"))</f>
        <v/>
      </c>
      <c r="K940" s="19" t="inlineStr"/>
      <c r="L940" s="19" t="inlineStr"/>
      <c r="M940" s="22" t="inlineStr"/>
    </row>
    <row r="941" ht="18" customHeight="1">
      <c r="A941" s="11" t="inlineStr">
        <is>
          <t>SC-12</t>
        </is>
      </c>
      <c r="B941" s="12" t="inlineStr">
        <is>
          <t>Cryptographic Key Establishment and Management</t>
        </is>
      </c>
      <c r="C941" s="12" t="inlineStr">
        <is>
          <t>Security</t>
        </is>
      </c>
      <c r="D941" s="11" t="inlineStr">
        <is>
          <t>SC</t>
        </is>
      </c>
      <c r="E941" s="12" t="inlineStr">
        <is>
          <t>Security</t>
        </is>
      </c>
      <c r="F941" s="12" t="inlineStr">
        <is>
          <t>SC-12</t>
        </is>
      </c>
      <c r="G941" s="13">
        <f>IFERROR('[Security.xlsx]SC-12'!B20,"Not Started")</f>
        <v/>
      </c>
      <c r="H941" s="14">
        <f>IF(OR(G941="Passed",G941="Accepted Exception"),"GREEN",IF(OR(G941="Not Started",G941="Failed"),"RED","AMBER"))</f>
        <v/>
      </c>
      <c r="I941" s="15">
        <f>IFERROR('[Security.xlsx]SC-12'!E20,"Non commencé")</f>
        <v/>
      </c>
      <c r="J941" s="16">
        <f>IF(OR(I941="Réussi",I941="Exception acceptée"),"GREEN",IF(OR(I941="Non commencé",I941="Échec"),"RED","AMBER"))</f>
        <v/>
      </c>
      <c r="K941" s="12" t="inlineStr"/>
      <c r="L941" s="12" t="inlineStr"/>
      <c r="M941" s="17" t="inlineStr"/>
    </row>
    <row r="942" ht="18" customHeight="1">
      <c r="A942" s="18" t="inlineStr">
        <is>
          <t>SC-12(1)</t>
        </is>
      </c>
      <c r="B942" s="19" t="inlineStr">
        <is>
          <t>Cryptographic Key Establishment and Management</t>
        </is>
      </c>
      <c r="C942" s="19" t="inlineStr">
        <is>
          <t>Security</t>
        </is>
      </c>
      <c r="D942" s="18" t="inlineStr">
        <is>
          <t>SC</t>
        </is>
      </c>
      <c r="E942" s="19" t="inlineStr">
        <is>
          <t>Security</t>
        </is>
      </c>
      <c r="F942" s="19" t="inlineStr">
        <is>
          <t>SC-12-1</t>
        </is>
      </c>
      <c r="G942" s="20">
        <f>IFERROR('[Security.xlsx]SC-12-1'!B20,"Not Started")</f>
        <v/>
      </c>
      <c r="H942" s="14">
        <f>IF(OR(G942="Passed",G942="Accepted Exception"),"GREEN",IF(OR(G942="Not Started",G942="Failed"),"RED","AMBER"))</f>
        <v/>
      </c>
      <c r="I942" s="21">
        <f>IFERROR('[Security.xlsx]SC-12-1'!E20,"Non commencé")</f>
        <v/>
      </c>
      <c r="J942" s="16">
        <f>IF(OR(I942="Réussi",I942="Exception acceptée"),"GREEN",IF(OR(I942="Non commencé",I942="Échec"),"RED","AMBER"))</f>
        <v/>
      </c>
      <c r="K942" s="19" t="inlineStr"/>
      <c r="L942" s="19" t="inlineStr"/>
      <c r="M942" s="22" t="inlineStr"/>
    </row>
    <row r="943" ht="18" customHeight="1">
      <c r="A943" s="11" t="inlineStr">
        <is>
          <t>SC-12(2)</t>
        </is>
      </c>
      <c r="B943" s="12" t="inlineStr">
        <is>
          <t>Cryptographic Key Establishment and Management</t>
        </is>
      </c>
      <c r="C943" s="12" t="inlineStr">
        <is>
          <t>Security</t>
        </is>
      </c>
      <c r="D943" s="11" t="inlineStr">
        <is>
          <t>SC</t>
        </is>
      </c>
      <c r="E943" s="12" t="inlineStr">
        <is>
          <t>Security</t>
        </is>
      </c>
      <c r="F943" s="12" t="inlineStr">
        <is>
          <t>SC-12-2</t>
        </is>
      </c>
      <c r="G943" s="13">
        <f>IFERROR('[Security.xlsx]SC-12-2'!B20,"Not Started")</f>
        <v/>
      </c>
      <c r="H943" s="14">
        <f>IF(OR(G943="Passed",G943="Accepted Exception"),"GREEN",IF(OR(G943="Not Started",G943="Failed"),"RED","AMBER"))</f>
        <v/>
      </c>
      <c r="I943" s="15">
        <f>IFERROR('[Security.xlsx]SC-12-2'!E20,"Non commencé")</f>
        <v/>
      </c>
      <c r="J943" s="16">
        <f>IF(OR(I943="Réussi",I943="Exception acceptée"),"GREEN",IF(OR(I943="Non commencé",I943="Échec"),"RED","AMBER"))</f>
        <v/>
      </c>
      <c r="K943" s="12" t="inlineStr"/>
      <c r="L943" s="12" t="inlineStr"/>
      <c r="M943" s="17" t="inlineStr"/>
    </row>
    <row r="944" ht="18" customHeight="1">
      <c r="A944" s="18" t="inlineStr">
        <is>
          <t>SC-12(3)</t>
        </is>
      </c>
      <c r="B944" s="19" t="inlineStr">
        <is>
          <t>Cryptographic Key Establishment and Management</t>
        </is>
      </c>
      <c r="C944" s="19" t="inlineStr">
        <is>
          <t>Security</t>
        </is>
      </c>
      <c r="D944" s="18" t="inlineStr">
        <is>
          <t>SC</t>
        </is>
      </c>
      <c r="E944" s="19" t="inlineStr">
        <is>
          <t>Security</t>
        </is>
      </c>
      <c r="F944" s="19" t="inlineStr">
        <is>
          <t>SC-12-3</t>
        </is>
      </c>
      <c r="G944" s="20">
        <f>IFERROR('[Security.xlsx]SC-12-3'!B20,"Not Started")</f>
        <v/>
      </c>
      <c r="H944" s="14">
        <f>IF(OR(G944="Passed",G944="Accepted Exception"),"GREEN",IF(OR(G944="Not Started",G944="Failed"),"RED","AMBER"))</f>
        <v/>
      </c>
      <c r="I944" s="21">
        <f>IFERROR('[Security.xlsx]SC-12-3'!E20,"Non commencé")</f>
        <v/>
      </c>
      <c r="J944" s="16">
        <f>IF(OR(I944="Réussi",I944="Exception acceptée"),"GREEN",IF(OR(I944="Non commencé",I944="Échec"),"RED","AMBER"))</f>
        <v/>
      </c>
      <c r="K944" s="19" t="inlineStr"/>
      <c r="L944" s="19" t="inlineStr"/>
      <c r="M944" s="22" t="inlineStr"/>
    </row>
    <row r="945" ht="18" customHeight="1">
      <c r="A945" s="11" t="inlineStr">
        <is>
          <t>SC-13</t>
        </is>
      </c>
      <c r="B945" s="12" t="inlineStr">
        <is>
          <t>Cryptographic Protection</t>
        </is>
      </c>
      <c r="C945" s="12" t="inlineStr">
        <is>
          <t>Security</t>
        </is>
      </c>
      <c r="D945" s="11" t="inlineStr">
        <is>
          <t>SC</t>
        </is>
      </c>
      <c r="E945" s="12" t="inlineStr">
        <is>
          <t>Security</t>
        </is>
      </c>
      <c r="F945" s="12" t="inlineStr">
        <is>
          <t>SC-13</t>
        </is>
      </c>
      <c r="G945" s="13">
        <f>IFERROR('[Security.xlsx]SC-13'!B20,"Not Started")</f>
        <v/>
      </c>
      <c r="H945" s="14">
        <f>IF(OR(G945="Passed",G945="Accepted Exception"),"GREEN",IF(OR(G945="Not Started",G945="Failed"),"RED","AMBER"))</f>
        <v/>
      </c>
      <c r="I945" s="15">
        <f>IFERROR('[Security.xlsx]SC-13'!E20,"Non commencé")</f>
        <v/>
      </c>
      <c r="J945" s="16">
        <f>IF(OR(I945="Réussi",I945="Exception acceptée"),"GREEN",IF(OR(I945="Non commencé",I945="Échec"),"RED","AMBER"))</f>
        <v/>
      </c>
      <c r="K945" s="12" t="inlineStr"/>
      <c r="L945" s="12" t="inlineStr"/>
      <c r="M945" s="17" t="inlineStr"/>
    </row>
    <row r="946" ht="18" customHeight="1">
      <c r="A946" s="18" t="inlineStr">
        <is>
          <t>SC-17</t>
        </is>
      </c>
      <c r="B946" s="19" t="inlineStr">
        <is>
          <t>Public Key Infrastructure Certificates</t>
        </is>
      </c>
      <c r="C946" s="19" t="inlineStr">
        <is>
          <t>Security</t>
        </is>
      </c>
      <c r="D946" s="18" t="inlineStr">
        <is>
          <t>SC</t>
        </is>
      </c>
      <c r="E946" s="19" t="inlineStr">
        <is>
          <t>Security</t>
        </is>
      </c>
      <c r="F946" s="19" t="inlineStr">
        <is>
          <t>SC-17</t>
        </is>
      </c>
      <c r="G946" s="20">
        <f>IFERROR('[Security.xlsx]SC-17'!B20,"Not Started")</f>
        <v/>
      </c>
      <c r="H946" s="14">
        <f>IF(OR(G946="Passed",G946="Accepted Exception"),"GREEN",IF(OR(G946="Not Started",G946="Failed"),"RED","AMBER"))</f>
        <v/>
      </c>
      <c r="I946" s="21">
        <f>IFERROR('[Security.xlsx]SC-17'!E20,"Non commencé")</f>
        <v/>
      </c>
      <c r="J946" s="16">
        <f>IF(OR(I946="Réussi",I946="Exception acceptée"),"GREEN",IF(OR(I946="Non commencé",I946="Échec"),"RED","AMBER"))</f>
        <v/>
      </c>
      <c r="K946" s="19" t="inlineStr"/>
      <c r="L946" s="19" t="inlineStr"/>
      <c r="M946" s="22" t="inlineStr"/>
    </row>
    <row r="947" ht="18" customHeight="1">
      <c r="A947" s="11" t="inlineStr">
        <is>
          <t>SC-18</t>
        </is>
      </c>
      <c r="B947" s="12" t="inlineStr">
        <is>
          <t>Mobile Code</t>
        </is>
      </c>
      <c r="C947" s="12" t="inlineStr">
        <is>
          <t>Security</t>
        </is>
      </c>
      <c r="D947" s="11" t="inlineStr">
        <is>
          <t>SC</t>
        </is>
      </c>
      <c r="E947" s="12" t="inlineStr">
        <is>
          <t>Security</t>
        </is>
      </c>
      <c r="F947" s="12" t="inlineStr">
        <is>
          <t>SC-18</t>
        </is>
      </c>
      <c r="G947" s="13">
        <f>IFERROR('[Security.xlsx]SC-18'!B20,"Not Started")</f>
        <v/>
      </c>
      <c r="H947" s="14">
        <f>IF(OR(G947="Passed",G947="Accepted Exception"),"GREEN",IF(OR(G947="Not Started",G947="Failed"),"RED","AMBER"))</f>
        <v/>
      </c>
      <c r="I947" s="15">
        <f>IFERROR('[Security.xlsx]SC-18'!E20,"Non commencé")</f>
        <v/>
      </c>
      <c r="J947" s="16">
        <f>IF(OR(I947="Réussi",I947="Exception acceptée"),"GREEN",IF(OR(I947="Non commencé",I947="Échec"),"RED","AMBER"))</f>
        <v/>
      </c>
      <c r="K947" s="12" t="inlineStr"/>
      <c r="L947" s="12" t="inlineStr"/>
      <c r="M947" s="17" t="inlineStr"/>
    </row>
    <row r="948" ht="18" customHeight="1">
      <c r="A948" s="18" t="inlineStr">
        <is>
          <t>SC-23</t>
        </is>
      </c>
      <c r="B948" s="19" t="inlineStr">
        <is>
          <t>Session Authenticity</t>
        </is>
      </c>
      <c r="C948" s="19" t="inlineStr">
        <is>
          <t>Security</t>
        </is>
      </c>
      <c r="D948" s="18" t="inlineStr">
        <is>
          <t>SC</t>
        </is>
      </c>
      <c r="E948" s="19" t="inlineStr">
        <is>
          <t>Security</t>
        </is>
      </c>
      <c r="F948" s="19" t="inlineStr">
        <is>
          <t>SC-23</t>
        </is>
      </c>
      <c r="G948" s="20">
        <f>IFERROR('[Security.xlsx]SC-23'!B20,"Not Started")</f>
        <v/>
      </c>
      <c r="H948" s="14">
        <f>IF(OR(G948="Passed",G948="Accepted Exception"),"GREEN",IF(OR(G948="Not Started",G948="Failed"),"RED","AMBER"))</f>
        <v/>
      </c>
      <c r="I948" s="21">
        <f>IFERROR('[Security.xlsx]SC-23'!E20,"Non commencé")</f>
        <v/>
      </c>
      <c r="J948" s="16">
        <f>IF(OR(I948="Réussi",I948="Exception acceptée"),"GREEN",IF(OR(I948="Non commencé",I948="Échec"),"RED","AMBER"))</f>
        <v/>
      </c>
      <c r="K948" s="19" t="inlineStr"/>
      <c r="L948" s="19" t="inlineStr"/>
      <c r="M948" s="22" t="inlineStr"/>
    </row>
    <row r="949" ht="18" customHeight="1">
      <c r="A949" s="11" t="inlineStr">
        <is>
          <t>SC-23(1)</t>
        </is>
      </c>
      <c r="B949" s="12" t="inlineStr">
        <is>
          <t>Session Authenticity</t>
        </is>
      </c>
      <c r="C949" s="12" t="inlineStr">
        <is>
          <t>Security</t>
        </is>
      </c>
      <c r="D949" s="11" t="inlineStr">
        <is>
          <t>SC</t>
        </is>
      </c>
      <c r="E949" s="12" t="inlineStr">
        <is>
          <t>Security</t>
        </is>
      </c>
      <c r="F949" s="12" t="inlineStr">
        <is>
          <t>SC-23-1</t>
        </is>
      </c>
      <c r="G949" s="13">
        <f>IFERROR('[Security.xlsx]SC-23-1'!B20,"Not Started")</f>
        <v/>
      </c>
      <c r="H949" s="14">
        <f>IF(OR(G949="Passed",G949="Accepted Exception"),"GREEN",IF(OR(G949="Not Started",G949="Failed"),"RED","AMBER"))</f>
        <v/>
      </c>
      <c r="I949" s="15">
        <f>IFERROR('[Security.xlsx]SC-23-1'!E20,"Non commencé")</f>
        <v/>
      </c>
      <c r="J949" s="16">
        <f>IF(OR(I949="Réussi",I949="Exception acceptée"),"GREEN",IF(OR(I949="Non commencé",I949="Échec"),"RED","AMBER"))</f>
        <v/>
      </c>
      <c r="K949" s="12" t="inlineStr"/>
      <c r="L949" s="12" t="inlineStr"/>
      <c r="M949" s="17" t="inlineStr"/>
    </row>
    <row r="950" ht="18" customHeight="1">
      <c r="A950" s="18" t="inlineStr">
        <is>
          <t>SC-28</t>
        </is>
      </c>
      <c r="B950" s="19" t="inlineStr">
        <is>
          <t>Protection of Information At Rest</t>
        </is>
      </c>
      <c r="C950" s="19" t="inlineStr">
        <is>
          <t>Security</t>
        </is>
      </c>
      <c r="D950" s="18" t="inlineStr">
        <is>
          <t>SC</t>
        </is>
      </c>
      <c r="E950" s="19" t="inlineStr">
        <is>
          <t>Security</t>
        </is>
      </c>
      <c r="F950" s="19" t="inlineStr">
        <is>
          <t>SC-28</t>
        </is>
      </c>
      <c r="G950" s="20">
        <f>IFERROR('[Security.xlsx]SC-28'!B20,"Not Started")</f>
        <v/>
      </c>
      <c r="H950" s="14">
        <f>IF(OR(G950="Passed",G950="Accepted Exception"),"GREEN",IF(OR(G950="Not Started",G950="Failed"),"RED","AMBER"))</f>
        <v/>
      </c>
      <c r="I950" s="21">
        <f>IFERROR('[Security.xlsx]SC-28'!E20,"Non commencé")</f>
        <v/>
      </c>
      <c r="J950" s="16">
        <f>IF(OR(I950="Réussi",I950="Exception acceptée"),"GREEN",IF(OR(I950="Non commencé",I950="Échec"),"RED","AMBER"))</f>
        <v/>
      </c>
      <c r="K950" s="19" t="inlineStr"/>
      <c r="L950" s="19" t="inlineStr"/>
      <c r="M950" s="22" t="inlineStr"/>
    </row>
    <row r="951" ht="18" customHeight="1">
      <c r="A951" s="11" t="inlineStr">
        <is>
          <t>SC-28(1)</t>
        </is>
      </c>
      <c r="B951" s="12" t="inlineStr">
        <is>
          <t>Protection of Information At Rest</t>
        </is>
      </c>
      <c r="C951" s="12" t="inlineStr">
        <is>
          <t>Security</t>
        </is>
      </c>
      <c r="D951" s="11" t="inlineStr">
        <is>
          <t>SC</t>
        </is>
      </c>
      <c r="E951" s="12" t="inlineStr">
        <is>
          <t>Security</t>
        </is>
      </c>
      <c r="F951" s="12" t="inlineStr">
        <is>
          <t>SC-28-1</t>
        </is>
      </c>
      <c r="G951" s="13">
        <f>IFERROR('[Security.xlsx]SC-28-1'!B20,"Not Started")</f>
        <v/>
      </c>
      <c r="H951" s="14">
        <f>IF(OR(G951="Passed",G951="Accepted Exception"),"GREEN",IF(OR(G951="Not Started",G951="Failed"),"RED","AMBER"))</f>
        <v/>
      </c>
      <c r="I951" s="15">
        <f>IFERROR('[Security.xlsx]SC-28-1'!E20,"Non commencé")</f>
        <v/>
      </c>
      <c r="J951" s="16">
        <f>IF(OR(I951="Réussi",I951="Exception acceptée"),"GREEN",IF(OR(I951="Non commencé",I951="Échec"),"RED","AMBER"))</f>
        <v/>
      </c>
      <c r="K951" s="12" t="inlineStr"/>
      <c r="L951" s="12" t="inlineStr"/>
      <c r="M951" s="17" t="inlineStr"/>
    </row>
    <row r="952" ht="18" customHeight="1">
      <c r="A952" s="18" t="inlineStr">
        <is>
          <t>SI-2</t>
        </is>
      </c>
      <c r="B952" s="19" t="inlineStr">
        <is>
          <t>Flaw Remediation</t>
        </is>
      </c>
      <c r="C952" s="19" t="inlineStr">
        <is>
          <t>Security</t>
        </is>
      </c>
      <c r="D952" s="18" t="inlineStr">
        <is>
          <t>SI</t>
        </is>
      </c>
      <c r="E952" s="19" t="inlineStr">
        <is>
          <t>Security</t>
        </is>
      </c>
      <c r="F952" s="19" t="inlineStr">
        <is>
          <t>SI-2</t>
        </is>
      </c>
      <c r="G952" s="20">
        <f>IFERROR('[Security.xlsx]SI-2'!B20,"Not Started")</f>
        <v/>
      </c>
      <c r="H952" s="14">
        <f>IF(OR(G952="Passed",G952="Accepted Exception"),"GREEN",IF(OR(G952="Not Started",G952="Failed"),"RED","AMBER"))</f>
        <v/>
      </c>
      <c r="I952" s="21">
        <f>IFERROR('[Security.xlsx]SI-2'!E20,"Non commencé")</f>
        <v/>
      </c>
      <c r="J952" s="16">
        <f>IF(OR(I952="Réussi",I952="Exception acceptée"),"GREEN",IF(OR(I952="Non commencé",I952="Échec"),"RED","AMBER"))</f>
        <v/>
      </c>
      <c r="K952" s="19" t="inlineStr"/>
      <c r="L952" s="19" t="inlineStr"/>
      <c r="M952" s="22" t="inlineStr"/>
    </row>
    <row r="953" ht="18" customHeight="1">
      <c r="A953" s="11" t="inlineStr">
        <is>
          <t>SI-2(2)</t>
        </is>
      </c>
      <c r="B953" s="12" t="inlineStr">
        <is>
          <t>Flaw Remediation</t>
        </is>
      </c>
      <c r="C953" s="12" t="inlineStr">
        <is>
          <t>Security</t>
        </is>
      </c>
      <c r="D953" s="11" t="inlineStr">
        <is>
          <t>SI</t>
        </is>
      </c>
      <c r="E953" s="12" t="inlineStr">
        <is>
          <t>Security</t>
        </is>
      </c>
      <c r="F953" s="12" t="inlineStr">
        <is>
          <t>SI-2-2</t>
        </is>
      </c>
      <c r="G953" s="13">
        <f>IFERROR('[Security.xlsx]SI-2-2'!B20,"Not Started")</f>
        <v/>
      </c>
      <c r="H953" s="14">
        <f>IF(OR(G953="Passed",G953="Accepted Exception"),"GREEN",IF(OR(G953="Not Started",G953="Failed"),"RED","AMBER"))</f>
        <v/>
      </c>
      <c r="I953" s="15">
        <f>IFERROR('[Security.xlsx]SI-2-2'!E20,"Non commencé")</f>
        <v/>
      </c>
      <c r="J953" s="16">
        <f>IF(OR(I953="Réussi",I953="Exception acceptée"),"GREEN",IF(OR(I953="Non commencé",I953="Échec"),"RED","AMBER"))</f>
        <v/>
      </c>
      <c r="K953" s="12" t="inlineStr"/>
      <c r="L953" s="12" t="inlineStr"/>
      <c r="M953" s="17" t="inlineStr"/>
    </row>
    <row r="954" ht="18" customHeight="1">
      <c r="A954" s="18" t="inlineStr">
        <is>
          <t>SI-3</t>
        </is>
      </c>
      <c r="B954" s="19" t="inlineStr">
        <is>
          <t>Malicious Code Protection</t>
        </is>
      </c>
      <c r="C954" s="19" t="inlineStr">
        <is>
          <t>Security</t>
        </is>
      </c>
      <c r="D954" s="18" t="inlineStr">
        <is>
          <t>SI</t>
        </is>
      </c>
      <c r="E954" s="19" t="inlineStr">
        <is>
          <t>Security</t>
        </is>
      </c>
      <c r="F954" s="19" t="inlineStr">
        <is>
          <t>SI-3</t>
        </is>
      </c>
      <c r="G954" s="20">
        <f>IFERROR('[Security.xlsx]SI-3'!B20,"Not Started")</f>
        <v/>
      </c>
      <c r="H954" s="14">
        <f>IF(OR(G954="Passed",G954="Accepted Exception"),"GREEN",IF(OR(G954="Not Started",G954="Failed"),"RED","AMBER"))</f>
        <v/>
      </c>
      <c r="I954" s="21">
        <f>IFERROR('[Security.xlsx]SI-3'!E20,"Non commencé")</f>
        <v/>
      </c>
      <c r="J954" s="16">
        <f>IF(OR(I954="Réussi",I954="Exception acceptée"),"GREEN",IF(OR(I954="Non commencé",I954="Échec"),"RED","AMBER"))</f>
        <v/>
      </c>
      <c r="K954" s="19" t="inlineStr"/>
      <c r="L954" s="19" t="inlineStr"/>
      <c r="M954" s="22" t="inlineStr"/>
    </row>
    <row r="955" ht="18" customHeight="1">
      <c r="A955" s="11" t="inlineStr">
        <is>
          <t>SI-3(1)</t>
        </is>
      </c>
      <c r="B955" s="12" t="inlineStr">
        <is>
          <t>Malicious Code Protection</t>
        </is>
      </c>
      <c r="C955" s="12" t="inlineStr">
        <is>
          <t>Security</t>
        </is>
      </c>
      <c r="D955" s="11" t="inlineStr">
        <is>
          <t>SI</t>
        </is>
      </c>
      <c r="E955" s="12" t="inlineStr">
        <is>
          <t>Security</t>
        </is>
      </c>
      <c r="F955" s="12" t="inlineStr">
        <is>
          <t>SI-3-1</t>
        </is>
      </c>
      <c r="G955" s="13">
        <f>IFERROR('[Security.xlsx]SI-3-1'!B20,"Not Started")</f>
        <v/>
      </c>
      <c r="H955" s="14">
        <f>IF(OR(G955="Passed",G955="Accepted Exception"),"GREEN",IF(OR(G955="Not Started",G955="Failed"),"RED","AMBER"))</f>
        <v/>
      </c>
      <c r="I955" s="15">
        <f>IFERROR('[Security.xlsx]SI-3-1'!E20,"Non commencé")</f>
        <v/>
      </c>
      <c r="J955" s="16">
        <f>IF(OR(I955="Réussi",I955="Exception acceptée"),"GREEN",IF(OR(I955="Non commencé",I955="Échec"),"RED","AMBER"))</f>
        <v/>
      </c>
      <c r="K955" s="12" t="inlineStr"/>
      <c r="L955" s="12" t="inlineStr"/>
      <c r="M955" s="17" t="inlineStr"/>
    </row>
    <row r="956" ht="18" customHeight="1">
      <c r="A956" s="18" t="inlineStr">
        <is>
          <t>SI-3(2)</t>
        </is>
      </c>
      <c r="B956" s="19" t="inlineStr">
        <is>
          <t>Malicious Code Protection</t>
        </is>
      </c>
      <c r="C956" s="19" t="inlineStr">
        <is>
          <t>Security</t>
        </is>
      </c>
      <c r="D956" s="18" t="inlineStr">
        <is>
          <t>SI</t>
        </is>
      </c>
      <c r="E956" s="19" t="inlineStr">
        <is>
          <t>Security</t>
        </is>
      </c>
      <c r="F956" s="19" t="inlineStr">
        <is>
          <t>SI-3-2</t>
        </is>
      </c>
      <c r="G956" s="20">
        <f>IFERROR('[Security.xlsx]SI-3-2'!B20,"Not Started")</f>
        <v/>
      </c>
      <c r="H956" s="14">
        <f>IF(OR(G956="Passed",G956="Accepted Exception"),"GREEN",IF(OR(G956="Not Started",G956="Failed"),"RED","AMBER"))</f>
        <v/>
      </c>
      <c r="I956" s="21">
        <f>IFERROR('[Security.xlsx]SI-3-2'!E20,"Non commencé")</f>
        <v/>
      </c>
      <c r="J956" s="16">
        <f>IF(OR(I956="Réussi",I956="Exception acceptée"),"GREEN",IF(OR(I956="Non commencé",I956="Échec"),"RED","AMBER"))</f>
        <v/>
      </c>
      <c r="K956" s="19" t="inlineStr"/>
      <c r="L956" s="19" t="inlineStr"/>
      <c r="M956" s="22" t="inlineStr"/>
    </row>
    <row r="957" ht="18" customHeight="1">
      <c r="A957" s="11" t="inlineStr">
        <is>
          <t>SI-3(7)</t>
        </is>
      </c>
      <c r="B957" s="12" t="inlineStr">
        <is>
          <t>Malicious Code Protection</t>
        </is>
      </c>
      <c r="C957" s="12" t="inlineStr">
        <is>
          <t>Security</t>
        </is>
      </c>
      <c r="D957" s="11" t="inlineStr">
        <is>
          <t>SI</t>
        </is>
      </c>
      <c r="E957" s="12" t="inlineStr">
        <is>
          <t>Security</t>
        </is>
      </c>
      <c r="F957" s="12" t="inlineStr">
        <is>
          <t>SI-3-7</t>
        </is>
      </c>
      <c r="G957" s="13">
        <f>IFERROR('[Security.xlsx]SI-3-7'!B20,"Not Started")</f>
        <v/>
      </c>
      <c r="H957" s="14">
        <f>IF(OR(G957="Passed",G957="Accepted Exception"),"GREEN",IF(OR(G957="Not Started",G957="Failed"),"RED","AMBER"))</f>
        <v/>
      </c>
      <c r="I957" s="15">
        <f>IFERROR('[Security.xlsx]SI-3-7'!E20,"Non commencé")</f>
        <v/>
      </c>
      <c r="J957" s="16">
        <f>IF(OR(I957="Réussi",I957="Exception acceptée"),"GREEN",IF(OR(I957="Non commencé",I957="Échec"),"RED","AMBER"))</f>
        <v/>
      </c>
      <c r="K957" s="12" t="inlineStr"/>
      <c r="L957" s="12" t="inlineStr"/>
      <c r="M957" s="17" t="inlineStr"/>
    </row>
    <row r="958" ht="18" customHeight="1">
      <c r="A958" s="18" t="inlineStr">
        <is>
          <t>SI-4</t>
        </is>
      </c>
      <c r="B958" s="19" t="inlineStr">
        <is>
          <t>Information System Monitoring</t>
        </is>
      </c>
      <c r="C958" s="19" t="inlineStr">
        <is>
          <t>Security</t>
        </is>
      </c>
      <c r="D958" s="18" t="inlineStr">
        <is>
          <t>SI</t>
        </is>
      </c>
      <c r="E958" s="19" t="inlineStr">
        <is>
          <t>Security</t>
        </is>
      </c>
      <c r="F958" s="19" t="inlineStr">
        <is>
          <t>SI-4</t>
        </is>
      </c>
      <c r="G958" s="20">
        <f>IFERROR('[Security.xlsx]SI-4'!B20,"Not Started")</f>
        <v/>
      </c>
      <c r="H958" s="14">
        <f>IF(OR(G958="Passed",G958="Accepted Exception"),"GREEN",IF(OR(G958="Not Started",G958="Failed"),"RED","AMBER"))</f>
        <v/>
      </c>
      <c r="I958" s="21">
        <f>IFERROR('[Security.xlsx]SI-4'!E20,"Non commencé")</f>
        <v/>
      </c>
      <c r="J958" s="16">
        <f>IF(OR(I958="Réussi",I958="Exception acceptée"),"GREEN",IF(OR(I958="Non commencé",I958="Échec"),"RED","AMBER"))</f>
        <v/>
      </c>
      <c r="K958" s="19" t="inlineStr"/>
      <c r="L958" s="19" t="inlineStr"/>
      <c r="M958" s="22" t="inlineStr"/>
    </row>
    <row r="959" ht="18" customHeight="1">
      <c r="A959" s="11" t="inlineStr">
        <is>
          <t>SI-4(1)</t>
        </is>
      </c>
      <c r="B959" s="12" t="inlineStr">
        <is>
          <t>Information System Monitoring</t>
        </is>
      </c>
      <c r="C959" s="12" t="inlineStr">
        <is>
          <t>Security</t>
        </is>
      </c>
      <c r="D959" s="11" t="inlineStr">
        <is>
          <t>SI</t>
        </is>
      </c>
      <c r="E959" s="12" t="inlineStr">
        <is>
          <t>Security</t>
        </is>
      </c>
      <c r="F959" s="12" t="inlineStr">
        <is>
          <t>SI-4-1</t>
        </is>
      </c>
      <c r="G959" s="13">
        <f>IFERROR('[Security.xlsx]SI-4-1'!B20,"Not Started")</f>
        <v/>
      </c>
      <c r="H959" s="14">
        <f>IF(OR(G959="Passed",G959="Accepted Exception"),"GREEN",IF(OR(G959="Not Started",G959="Failed"),"RED","AMBER"))</f>
        <v/>
      </c>
      <c r="I959" s="15">
        <f>IFERROR('[Security.xlsx]SI-4-1'!E20,"Non commencé")</f>
        <v/>
      </c>
      <c r="J959" s="16">
        <f>IF(OR(I959="Réussi",I959="Exception acceptée"),"GREEN",IF(OR(I959="Non commencé",I959="Échec"),"RED","AMBER"))</f>
        <v/>
      </c>
      <c r="K959" s="12" t="inlineStr"/>
      <c r="L959" s="12" t="inlineStr"/>
      <c r="M959" s="17" t="inlineStr"/>
    </row>
    <row r="960" ht="18" customHeight="1">
      <c r="A960" s="18" t="inlineStr">
        <is>
          <t>SI-4(2)</t>
        </is>
      </c>
      <c r="B960" s="19" t="inlineStr">
        <is>
          <t>Information System Monitoring</t>
        </is>
      </c>
      <c r="C960" s="19" t="inlineStr">
        <is>
          <t>Security</t>
        </is>
      </c>
      <c r="D960" s="18" t="inlineStr">
        <is>
          <t>SI</t>
        </is>
      </c>
      <c r="E960" s="19" t="inlineStr">
        <is>
          <t>Security</t>
        </is>
      </c>
      <c r="F960" s="19" t="inlineStr">
        <is>
          <t>SI-4-2</t>
        </is>
      </c>
      <c r="G960" s="20">
        <f>IFERROR('[Security.xlsx]SI-4-2'!B20,"Not Started")</f>
        <v/>
      </c>
      <c r="H960" s="14">
        <f>IF(OR(G960="Passed",G960="Accepted Exception"),"GREEN",IF(OR(G960="Not Started",G960="Failed"),"RED","AMBER"))</f>
        <v/>
      </c>
      <c r="I960" s="21">
        <f>IFERROR('[Security.xlsx]SI-4-2'!E20,"Non commencé")</f>
        <v/>
      </c>
      <c r="J960" s="16">
        <f>IF(OR(I960="Réussi",I960="Exception acceptée"),"GREEN",IF(OR(I960="Non commencé",I960="Échec"),"RED","AMBER"))</f>
        <v/>
      </c>
      <c r="K960" s="19" t="inlineStr"/>
      <c r="L960" s="19" t="inlineStr"/>
      <c r="M960" s="22" t="inlineStr"/>
    </row>
    <row r="961" ht="18" customHeight="1">
      <c r="A961" s="11" t="inlineStr">
        <is>
          <t>SI-4(4)</t>
        </is>
      </c>
      <c r="B961" s="12" t="inlineStr">
        <is>
          <t>Information System Monitoring</t>
        </is>
      </c>
      <c r="C961" s="12" t="inlineStr">
        <is>
          <t>Security</t>
        </is>
      </c>
      <c r="D961" s="11" t="inlineStr">
        <is>
          <t>SI</t>
        </is>
      </c>
      <c r="E961" s="12" t="inlineStr">
        <is>
          <t>Security</t>
        </is>
      </c>
      <c r="F961" s="12" t="inlineStr">
        <is>
          <t>SI-4-4</t>
        </is>
      </c>
      <c r="G961" s="13">
        <f>IFERROR('[Security.xlsx]SI-4-4'!B20,"Not Started")</f>
        <v/>
      </c>
      <c r="H961" s="14">
        <f>IF(OR(G961="Passed",G961="Accepted Exception"),"GREEN",IF(OR(G961="Not Started",G961="Failed"),"RED","AMBER"))</f>
        <v/>
      </c>
      <c r="I961" s="15">
        <f>IFERROR('[Security.xlsx]SI-4-4'!E20,"Non commencé")</f>
        <v/>
      </c>
      <c r="J961" s="16">
        <f>IF(OR(I961="Réussi",I961="Exception acceptée"),"GREEN",IF(OR(I961="Non commencé",I961="Échec"),"RED","AMBER"))</f>
        <v/>
      </c>
      <c r="K961" s="12" t="inlineStr"/>
      <c r="L961" s="12" t="inlineStr"/>
      <c r="M961" s="17" t="inlineStr"/>
    </row>
    <row r="962" ht="18" customHeight="1">
      <c r="A962" s="18" t="inlineStr">
        <is>
          <t>SI-4(5)</t>
        </is>
      </c>
      <c r="B962" s="19" t="inlineStr">
        <is>
          <t>Information System Monitoring</t>
        </is>
      </c>
      <c r="C962" s="19" t="inlineStr">
        <is>
          <t>Security</t>
        </is>
      </c>
      <c r="D962" s="18" t="inlineStr">
        <is>
          <t>SI</t>
        </is>
      </c>
      <c r="E962" s="19" t="inlineStr">
        <is>
          <t>Security</t>
        </is>
      </c>
      <c r="F962" s="19" t="inlineStr">
        <is>
          <t>SI-4-5</t>
        </is>
      </c>
      <c r="G962" s="20">
        <f>IFERROR('[Security.xlsx]SI-4-5'!B20,"Not Started")</f>
        <v/>
      </c>
      <c r="H962" s="14">
        <f>IF(OR(G962="Passed",G962="Accepted Exception"),"GREEN",IF(OR(G962="Not Started",G962="Failed"),"RED","AMBER"))</f>
        <v/>
      </c>
      <c r="I962" s="21">
        <f>IFERROR('[Security.xlsx]SI-4-5'!E20,"Non commencé")</f>
        <v/>
      </c>
      <c r="J962" s="16">
        <f>IF(OR(I962="Réussi",I962="Exception acceptée"),"GREEN",IF(OR(I962="Non commencé",I962="Échec"),"RED","AMBER"))</f>
        <v/>
      </c>
      <c r="K962" s="19" t="inlineStr"/>
      <c r="L962" s="19" t="inlineStr"/>
      <c r="M962" s="22" t="inlineStr"/>
    </row>
    <row r="963" ht="18" customHeight="1">
      <c r="A963" s="11" t="inlineStr">
        <is>
          <t>SI-4(11)</t>
        </is>
      </c>
      <c r="B963" s="12" t="inlineStr">
        <is>
          <t>Information System Monitoring</t>
        </is>
      </c>
      <c r="C963" s="12" t="inlineStr">
        <is>
          <t>Security</t>
        </is>
      </c>
      <c r="D963" s="11" t="inlineStr">
        <is>
          <t>SI</t>
        </is>
      </c>
      <c r="E963" s="12" t="inlineStr">
        <is>
          <t>Security</t>
        </is>
      </c>
      <c r="F963" s="12" t="inlineStr">
        <is>
          <t>SI-4-11</t>
        </is>
      </c>
      <c r="G963" s="13">
        <f>IFERROR('[Security.xlsx]SI-4-11'!B20,"Not Started")</f>
        <v/>
      </c>
      <c r="H963" s="14">
        <f>IF(OR(G963="Passed",G963="Accepted Exception"),"GREEN",IF(OR(G963="Not Started",G963="Failed"),"RED","AMBER"))</f>
        <v/>
      </c>
      <c r="I963" s="15">
        <f>IFERROR('[Security.xlsx]SI-4-11'!E20,"Non commencé")</f>
        <v/>
      </c>
      <c r="J963" s="16">
        <f>IF(OR(I963="Réussi",I963="Exception acceptée"),"GREEN",IF(OR(I963="Non commencé",I963="Échec"),"RED","AMBER"))</f>
        <v/>
      </c>
      <c r="K963" s="12" t="inlineStr"/>
      <c r="L963" s="12" t="inlineStr"/>
      <c r="M963" s="17" t="inlineStr"/>
    </row>
    <row r="964" ht="18" customHeight="1">
      <c r="A964" s="18" t="inlineStr">
        <is>
          <t>SI-6</t>
        </is>
      </c>
      <c r="B964" s="19" t="inlineStr">
        <is>
          <t>Security Functional Verification</t>
        </is>
      </c>
      <c r="C964" s="19" t="inlineStr">
        <is>
          <t>Security</t>
        </is>
      </c>
      <c r="D964" s="18" t="inlineStr">
        <is>
          <t>SI</t>
        </is>
      </c>
      <c r="E964" s="19" t="inlineStr">
        <is>
          <t>Security</t>
        </is>
      </c>
      <c r="F964" s="19" t="inlineStr">
        <is>
          <t>SI-6</t>
        </is>
      </c>
      <c r="G964" s="20">
        <f>IFERROR('[Security.xlsx]SI-6'!B20,"Not Started")</f>
        <v/>
      </c>
      <c r="H964" s="14">
        <f>IF(OR(G964="Passed",G964="Accepted Exception"),"GREEN",IF(OR(G964="Not Started",G964="Failed"),"RED","AMBER"))</f>
        <v/>
      </c>
      <c r="I964" s="21">
        <f>IFERROR('[Security.xlsx]SI-6'!E20,"Non commencé")</f>
        <v/>
      </c>
      <c r="J964" s="16">
        <f>IF(OR(I964="Réussi",I964="Exception acceptée"),"GREEN",IF(OR(I964="Non commencé",I964="Échec"),"RED","AMBER"))</f>
        <v/>
      </c>
      <c r="K964" s="19" t="inlineStr"/>
      <c r="L964" s="19" t="inlineStr"/>
      <c r="M964" s="22" t="inlineStr"/>
    </row>
    <row r="965" ht="18" customHeight="1">
      <c r="A965" s="11" t="inlineStr">
        <is>
          <t>SI-7(7)</t>
        </is>
      </c>
      <c r="B965" s="12" t="inlineStr">
        <is>
          <t>Software, Firmware, and Information Integrity</t>
        </is>
      </c>
      <c r="C965" s="12" t="inlineStr">
        <is>
          <t>Security</t>
        </is>
      </c>
      <c r="D965" s="11" t="inlineStr">
        <is>
          <t>SI</t>
        </is>
      </c>
      <c r="E965" s="12" t="inlineStr">
        <is>
          <t>Security</t>
        </is>
      </c>
      <c r="F965" s="12" t="inlineStr">
        <is>
          <t>SI-7-7</t>
        </is>
      </c>
      <c r="G965" s="13">
        <f>IFERROR('[Security.xlsx]SI-7-7'!B20,"Not Started")</f>
        <v/>
      </c>
      <c r="H965" s="14">
        <f>IF(OR(G965="Passed",G965="Accepted Exception"),"GREEN",IF(OR(G965="Not Started",G965="Failed"),"RED","AMBER"))</f>
        <v/>
      </c>
      <c r="I965" s="15">
        <f>IFERROR('[Security.xlsx]SI-7-7'!E20,"Non commencé")</f>
        <v/>
      </c>
      <c r="J965" s="16">
        <f>IF(OR(I965="Réussi",I965="Exception acceptée"),"GREEN",IF(OR(I965="Non commencé",I965="Échec"),"RED","AMBER"))</f>
        <v/>
      </c>
      <c r="K965" s="12" t="inlineStr"/>
      <c r="L965" s="12" t="inlineStr"/>
      <c r="M965" s="17" t="inlineStr"/>
    </row>
    <row r="966" ht="18" customHeight="1">
      <c r="A966" s="18" t="inlineStr">
        <is>
          <t>SI-8</t>
        </is>
      </c>
      <c r="B966" s="19" t="inlineStr">
        <is>
          <t>Spam Protection</t>
        </is>
      </c>
      <c r="C966" s="19" t="inlineStr">
        <is>
          <t>Security</t>
        </is>
      </c>
      <c r="D966" s="18" t="inlineStr">
        <is>
          <t>SI</t>
        </is>
      </c>
      <c r="E966" s="19" t="inlineStr">
        <is>
          <t>Security</t>
        </is>
      </c>
      <c r="F966" s="19" t="inlineStr">
        <is>
          <t>SI-8</t>
        </is>
      </c>
      <c r="G966" s="20">
        <f>IFERROR('[Security.xlsx]SI-8'!B20,"Not Started")</f>
        <v/>
      </c>
      <c r="H966" s="14">
        <f>IF(OR(G966="Passed",G966="Accepted Exception"),"GREEN",IF(OR(G966="Not Started",G966="Failed"),"RED","AMBER"))</f>
        <v/>
      </c>
      <c r="I966" s="21">
        <f>IFERROR('[Security.xlsx]SI-8'!E20,"Non commencé")</f>
        <v/>
      </c>
      <c r="J966" s="16">
        <f>IF(OR(I966="Réussi",I966="Exception acceptée"),"GREEN",IF(OR(I966="Non commencé",I966="Échec"),"RED","AMBER"))</f>
        <v/>
      </c>
      <c r="K966" s="19" t="inlineStr"/>
      <c r="L966" s="19" t="inlineStr"/>
      <c r="M966" s="22" t="inlineStr"/>
    </row>
    <row r="967" ht="18" customHeight="1">
      <c r="A967" s="11" t="inlineStr">
        <is>
          <t>SI-8(1)</t>
        </is>
      </c>
      <c r="B967" s="12" t="inlineStr">
        <is>
          <t>Spam Protection</t>
        </is>
      </c>
      <c r="C967" s="12" t="inlineStr">
        <is>
          <t>Security</t>
        </is>
      </c>
      <c r="D967" s="11" t="inlineStr">
        <is>
          <t>SI</t>
        </is>
      </c>
      <c r="E967" s="12" t="inlineStr">
        <is>
          <t>Security</t>
        </is>
      </c>
      <c r="F967" s="12" t="inlineStr">
        <is>
          <t>SI-8-1</t>
        </is>
      </c>
      <c r="G967" s="13">
        <f>IFERROR('[Security.xlsx]SI-8-1'!B20,"Not Started")</f>
        <v/>
      </c>
      <c r="H967" s="14">
        <f>IF(OR(G967="Passed",G967="Accepted Exception"),"GREEN",IF(OR(G967="Not Started",G967="Failed"),"RED","AMBER"))</f>
        <v/>
      </c>
      <c r="I967" s="15">
        <f>IFERROR('[Security.xlsx]SI-8-1'!E20,"Non commencé")</f>
        <v/>
      </c>
      <c r="J967" s="16">
        <f>IF(OR(I967="Réussi",I967="Exception acceptée"),"GREEN",IF(OR(I967="Non commencé",I967="Échec"),"RED","AMBER"))</f>
        <v/>
      </c>
      <c r="K967" s="12" t="inlineStr"/>
      <c r="L967" s="12" t="inlineStr"/>
      <c r="M967" s="17" t="inlineStr"/>
    </row>
    <row r="968" ht="18" customHeight="1">
      <c r="A968" s="18" t="inlineStr">
        <is>
          <t>SI-8(2)</t>
        </is>
      </c>
      <c r="B968" s="19" t="inlineStr">
        <is>
          <t>Spam Protection</t>
        </is>
      </c>
      <c r="C968" s="19" t="inlineStr">
        <is>
          <t>Security</t>
        </is>
      </c>
      <c r="D968" s="18" t="inlineStr">
        <is>
          <t>SI</t>
        </is>
      </c>
      <c r="E968" s="19" t="inlineStr">
        <is>
          <t>Security</t>
        </is>
      </c>
      <c r="F968" s="19" t="inlineStr">
        <is>
          <t>SI-8-2</t>
        </is>
      </c>
      <c r="G968" s="20">
        <f>IFERROR('[Security.xlsx]SI-8-2'!B20,"Not Started")</f>
        <v/>
      </c>
      <c r="H968" s="14">
        <f>IF(OR(G968="Passed",G968="Accepted Exception"),"GREEN",IF(OR(G968="Not Started",G968="Failed"),"RED","AMBER"))</f>
        <v/>
      </c>
      <c r="I968" s="21">
        <f>IFERROR('[Security.xlsx]SI-8-2'!E20,"Non commencé")</f>
        <v/>
      </c>
      <c r="J968" s="16">
        <f>IF(OR(I968="Réussi",I968="Exception acceptée"),"GREEN",IF(OR(I968="Non commencé",I968="Échec"),"RED","AMBER"))</f>
        <v/>
      </c>
      <c r="K968" s="19" t="inlineStr"/>
      <c r="L968" s="19" t="inlineStr"/>
      <c r="M968" s="22" t="inlineStr"/>
    </row>
    <row r="969" ht="18" customHeight="1">
      <c r="A969" s="11" t="inlineStr">
        <is>
          <t>SI-11</t>
        </is>
      </c>
      <c r="B969" s="12" t="inlineStr">
        <is>
          <t>Error Handling</t>
        </is>
      </c>
      <c r="C969" s="12" t="inlineStr">
        <is>
          <t>Security</t>
        </is>
      </c>
      <c r="D969" s="11" t="inlineStr">
        <is>
          <t>SI</t>
        </is>
      </c>
      <c r="E969" s="12" t="inlineStr">
        <is>
          <t>Security</t>
        </is>
      </c>
      <c r="F969" s="12" t="inlineStr">
        <is>
          <t>SI-11</t>
        </is>
      </c>
      <c r="G969" s="13">
        <f>IFERROR('[Security.xlsx]SI-11'!B20,"Not Started")</f>
        <v/>
      </c>
      <c r="H969" s="14">
        <f>IF(OR(G969="Passed",G969="Accepted Exception"),"GREEN",IF(OR(G969="Not Started",G969="Failed"),"RED","AMBER"))</f>
        <v/>
      </c>
      <c r="I969" s="15">
        <f>IFERROR('[Security.xlsx]SI-11'!E20,"Non commencé")</f>
        <v/>
      </c>
      <c r="J969" s="16">
        <f>IF(OR(I969="Réussi",I969="Exception acceptée"),"GREEN",IF(OR(I969="Non commencé",I969="Échec"),"RED","AMBER"))</f>
        <v/>
      </c>
      <c r="K969" s="12" t="inlineStr"/>
      <c r="L969" s="12" t="inlineStr"/>
      <c r="M969" s="17" t="inlineStr"/>
    </row>
    <row r="970" ht="18" customHeight="1">
      <c r="A970" s="18" t="inlineStr">
        <is>
          <t>AC-2(2)</t>
        </is>
      </c>
      <c r="B970" s="19" t="inlineStr">
        <is>
          <t>Account Management</t>
        </is>
      </c>
      <c r="C970" s="19" t="inlineStr">
        <is>
          <t>ServiceNow</t>
        </is>
      </c>
      <c r="D970" s="18" t="inlineStr">
        <is>
          <t>AC</t>
        </is>
      </c>
      <c r="E970" s="19" t="inlineStr">
        <is>
          <t>ServiceNow</t>
        </is>
      </c>
      <c r="F970" s="19" t="inlineStr">
        <is>
          <t>AC-2-2</t>
        </is>
      </c>
      <c r="G970" s="20">
        <f>IFERROR('[ServiceNow.xlsx]AC-2-2'!B20,"Not Started")</f>
        <v/>
      </c>
      <c r="H970" s="14">
        <f>IF(OR(G970="Passed",G970="Accepted Exception"),"GREEN",IF(OR(G970="Not Started",G970="Failed"),"RED","AMBER"))</f>
        <v/>
      </c>
      <c r="I970" s="21">
        <f>IFERROR('[ServiceNow.xlsx]AC-2-2'!E20,"Non commencé")</f>
        <v/>
      </c>
      <c r="J970" s="16">
        <f>IF(OR(I970="Réussi",I970="Exception acceptée"),"GREEN",IF(OR(I970="Non commencé",I970="Échec"),"RED","AMBER"))</f>
        <v/>
      </c>
      <c r="K970" s="19" t="inlineStr"/>
      <c r="L970" s="19" t="inlineStr"/>
      <c r="M970" s="22" t="inlineStr"/>
    </row>
    <row r="971" ht="18" customHeight="1">
      <c r="A971" s="11" t="inlineStr">
        <is>
          <t>AC-2(3)</t>
        </is>
      </c>
      <c r="B971" s="12" t="inlineStr">
        <is>
          <t>Account Management</t>
        </is>
      </c>
      <c r="C971" s="12" t="inlineStr">
        <is>
          <t>ServiceNow</t>
        </is>
      </c>
      <c r="D971" s="11" t="inlineStr">
        <is>
          <t>AC</t>
        </is>
      </c>
      <c r="E971" s="12" t="inlineStr">
        <is>
          <t>ServiceNow</t>
        </is>
      </c>
      <c r="F971" s="12" t="inlineStr">
        <is>
          <t>AC-2-3</t>
        </is>
      </c>
      <c r="G971" s="13">
        <f>IFERROR('[ServiceNow.xlsx]AC-2-3'!B20,"Not Started")</f>
        <v/>
      </c>
      <c r="H971" s="14">
        <f>IF(OR(G971="Passed",G971="Accepted Exception"),"GREEN",IF(OR(G971="Not Started",G971="Failed"),"RED","AMBER"))</f>
        <v/>
      </c>
      <c r="I971" s="15">
        <f>IFERROR('[ServiceNow.xlsx]AC-2-3'!E20,"Non commencé")</f>
        <v/>
      </c>
      <c r="J971" s="16">
        <f>IF(OR(I971="Réussi",I971="Exception acceptée"),"GREEN",IF(OR(I971="Non commencé",I971="Échec"),"RED","AMBER"))</f>
        <v/>
      </c>
      <c r="K971" s="12" t="inlineStr"/>
      <c r="L971" s="12" t="inlineStr"/>
      <c r="M971" s="17" t="inlineStr"/>
    </row>
    <row r="972" ht="18" customHeight="1">
      <c r="A972" s="18" t="inlineStr">
        <is>
          <t>AC-2(4)</t>
        </is>
      </c>
      <c r="B972" s="19" t="inlineStr">
        <is>
          <t>Account Management</t>
        </is>
      </c>
      <c r="C972" s="19" t="inlineStr">
        <is>
          <t>ServiceNow</t>
        </is>
      </c>
      <c r="D972" s="18" t="inlineStr">
        <is>
          <t>AC</t>
        </is>
      </c>
      <c r="E972" s="19" t="inlineStr">
        <is>
          <t>ServiceNow</t>
        </is>
      </c>
      <c r="F972" s="19" t="inlineStr">
        <is>
          <t>AC-2-4</t>
        </is>
      </c>
      <c r="G972" s="20">
        <f>IFERROR('[ServiceNow.xlsx]AC-2-4'!B20,"Not Started")</f>
        <v/>
      </c>
      <c r="H972" s="14">
        <f>IF(OR(G972="Passed",G972="Accepted Exception"),"GREEN",IF(OR(G972="Not Started",G972="Failed"),"RED","AMBER"))</f>
        <v/>
      </c>
      <c r="I972" s="21">
        <f>IFERROR('[ServiceNow.xlsx]AC-2-4'!E20,"Non commencé")</f>
        <v/>
      </c>
      <c r="J972" s="16">
        <f>IF(OR(I972="Réussi",I972="Exception acceptée"),"GREEN",IF(OR(I972="Non commencé",I972="Échec"),"RED","AMBER"))</f>
        <v/>
      </c>
      <c r="K972" s="19" t="inlineStr"/>
      <c r="L972" s="19" t="inlineStr"/>
      <c r="M972" s="22" t="inlineStr"/>
    </row>
    <row r="973" ht="18" customHeight="1">
      <c r="A973" s="11" t="inlineStr">
        <is>
          <t>AC-2(7)</t>
        </is>
      </c>
      <c r="B973" s="12" t="inlineStr">
        <is>
          <t>Account Management</t>
        </is>
      </c>
      <c r="C973" s="12" t="inlineStr">
        <is>
          <t>ServiceNow</t>
        </is>
      </c>
      <c r="D973" s="11" t="inlineStr">
        <is>
          <t>AC</t>
        </is>
      </c>
      <c r="E973" s="12" t="inlineStr">
        <is>
          <t>ServiceNow</t>
        </is>
      </c>
      <c r="F973" s="12" t="inlineStr">
        <is>
          <t>AC-2-7</t>
        </is>
      </c>
      <c r="G973" s="13">
        <f>IFERROR('[ServiceNow.xlsx]AC-2-7'!B20,"Not Started")</f>
        <v/>
      </c>
      <c r="H973" s="14">
        <f>IF(OR(G973="Passed",G973="Accepted Exception"),"GREEN",IF(OR(G973="Not Started",G973="Failed"),"RED","AMBER"))</f>
        <v/>
      </c>
      <c r="I973" s="15">
        <f>IFERROR('[ServiceNow.xlsx]AC-2-7'!E20,"Non commencé")</f>
        <v/>
      </c>
      <c r="J973" s="16">
        <f>IF(OR(I973="Réussi",I973="Exception acceptée"),"GREEN",IF(OR(I973="Non commencé",I973="Échec"),"RED","AMBER"))</f>
        <v/>
      </c>
      <c r="K973" s="12" t="inlineStr"/>
      <c r="L973" s="12" t="inlineStr"/>
      <c r="M973" s="17" t="inlineStr"/>
    </row>
    <row r="974" ht="18" customHeight="1">
      <c r="A974" s="18" t="inlineStr">
        <is>
          <t>AC-3</t>
        </is>
      </c>
      <c r="B974" s="19" t="inlineStr">
        <is>
          <t>Access Enforcement</t>
        </is>
      </c>
      <c r="C974" s="19" t="inlineStr">
        <is>
          <t>ServiceNow</t>
        </is>
      </c>
      <c r="D974" s="18" t="inlineStr">
        <is>
          <t>AC</t>
        </is>
      </c>
      <c r="E974" s="19" t="inlineStr">
        <is>
          <t>ServiceNow</t>
        </is>
      </c>
      <c r="F974" s="19" t="inlineStr">
        <is>
          <t>AC-3</t>
        </is>
      </c>
      <c r="G974" s="20">
        <f>IFERROR('[ServiceNow.xlsx]AC-3'!B20,"Not Started")</f>
        <v/>
      </c>
      <c r="H974" s="14">
        <f>IF(OR(G974="Passed",G974="Accepted Exception"),"GREEN",IF(OR(G974="Not Started",G974="Failed"),"RED","AMBER"))</f>
        <v/>
      </c>
      <c r="I974" s="21">
        <f>IFERROR('[ServiceNow.xlsx]AC-3'!E20,"Non commencé")</f>
        <v/>
      </c>
      <c r="J974" s="16">
        <f>IF(OR(I974="Réussi",I974="Exception acceptée"),"GREEN",IF(OR(I974="Non commencé",I974="Échec"),"RED","AMBER"))</f>
        <v/>
      </c>
      <c r="K974" s="19" t="inlineStr"/>
      <c r="L974" s="19" t="inlineStr"/>
      <c r="M974" s="22" t="inlineStr"/>
    </row>
    <row r="975" ht="18" customHeight="1">
      <c r="A975" s="11" t="inlineStr">
        <is>
          <t>AC-6</t>
        </is>
      </c>
      <c r="B975" s="12" t="inlineStr">
        <is>
          <t>Least Privilege</t>
        </is>
      </c>
      <c r="C975" s="12" t="inlineStr">
        <is>
          <t>ServiceNow</t>
        </is>
      </c>
      <c r="D975" s="11" t="inlineStr">
        <is>
          <t>AC</t>
        </is>
      </c>
      <c r="E975" s="12" t="inlineStr">
        <is>
          <t>ServiceNow</t>
        </is>
      </c>
      <c r="F975" s="12" t="inlineStr">
        <is>
          <t>AC-6</t>
        </is>
      </c>
      <c r="G975" s="13">
        <f>IFERROR('[ServiceNow.xlsx]AC-6'!B20,"Not Started")</f>
        <v/>
      </c>
      <c r="H975" s="14">
        <f>IF(OR(G975="Passed",G975="Accepted Exception"),"GREEN",IF(OR(G975="Not Started",G975="Failed"),"RED","AMBER"))</f>
        <v/>
      </c>
      <c r="I975" s="15">
        <f>IFERROR('[ServiceNow.xlsx]AC-6'!E20,"Non commencé")</f>
        <v/>
      </c>
      <c r="J975" s="16">
        <f>IF(OR(I975="Réussi",I975="Exception acceptée"),"GREEN",IF(OR(I975="Non commencé",I975="Échec"),"RED","AMBER"))</f>
        <v/>
      </c>
      <c r="K975" s="12" t="inlineStr"/>
      <c r="L975" s="12" t="inlineStr"/>
      <c r="M975" s="17" t="inlineStr"/>
    </row>
    <row r="976" ht="18" customHeight="1">
      <c r="A976" s="18" t="inlineStr">
        <is>
          <t>AC-6(1)</t>
        </is>
      </c>
      <c r="B976" s="19" t="inlineStr">
        <is>
          <t>Least Privilege</t>
        </is>
      </c>
      <c r="C976" s="19" t="inlineStr">
        <is>
          <t>ServiceNow</t>
        </is>
      </c>
      <c r="D976" s="18" t="inlineStr">
        <is>
          <t>AC</t>
        </is>
      </c>
      <c r="E976" s="19" t="inlineStr">
        <is>
          <t>ServiceNow</t>
        </is>
      </c>
      <c r="F976" s="19" t="inlineStr">
        <is>
          <t>AC-6-1</t>
        </is>
      </c>
      <c r="G976" s="20">
        <f>IFERROR('[ServiceNow.xlsx]AC-6-1'!B20,"Not Started")</f>
        <v/>
      </c>
      <c r="H976" s="14">
        <f>IF(OR(G976="Passed",G976="Accepted Exception"),"GREEN",IF(OR(G976="Not Started",G976="Failed"),"RED","AMBER"))</f>
        <v/>
      </c>
      <c r="I976" s="21">
        <f>IFERROR('[ServiceNow.xlsx]AC-6-1'!E20,"Non commencé")</f>
        <v/>
      </c>
      <c r="J976" s="16">
        <f>IF(OR(I976="Réussi",I976="Exception acceptée"),"GREEN",IF(OR(I976="Non commencé",I976="Échec"),"RED","AMBER"))</f>
        <v/>
      </c>
      <c r="K976" s="19" t="inlineStr"/>
      <c r="L976" s="19" t="inlineStr"/>
      <c r="M976" s="22" t="inlineStr"/>
    </row>
    <row r="977" ht="18" customHeight="1">
      <c r="A977" s="11" t="inlineStr">
        <is>
          <t>AC-6(9)</t>
        </is>
      </c>
      <c r="B977" s="12" t="inlineStr">
        <is>
          <t>Least Privilege</t>
        </is>
      </c>
      <c r="C977" s="12" t="inlineStr">
        <is>
          <t>ServiceNow</t>
        </is>
      </c>
      <c r="D977" s="11" t="inlineStr">
        <is>
          <t>AC</t>
        </is>
      </c>
      <c r="E977" s="12" t="inlineStr">
        <is>
          <t>ServiceNow</t>
        </is>
      </c>
      <c r="F977" s="12" t="inlineStr">
        <is>
          <t>AC-6-9</t>
        </is>
      </c>
      <c r="G977" s="13">
        <f>IFERROR('[ServiceNow.xlsx]AC-6-9'!B20,"Not Started")</f>
        <v/>
      </c>
      <c r="H977" s="14">
        <f>IF(OR(G977="Passed",G977="Accepted Exception"),"GREEN",IF(OR(G977="Not Started",G977="Failed"),"RED","AMBER"))</f>
        <v/>
      </c>
      <c r="I977" s="15">
        <f>IFERROR('[ServiceNow.xlsx]AC-6-9'!E20,"Non commencé")</f>
        <v/>
      </c>
      <c r="J977" s="16">
        <f>IF(OR(I977="Réussi",I977="Exception acceptée"),"GREEN",IF(OR(I977="Non commencé",I977="Échec"),"RED","AMBER"))</f>
        <v/>
      </c>
      <c r="K977" s="12" t="inlineStr"/>
      <c r="L977" s="12" t="inlineStr"/>
      <c r="M977" s="17" t="inlineStr"/>
    </row>
    <row r="978" ht="18" customHeight="1">
      <c r="A978" s="18" t="inlineStr">
        <is>
          <t>AC-6(10)</t>
        </is>
      </c>
      <c r="B978" s="19" t="inlineStr">
        <is>
          <t>Least Privilege</t>
        </is>
      </c>
      <c r="C978" s="19" t="inlineStr">
        <is>
          <t>ServiceNow</t>
        </is>
      </c>
      <c r="D978" s="18" t="inlineStr">
        <is>
          <t>AC</t>
        </is>
      </c>
      <c r="E978" s="19" t="inlineStr">
        <is>
          <t>ServiceNow</t>
        </is>
      </c>
      <c r="F978" s="19" t="inlineStr">
        <is>
          <t>AC-6-10</t>
        </is>
      </c>
      <c r="G978" s="20">
        <f>IFERROR('[ServiceNow.xlsx]AC-6-10'!B20,"Not Started")</f>
        <v/>
      </c>
      <c r="H978" s="14">
        <f>IF(OR(G978="Passed",G978="Accepted Exception"),"GREEN",IF(OR(G978="Not Started",G978="Failed"),"RED","AMBER"))</f>
        <v/>
      </c>
      <c r="I978" s="21">
        <f>IFERROR('[ServiceNow.xlsx]AC-6-10'!E20,"Non commencé")</f>
        <v/>
      </c>
      <c r="J978" s="16">
        <f>IF(OR(I978="Réussi",I978="Exception acceptée"),"GREEN",IF(OR(I978="Non commencé",I978="Échec"),"RED","AMBER"))</f>
        <v/>
      </c>
      <c r="K978" s="19" t="inlineStr"/>
      <c r="L978" s="19" t="inlineStr"/>
      <c r="M978" s="22" t="inlineStr"/>
    </row>
    <row r="979" ht="18" customHeight="1">
      <c r="A979" s="11" t="inlineStr">
        <is>
          <t>AC-7</t>
        </is>
      </c>
      <c r="B979" s="12" t="inlineStr">
        <is>
          <t>Unsuccessful Login Attempts</t>
        </is>
      </c>
      <c r="C979" s="12" t="inlineStr">
        <is>
          <t>ServiceNow</t>
        </is>
      </c>
      <c r="D979" s="11" t="inlineStr">
        <is>
          <t>AC</t>
        </is>
      </c>
      <c r="E979" s="12" t="inlineStr">
        <is>
          <t>ServiceNow</t>
        </is>
      </c>
      <c r="F979" s="12" t="inlineStr">
        <is>
          <t>AC-7</t>
        </is>
      </c>
      <c r="G979" s="13">
        <f>IFERROR('[ServiceNow.xlsx]AC-7'!B20,"Not Started")</f>
        <v/>
      </c>
      <c r="H979" s="14">
        <f>IF(OR(G979="Passed",G979="Accepted Exception"),"GREEN",IF(OR(G979="Not Started",G979="Failed"),"RED","AMBER"))</f>
        <v/>
      </c>
      <c r="I979" s="15">
        <f>IFERROR('[ServiceNow.xlsx]AC-7'!E20,"Non commencé")</f>
        <v/>
      </c>
      <c r="J979" s="16">
        <f>IF(OR(I979="Réussi",I979="Exception acceptée"),"GREEN",IF(OR(I979="Non commencé",I979="Échec"),"RED","AMBER"))</f>
        <v/>
      </c>
      <c r="K979" s="12" t="inlineStr"/>
      <c r="L979" s="12" t="inlineStr"/>
      <c r="M979" s="17" t="inlineStr"/>
    </row>
    <row r="980" ht="18" customHeight="1">
      <c r="A980" s="18" t="inlineStr">
        <is>
          <t>AC-10</t>
        </is>
      </c>
      <c r="B980" s="19" t="inlineStr">
        <is>
          <t>Concurrent Session Control</t>
        </is>
      </c>
      <c r="C980" s="19" t="inlineStr">
        <is>
          <t>ServiceNow</t>
        </is>
      </c>
      <c r="D980" s="18" t="inlineStr">
        <is>
          <t>AC</t>
        </is>
      </c>
      <c r="E980" s="19" t="inlineStr">
        <is>
          <t>ServiceNow</t>
        </is>
      </c>
      <c r="F980" s="19" t="inlineStr">
        <is>
          <t>AC-10</t>
        </is>
      </c>
      <c r="G980" s="20">
        <f>IFERROR('[ServiceNow.xlsx]AC-10'!B20,"Not Started")</f>
        <v/>
      </c>
      <c r="H980" s="14">
        <f>IF(OR(G980="Passed",G980="Accepted Exception"),"GREEN",IF(OR(G980="Not Started",G980="Failed"),"RED","AMBER"))</f>
        <v/>
      </c>
      <c r="I980" s="21">
        <f>IFERROR('[ServiceNow.xlsx]AC-10'!E20,"Non commencé")</f>
        <v/>
      </c>
      <c r="J980" s="16">
        <f>IF(OR(I980="Réussi",I980="Exception acceptée"),"GREEN",IF(OR(I980="Non commencé",I980="Échec"),"RED","AMBER"))</f>
        <v/>
      </c>
      <c r="K980" s="19" t="inlineStr"/>
      <c r="L980" s="19" t="inlineStr"/>
      <c r="M980" s="22" t="inlineStr"/>
    </row>
    <row r="981" ht="18" customHeight="1">
      <c r="A981" s="11" t="inlineStr">
        <is>
          <t>AC-11</t>
        </is>
      </c>
      <c r="B981" s="12" t="inlineStr">
        <is>
          <t>Session Lock</t>
        </is>
      </c>
      <c r="C981" s="12" t="inlineStr">
        <is>
          <t>ServiceNow</t>
        </is>
      </c>
      <c r="D981" s="11" t="inlineStr">
        <is>
          <t>AC</t>
        </is>
      </c>
      <c r="E981" s="12" t="inlineStr">
        <is>
          <t>ServiceNow</t>
        </is>
      </c>
      <c r="F981" s="12" t="inlineStr">
        <is>
          <t>AC-11</t>
        </is>
      </c>
      <c r="G981" s="13">
        <f>IFERROR('[ServiceNow.xlsx]AC-11'!B20,"Not Started")</f>
        <v/>
      </c>
      <c r="H981" s="14">
        <f>IF(OR(G981="Passed",G981="Accepted Exception"),"GREEN",IF(OR(G981="Not Started",G981="Failed"),"RED","AMBER"))</f>
        <v/>
      </c>
      <c r="I981" s="15">
        <f>IFERROR('[ServiceNow.xlsx]AC-11'!E20,"Non commencé")</f>
        <v/>
      </c>
      <c r="J981" s="16">
        <f>IF(OR(I981="Réussi",I981="Exception acceptée"),"GREEN",IF(OR(I981="Non commencé",I981="Échec"),"RED","AMBER"))</f>
        <v/>
      </c>
      <c r="K981" s="12" t="inlineStr"/>
      <c r="L981" s="12" t="inlineStr"/>
      <c r="M981" s="17" t="inlineStr"/>
    </row>
    <row r="982" ht="18" customHeight="1">
      <c r="A982" s="18" t="inlineStr">
        <is>
          <t>AC-11(1)</t>
        </is>
      </c>
      <c r="B982" s="19" t="inlineStr">
        <is>
          <t>Session Lock</t>
        </is>
      </c>
      <c r="C982" s="19" t="inlineStr">
        <is>
          <t>ServiceNow</t>
        </is>
      </c>
      <c r="D982" s="18" t="inlineStr">
        <is>
          <t>AC</t>
        </is>
      </c>
      <c r="E982" s="19" t="inlineStr">
        <is>
          <t>ServiceNow</t>
        </is>
      </c>
      <c r="F982" s="19" t="inlineStr">
        <is>
          <t>AC-11-1</t>
        </is>
      </c>
      <c r="G982" s="20">
        <f>IFERROR('[ServiceNow.xlsx]AC-11-1'!B20,"Not Started")</f>
        <v/>
      </c>
      <c r="H982" s="14">
        <f>IF(OR(G982="Passed",G982="Accepted Exception"),"GREEN",IF(OR(G982="Not Started",G982="Failed"),"RED","AMBER"))</f>
        <v/>
      </c>
      <c r="I982" s="21">
        <f>IFERROR('[ServiceNow.xlsx]AC-11-1'!E20,"Non commencé")</f>
        <v/>
      </c>
      <c r="J982" s="16">
        <f>IF(OR(I982="Réussi",I982="Exception acceptée"),"GREEN",IF(OR(I982="Non commencé",I982="Échec"),"RED","AMBER"))</f>
        <v/>
      </c>
      <c r="K982" s="19" t="inlineStr"/>
      <c r="L982" s="19" t="inlineStr"/>
      <c r="M982" s="22" t="inlineStr"/>
    </row>
    <row r="983" ht="18" customHeight="1">
      <c r="A983" s="11" t="inlineStr">
        <is>
          <t>AC-12</t>
        </is>
      </c>
      <c r="B983" s="12" t="inlineStr">
        <is>
          <t>Session Termination</t>
        </is>
      </c>
      <c r="C983" s="12" t="inlineStr">
        <is>
          <t>ServiceNow</t>
        </is>
      </c>
      <c r="D983" s="11" t="inlineStr">
        <is>
          <t>AC</t>
        </is>
      </c>
      <c r="E983" s="12" t="inlineStr">
        <is>
          <t>ServiceNow</t>
        </is>
      </c>
      <c r="F983" s="12" t="inlineStr">
        <is>
          <t>AC-12</t>
        </is>
      </c>
      <c r="G983" s="13">
        <f>IFERROR('[ServiceNow.xlsx]AC-12'!B20,"Not Started")</f>
        <v/>
      </c>
      <c r="H983" s="14">
        <f>IF(OR(G983="Passed",G983="Accepted Exception"),"GREEN",IF(OR(G983="Not Started",G983="Failed"),"RED","AMBER"))</f>
        <v/>
      </c>
      <c r="I983" s="15">
        <f>IFERROR('[ServiceNow.xlsx]AC-12'!E20,"Non commencé")</f>
        <v/>
      </c>
      <c r="J983" s="16">
        <f>IF(OR(I983="Réussi",I983="Exception acceptée"),"GREEN",IF(OR(I983="Non commencé",I983="Échec"),"RED","AMBER"))</f>
        <v/>
      </c>
      <c r="K983" s="12" t="inlineStr"/>
      <c r="L983" s="12" t="inlineStr"/>
      <c r="M983" s="17" t="inlineStr"/>
    </row>
    <row r="984" ht="18" customHeight="1">
      <c r="A984" s="18" t="inlineStr">
        <is>
          <t>AC-21</t>
        </is>
      </c>
      <c r="B984" s="19" t="inlineStr">
        <is>
          <t>User-Based Collaboration and Information Sharing</t>
        </is>
      </c>
      <c r="C984" s="19" t="inlineStr">
        <is>
          <t>ServiceNow</t>
        </is>
      </c>
      <c r="D984" s="18" t="inlineStr">
        <is>
          <t>AC</t>
        </is>
      </c>
      <c r="E984" s="19" t="inlineStr">
        <is>
          <t>ServiceNow</t>
        </is>
      </c>
      <c r="F984" s="19" t="inlineStr">
        <is>
          <t>AC-21</t>
        </is>
      </c>
      <c r="G984" s="20">
        <f>IFERROR('[ServiceNow.xlsx]AC-21'!B20,"Not Started")</f>
        <v/>
      </c>
      <c r="H984" s="14">
        <f>IF(OR(G984="Passed",G984="Accepted Exception"),"GREEN",IF(OR(G984="Not Started",G984="Failed"),"RED","AMBER"))</f>
        <v/>
      </c>
      <c r="I984" s="21">
        <f>IFERROR('[ServiceNow.xlsx]AC-21'!E20,"Non commencé")</f>
        <v/>
      </c>
      <c r="J984" s="16">
        <f>IF(OR(I984="Réussi",I984="Exception acceptée"),"GREEN",IF(OR(I984="Non commencé",I984="Échec"),"RED","AMBER"))</f>
        <v/>
      </c>
      <c r="K984" s="19" t="inlineStr"/>
      <c r="L984" s="19" t="inlineStr"/>
      <c r="M984" s="22" t="inlineStr"/>
    </row>
    <row r="985" ht="18" customHeight="1">
      <c r="A985" s="11" t="inlineStr">
        <is>
          <t>AU-2</t>
        </is>
      </c>
      <c r="B985" s="12" t="inlineStr">
        <is>
          <t>Auditable Events</t>
        </is>
      </c>
      <c r="C985" s="12" t="inlineStr">
        <is>
          <t>ServiceNow</t>
        </is>
      </c>
      <c r="D985" s="11" t="inlineStr">
        <is>
          <t>AU</t>
        </is>
      </c>
      <c r="E985" s="12" t="inlineStr">
        <is>
          <t>ServiceNow</t>
        </is>
      </c>
      <c r="F985" s="12" t="inlineStr">
        <is>
          <t>AU-2</t>
        </is>
      </c>
      <c r="G985" s="13">
        <f>IFERROR('[ServiceNow.xlsx]AU-2'!B20,"Not Started")</f>
        <v/>
      </c>
      <c r="H985" s="14">
        <f>IF(OR(G985="Passed",G985="Accepted Exception"),"GREEN",IF(OR(G985="Not Started",G985="Failed"),"RED","AMBER"))</f>
        <v/>
      </c>
      <c r="I985" s="15">
        <f>IFERROR('[ServiceNow.xlsx]AU-2'!E20,"Non commencé")</f>
        <v/>
      </c>
      <c r="J985" s="16">
        <f>IF(OR(I985="Réussi",I985="Exception acceptée"),"GREEN",IF(OR(I985="Non commencé",I985="Échec"),"RED","AMBER"))</f>
        <v/>
      </c>
      <c r="K985" s="12" t="inlineStr"/>
      <c r="L985" s="12" t="inlineStr"/>
      <c r="M985" s="17" t="inlineStr"/>
    </row>
    <row r="986" ht="18" customHeight="1">
      <c r="A986" s="18" t="inlineStr">
        <is>
          <t>AU-3</t>
        </is>
      </c>
      <c r="B986" s="19" t="inlineStr">
        <is>
          <t>Content of Audit Records</t>
        </is>
      </c>
      <c r="C986" s="19" t="inlineStr">
        <is>
          <t>ServiceNow</t>
        </is>
      </c>
      <c r="D986" s="18" t="inlineStr">
        <is>
          <t>AU</t>
        </is>
      </c>
      <c r="E986" s="19" t="inlineStr">
        <is>
          <t>ServiceNow</t>
        </is>
      </c>
      <c r="F986" s="19" t="inlineStr">
        <is>
          <t>AU-3</t>
        </is>
      </c>
      <c r="G986" s="20">
        <f>IFERROR('[ServiceNow.xlsx]AU-3'!B20,"Not Started")</f>
        <v/>
      </c>
      <c r="H986" s="14">
        <f>IF(OR(G986="Passed",G986="Accepted Exception"),"GREEN",IF(OR(G986="Not Started",G986="Failed"),"RED","AMBER"))</f>
        <v/>
      </c>
      <c r="I986" s="21">
        <f>IFERROR('[ServiceNow.xlsx]AU-3'!E20,"Non commencé")</f>
        <v/>
      </c>
      <c r="J986" s="16">
        <f>IF(OR(I986="Réussi",I986="Exception acceptée"),"GREEN",IF(OR(I986="Non commencé",I986="Échec"),"RED","AMBER"))</f>
        <v/>
      </c>
      <c r="K986" s="19" t="inlineStr"/>
      <c r="L986" s="19" t="inlineStr"/>
      <c r="M986" s="22" t="inlineStr"/>
    </row>
    <row r="987" ht="18" customHeight="1">
      <c r="A987" s="11" t="inlineStr">
        <is>
          <t>AU-8</t>
        </is>
      </c>
      <c r="B987" s="12" t="inlineStr">
        <is>
          <t>Time Stamps</t>
        </is>
      </c>
      <c r="C987" s="12" t="inlineStr">
        <is>
          <t>ServiceNow</t>
        </is>
      </c>
      <c r="D987" s="11" t="inlineStr">
        <is>
          <t>AU</t>
        </is>
      </c>
      <c r="E987" s="12" t="inlineStr">
        <is>
          <t>ServiceNow</t>
        </is>
      </c>
      <c r="F987" s="12" t="inlineStr">
        <is>
          <t>AU-8</t>
        </is>
      </c>
      <c r="G987" s="13">
        <f>IFERROR('[ServiceNow.xlsx]AU-8'!B20,"Not Started")</f>
        <v/>
      </c>
      <c r="H987" s="14">
        <f>IF(OR(G987="Passed",G987="Accepted Exception"),"GREEN",IF(OR(G987="Not Started",G987="Failed"),"RED","AMBER"))</f>
        <v/>
      </c>
      <c r="I987" s="15">
        <f>IFERROR('[ServiceNow.xlsx]AU-8'!E20,"Non commencé")</f>
        <v/>
      </c>
      <c r="J987" s="16">
        <f>IF(OR(I987="Réussi",I987="Exception acceptée"),"GREEN",IF(OR(I987="Non commencé",I987="Échec"),"RED","AMBER"))</f>
        <v/>
      </c>
      <c r="K987" s="12" t="inlineStr"/>
      <c r="L987" s="12" t="inlineStr"/>
      <c r="M987" s="17" t="inlineStr"/>
    </row>
    <row r="988" ht="18" customHeight="1">
      <c r="A988" s="18" t="inlineStr">
        <is>
          <t>AU-8(1)</t>
        </is>
      </c>
      <c r="B988" s="19" t="inlineStr">
        <is>
          <t>Time Stamps</t>
        </is>
      </c>
      <c r="C988" s="19" t="inlineStr">
        <is>
          <t>ServiceNow</t>
        </is>
      </c>
      <c r="D988" s="18" t="inlineStr">
        <is>
          <t>AU</t>
        </is>
      </c>
      <c r="E988" s="19" t="inlineStr">
        <is>
          <t>ServiceNow</t>
        </is>
      </c>
      <c r="F988" s="19" t="inlineStr">
        <is>
          <t>AU-8-1</t>
        </is>
      </c>
      <c r="G988" s="20">
        <f>IFERROR('[ServiceNow.xlsx]AU-8-1'!B20,"Not Started")</f>
        <v/>
      </c>
      <c r="H988" s="14">
        <f>IF(OR(G988="Passed",G988="Accepted Exception"),"GREEN",IF(OR(G988="Not Started",G988="Failed"),"RED","AMBER"))</f>
        <v/>
      </c>
      <c r="I988" s="21">
        <f>IFERROR('[ServiceNow.xlsx]AU-8-1'!E20,"Non commencé")</f>
        <v/>
      </c>
      <c r="J988" s="16">
        <f>IF(OR(I988="Réussi",I988="Exception acceptée"),"GREEN",IF(OR(I988="Non commencé",I988="Échec"),"RED","AMBER"))</f>
        <v/>
      </c>
      <c r="K988" s="19" t="inlineStr"/>
      <c r="L988" s="19" t="inlineStr"/>
      <c r="M988" s="22" t="inlineStr"/>
    </row>
    <row r="989" ht="18" customHeight="1">
      <c r="A989" s="11" t="inlineStr">
        <is>
          <t>AU-9(2)</t>
        </is>
      </c>
      <c r="B989" s="12" t="inlineStr">
        <is>
          <t>Protection of Audit Information</t>
        </is>
      </c>
      <c r="C989" s="12" t="inlineStr">
        <is>
          <t>ServiceNow</t>
        </is>
      </c>
      <c r="D989" s="11" t="inlineStr">
        <is>
          <t>AU</t>
        </is>
      </c>
      <c r="E989" s="12" t="inlineStr">
        <is>
          <t>ServiceNow</t>
        </is>
      </c>
      <c r="F989" s="12" t="inlineStr">
        <is>
          <t>AU-9-2</t>
        </is>
      </c>
      <c r="G989" s="13">
        <f>IFERROR('[ServiceNow.xlsx]AU-9-2'!B20,"Not Started")</f>
        <v/>
      </c>
      <c r="H989" s="14">
        <f>IF(OR(G989="Passed",G989="Accepted Exception"),"GREEN",IF(OR(G989="Not Started",G989="Failed"),"RED","AMBER"))</f>
        <v/>
      </c>
      <c r="I989" s="15">
        <f>IFERROR('[ServiceNow.xlsx]AU-9-2'!E20,"Non commencé")</f>
        <v/>
      </c>
      <c r="J989" s="16">
        <f>IF(OR(I989="Réussi",I989="Exception acceptée"),"GREEN",IF(OR(I989="Non commencé",I989="Échec"),"RED","AMBER"))</f>
        <v/>
      </c>
      <c r="K989" s="12" t="inlineStr"/>
      <c r="L989" s="12" t="inlineStr"/>
      <c r="M989" s="17" t="inlineStr"/>
    </row>
    <row r="990" ht="18" customHeight="1">
      <c r="A990" s="18" t="inlineStr">
        <is>
          <t>AU-9(4)</t>
        </is>
      </c>
      <c r="B990" s="19" t="inlineStr">
        <is>
          <t>Protection of Audit Information</t>
        </is>
      </c>
      <c r="C990" s="19" t="inlineStr">
        <is>
          <t>ServiceNow</t>
        </is>
      </c>
      <c r="D990" s="18" t="inlineStr">
        <is>
          <t>AU</t>
        </is>
      </c>
      <c r="E990" s="19" t="inlineStr">
        <is>
          <t>ServiceNow</t>
        </is>
      </c>
      <c r="F990" s="19" t="inlineStr">
        <is>
          <t>AU-9-4</t>
        </is>
      </c>
      <c r="G990" s="20">
        <f>IFERROR('[ServiceNow.xlsx]AU-9-4'!B20,"Not Started")</f>
        <v/>
      </c>
      <c r="H990" s="14">
        <f>IF(OR(G990="Passed",G990="Accepted Exception"),"GREEN",IF(OR(G990="Not Started",G990="Failed"),"RED","AMBER"))</f>
        <v/>
      </c>
      <c r="I990" s="21">
        <f>IFERROR('[ServiceNow.xlsx]AU-9-4'!E20,"Non commencé")</f>
        <v/>
      </c>
      <c r="J990" s="16">
        <f>IF(OR(I990="Réussi",I990="Exception acceptée"),"GREEN",IF(OR(I990="Non commencé",I990="Échec"),"RED","AMBER"))</f>
        <v/>
      </c>
      <c r="K990" s="19" t="inlineStr"/>
      <c r="L990" s="19" t="inlineStr"/>
      <c r="M990" s="22" t="inlineStr"/>
    </row>
    <row r="991" ht="18" customHeight="1">
      <c r="A991" s="11" t="inlineStr">
        <is>
          <t>AU-11</t>
        </is>
      </c>
      <c r="B991" s="12" t="inlineStr">
        <is>
          <t>Audit Record Retention</t>
        </is>
      </c>
      <c r="C991" s="12" t="inlineStr">
        <is>
          <t>ServiceNow</t>
        </is>
      </c>
      <c r="D991" s="11" t="inlineStr">
        <is>
          <t>AU</t>
        </is>
      </c>
      <c r="E991" s="12" t="inlineStr">
        <is>
          <t>ServiceNow</t>
        </is>
      </c>
      <c r="F991" s="12" t="inlineStr">
        <is>
          <t>AU-11</t>
        </is>
      </c>
      <c r="G991" s="13">
        <f>IFERROR('[ServiceNow.xlsx]AU-11'!B20,"Not Started")</f>
        <v/>
      </c>
      <c r="H991" s="14">
        <f>IF(OR(G991="Passed",G991="Accepted Exception"),"GREEN",IF(OR(G991="Not Started",G991="Failed"),"RED","AMBER"))</f>
        <v/>
      </c>
      <c r="I991" s="15">
        <f>IFERROR('[ServiceNow.xlsx]AU-11'!E20,"Non commencé")</f>
        <v/>
      </c>
      <c r="J991" s="16">
        <f>IF(OR(I991="Réussi",I991="Exception acceptée"),"GREEN",IF(OR(I991="Non commencé",I991="Échec"),"RED","AMBER"))</f>
        <v/>
      </c>
      <c r="K991" s="12" t="inlineStr"/>
      <c r="L991" s="12" t="inlineStr"/>
      <c r="M991" s="17" t="inlineStr"/>
    </row>
    <row r="992" ht="18" customHeight="1">
      <c r="A992" s="18" t="inlineStr">
        <is>
          <t>AU-12</t>
        </is>
      </c>
      <c r="B992" s="19" t="inlineStr">
        <is>
          <t>Audit Generation</t>
        </is>
      </c>
      <c r="C992" s="19" t="inlineStr">
        <is>
          <t>ServiceNow</t>
        </is>
      </c>
      <c r="D992" s="18" t="inlineStr">
        <is>
          <t>AU</t>
        </is>
      </c>
      <c r="E992" s="19" t="inlineStr">
        <is>
          <t>ServiceNow</t>
        </is>
      </c>
      <c r="F992" s="19" t="inlineStr">
        <is>
          <t>AU-12</t>
        </is>
      </c>
      <c r="G992" s="20">
        <f>IFERROR('[ServiceNow.xlsx]AU-12'!B20,"Not Started")</f>
        <v/>
      </c>
      <c r="H992" s="14">
        <f>IF(OR(G992="Passed",G992="Accepted Exception"),"GREEN",IF(OR(G992="Not Started",G992="Failed"),"RED","AMBER"))</f>
        <v/>
      </c>
      <c r="I992" s="21">
        <f>IFERROR('[ServiceNow.xlsx]AU-12'!E20,"Non commencé")</f>
        <v/>
      </c>
      <c r="J992" s="16">
        <f>IF(OR(I992="Réussi",I992="Exception acceptée"),"GREEN",IF(OR(I992="Non commencé",I992="Échec"),"RED","AMBER"))</f>
        <v/>
      </c>
      <c r="K992" s="19" t="inlineStr"/>
      <c r="L992" s="19" t="inlineStr"/>
      <c r="M992" s="22" t="inlineStr"/>
    </row>
    <row r="993" ht="18" customHeight="1">
      <c r="A993" s="11" t="inlineStr">
        <is>
          <t>CA-9</t>
        </is>
      </c>
      <c r="B993" s="12" t="inlineStr">
        <is>
          <t>Internal System Connections</t>
        </is>
      </c>
      <c r="C993" s="12" t="inlineStr">
        <is>
          <t>ServiceNow</t>
        </is>
      </c>
      <c r="D993" s="11" t="inlineStr">
        <is>
          <t>CA</t>
        </is>
      </c>
      <c r="E993" s="12" t="inlineStr">
        <is>
          <t>ServiceNow</t>
        </is>
      </c>
      <c r="F993" s="12" t="inlineStr">
        <is>
          <t>CA-9</t>
        </is>
      </c>
      <c r="G993" s="13">
        <f>IFERROR('[ServiceNow.xlsx]CA-9'!B20,"Not Started")</f>
        <v/>
      </c>
      <c r="H993" s="14">
        <f>IF(OR(G993="Passed",G993="Accepted Exception"),"GREEN",IF(OR(G993="Not Started",G993="Failed"),"RED","AMBER"))</f>
        <v/>
      </c>
      <c r="I993" s="15">
        <f>IFERROR('[ServiceNow.xlsx]CA-9'!E20,"Non commencé")</f>
        <v/>
      </c>
      <c r="J993" s="16">
        <f>IF(OR(I993="Réussi",I993="Exception acceptée"),"GREEN",IF(OR(I993="Non commencé",I993="Échec"),"RED","AMBER"))</f>
        <v/>
      </c>
      <c r="K993" s="12" t="inlineStr"/>
      <c r="L993" s="12" t="inlineStr"/>
      <c r="M993" s="17" t="inlineStr"/>
    </row>
    <row r="994" ht="18" customHeight="1">
      <c r="A994" s="18" t="inlineStr">
        <is>
          <t>CM-2</t>
        </is>
      </c>
      <c r="B994" s="19" t="inlineStr">
        <is>
          <t>Baseline Configuration</t>
        </is>
      </c>
      <c r="C994" s="19" t="inlineStr">
        <is>
          <t>ServiceNow</t>
        </is>
      </c>
      <c r="D994" s="18" t="inlineStr">
        <is>
          <t>CM</t>
        </is>
      </c>
      <c r="E994" s="19" t="inlineStr">
        <is>
          <t>ServiceNow</t>
        </is>
      </c>
      <c r="F994" s="19" t="inlineStr">
        <is>
          <t>CM-2</t>
        </is>
      </c>
      <c r="G994" s="20">
        <f>IFERROR('[ServiceNow.xlsx]CM-2'!B20,"Not Started")</f>
        <v/>
      </c>
      <c r="H994" s="14">
        <f>IF(OR(G994="Passed",G994="Accepted Exception"),"GREEN",IF(OR(G994="Not Started",G994="Failed"),"RED","AMBER"))</f>
        <v/>
      </c>
      <c r="I994" s="21">
        <f>IFERROR('[ServiceNow.xlsx]CM-2'!E20,"Non commencé")</f>
        <v/>
      </c>
      <c r="J994" s="16">
        <f>IF(OR(I994="Réussi",I994="Exception acceptée"),"GREEN",IF(OR(I994="Non commencé",I994="Échec"),"RED","AMBER"))</f>
        <v/>
      </c>
      <c r="K994" s="19" t="inlineStr"/>
      <c r="L994" s="19" t="inlineStr"/>
      <c r="M994" s="22" t="inlineStr"/>
    </row>
    <row r="995" ht="18" customHeight="1">
      <c r="A995" s="11" t="inlineStr">
        <is>
          <t>CM-2(1)</t>
        </is>
      </c>
      <c r="B995" s="12" t="inlineStr">
        <is>
          <t>Baseline Configuration</t>
        </is>
      </c>
      <c r="C995" s="12" t="inlineStr">
        <is>
          <t>ServiceNow</t>
        </is>
      </c>
      <c r="D995" s="11" t="inlineStr">
        <is>
          <t>CM</t>
        </is>
      </c>
      <c r="E995" s="12" t="inlineStr">
        <is>
          <t>ServiceNow</t>
        </is>
      </c>
      <c r="F995" s="12" t="inlineStr">
        <is>
          <t>CM-2-1</t>
        </is>
      </c>
      <c r="G995" s="13">
        <f>IFERROR('[ServiceNow.xlsx]CM-2-1'!B20,"Not Started")</f>
        <v/>
      </c>
      <c r="H995" s="14">
        <f>IF(OR(G995="Passed",G995="Accepted Exception"),"GREEN",IF(OR(G995="Not Started",G995="Failed"),"RED","AMBER"))</f>
        <v/>
      </c>
      <c r="I995" s="15">
        <f>IFERROR('[ServiceNow.xlsx]CM-2-1'!E20,"Non commencé")</f>
        <v/>
      </c>
      <c r="J995" s="16">
        <f>IF(OR(I995="Réussi",I995="Exception acceptée"),"GREEN",IF(OR(I995="Non commencé",I995="Échec"),"RED","AMBER"))</f>
        <v/>
      </c>
      <c r="K995" s="12" t="inlineStr"/>
      <c r="L995" s="12" t="inlineStr"/>
      <c r="M995" s="17" t="inlineStr"/>
    </row>
    <row r="996" ht="18" customHeight="1">
      <c r="A996" s="18" t="inlineStr">
        <is>
          <t>CM-2(2)</t>
        </is>
      </c>
      <c r="B996" s="19" t="inlineStr">
        <is>
          <t>Baseline Configuration</t>
        </is>
      </c>
      <c r="C996" s="19" t="inlineStr">
        <is>
          <t>ServiceNow</t>
        </is>
      </c>
      <c r="D996" s="18" t="inlineStr">
        <is>
          <t>CM</t>
        </is>
      </c>
      <c r="E996" s="19" t="inlineStr">
        <is>
          <t>ServiceNow</t>
        </is>
      </c>
      <c r="F996" s="19" t="inlineStr">
        <is>
          <t>CM-2-2</t>
        </is>
      </c>
      <c r="G996" s="20">
        <f>IFERROR('[ServiceNow.xlsx]CM-2-2'!B20,"Not Started")</f>
        <v/>
      </c>
      <c r="H996" s="14">
        <f>IF(OR(G996="Passed",G996="Accepted Exception"),"GREEN",IF(OR(G996="Not Started",G996="Failed"),"RED","AMBER"))</f>
        <v/>
      </c>
      <c r="I996" s="21">
        <f>IFERROR('[ServiceNow.xlsx]CM-2-2'!E20,"Non commencé")</f>
        <v/>
      </c>
      <c r="J996" s="16">
        <f>IF(OR(I996="Réussi",I996="Exception acceptée"),"GREEN",IF(OR(I996="Non commencé",I996="Échec"),"RED","AMBER"))</f>
        <v/>
      </c>
      <c r="K996" s="19" t="inlineStr"/>
      <c r="L996" s="19" t="inlineStr"/>
      <c r="M996" s="22" t="inlineStr"/>
    </row>
    <row r="997" ht="18" customHeight="1">
      <c r="A997" s="11" t="inlineStr">
        <is>
          <t>CM-2(3)</t>
        </is>
      </c>
      <c r="B997" s="12" t="inlineStr">
        <is>
          <t>Baseline Configuration</t>
        </is>
      </c>
      <c r="C997" s="12" t="inlineStr">
        <is>
          <t>ServiceNow</t>
        </is>
      </c>
      <c r="D997" s="11" t="inlineStr">
        <is>
          <t>CM</t>
        </is>
      </c>
      <c r="E997" s="12" t="inlineStr">
        <is>
          <t>ServiceNow</t>
        </is>
      </c>
      <c r="F997" s="12" t="inlineStr">
        <is>
          <t>CM-2-3</t>
        </is>
      </c>
      <c r="G997" s="13">
        <f>IFERROR('[ServiceNow.xlsx]CM-2-3'!B20,"Not Started")</f>
        <v/>
      </c>
      <c r="H997" s="14">
        <f>IF(OR(G997="Passed",G997="Accepted Exception"),"GREEN",IF(OR(G997="Not Started",G997="Failed"),"RED","AMBER"))</f>
        <v/>
      </c>
      <c r="I997" s="15">
        <f>IFERROR('[ServiceNow.xlsx]CM-2-3'!E20,"Non commencé")</f>
        <v/>
      </c>
      <c r="J997" s="16">
        <f>IF(OR(I997="Réussi",I997="Exception acceptée"),"GREEN",IF(OR(I997="Non commencé",I997="Échec"),"RED","AMBER"))</f>
        <v/>
      </c>
      <c r="K997" s="12" t="inlineStr"/>
      <c r="L997" s="12" t="inlineStr"/>
      <c r="M997" s="17" t="inlineStr"/>
    </row>
    <row r="998" ht="18" customHeight="1">
      <c r="A998" s="18" t="inlineStr">
        <is>
          <t>CM-3</t>
        </is>
      </c>
      <c r="B998" s="19" t="inlineStr">
        <is>
          <t>Configuration Change Control</t>
        </is>
      </c>
      <c r="C998" s="19" t="inlineStr">
        <is>
          <t>ServiceNow</t>
        </is>
      </c>
      <c r="D998" s="18" t="inlineStr">
        <is>
          <t>CM</t>
        </is>
      </c>
      <c r="E998" s="19" t="inlineStr">
        <is>
          <t>ServiceNow</t>
        </is>
      </c>
      <c r="F998" s="19" t="inlineStr">
        <is>
          <t>CM-3</t>
        </is>
      </c>
      <c r="G998" s="20">
        <f>IFERROR('[ServiceNow.xlsx]CM-3'!B20,"Not Started")</f>
        <v/>
      </c>
      <c r="H998" s="14">
        <f>IF(OR(G998="Passed",G998="Accepted Exception"),"GREEN",IF(OR(G998="Not Started",G998="Failed"),"RED","AMBER"))</f>
        <v/>
      </c>
      <c r="I998" s="21">
        <f>IFERROR('[ServiceNow.xlsx]CM-3'!E20,"Non commencé")</f>
        <v/>
      </c>
      <c r="J998" s="16">
        <f>IF(OR(I998="Réussi",I998="Exception acceptée"),"GREEN",IF(OR(I998="Non commencé",I998="Échec"),"RED","AMBER"))</f>
        <v/>
      </c>
      <c r="K998" s="19" t="inlineStr"/>
      <c r="L998" s="19" t="inlineStr"/>
      <c r="M998" s="22" t="inlineStr"/>
    </row>
    <row r="999" ht="18" customHeight="1">
      <c r="A999" s="11" t="inlineStr">
        <is>
          <t>CM-3(4)</t>
        </is>
      </c>
      <c r="B999" s="12" t="inlineStr">
        <is>
          <t>Configuration Change Control</t>
        </is>
      </c>
      <c r="C999" s="12" t="inlineStr">
        <is>
          <t>ServiceNow</t>
        </is>
      </c>
      <c r="D999" s="11" t="inlineStr">
        <is>
          <t>CM</t>
        </is>
      </c>
      <c r="E999" s="12" t="inlineStr">
        <is>
          <t>ServiceNow</t>
        </is>
      </c>
      <c r="F999" s="12" t="inlineStr">
        <is>
          <t>CM-3-4</t>
        </is>
      </c>
      <c r="G999" s="13">
        <f>IFERROR('[ServiceNow.xlsx]CM-3-4'!B20,"Not Started")</f>
        <v/>
      </c>
      <c r="H999" s="14">
        <f>IF(OR(G999="Passed",G999="Accepted Exception"),"GREEN",IF(OR(G999="Not Started",G999="Failed"),"RED","AMBER"))</f>
        <v/>
      </c>
      <c r="I999" s="15">
        <f>IFERROR('[ServiceNow.xlsx]CM-3-4'!E20,"Non commencé")</f>
        <v/>
      </c>
      <c r="J999" s="16">
        <f>IF(OR(I999="Réussi",I999="Exception acceptée"),"GREEN",IF(OR(I999="Non commencé",I999="Échec"),"RED","AMBER"))</f>
        <v/>
      </c>
      <c r="K999" s="12" t="inlineStr"/>
      <c r="L999" s="12" t="inlineStr"/>
      <c r="M999" s="17" t="inlineStr"/>
    </row>
    <row r="1000" ht="18" customHeight="1">
      <c r="A1000" s="18" t="inlineStr">
        <is>
          <t>CM-3(6)</t>
        </is>
      </c>
      <c r="B1000" s="19" t="inlineStr">
        <is>
          <t>Configuration Change Control</t>
        </is>
      </c>
      <c r="C1000" s="19" t="inlineStr">
        <is>
          <t>ServiceNow</t>
        </is>
      </c>
      <c r="D1000" s="18" t="inlineStr">
        <is>
          <t>CM</t>
        </is>
      </c>
      <c r="E1000" s="19" t="inlineStr">
        <is>
          <t>ServiceNow</t>
        </is>
      </c>
      <c r="F1000" s="19" t="inlineStr">
        <is>
          <t>CM-3-6</t>
        </is>
      </c>
      <c r="G1000" s="20">
        <f>IFERROR('[ServiceNow.xlsx]CM-3-6'!B20,"Not Started")</f>
        <v/>
      </c>
      <c r="H1000" s="14">
        <f>IF(OR(G1000="Passed",G1000="Accepted Exception"),"GREEN",IF(OR(G1000="Not Started",G1000="Failed"),"RED","AMBER"))</f>
        <v/>
      </c>
      <c r="I1000" s="21">
        <f>IFERROR('[ServiceNow.xlsx]CM-3-6'!E20,"Non commencé")</f>
        <v/>
      </c>
      <c r="J1000" s="16">
        <f>IF(OR(I1000="Réussi",I1000="Exception acceptée"),"GREEN",IF(OR(I1000="Non commencé",I1000="Échec"),"RED","AMBER"))</f>
        <v/>
      </c>
      <c r="K1000" s="19" t="inlineStr"/>
      <c r="L1000" s="19" t="inlineStr"/>
      <c r="M1000" s="22" t="inlineStr"/>
    </row>
    <row r="1001" ht="18" customHeight="1">
      <c r="A1001" s="11" t="inlineStr">
        <is>
          <t>CM-4</t>
        </is>
      </c>
      <c r="B1001" s="12" t="inlineStr">
        <is>
          <t>Security Impact Analysis</t>
        </is>
      </c>
      <c r="C1001" s="12" t="inlineStr">
        <is>
          <t>ServiceNow</t>
        </is>
      </c>
      <c r="D1001" s="11" t="inlineStr">
        <is>
          <t>CM</t>
        </is>
      </c>
      <c r="E1001" s="12" t="inlineStr">
        <is>
          <t>ServiceNow</t>
        </is>
      </c>
      <c r="F1001" s="12" t="inlineStr">
        <is>
          <t>CM-4</t>
        </is>
      </c>
      <c r="G1001" s="13">
        <f>IFERROR('[ServiceNow.xlsx]CM-4'!B20,"Not Started")</f>
        <v/>
      </c>
      <c r="H1001" s="14">
        <f>IF(OR(G1001="Passed",G1001="Accepted Exception"),"GREEN",IF(OR(G1001="Not Started",G1001="Failed"),"RED","AMBER"))</f>
        <v/>
      </c>
      <c r="I1001" s="15">
        <f>IFERROR('[ServiceNow.xlsx]CM-4'!E20,"Non commencé")</f>
        <v/>
      </c>
      <c r="J1001" s="16">
        <f>IF(OR(I1001="Réussi",I1001="Exception acceptée"),"GREEN",IF(OR(I1001="Non commencé",I1001="Échec"),"RED","AMBER"))</f>
        <v/>
      </c>
      <c r="K1001" s="12" t="inlineStr"/>
      <c r="L1001" s="12" t="inlineStr"/>
      <c r="M1001" s="17" t="inlineStr"/>
    </row>
    <row r="1002" ht="18" customHeight="1">
      <c r="A1002" s="18" t="inlineStr">
        <is>
          <t>CM-5</t>
        </is>
      </c>
      <c r="B1002" s="19" t="inlineStr">
        <is>
          <t>Access Restrictions for Change</t>
        </is>
      </c>
      <c r="C1002" s="19" t="inlineStr">
        <is>
          <t>ServiceNow</t>
        </is>
      </c>
      <c r="D1002" s="18" t="inlineStr">
        <is>
          <t>CM</t>
        </is>
      </c>
      <c r="E1002" s="19" t="inlineStr">
        <is>
          <t>ServiceNow</t>
        </is>
      </c>
      <c r="F1002" s="19" t="inlineStr">
        <is>
          <t>CM-5</t>
        </is>
      </c>
      <c r="G1002" s="20">
        <f>IFERROR('[ServiceNow.xlsx]CM-5'!B20,"Not Started")</f>
        <v/>
      </c>
      <c r="H1002" s="14">
        <f>IF(OR(G1002="Passed",G1002="Accepted Exception"),"GREEN",IF(OR(G1002="Not Started",G1002="Failed"),"RED","AMBER"))</f>
        <v/>
      </c>
      <c r="I1002" s="21">
        <f>IFERROR('[ServiceNow.xlsx]CM-5'!E20,"Non commencé")</f>
        <v/>
      </c>
      <c r="J1002" s="16">
        <f>IF(OR(I1002="Réussi",I1002="Exception acceptée"),"GREEN",IF(OR(I1002="Non commencé",I1002="Échec"),"RED","AMBER"))</f>
        <v/>
      </c>
      <c r="K1002" s="19" t="inlineStr"/>
      <c r="L1002" s="19" t="inlineStr"/>
      <c r="M1002" s="22" t="inlineStr"/>
    </row>
    <row r="1003" ht="18" customHeight="1">
      <c r="A1003" s="11" t="inlineStr">
        <is>
          <t>CM-5(1)</t>
        </is>
      </c>
      <c r="B1003" s="12" t="inlineStr">
        <is>
          <t>Access Restrictions for Change</t>
        </is>
      </c>
      <c r="C1003" s="12" t="inlineStr">
        <is>
          <t>ServiceNow</t>
        </is>
      </c>
      <c r="D1003" s="11" t="inlineStr">
        <is>
          <t>CM</t>
        </is>
      </c>
      <c r="E1003" s="12" t="inlineStr">
        <is>
          <t>ServiceNow</t>
        </is>
      </c>
      <c r="F1003" s="12" t="inlineStr">
        <is>
          <t>CM-5-1</t>
        </is>
      </c>
      <c r="G1003" s="13">
        <f>IFERROR('[ServiceNow.xlsx]CM-5-1'!B20,"Not Started")</f>
        <v/>
      </c>
      <c r="H1003" s="14">
        <f>IF(OR(G1003="Passed",G1003="Accepted Exception"),"GREEN",IF(OR(G1003="Not Started",G1003="Failed"),"RED","AMBER"))</f>
        <v/>
      </c>
      <c r="I1003" s="15">
        <f>IFERROR('[ServiceNow.xlsx]CM-5-1'!E20,"Non commencé")</f>
        <v/>
      </c>
      <c r="J1003" s="16">
        <f>IF(OR(I1003="Réussi",I1003="Exception acceptée"),"GREEN",IF(OR(I1003="Non commencé",I1003="Échec"),"RED","AMBER"))</f>
        <v/>
      </c>
      <c r="K1003" s="12" t="inlineStr"/>
      <c r="L1003" s="12" t="inlineStr"/>
      <c r="M1003" s="17" t="inlineStr"/>
    </row>
    <row r="1004" ht="18" customHeight="1">
      <c r="A1004" s="18" t="inlineStr">
        <is>
          <t>CM-5(5)</t>
        </is>
      </c>
      <c r="B1004" s="19" t="inlineStr">
        <is>
          <t>Access Restrictions for Change</t>
        </is>
      </c>
      <c r="C1004" s="19" t="inlineStr">
        <is>
          <t>ServiceNow</t>
        </is>
      </c>
      <c r="D1004" s="18" t="inlineStr">
        <is>
          <t>CM</t>
        </is>
      </c>
      <c r="E1004" s="19" t="inlineStr">
        <is>
          <t>ServiceNow</t>
        </is>
      </c>
      <c r="F1004" s="19" t="inlineStr">
        <is>
          <t>CM-5-5</t>
        </is>
      </c>
      <c r="G1004" s="20">
        <f>IFERROR('[ServiceNow.xlsx]CM-5-5'!B20,"Not Started")</f>
        <v/>
      </c>
      <c r="H1004" s="14">
        <f>IF(OR(G1004="Passed",G1004="Accepted Exception"),"GREEN",IF(OR(G1004="Not Started",G1004="Failed"),"RED","AMBER"))</f>
        <v/>
      </c>
      <c r="I1004" s="21">
        <f>IFERROR('[ServiceNow.xlsx]CM-5-5'!E20,"Non commencé")</f>
        <v/>
      </c>
      <c r="J1004" s="16">
        <f>IF(OR(I1004="Réussi",I1004="Exception acceptée"),"GREEN",IF(OR(I1004="Non commencé",I1004="Échec"),"RED","AMBER"))</f>
        <v/>
      </c>
      <c r="K1004" s="19" t="inlineStr"/>
      <c r="L1004" s="19" t="inlineStr"/>
      <c r="M1004" s="22" t="inlineStr"/>
    </row>
    <row r="1005" ht="18" customHeight="1">
      <c r="A1005" s="11" t="inlineStr">
        <is>
          <t>CM-5(6)</t>
        </is>
      </c>
      <c r="B1005" s="12" t="inlineStr">
        <is>
          <t>Access Restrictions for Change</t>
        </is>
      </c>
      <c r="C1005" s="12" t="inlineStr">
        <is>
          <t>ServiceNow</t>
        </is>
      </c>
      <c r="D1005" s="11" t="inlineStr">
        <is>
          <t>CM</t>
        </is>
      </c>
      <c r="E1005" s="12" t="inlineStr">
        <is>
          <t>ServiceNow</t>
        </is>
      </c>
      <c r="F1005" s="12" t="inlineStr">
        <is>
          <t>CM-5-6</t>
        </is>
      </c>
      <c r="G1005" s="13">
        <f>IFERROR('[ServiceNow.xlsx]CM-5-6'!B20,"Not Started")</f>
        <v/>
      </c>
      <c r="H1005" s="14">
        <f>IF(OR(G1005="Passed",G1005="Accepted Exception"),"GREEN",IF(OR(G1005="Not Started",G1005="Failed"),"RED","AMBER"))</f>
        <v/>
      </c>
      <c r="I1005" s="15">
        <f>IFERROR('[ServiceNow.xlsx]CM-5-6'!E20,"Non commencé")</f>
        <v/>
      </c>
      <c r="J1005" s="16">
        <f>IF(OR(I1005="Réussi",I1005="Exception acceptée"),"GREEN",IF(OR(I1005="Non commencé",I1005="Échec"),"RED","AMBER"))</f>
        <v/>
      </c>
      <c r="K1005" s="12" t="inlineStr"/>
      <c r="L1005" s="12" t="inlineStr"/>
      <c r="M1005" s="17" t="inlineStr"/>
    </row>
    <row r="1006" ht="18" customHeight="1">
      <c r="A1006" s="18" t="inlineStr">
        <is>
          <t>CM-6</t>
        </is>
      </c>
      <c r="B1006" s="19" t="inlineStr">
        <is>
          <t>Configuration Settings</t>
        </is>
      </c>
      <c r="C1006" s="19" t="inlineStr">
        <is>
          <t>ServiceNow</t>
        </is>
      </c>
      <c r="D1006" s="18" t="inlineStr">
        <is>
          <t>CM</t>
        </is>
      </c>
      <c r="E1006" s="19" t="inlineStr">
        <is>
          <t>ServiceNow</t>
        </is>
      </c>
      <c r="F1006" s="19" t="inlineStr">
        <is>
          <t>CM-6</t>
        </is>
      </c>
      <c r="G1006" s="20">
        <f>IFERROR('[ServiceNow.xlsx]CM-6'!B20,"Not Started")</f>
        <v/>
      </c>
      <c r="H1006" s="14">
        <f>IF(OR(G1006="Passed",G1006="Accepted Exception"),"GREEN",IF(OR(G1006="Not Started",G1006="Failed"),"RED","AMBER"))</f>
        <v/>
      </c>
      <c r="I1006" s="21">
        <f>IFERROR('[ServiceNow.xlsx]CM-6'!E20,"Non commencé")</f>
        <v/>
      </c>
      <c r="J1006" s="16">
        <f>IF(OR(I1006="Réussi",I1006="Exception acceptée"),"GREEN",IF(OR(I1006="Non commencé",I1006="Échec"),"RED","AMBER"))</f>
        <v/>
      </c>
      <c r="K1006" s="19" t="inlineStr"/>
      <c r="L1006" s="19" t="inlineStr"/>
      <c r="M1006" s="22" t="inlineStr"/>
    </row>
    <row r="1007" ht="18" customHeight="1">
      <c r="A1007" s="11" t="inlineStr">
        <is>
          <t>CM-6(1)</t>
        </is>
      </c>
      <c r="B1007" s="12" t="inlineStr">
        <is>
          <t>Configuration Settings</t>
        </is>
      </c>
      <c r="C1007" s="12" t="inlineStr">
        <is>
          <t>ServiceNow</t>
        </is>
      </c>
      <c r="D1007" s="11" t="inlineStr">
        <is>
          <t>CM</t>
        </is>
      </c>
      <c r="E1007" s="12" t="inlineStr">
        <is>
          <t>ServiceNow</t>
        </is>
      </c>
      <c r="F1007" s="12" t="inlineStr">
        <is>
          <t>CM-6-1</t>
        </is>
      </c>
      <c r="G1007" s="13">
        <f>IFERROR('[ServiceNow.xlsx]CM-6-1'!B20,"Not Started")</f>
        <v/>
      </c>
      <c r="H1007" s="14">
        <f>IF(OR(G1007="Passed",G1007="Accepted Exception"),"GREEN",IF(OR(G1007="Not Started",G1007="Failed"),"RED","AMBER"))</f>
        <v/>
      </c>
      <c r="I1007" s="15">
        <f>IFERROR('[ServiceNow.xlsx]CM-6-1'!E20,"Non commencé")</f>
        <v/>
      </c>
      <c r="J1007" s="16">
        <f>IF(OR(I1007="Réussi",I1007="Exception acceptée"),"GREEN",IF(OR(I1007="Non commencé",I1007="Échec"),"RED","AMBER"))</f>
        <v/>
      </c>
      <c r="K1007" s="12" t="inlineStr"/>
      <c r="L1007" s="12" t="inlineStr"/>
      <c r="M1007" s="17" t="inlineStr"/>
    </row>
    <row r="1008" ht="18" customHeight="1">
      <c r="A1008" s="18" t="inlineStr">
        <is>
          <t>CM-6(2)</t>
        </is>
      </c>
      <c r="B1008" s="19" t="inlineStr">
        <is>
          <t>Configuration Settings</t>
        </is>
      </c>
      <c r="C1008" s="19" t="inlineStr">
        <is>
          <t>ServiceNow</t>
        </is>
      </c>
      <c r="D1008" s="18" t="inlineStr">
        <is>
          <t>CM</t>
        </is>
      </c>
      <c r="E1008" s="19" t="inlineStr">
        <is>
          <t>ServiceNow</t>
        </is>
      </c>
      <c r="F1008" s="19" t="inlineStr">
        <is>
          <t>CM-6-2</t>
        </is>
      </c>
      <c r="G1008" s="20">
        <f>IFERROR('[ServiceNow.xlsx]CM-6-2'!B20,"Not Started")</f>
        <v/>
      </c>
      <c r="H1008" s="14">
        <f>IF(OR(G1008="Passed",G1008="Accepted Exception"),"GREEN",IF(OR(G1008="Not Started",G1008="Failed"),"RED","AMBER"))</f>
        <v/>
      </c>
      <c r="I1008" s="21">
        <f>IFERROR('[ServiceNow.xlsx]CM-6-2'!E20,"Non commencé")</f>
        <v/>
      </c>
      <c r="J1008" s="16">
        <f>IF(OR(I1008="Réussi",I1008="Exception acceptée"),"GREEN",IF(OR(I1008="Non commencé",I1008="Échec"),"RED","AMBER"))</f>
        <v/>
      </c>
      <c r="K1008" s="19" t="inlineStr"/>
      <c r="L1008" s="19" t="inlineStr"/>
      <c r="M1008" s="22" t="inlineStr"/>
    </row>
    <row r="1009" ht="18" customHeight="1">
      <c r="A1009" s="11" t="inlineStr">
        <is>
          <t>CM-7</t>
        </is>
      </c>
      <c r="B1009" s="12" t="inlineStr">
        <is>
          <t>Least Functionality</t>
        </is>
      </c>
      <c r="C1009" s="12" t="inlineStr">
        <is>
          <t>ServiceNow</t>
        </is>
      </c>
      <c r="D1009" s="11" t="inlineStr">
        <is>
          <t>CM</t>
        </is>
      </c>
      <c r="E1009" s="12" t="inlineStr">
        <is>
          <t>ServiceNow</t>
        </is>
      </c>
      <c r="F1009" s="12" t="inlineStr">
        <is>
          <t>CM-7</t>
        </is>
      </c>
      <c r="G1009" s="13">
        <f>IFERROR('[ServiceNow.xlsx]CM-7'!B20,"Not Started")</f>
        <v/>
      </c>
      <c r="H1009" s="14">
        <f>IF(OR(G1009="Passed",G1009="Accepted Exception"),"GREEN",IF(OR(G1009="Not Started",G1009="Failed"),"RED","AMBER"))</f>
        <v/>
      </c>
      <c r="I1009" s="15">
        <f>IFERROR('[ServiceNow.xlsx]CM-7'!E20,"Non commencé")</f>
        <v/>
      </c>
      <c r="J1009" s="16">
        <f>IF(OR(I1009="Réussi",I1009="Exception acceptée"),"GREEN",IF(OR(I1009="Non commencé",I1009="Échec"),"RED","AMBER"))</f>
        <v/>
      </c>
      <c r="K1009" s="12" t="inlineStr"/>
      <c r="L1009" s="12" t="inlineStr"/>
      <c r="M1009" s="17" t="inlineStr"/>
    </row>
    <row r="1010" ht="18" customHeight="1">
      <c r="A1010" s="18" t="inlineStr">
        <is>
          <t>CM-7(1)</t>
        </is>
      </c>
      <c r="B1010" s="19" t="inlineStr">
        <is>
          <t>Least Functionality</t>
        </is>
      </c>
      <c r="C1010" s="19" t="inlineStr">
        <is>
          <t>ServiceNow</t>
        </is>
      </c>
      <c r="D1010" s="18" t="inlineStr">
        <is>
          <t>CM</t>
        </is>
      </c>
      <c r="E1010" s="19" t="inlineStr">
        <is>
          <t>ServiceNow</t>
        </is>
      </c>
      <c r="F1010" s="19" t="inlineStr">
        <is>
          <t>CM-7-1</t>
        </is>
      </c>
      <c r="G1010" s="20">
        <f>IFERROR('[ServiceNow.xlsx]CM-7-1'!B20,"Not Started")</f>
        <v/>
      </c>
      <c r="H1010" s="14">
        <f>IF(OR(G1010="Passed",G1010="Accepted Exception"),"GREEN",IF(OR(G1010="Not Started",G1010="Failed"),"RED","AMBER"))</f>
        <v/>
      </c>
      <c r="I1010" s="21">
        <f>IFERROR('[ServiceNow.xlsx]CM-7-1'!E20,"Non commencé")</f>
        <v/>
      </c>
      <c r="J1010" s="16">
        <f>IF(OR(I1010="Réussi",I1010="Exception acceptée"),"GREEN",IF(OR(I1010="Non commencé",I1010="Échec"),"RED","AMBER"))</f>
        <v/>
      </c>
      <c r="K1010" s="19" t="inlineStr"/>
      <c r="L1010" s="19" t="inlineStr"/>
      <c r="M1010" s="22" t="inlineStr"/>
    </row>
    <row r="1011" ht="18" customHeight="1">
      <c r="A1011" s="11" t="inlineStr">
        <is>
          <t>CM-7(5)</t>
        </is>
      </c>
      <c r="B1011" s="12" t="inlineStr">
        <is>
          <t>Least Functionality</t>
        </is>
      </c>
      <c r="C1011" s="12" t="inlineStr">
        <is>
          <t>ServiceNow</t>
        </is>
      </c>
      <c r="D1011" s="11" t="inlineStr">
        <is>
          <t>CM</t>
        </is>
      </c>
      <c r="E1011" s="12" t="inlineStr">
        <is>
          <t>ServiceNow</t>
        </is>
      </c>
      <c r="F1011" s="12" t="inlineStr">
        <is>
          <t>CM-7-5</t>
        </is>
      </c>
      <c r="G1011" s="13">
        <f>IFERROR('[ServiceNow.xlsx]CM-7-5'!B20,"Not Started")</f>
        <v/>
      </c>
      <c r="H1011" s="14">
        <f>IF(OR(G1011="Passed",G1011="Accepted Exception"),"GREEN",IF(OR(G1011="Not Started",G1011="Failed"),"RED","AMBER"))</f>
        <v/>
      </c>
      <c r="I1011" s="15">
        <f>IFERROR('[ServiceNow.xlsx]CM-7-5'!E20,"Non commencé")</f>
        <v/>
      </c>
      <c r="J1011" s="16">
        <f>IF(OR(I1011="Réussi",I1011="Exception acceptée"),"GREEN",IF(OR(I1011="Non commencé",I1011="Échec"),"RED","AMBER"))</f>
        <v/>
      </c>
      <c r="K1011" s="12" t="inlineStr"/>
      <c r="L1011" s="12" t="inlineStr"/>
      <c r="M1011" s="17" t="inlineStr"/>
    </row>
    <row r="1012" ht="18" customHeight="1">
      <c r="A1012" s="18" t="inlineStr">
        <is>
          <t>CM-8</t>
        </is>
      </c>
      <c r="B1012" s="19" t="inlineStr">
        <is>
          <t>Information System Component Inventory</t>
        </is>
      </c>
      <c r="C1012" s="19" t="inlineStr">
        <is>
          <t>ServiceNow</t>
        </is>
      </c>
      <c r="D1012" s="18" t="inlineStr">
        <is>
          <t>CM</t>
        </is>
      </c>
      <c r="E1012" s="19" t="inlineStr">
        <is>
          <t>ServiceNow</t>
        </is>
      </c>
      <c r="F1012" s="19" t="inlineStr">
        <is>
          <t>CM-8</t>
        </is>
      </c>
      <c r="G1012" s="20">
        <f>IFERROR('[ServiceNow.xlsx]CM-8'!B20,"Not Started")</f>
        <v/>
      </c>
      <c r="H1012" s="14">
        <f>IF(OR(G1012="Passed",G1012="Accepted Exception"),"GREEN",IF(OR(G1012="Not Started",G1012="Failed"),"RED","AMBER"))</f>
        <v/>
      </c>
      <c r="I1012" s="21">
        <f>IFERROR('[ServiceNow.xlsx]CM-8'!E20,"Non commencé")</f>
        <v/>
      </c>
      <c r="J1012" s="16">
        <f>IF(OR(I1012="Réussi",I1012="Exception acceptée"),"GREEN",IF(OR(I1012="Non commencé",I1012="Échec"),"RED","AMBER"))</f>
        <v/>
      </c>
      <c r="K1012" s="19" t="inlineStr"/>
      <c r="L1012" s="19" t="inlineStr"/>
      <c r="M1012" s="22" t="inlineStr"/>
    </row>
    <row r="1013" ht="18" customHeight="1">
      <c r="A1013" s="11" t="inlineStr">
        <is>
          <t>CM-8(1)</t>
        </is>
      </c>
      <c r="B1013" s="12" t="inlineStr">
        <is>
          <t>Information System Component Inventory</t>
        </is>
      </c>
      <c r="C1013" s="12" t="inlineStr">
        <is>
          <t>ServiceNow</t>
        </is>
      </c>
      <c r="D1013" s="11" t="inlineStr">
        <is>
          <t>CM</t>
        </is>
      </c>
      <c r="E1013" s="12" t="inlineStr">
        <is>
          <t>ServiceNow</t>
        </is>
      </c>
      <c r="F1013" s="12" t="inlineStr">
        <is>
          <t>CM-8-1</t>
        </is>
      </c>
      <c r="G1013" s="13">
        <f>IFERROR('[ServiceNow.xlsx]CM-8-1'!B20,"Not Started")</f>
        <v/>
      </c>
      <c r="H1013" s="14">
        <f>IF(OR(G1013="Passed",G1013="Accepted Exception"),"GREEN",IF(OR(G1013="Not Started",G1013="Failed"),"RED","AMBER"))</f>
        <v/>
      </c>
      <c r="I1013" s="15">
        <f>IFERROR('[ServiceNow.xlsx]CM-8-1'!E20,"Non commencé")</f>
        <v/>
      </c>
      <c r="J1013" s="16">
        <f>IF(OR(I1013="Réussi",I1013="Exception acceptée"),"GREEN",IF(OR(I1013="Non commencé",I1013="Échec"),"RED","AMBER"))</f>
        <v/>
      </c>
      <c r="K1013" s="12" t="inlineStr"/>
      <c r="L1013" s="12" t="inlineStr"/>
      <c r="M1013" s="17" t="inlineStr"/>
    </row>
    <row r="1014" ht="18" customHeight="1">
      <c r="A1014" s="18" t="inlineStr">
        <is>
          <t>CM-8(2)</t>
        </is>
      </c>
      <c r="B1014" s="19" t="inlineStr">
        <is>
          <t>Information System Component Inventory</t>
        </is>
      </c>
      <c r="C1014" s="19" t="inlineStr">
        <is>
          <t>ServiceNow</t>
        </is>
      </c>
      <c r="D1014" s="18" t="inlineStr">
        <is>
          <t>CM</t>
        </is>
      </c>
      <c r="E1014" s="19" t="inlineStr">
        <is>
          <t>ServiceNow</t>
        </is>
      </c>
      <c r="F1014" s="19" t="inlineStr">
        <is>
          <t>CM-8-2</t>
        </is>
      </c>
      <c r="G1014" s="20">
        <f>IFERROR('[ServiceNow.xlsx]CM-8-2'!B20,"Not Started")</f>
        <v/>
      </c>
      <c r="H1014" s="14">
        <f>IF(OR(G1014="Passed",G1014="Accepted Exception"),"GREEN",IF(OR(G1014="Not Started",G1014="Failed"),"RED","AMBER"))</f>
        <v/>
      </c>
      <c r="I1014" s="21">
        <f>IFERROR('[ServiceNow.xlsx]CM-8-2'!E20,"Non commencé")</f>
        <v/>
      </c>
      <c r="J1014" s="16">
        <f>IF(OR(I1014="Réussi",I1014="Exception acceptée"),"GREEN",IF(OR(I1014="Non commencé",I1014="Échec"),"RED","AMBER"))</f>
        <v/>
      </c>
      <c r="K1014" s="19" t="inlineStr"/>
      <c r="L1014" s="19" t="inlineStr"/>
      <c r="M1014" s="22" t="inlineStr"/>
    </row>
    <row r="1015" ht="18" customHeight="1">
      <c r="A1015" s="11" t="inlineStr">
        <is>
          <t>CM-8(3)</t>
        </is>
      </c>
      <c r="B1015" s="12" t="inlineStr">
        <is>
          <t>Information System Component Inventory</t>
        </is>
      </c>
      <c r="C1015" s="12" t="inlineStr">
        <is>
          <t>ServiceNow</t>
        </is>
      </c>
      <c r="D1015" s="11" t="inlineStr">
        <is>
          <t>CM</t>
        </is>
      </c>
      <c r="E1015" s="12" t="inlineStr">
        <is>
          <t>ServiceNow</t>
        </is>
      </c>
      <c r="F1015" s="12" t="inlineStr">
        <is>
          <t>CM-8-3</t>
        </is>
      </c>
      <c r="G1015" s="13">
        <f>IFERROR('[ServiceNow.xlsx]CM-8-3'!B20,"Not Started")</f>
        <v/>
      </c>
      <c r="H1015" s="14">
        <f>IF(OR(G1015="Passed",G1015="Accepted Exception"),"GREEN",IF(OR(G1015="Not Started",G1015="Failed"),"RED","AMBER"))</f>
        <v/>
      </c>
      <c r="I1015" s="15">
        <f>IFERROR('[ServiceNow.xlsx]CM-8-3'!E20,"Non commencé")</f>
        <v/>
      </c>
      <c r="J1015" s="16">
        <f>IF(OR(I1015="Réussi",I1015="Exception acceptée"),"GREEN",IF(OR(I1015="Non commencé",I1015="Échec"),"RED","AMBER"))</f>
        <v/>
      </c>
      <c r="K1015" s="12" t="inlineStr"/>
      <c r="L1015" s="12" t="inlineStr"/>
      <c r="M1015" s="17" t="inlineStr"/>
    </row>
    <row r="1016" ht="18" customHeight="1">
      <c r="A1016" s="18" t="inlineStr">
        <is>
          <t>CM-8(5)</t>
        </is>
      </c>
      <c r="B1016" s="19" t="inlineStr">
        <is>
          <t>Information System Component Inventory</t>
        </is>
      </c>
      <c r="C1016" s="19" t="inlineStr">
        <is>
          <t>ServiceNow</t>
        </is>
      </c>
      <c r="D1016" s="18" t="inlineStr">
        <is>
          <t>CM</t>
        </is>
      </c>
      <c r="E1016" s="19" t="inlineStr">
        <is>
          <t>ServiceNow</t>
        </is>
      </c>
      <c r="F1016" s="19" t="inlineStr">
        <is>
          <t>CM-8-5</t>
        </is>
      </c>
      <c r="G1016" s="20">
        <f>IFERROR('[ServiceNow.xlsx]CM-8-5'!B20,"Not Started")</f>
        <v/>
      </c>
      <c r="H1016" s="14">
        <f>IF(OR(G1016="Passed",G1016="Accepted Exception"),"GREEN",IF(OR(G1016="Not Started",G1016="Failed"),"RED","AMBER"))</f>
        <v/>
      </c>
      <c r="I1016" s="21">
        <f>IFERROR('[ServiceNow.xlsx]CM-8-5'!E20,"Non commencé")</f>
        <v/>
      </c>
      <c r="J1016" s="16">
        <f>IF(OR(I1016="Réussi",I1016="Exception acceptée"),"GREEN",IF(OR(I1016="Non commencé",I1016="Échec"),"RED","AMBER"))</f>
        <v/>
      </c>
      <c r="K1016" s="19" t="inlineStr"/>
      <c r="L1016" s="19" t="inlineStr"/>
      <c r="M1016" s="22" t="inlineStr"/>
    </row>
    <row r="1017" ht="18" customHeight="1">
      <c r="A1017" s="11" t="inlineStr">
        <is>
          <t>CM-10</t>
        </is>
      </c>
      <c r="B1017" s="12" t="inlineStr">
        <is>
          <t>Software Usage Restrictions</t>
        </is>
      </c>
      <c r="C1017" s="12" t="inlineStr">
        <is>
          <t>ServiceNow</t>
        </is>
      </c>
      <c r="D1017" s="11" t="inlineStr">
        <is>
          <t>CM</t>
        </is>
      </c>
      <c r="E1017" s="12" t="inlineStr">
        <is>
          <t>ServiceNow</t>
        </is>
      </c>
      <c r="F1017" s="12" t="inlineStr">
        <is>
          <t>CM-10</t>
        </is>
      </c>
      <c r="G1017" s="13">
        <f>IFERROR('[ServiceNow.xlsx]CM-10'!B20,"Not Started")</f>
        <v/>
      </c>
      <c r="H1017" s="14">
        <f>IF(OR(G1017="Passed",G1017="Accepted Exception"),"GREEN",IF(OR(G1017="Not Started",G1017="Failed"),"RED","AMBER"))</f>
        <v/>
      </c>
      <c r="I1017" s="15">
        <f>IFERROR('[ServiceNow.xlsx]CM-10'!E20,"Non commencé")</f>
        <v/>
      </c>
      <c r="J1017" s="16">
        <f>IF(OR(I1017="Réussi",I1017="Exception acceptée"),"GREEN",IF(OR(I1017="Non commencé",I1017="Échec"),"RED","AMBER"))</f>
        <v/>
      </c>
      <c r="K1017" s="12" t="inlineStr"/>
      <c r="L1017" s="12" t="inlineStr"/>
      <c r="M1017" s="17" t="inlineStr"/>
    </row>
    <row r="1018" ht="18" customHeight="1">
      <c r="A1018" s="18" t="inlineStr">
        <is>
          <t>CP-7</t>
        </is>
      </c>
      <c r="B1018" s="19" t="inlineStr">
        <is>
          <t>Alternate Processing Site</t>
        </is>
      </c>
      <c r="C1018" s="19" t="inlineStr">
        <is>
          <t>ServiceNow</t>
        </is>
      </c>
      <c r="D1018" s="18" t="inlineStr">
        <is>
          <t>CP</t>
        </is>
      </c>
      <c r="E1018" s="19" t="inlineStr">
        <is>
          <t>ServiceNow</t>
        </is>
      </c>
      <c r="F1018" s="19" t="inlineStr">
        <is>
          <t>CP-7</t>
        </is>
      </c>
      <c r="G1018" s="20">
        <f>IFERROR('[ServiceNow.xlsx]CP-7'!B20,"Not Started")</f>
        <v/>
      </c>
      <c r="H1018" s="14">
        <f>IF(OR(G1018="Passed",G1018="Accepted Exception"),"GREEN",IF(OR(G1018="Not Started",G1018="Failed"),"RED","AMBER"))</f>
        <v/>
      </c>
      <c r="I1018" s="21">
        <f>IFERROR('[ServiceNow.xlsx]CP-7'!E20,"Non commencé")</f>
        <v/>
      </c>
      <c r="J1018" s="16">
        <f>IF(OR(I1018="Réussi",I1018="Exception acceptée"),"GREEN",IF(OR(I1018="Non commencé",I1018="Échec"),"RED","AMBER"))</f>
        <v/>
      </c>
      <c r="K1018" s="19" t="inlineStr"/>
      <c r="L1018" s="19" t="inlineStr"/>
      <c r="M1018" s="22" t="inlineStr"/>
    </row>
    <row r="1019" ht="18" customHeight="1">
      <c r="A1019" s="11" t="inlineStr">
        <is>
          <t>CP-7(1)</t>
        </is>
      </c>
      <c r="B1019" s="12" t="inlineStr">
        <is>
          <t>Alternate Processing Site</t>
        </is>
      </c>
      <c r="C1019" s="12" t="inlineStr">
        <is>
          <t>ServiceNow</t>
        </is>
      </c>
      <c r="D1019" s="11" t="inlineStr">
        <is>
          <t>CP</t>
        </is>
      </c>
      <c r="E1019" s="12" t="inlineStr">
        <is>
          <t>ServiceNow</t>
        </is>
      </c>
      <c r="F1019" s="12" t="inlineStr">
        <is>
          <t>CP-7-1</t>
        </is>
      </c>
      <c r="G1019" s="13">
        <f>IFERROR('[ServiceNow.xlsx]CP-7-1'!B20,"Not Started")</f>
        <v/>
      </c>
      <c r="H1019" s="14">
        <f>IF(OR(G1019="Passed",G1019="Accepted Exception"),"GREEN",IF(OR(G1019="Not Started",G1019="Failed"),"RED","AMBER"))</f>
        <v/>
      </c>
      <c r="I1019" s="15">
        <f>IFERROR('[ServiceNow.xlsx]CP-7-1'!E20,"Non commencé")</f>
        <v/>
      </c>
      <c r="J1019" s="16">
        <f>IF(OR(I1019="Réussi",I1019="Exception acceptée"),"GREEN",IF(OR(I1019="Non commencé",I1019="Échec"),"RED","AMBER"))</f>
        <v/>
      </c>
      <c r="K1019" s="12" t="inlineStr"/>
      <c r="L1019" s="12" t="inlineStr"/>
      <c r="M1019" s="17" t="inlineStr"/>
    </row>
    <row r="1020" ht="18" customHeight="1">
      <c r="A1020" s="18" t="inlineStr">
        <is>
          <t>CP-7(4)</t>
        </is>
      </c>
      <c r="B1020" s="19" t="inlineStr">
        <is>
          <t>Alternate Processing Site</t>
        </is>
      </c>
      <c r="C1020" s="19" t="inlineStr">
        <is>
          <t>ServiceNow</t>
        </is>
      </c>
      <c r="D1020" s="18" t="inlineStr">
        <is>
          <t>CP</t>
        </is>
      </c>
      <c r="E1020" s="19" t="inlineStr">
        <is>
          <t>ServiceNow</t>
        </is>
      </c>
      <c r="F1020" s="19" t="inlineStr">
        <is>
          <t>CP-7-4</t>
        </is>
      </c>
      <c r="G1020" s="20">
        <f>IFERROR('[ServiceNow.xlsx]CP-7-4'!B20,"Not Started")</f>
        <v/>
      </c>
      <c r="H1020" s="14">
        <f>IF(OR(G1020="Passed",G1020="Accepted Exception"),"GREEN",IF(OR(G1020="Not Started",G1020="Failed"),"RED","AMBER"))</f>
        <v/>
      </c>
      <c r="I1020" s="21">
        <f>IFERROR('[ServiceNow.xlsx]CP-7-4'!E20,"Non commencé")</f>
        <v/>
      </c>
      <c r="J1020" s="16">
        <f>IF(OR(I1020="Réussi",I1020="Exception acceptée"),"GREEN",IF(OR(I1020="Non commencé",I1020="Échec"),"RED","AMBER"))</f>
        <v/>
      </c>
      <c r="K1020" s="19" t="inlineStr"/>
      <c r="L1020" s="19" t="inlineStr"/>
      <c r="M1020" s="22" t="inlineStr"/>
    </row>
    <row r="1021" ht="18" customHeight="1">
      <c r="A1021" s="11" t="inlineStr">
        <is>
          <t>CP-9</t>
        </is>
      </c>
      <c r="B1021" s="12" t="inlineStr">
        <is>
          <t>Information System Backup</t>
        </is>
      </c>
      <c r="C1021" s="12" t="inlineStr">
        <is>
          <t>ServiceNow</t>
        </is>
      </c>
      <c r="D1021" s="11" t="inlineStr">
        <is>
          <t>CP</t>
        </is>
      </c>
      <c r="E1021" s="12" t="inlineStr">
        <is>
          <t>ServiceNow</t>
        </is>
      </c>
      <c r="F1021" s="12" t="inlineStr">
        <is>
          <t>CP-9</t>
        </is>
      </c>
      <c r="G1021" s="13">
        <f>IFERROR('[ServiceNow.xlsx]CP-9'!B20,"Not Started")</f>
        <v/>
      </c>
      <c r="H1021" s="14">
        <f>IF(OR(G1021="Passed",G1021="Accepted Exception"),"GREEN",IF(OR(G1021="Not Started",G1021="Failed"),"RED","AMBER"))</f>
        <v/>
      </c>
      <c r="I1021" s="15">
        <f>IFERROR('[ServiceNow.xlsx]CP-9'!E20,"Non commencé")</f>
        <v/>
      </c>
      <c r="J1021" s="16">
        <f>IF(OR(I1021="Réussi",I1021="Exception acceptée"),"GREEN",IF(OR(I1021="Non commencé",I1021="Échec"),"RED","AMBER"))</f>
        <v/>
      </c>
      <c r="K1021" s="12" t="inlineStr"/>
      <c r="L1021" s="12" t="inlineStr"/>
      <c r="M1021" s="17" t="inlineStr"/>
    </row>
    <row r="1022" ht="18" customHeight="1">
      <c r="A1022" s="18" t="inlineStr">
        <is>
          <t>CP-10</t>
        </is>
      </c>
      <c r="B1022" s="19" t="inlineStr">
        <is>
          <t>Information System Recovery and Reconstitution</t>
        </is>
      </c>
      <c r="C1022" s="19" t="inlineStr">
        <is>
          <t>ServiceNow</t>
        </is>
      </c>
      <c r="D1022" s="18" t="inlineStr">
        <is>
          <t>CP</t>
        </is>
      </c>
      <c r="E1022" s="19" t="inlineStr">
        <is>
          <t>ServiceNow</t>
        </is>
      </c>
      <c r="F1022" s="19" t="inlineStr">
        <is>
          <t>CP-10</t>
        </is>
      </c>
      <c r="G1022" s="20">
        <f>IFERROR('[ServiceNow.xlsx]CP-10'!B20,"Not Started")</f>
        <v/>
      </c>
      <c r="H1022" s="14">
        <f>IF(OR(G1022="Passed",G1022="Accepted Exception"),"GREEN",IF(OR(G1022="Not Started",G1022="Failed"),"RED","AMBER"))</f>
        <v/>
      </c>
      <c r="I1022" s="21">
        <f>IFERROR('[ServiceNow.xlsx]CP-10'!E20,"Non commencé")</f>
        <v/>
      </c>
      <c r="J1022" s="16">
        <f>IF(OR(I1022="Réussi",I1022="Exception acceptée"),"GREEN",IF(OR(I1022="Non commencé",I1022="Échec"),"RED","AMBER"))</f>
        <v/>
      </c>
      <c r="K1022" s="19" t="inlineStr"/>
      <c r="L1022" s="19" t="inlineStr"/>
      <c r="M1022" s="22" t="inlineStr"/>
    </row>
    <row r="1023" ht="18" customHeight="1">
      <c r="A1023" s="11" t="inlineStr">
        <is>
          <t>CP-10(2)</t>
        </is>
      </c>
      <c r="B1023" s="12" t="inlineStr">
        <is>
          <t>Information System Recovery and Reconstitution</t>
        </is>
      </c>
      <c r="C1023" s="12" t="inlineStr">
        <is>
          <t>ServiceNow</t>
        </is>
      </c>
      <c r="D1023" s="11" t="inlineStr">
        <is>
          <t>CP</t>
        </is>
      </c>
      <c r="E1023" s="12" t="inlineStr">
        <is>
          <t>ServiceNow</t>
        </is>
      </c>
      <c r="F1023" s="12" t="inlineStr">
        <is>
          <t>CP-10-2</t>
        </is>
      </c>
      <c r="G1023" s="13">
        <f>IFERROR('[ServiceNow.xlsx]CP-10-2'!B20,"Not Started")</f>
        <v/>
      </c>
      <c r="H1023" s="14">
        <f>IF(OR(G1023="Passed",G1023="Accepted Exception"),"GREEN",IF(OR(G1023="Not Started",G1023="Failed"),"RED","AMBER"))</f>
        <v/>
      </c>
      <c r="I1023" s="15">
        <f>IFERROR('[ServiceNow.xlsx]CP-10-2'!E20,"Non commencé")</f>
        <v/>
      </c>
      <c r="J1023" s="16">
        <f>IF(OR(I1023="Réussi",I1023="Exception acceptée"),"GREEN",IF(OR(I1023="Non commencé",I1023="Échec"),"RED","AMBER"))</f>
        <v/>
      </c>
      <c r="K1023" s="12" t="inlineStr"/>
      <c r="L1023" s="12" t="inlineStr"/>
      <c r="M1023" s="17" t="inlineStr"/>
    </row>
    <row r="1024" ht="18" customHeight="1">
      <c r="A1024" s="18" t="inlineStr">
        <is>
          <t>CP-10(4)</t>
        </is>
      </c>
      <c r="B1024" s="19" t="inlineStr">
        <is>
          <t>Information System Recovery and Reconstitution</t>
        </is>
      </c>
      <c r="C1024" s="19" t="inlineStr">
        <is>
          <t>ServiceNow</t>
        </is>
      </c>
      <c r="D1024" s="18" t="inlineStr">
        <is>
          <t>CP</t>
        </is>
      </c>
      <c r="E1024" s="19" t="inlineStr">
        <is>
          <t>ServiceNow</t>
        </is>
      </c>
      <c r="F1024" s="19" t="inlineStr">
        <is>
          <t>CP-10-4</t>
        </is>
      </c>
      <c r="G1024" s="20">
        <f>IFERROR('[ServiceNow.xlsx]CP-10-4'!B20,"Not Started")</f>
        <v/>
      </c>
      <c r="H1024" s="14">
        <f>IF(OR(G1024="Passed",G1024="Accepted Exception"),"GREEN",IF(OR(G1024="Not Started",G1024="Failed"),"RED","AMBER"))</f>
        <v/>
      </c>
      <c r="I1024" s="21">
        <f>IFERROR('[ServiceNow.xlsx]CP-10-4'!E20,"Non commencé")</f>
        <v/>
      </c>
      <c r="J1024" s="16">
        <f>IF(OR(I1024="Réussi",I1024="Exception acceptée"),"GREEN",IF(OR(I1024="Non commencé",I1024="Échec"),"RED","AMBER"))</f>
        <v/>
      </c>
      <c r="K1024" s="19" t="inlineStr"/>
      <c r="L1024" s="19" t="inlineStr"/>
      <c r="M1024" s="22" t="inlineStr"/>
    </row>
    <row r="1025" ht="18" customHeight="1">
      <c r="A1025" s="11" t="inlineStr">
        <is>
          <t>IA-2</t>
        </is>
      </c>
      <c r="B1025" s="12" t="inlineStr">
        <is>
          <t>Identification and Authentication (Organizational Users)</t>
        </is>
      </c>
      <c r="C1025" s="12" t="inlineStr">
        <is>
          <t>ServiceNow</t>
        </is>
      </c>
      <c r="D1025" s="11" t="inlineStr">
        <is>
          <t>IA</t>
        </is>
      </c>
      <c r="E1025" s="12" t="inlineStr">
        <is>
          <t>ServiceNow</t>
        </is>
      </c>
      <c r="F1025" s="12" t="inlineStr">
        <is>
          <t>IA-2</t>
        </is>
      </c>
      <c r="G1025" s="13">
        <f>IFERROR('[ServiceNow.xlsx]IA-2'!B20,"Not Started")</f>
        <v/>
      </c>
      <c r="H1025" s="14">
        <f>IF(OR(G1025="Passed",G1025="Accepted Exception"),"GREEN",IF(OR(G1025="Not Started",G1025="Failed"),"RED","AMBER"))</f>
        <v/>
      </c>
      <c r="I1025" s="15">
        <f>IFERROR('[ServiceNow.xlsx]IA-2'!E20,"Non commencé")</f>
        <v/>
      </c>
      <c r="J1025" s="16">
        <f>IF(OR(I1025="Réussi",I1025="Exception acceptée"),"GREEN",IF(OR(I1025="Non commencé",I1025="Échec"),"RED","AMBER"))</f>
        <v/>
      </c>
      <c r="K1025" s="12" t="inlineStr"/>
      <c r="L1025" s="12" t="inlineStr"/>
      <c r="M1025" s="17" t="inlineStr"/>
    </row>
    <row r="1026" ht="18" customHeight="1">
      <c r="A1026" s="18" t="inlineStr">
        <is>
          <t>IR-4(1)</t>
        </is>
      </c>
      <c r="B1026" s="19" t="inlineStr">
        <is>
          <t>Incident Handling</t>
        </is>
      </c>
      <c r="C1026" s="19" t="inlineStr">
        <is>
          <t>ServiceNow</t>
        </is>
      </c>
      <c r="D1026" s="18" t="inlineStr">
        <is>
          <t>IR</t>
        </is>
      </c>
      <c r="E1026" s="19" t="inlineStr">
        <is>
          <t>ServiceNow</t>
        </is>
      </c>
      <c r="F1026" s="19" t="inlineStr">
        <is>
          <t>IR-4-1</t>
        </is>
      </c>
      <c r="G1026" s="20">
        <f>IFERROR('[ServiceNow.xlsx]IR-4-1'!B20,"Not Started")</f>
        <v/>
      </c>
      <c r="H1026" s="14">
        <f>IF(OR(G1026="Passed",G1026="Accepted Exception"),"GREEN",IF(OR(G1026="Not Started",G1026="Failed"),"RED","AMBER"))</f>
        <v/>
      </c>
      <c r="I1026" s="21">
        <f>IFERROR('[ServiceNow.xlsx]IR-4-1'!E20,"Non commencé")</f>
        <v/>
      </c>
      <c r="J1026" s="16">
        <f>IF(OR(I1026="Réussi",I1026="Exception acceptée"),"GREEN",IF(OR(I1026="Non commencé",I1026="Échec"),"RED","AMBER"))</f>
        <v/>
      </c>
      <c r="K1026" s="19" t="inlineStr"/>
      <c r="L1026" s="19" t="inlineStr"/>
      <c r="M1026" s="22" t="inlineStr"/>
    </row>
    <row r="1027" ht="18" customHeight="1">
      <c r="A1027" s="11" t="inlineStr">
        <is>
          <t>IR-5</t>
        </is>
      </c>
      <c r="B1027" s="12" t="inlineStr">
        <is>
          <t>Incident Monitoring</t>
        </is>
      </c>
      <c r="C1027" s="12" t="inlineStr">
        <is>
          <t>ServiceNow</t>
        </is>
      </c>
      <c r="D1027" s="11" t="inlineStr">
        <is>
          <t>IR</t>
        </is>
      </c>
      <c r="E1027" s="12" t="inlineStr">
        <is>
          <t>ServiceNow</t>
        </is>
      </c>
      <c r="F1027" s="12" t="inlineStr">
        <is>
          <t>IR-5</t>
        </is>
      </c>
      <c r="G1027" s="13">
        <f>IFERROR('[ServiceNow.xlsx]IR-5'!B20,"Not Started")</f>
        <v/>
      </c>
      <c r="H1027" s="14">
        <f>IF(OR(G1027="Passed",G1027="Accepted Exception"),"GREEN",IF(OR(G1027="Not Started",G1027="Failed"),"RED","AMBER"))</f>
        <v/>
      </c>
      <c r="I1027" s="15">
        <f>IFERROR('[ServiceNow.xlsx]IR-5'!E20,"Non commencé")</f>
        <v/>
      </c>
      <c r="J1027" s="16">
        <f>IF(OR(I1027="Réussi",I1027="Exception acceptée"),"GREEN",IF(OR(I1027="Non commencé",I1027="Échec"),"RED","AMBER"))</f>
        <v/>
      </c>
      <c r="K1027" s="12" t="inlineStr"/>
      <c r="L1027" s="12" t="inlineStr"/>
      <c r="M1027" s="17" t="inlineStr"/>
    </row>
    <row r="1028" ht="18" customHeight="1">
      <c r="A1028" s="18" t="inlineStr">
        <is>
          <t>IR-6(1)</t>
        </is>
      </c>
      <c r="B1028" s="19" t="inlineStr">
        <is>
          <t>Incident Reporting</t>
        </is>
      </c>
      <c r="C1028" s="19" t="inlineStr">
        <is>
          <t>ServiceNow</t>
        </is>
      </c>
      <c r="D1028" s="18" t="inlineStr">
        <is>
          <t>IR</t>
        </is>
      </c>
      <c r="E1028" s="19" t="inlineStr">
        <is>
          <t>ServiceNow</t>
        </is>
      </c>
      <c r="F1028" s="19" t="inlineStr">
        <is>
          <t>IR-6-1</t>
        </is>
      </c>
      <c r="G1028" s="20">
        <f>IFERROR('[ServiceNow.xlsx]IR-6-1'!B20,"Not Started")</f>
        <v/>
      </c>
      <c r="H1028" s="14">
        <f>IF(OR(G1028="Passed",G1028="Accepted Exception"),"GREEN",IF(OR(G1028="Not Started",G1028="Failed"),"RED","AMBER"))</f>
        <v/>
      </c>
      <c r="I1028" s="21">
        <f>IFERROR('[ServiceNow.xlsx]IR-6-1'!E20,"Non commencé")</f>
        <v/>
      </c>
      <c r="J1028" s="16">
        <f>IF(OR(I1028="Réussi",I1028="Exception acceptée"),"GREEN",IF(OR(I1028="Non commencé",I1028="Échec"),"RED","AMBER"))</f>
        <v/>
      </c>
      <c r="K1028" s="19" t="inlineStr"/>
      <c r="L1028" s="19" t="inlineStr"/>
      <c r="M1028" s="22" t="inlineStr"/>
    </row>
    <row r="1029" ht="18" customHeight="1">
      <c r="A1029" s="11" t="inlineStr">
        <is>
          <t>IR-7(1)</t>
        </is>
      </c>
      <c r="B1029" s="12" t="inlineStr">
        <is>
          <t>Incident Response Assistance</t>
        </is>
      </c>
      <c r="C1029" s="12" t="inlineStr">
        <is>
          <t>ServiceNow</t>
        </is>
      </c>
      <c r="D1029" s="11" t="inlineStr">
        <is>
          <t>IR</t>
        </is>
      </c>
      <c r="E1029" s="12" t="inlineStr">
        <is>
          <t>ServiceNow</t>
        </is>
      </c>
      <c r="F1029" s="12" t="inlineStr">
        <is>
          <t>IR-7-1</t>
        </is>
      </c>
      <c r="G1029" s="13">
        <f>IFERROR('[ServiceNow.xlsx]IR-7-1'!B20,"Not Started")</f>
        <v/>
      </c>
      <c r="H1029" s="14">
        <f>IF(OR(G1029="Passed",G1029="Accepted Exception"),"GREEN",IF(OR(G1029="Not Started",G1029="Failed"),"RED","AMBER"))</f>
        <v/>
      </c>
      <c r="I1029" s="15">
        <f>IFERROR('[ServiceNow.xlsx]IR-7-1'!E20,"Non commencé")</f>
        <v/>
      </c>
      <c r="J1029" s="16">
        <f>IF(OR(I1029="Réussi",I1029="Exception acceptée"),"GREEN",IF(OR(I1029="Non commencé",I1029="Échec"),"RED","AMBER"))</f>
        <v/>
      </c>
      <c r="K1029" s="12" t="inlineStr"/>
      <c r="L1029" s="12" t="inlineStr"/>
      <c r="M1029" s="17" t="inlineStr"/>
    </row>
    <row r="1030" ht="18" customHeight="1">
      <c r="A1030" s="18" t="inlineStr">
        <is>
          <t>MA-2</t>
        </is>
      </c>
      <c r="B1030" s="19" t="inlineStr">
        <is>
          <t>Controlled Maintenance</t>
        </is>
      </c>
      <c r="C1030" s="19" t="inlineStr">
        <is>
          <t>ServiceNow</t>
        </is>
      </c>
      <c r="D1030" s="18" t="inlineStr">
        <is>
          <t>MA</t>
        </is>
      </c>
      <c r="E1030" s="19" t="inlineStr">
        <is>
          <t>ServiceNow</t>
        </is>
      </c>
      <c r="F1030" s="19" t="inlineStr">
        <is>
          <t>MA-2</t>
        </is>
      </c>
      <c r="G1030" s="20">
        <f>IFERROR('[ServiceNow.xlsx]MA-2'!B20,"Not Started")</f>
        <v/>
      </c>
      <c r="H1030" s="14">
        <f>IF(OR(G1030="Passed",G1030="Accepted Exception"),"GREEN",IF(OR(G1030="Not Started",G1030="Failed"),"RED","AMBER"))</f>
        <v/>
      </c>
      <c r="I1030" s="21">
        <f>IFERROR('[ServiceNow.xlsx]MA-2'!E20,"Non commencé")</f>
        <v/>
      </c>
      <c r="J1030" s="16">
        <f>IF(OR(I1030="Réussi",I1030="Exception acceptée"),"GREEN",IF(OR(I1030="Non commencé",I1030="Échec"),"RED","AMBER"))</f>
        <v/>
      </c>
      <c r="K1030" s="19" t="inlineStr"/>
      <c r="L1030" s="19" t="inlineStr"/>
      <c r="M1030" s="22" t="inlineStr"/>
    </row>
    <row r="1031" ht="18" customHeight="1">
      <c r="A1031" s="11" t="inlineStr">
        <is>
          <t>MP-8(1)</t>
        </is>
      </c>
      <c r="B1031" s="12" t="inlineStr">
        <is>
          <t>Media Downgrading</t>
        </is>
      </c>
      <c r="C1031" s="12" t="inlineStr">
        <is>
          <t>ServiceNow</t>
        </is>
      </c>
      <c r="D1031" s="11" t="inlineStr">
        <is>
          <t>MP</t>
        </is>
      </c>
      <c r="E1031" s="12" t="inlineStr">
        <is>
          <t>ServiceNow</t>
        </is>
      </c>
      <c r="F1031" s="12" t="inlineStr">
        <is>
          <t>MP-8-1</t>
        </is>
      </c>
      <c r="G1031" s="13">
        <f>IFERROR('[ServiceNow.xlsx]MP-8-1'!B20,"Not Started")</f>
        <v/>
      </c>
      <c r="H1031" s="14">
        <f>IF(OR(G1031="Passed",G1031="Accepted Exception"),"GREEN",IF(OR(G1031="Not Started",G1031="Failed"),"RED","AMBER"))</f>
        <v/>
      </c>
      <c r="I1031" s="15">
        <f>IFERROR('[ServiceNow.xlsx]MP-8-1'!E20,"Non commencé")</f>
        <v/>
      </c>
      <c r="J1031" s="16">
        <f>IF(OR(I1031="Réussi",I1031="Exception acceptée"),"GREEN",IF(OR(I1031="Non commencé",I1031="Échec"),"RED","AMBER"))</f>
        <v/>
      </c>
      <c r="K1031" s="12" t="inlineStr"/>
      <c r="L1031" s="12" t="inlineStr"/>
      <c r="M1031" s="17" t="inlineStr"/>
    </row>
    <row r="1032" ht="18" customHeight="1">
      <c r="A1032" s="18" t="inlineStr">
        <is>
          <t>SA-9(5)</t>
        </is>
      </c>
      <c r="B1032" s="19" t="inlineStr">
        <is>
          <t>External Information System Services</t>
        </is>
      </c>
      <c r="C1032" s="19" t="inlineStr">
        <is>
          <t>ServiceNow</t>
        </is>
      </c>
      <c r="D1032" s="18" t="inlineStr">
        <is>
          <t>SA</t>
        </is>
      </c>
      <c r="E1032" s="19" t="inlineStr">
        <is>
          <t>ServiceNow</t>
        </is>
      </c>
      <c r="F1032" s="19" t="inlineStr">
        <is>
          <t>SA-9-5</t>
        </is>
      </c>
      <c r="G1032" s="20">
        <f>IFERROR('[ServiceNow.xlsx]SA-9-5'!B20,"Not Started")</f>
        <v/>
      </c>
      <c r="H1032" s="14">
        <f>IF(OR(G1032="Passed",G1032="Accepted Exception"),"GREEN",IF(OR(G1032="Not Started",G1032="Failed"),"RED","AMBER"))</f>
        <v/>
      </c>
      <c r="I1032" s="21">
        <f>IFERROR('[ServiceNow.xlsx]SA-9-5'!E20,"Non commencé")</f>
        <v/>
      </c>
      <c r="J1032" s="16">
        <f>IF(OR(I1032="Réussi",I1032="Exception acceptée"),"GREEN",IF(OR(I1032="Non commencé",I1032="Échec"),"RED","AMBER"))</f>
        <v/>
      </c>
      <c r="K1032" s="19" t="inlineStr"/>
      <c r="L1032" s="19" t="inlineStr"/>
      <c r="M1032" s="22" t="inlineStr"/>
    </row>
    <row r="1033" ht="18" customHeight="1">
      <c r="A1033" s="11" t="inlineStr">
        <is>
          <t>SA-10</t>
        </is>
      </c>
      <c r="B1033" s="12" t="inlineStr">
        <is>
          <t>Developer Configuration Management</t>
        </is>
      </c>
      <c r="C1033" s="12" t="inlineStr">
        <is>
          <t>ServiceNow</t>
        </is>
      </c>
      <c r="D1033" s="11" t="inlineStr">
        <is>
          <t>SA</t>
        </is>
      </c>
      <c r="E1033" s="12" t="inlineStr">
        <is>
          <t>ServiceNow</t>
        </is>
      </c>
      <c r="F1033" s="12" t="inlineStr">
        <is>
          <t>SA-10</t>
        </is>
      </c>
      <c r="G1033" s="13">
        <f>IFERROR('[ServiceNow.xlsx]SA-10'!B20,"Not Started")</f>
        <v/>
      </c>
      <c r="H1033" s="14">
        <f>IF(OR(G1033="Passed",G1033="Accepted Exception"),"GREEN",IF(OR(G1033="Not Started",G1033="Failed"),"RED","AMBER"))</f>
        <v/>
      </c>
      <c r="I1033" s="15">
        <f>IFERROR('[ServiceNow.xlsx]SA-10'!E20,"Non commencé")</f>
        <v/>
      </c>
      <c r="J1033" s="16">
        <f>IF(OR(I1033="Réussi",I1033="Exception acceptée"),"GREEN",IF(OR(I1033="Non commencé",I1033="Échec"),"RED","AMBER"))</f>
        <v/>
      </c>
      <c r="K1033" s="12" t="inlineStr"/>
      <c r="L1033" s="12" t="inlineStr"/>
      <c r="M1033" s="17" t="inlineStr"/>
    </row>
    <row r="1034" ht="18" customHeight="1">
      <c r="A1034" s="18" t="inlineStr">
        <is>
          <t>SA-10(1)</t>
        </is>
      </c>
      <c r="B1034" s="19" t="inlineStr">
        <is>
          <t>Developer Configuration Management</t>
        </is>
      </c>
      <c r="C1034" s="19" t="inlineStr">
        <is>
          <t>ServiceNow</t>
        </is>
      </c>
      <c r="D1034" s="18" t="inlineStr">
        <is>
          <t>SA</t>
        </is>
      </c>
      <c r="E1034" s="19" t="inlineStr">
        <is>
          <t>ServiceNow</t>
        </is>
      </c>
      <c r="F1034" s="19" t="inlineStr">
        <is>
          <t>SA-10-1</t>
        </is>
      </c>
      <c r="G1034" s="20">
        <f>IFERROR('[ServiceNow.xlsx]SA-10-1'!B20,"Not Started")</f>
        <v/>
      </c>
      <c r="H1034" s="14">
        <f>IF(OR(G1034="Passed",G1034="Accepted Exception"),"GREEN",IF(OR(G1034="Not Started",G1034="Failed"),"RED","AMBER"))</f>
        <v/>
      </c>
      <c r="I1034" s="21">
        <f>IFERROR('[ServiceNow.xlsx]SA-10-1'!E20,"Non commencé")</f>
        <v/>
      </c>
      <c r="J1034" s="16">
        <f>IF(OR(I1034="Réussi",I1034="Exception acceptée"),"GREEN",IF(OR(I1034="Non commencé",I1034="Échec"),"RED","AMBER"))</f>
        <v/>
      </c>
      <c r="K1034" s="19" t="inlineStr"/>
      <c r="L1034" s="19" t="inlineStr"/>
      <c r="M1034" s="22" t="inlineStr"/>
    </row>
    <row r="1035" ht="18" customHeight="1">
      <c r="A1035" s="11" t="inlineStr">
        <is>
          <t>SA-11</t>
        </is>
      </c>
      <c r="B1035" s="12" t="inlineStr">
        <is>
          <t>Developer Security Testing</t>
        </is>
      </c>
      <c r="C1035" s="12" t="inlineStr">
        <is>
          <t>ServiceNow</t>
        </is>
      </c>
      <c r="D1035" s="11" t="inlineStr">
        <is>
          <t>SA</t>
        </is>
      </c>
      <c r="E1035" s="12" t="inlineStr">
        <is>
          <t>ServiceNow</t>
        </is>
      </c>
      <c r="F1035" s="12" t="inlineStr">
        <is>
          <t>SA-11</t>
        </is>
      </c>
      <c r="G1035" s="13">
        <f>IFERROR('[ServiceNow.xlsx]SA-11'!B20,"Not Started")</f>
        <v/>
      </c>
      <c r="H1035" s="14">
        <f>IF(OR(G1035="Passed",G1035="Accepted Exception"),"GREEN",IF(OR(G1035="Not Started",G1035="Failed"),"RED","AMBER"))</f>
        <v/>
      </c>
      <c r="I1035" s="15">
        <f>IFERROR('[ServiceNow.xlsx]SA-11'!E20,"Non commencé")</f>
        <v/>
      </c>
      <c r="J1035" s="16">
        <f>IF(OR(I1035="Réussi",I1035="Exception acceptée"),"GREEN",IF(OR(I1035="Non commencé",I1035="Échec"),"RED","AMBER"))</f>
        <v/>
      </c>
      <c r="K1035" s="12" t="inlineStr"/>
      <c r="L1035" s="12" t="inlineStr"/>
      <c r="M1035" s="17" t="inlineStr"/>
    </row>
    <row r="1036" ht="18" customHeight="1">
      <c r="A1036" s="18" t="inlineStr">
        <is>
          <t>SC-2</t>
        </is>
      </c>
      <c r="B1036" s="19" t="inlineStr">
        <is>
          <t>Application Partitioning</t>
        </is>
      </c>
      <c r="C1036" s="19" t="inlineStr">
        <is>
          <t>ServiceNow</t>
        </is>
      </c>
      <c r="D1036" s="18" t="inlineStr">
        <is>
          <t>SC</t>
        </is>
      </c>
      <c r="E1036" s="19" t="inlineStr">
        <is>
          <t>ServiceNow</t>
        </is>
      </c>
      <c r="F1036" s="19" t="inlineStr">
        <is>
          <t>SC-2</t>
        </is>
      </c>
      <c r="G1036" s="20">
        <f>IFERROR('[ServiceNow.xlsx]SC-2'!B20,"Not Started")</f>
        <v/>
      </c>
      <c r="H1036" s="14">
        <f>IF(OR(G1036="Passed",G1036="Accepted Exception"),"GREEN",IF(OR(G1036="Not Started",G1036="Failed"),"RED","AMBER"))</f>
        <v/>
      </c>
      <c r="I1036" s="21">
        <f>IFERROR('[ServiceNow.xlsx]SC-2'!E20,"Non commencé")</f>
        <v/>
      </c>
      <c r="J1036" s="16">
        <f>IF(OR(I1036="Réussi",I1036="Exception acceptée"),"GREEN",IF(OR(I1036="Non commencé",I1036="Échec"),"RED","AMBER"))</f>
        <v/>
      </c>
      <c r="K1036" s="19" t="inlineStr"/>
      <c r="L1036" s="19" t="inlineStr"/>
      <c r="M1036" s="22" t="inlineStr"/>
    </row>
    <row r="1037" ht="18" customHeight="1">
      <c r="A1037" s="11" t="inlineStr">
        <is>
          <t>SC-7(13)</t>
        </is>
      </c>
      <c r="B1037" s="12" t="inlineStr">
        <is>
          <t>Boundary Protection</t>
        </is>
      </c>
      <c r="C1037" s="12" t="inlineStr">
        <is>
          <t>ServiceNow</t>
        </is>
      </c>
      <c r="D1037" s="11" t="inlineStr">
        <is>
          <t>SC</t>
        </is>
      </c>
      <c r="E1037" s="12" t="inlineStr">
        <is>
          <t>ServiceNow</t>
        </is>
      </c>
      <c r="F1037" s="12" t="inlineStr">
        <is>
          <t>SC-7-13</t>
        </is>
      </c>
      <c r="G1037" s="13">
        <f>IFERROR('[ServiceNow.xlsx]SC-7-13'!B20,"Not Started")</f>
        <v/>
      </c>
      <c r="H1037" s="14">
        <f>IF(OR(G1037="Passed",G1037="Accepted Exception"),"GREEN",IF(OR(G1037="Not Started",G1037="Failed"),"RED","AMBER"))</f>
        <v/>
      </c>
      <c r="I1037" s="15">
        <f>IFERROR('[ServiceNow.xlsx]SC-7-13'!E20,"Non commencé")</f>
        <v/>
      </c>
      <c r="J1037" s="16">
        <f>IF(OR(I1037="Réussi",I1037="Exception acceptée"),"GREEN",IF(OR(I1037="Non commencé",I1037="Échec"),"RED","AMBER"))</f>
        <v/>
      </c>
      <c r="K1037" s="12" t="inlineStr"/>
      <c r="L1037" s="12" t="inlineStr"/>
      <c r="M1037" s="17" t="inlineStr"/>
    </row>
    <row r="1038" ht="18" customHeight="1">
      <c r="A1038" s="18" t="inlineStr">
        <is>
          <t>SC-8</t>
        </is>
      </c>
      <c r="B1038" s="19" t="inlineStr">
        <is>
          <t>Transmission Confidentiality and Integrity</t>
        </is>
      </c>
      <c r="C1038" s="19" t="inlineStr">
        <is>
          <t>ServiceNow</t>
        </is>
      </c>
      <c r="D1038" s="18" t="inlineStr">
        <is>
          <t>SC</t>
        </is>
      </c>
      <c r="E1038" s="19" t="inlineStr">
        <is>
          <t>ServiceNow</t>
        </is>
      </c>
      <c r="F1038" s="19" t="inlineStr">
        <is>
          <t>SC-8</t>
        </is>
      </c>
      <c r="G1038" s="20">
        <f>IFERROR('[ServiceNow.xlsx]SC-8'!B20,"Not Started")</f>
        <v/>
      </c>
      <c r="H1038" s="14">
        <f>IF(OR(G1038="Passed",G1038="Accepted Exception"),"GREEN",IF(OR(G1038="Not Started",G1038="Failed"),"RED","AMBER"))</f>
        <v/>
      </c>
      <c r="I1038" s="21">
        <f>IFERROR('[ServiceNow.xlsx]SC-8'!E20,"Non commencé")</f>
        <v/>
      </c>
      <c r="J1038" s="16">
        <f>IF(OR(I1038="Réussi",I1038="Exception acceptée"),"GREEN",IF(OR(I1038="Non commencé",I1038="Échec"),"RED","AMBER"))</f>
        <v/>
      </c>
      <c r="K1038" s="19" t="inlineStr"/>
      <c r="L1038" s="19" t="inlineStr"/>
      <c r="M1038" s="22" t="inlineStr"/>
    </row>
    <row r="1039" ht="18" customHeight="1">
      <c r="A1039" s="11" t="inlineStr">
        <is>
          <t>SC-23</t>
        </is>
      </c>
      <c r="B1039" s="12" t="inlineStr">
        <is>
          <t>Session Authenticity</t>
        </is>
      </c>
      <c r="C1039" s="12" t="inlineStr">
        <is>
          <t>ServiceNow</t>
        </is>
      </c>
      <c r="D1039" s="11" t="inlineStr">
        <is>
          <t>SC</t>
        </is>
      </c>
      <c r="E1039" s="12" t="inlineStr">
        <is>
          <t>ServiceNow</t>
        </is>
      </c>
      <c r="F1039" s="12" t="inlineStr">
        <is>
          <t>SC-23</t>
        </is>
      </c>
      <c r="G1039" s="13">
        <f>IFERROR('[ServiceNow.xlsx]SC-23'!B20,"Not Started")</f>
        <v/>
      </c>
      <c r="H1039" s="14">
        <f>IF(OR(G1039="Passed",G1039="Accepted Exception"),"GREEN",IF(OR(G1039="Not Started",G1039="Failed"),"RED","AMBER"))</f>
        <v/>
      </c>
      <c r="I1039" s="15">
        <f>IFERROR('[ServiceNow.xlsx]SC-23'!E20,"Non commencé")</f>
        <v/>
      </c>
      <c r="J1039" s="16">
        <f>IF(OR(I1039="Réussi",I1039="Exception acceptée"),"GREEN",IF(OR(I1039="Non commencé",I1039="Échec"),"RED","AMBER"))</f>
        <v/>
      </c>
      <c r="K1039" s="12" t="inlineStr"/>
      <c r="L1039" s="12" t="inlineStr"/>
      <c r="M1039" s="17" t="inlineStr"/>
    </row>
    <row r="1040" ht="18" customHeight="1">
      <c r="A1040" s="18" t="inlineStr">
        <is>
          <t>SC-23(1)</t>
        </is>
      </c>
      <c r="B1040" s="19" t="inlineStr">
        <is>
          <t>Session Authenticity</t>
        </is>
      </c>
      <c r="C1040" s="19" t="inlineStr">
        <is>
          <t>ServiceNow</t>
        </is>
      </c>
      <c r="D1040" s="18" t="inlineStr">
        <is>
          <t>SC</t>
        </is>
      </c>
      <c r="E1040" s="19" t="inlineStr">
        <is>
          <t>ServiceNow</t>
        </is>
      </c>
      <c r="F1040" s="19" t="inlineStr">
        <is>
          <t>SC-23-1</t>
        </is>
      </c>
      <c r="G1040" s="20">
        <f>IFERROR('[ServiceNow.xlsx]SC-23-1'!B20,"Not Started")</f>
        <v/>
      </c>
      <c r="H1040" s="14">
        <f>IF(OR(G1040="Passed",G1040="Accepted Exception"),"GREEN",IF(OR(G1040="Not Started",G1040="Failed"),"RED","AMBER"))</f>
        <v/>
      </c>
      <c r="I1040" s="21">
        <f>IFERROR('[ServiceNow.xlsx]SC-23-1'!E20,"Non commencé")</f>
        <v/>
      </c>
      <c r="J1040" s="16">
        <f>IF(OR(I1040="Réussi",I1040="Exception acceptée"),"GREEN",IF(OR(I1040="Non commencé",I1040="Échec"),"RED","AMBER"))</f>
        <v/>
      </c>
      <c r="K1040" s="19" t="inlineStr"/>
      <c r="L1040" s="19" t="inlineStr"/>
      <c r="M1040" s="22" t="inlineStr"/>
    </row>
    <row r="1041" ht="18" customHeight="1">
      <c r="A1041" s="11" t="inlineStr">
        <is>
          <t>SC-28</t>
        </is>
      </c>
      <c r="B1041" s="12" t="inlineStr">
        <is>
          <t>Protection of Information At Rest</t>
        </is>
      </c>
      <c r="C1041" s="12" t="inlineStr">
        <is>
          <t>ServiceNow</t>
        </is>
      </c>
      <c r="D1041" s="11" t="inlineStr">
        <is>
          <t>SC</t>
        </is>
      </c>
      <c r="E1041" s="12" t="inlineStr">
        <is>
          <t>ServiceNow</t>
        </is>
      </c>
      <c r="F1041" s="12" t="inlineStr">
        <is>
          <t>SC-28</t>
        </is>
      </c>
      <c r="G1041" s="13">
        <f>IFERROR('[ServiceNow.xlsx]SC-28'!B20,"Not Started")</f>
        <v/>
      </c>
      <c r="H1041" s="14">
        <f>IF(OR(G1041="Passed",G1041="Accepted Exception"),"GREEN",IF(OR(G1041="Not Started",G1041="Failed"),"RED","AMBER"))</f>
        <v/>
      </c>
      <c r="I1041" s="15">
        <f>IFERROR('[ServiceNow.xlsx]SC-28'!E20,"Non commencé")</f>
        <v/>
      </c>
      <c r="J1041" s="16">
        <f>IF(OR(I1041="Réussi",I1041="Exception acceptée"),"GREEN",IF(OR(I1041="Non commencé",I1041="Échec"),"RED","AMBER"))</f>
        <v/>
      </c>
      <c r="K1041" s="12" t="inlineStr"/>
      <c r="L1041" s="12" t="inlineStr"/>
      <c r="M1041" s="17" t="inlineStr"/>
    </row>
    <row r="1042" ht="18" customHeight="1">
      <c r="A1042" s="18" t="inlineStr">
        <is>
          <t>SC-28(1)</t>
        </is>
      </c>
      <c r="B1042" s="19" t="inlineStr">
        <is>
          <t>Protection of Information At Rest</t>
        </is>
      </c>
      <c r="C1042" s="19" t="inlineStr">
        <is>
          <t>ServiceNow</t>
        </is>
      </c>
      <c r="D1042" s="18" t="inlineStr">
        <is>
          <t>SC</t>
        </is>
      </c>
      <c r="E1042" s="19" t="inlineStr">
        <is>
          <t>ServiceNow</t>
        </is>
      </c>
      <c r="F1042" s="19" t="inlineStr">
        <is>
          <t>SC-28-1</t>
        </is>
      </c>
      <c r="G1042" s="20">
        <f>IFERROR('[ServiceNow.xlsx]SC-28-1'!B20,"Not Started")</f>
        <v/>
      </c>
      <c r="H1042" s="14">
        <f>IF(OR(G1042="Passed",G1042="Accepted Exception"),"GREEN",IF(OR(G1042="Not Started",G1042="Failed"),"RED","AMBER"))</f>
        <v/>
      </c>
      <c r="I1042" s="21">
        <f>IFERROR('[ServiceNow.xlsx]SC-28-1'!E20,"Non commencé")</f>
        <v/>
      </c>
      <c r="J1042" s="16">
        <f>IF(OR(I1042="Réussi",I1042="Exception acceptée"),"GREEN",IF(OR(I1042="Non commencé",I1042="Échec"),"RED","AMBER"))</f>
        <v/>
      </c>
      <c r="K1042" s="19" t="inlineStr"/>
      <c r="L1042" s="19" t="inlineStr"/>
      <c r="M1042" s="22" t="inlineStr"/>
    </row>
    <row r="1043" ht="18" customHeight="1">
      <c r="A1043" s="11" t="inlineStr">
        <is>
          <t>SI-2</t>
        </is>
      </c>
      <c r="B1043" s="12" t="inlineStr">
        <is>
          <t>Flaw Remediation</t>
        </is>
      </c>
      <c r="C1043" s="12" t="inlineStr">
        <is>
          <t>ServiceNow</t>
        </is>
      </c>
      <c r="D1043" s="11" t="inlineStr">
        <is>
          <t>SI</t>
        </is>
      </c>
      <c r="E1043" s="12" t="inlineStr">
        <is>
          <t>ServiceNow</t>
        </is>
      </c>
      <c r="F1043" s="12" t="inlineStr">
        <is>
          <t>SI-2</t>
        </is>
      </c>
      <c r="G1043" s="13">
        <f>IFERROR('[ServiceNow.xlsx]SI-2'!B20,"Not Started")</f>
        <v/>
      </c>
      <c r="H1043" s="14">
        <f>IF(OR(G1043="Passed",G1043="Accepted Exception"),"GREEN",IF(OR(G1043="Not Started",G1043="Failed"),"RED","AMBER"))</f>
        <v/>
      </c>
      <c r="I1043" s="15">
        <f>IFERROR('[ServiceNow.xlsx]SI-2'!E20,"Non commencé")</f>
        <v/>
      </c>
      <c r="J1043" s="16">
        <f>IF(OR(I1043="Réussi",I1043="Exception acceptée"),"GREEN",IF(OR(I1043="Non commencé",I1043="Échec"),"RED","AMBER"))</f>
        <v/>
      </c>
      <c r="K1043" s="12" t="inlineStr"/>
      <c r="L1043" s="12" t="inlineStr"/>
      <c r="M1043" s="17" t="inlineStr"/>
    </row>
    <row r="1044" ht="18" customHeight="1">
      <c r="A1044" s="18" t="inlineStr">
        <is>
          <t>SI-2(3)</t>
        </is>
      </c>
      <c r="B1044" s="19" t="inlineStr">
        <is>
          <t>Flaw Remediation</t>
        </is>
      </c>
      <c r="C1044" s="19" t="inlineStr">
        <is>
          <t>ServiceNow</t>
        </is>
      </c>
      <c r="D1044" s="18" t="inlineStr">
        <is>
          <t>SI</t>
        </is>
      </c>
      <c r="E1044" s="19" t="inlineStr">
        <is>
          <t>ServiceNow</t>
        </is>
      </c>
      <c r="F1044" s="19" t="inlineStr">
        <is>
          <t>SI-2-3</t>
        </is>
      </c>
      <c r="G1044" s="20">
        <f>IFERROR('[ServiceNow.xlsx]SI-2-3'!B20,"Not Started")</f>
        <v/>
      </c>
      <c r="H1044" s="14">
        <f>IF(OR(G1044="Passed",G1044="Accepted Exception"),"GREEN",IF(OR(G1044="Not Started",G1044="Failed"),"RED","AMBER"))</f>
        <v/>
      </c>
      <c r="I1044" s="21">
        <f>IFERROR('[ServiceNow.xlsx]SI-2-3'!E20,"Non commencé")</f>
        <v/>
      </c>
      <c r="J1044" s="16">
        <f>IF(OR(I1044="Réussi",I1044="Exception acceptée"),"GREEN",IF(OR(I1044="Non commencé",I1044="Échec"),"RED","AMBER"))</f>
        <v/>
      </c>
      <c r="K1044" s="19" t="inlineStr"/>
      <c r="L1044" s="19" t="inlineStr"/>
      <c r="M1044" s="22" t="inlineStr"/>
    </row>
    <row r="1045" ht="18" customHeight="1">
      <c r="A1045" s="11" t="inlineStr">
        <is>
          <t>SI-4(20)</t>
        </is>
      </c>
      <c r="B1045" s="12" t="inlineStr">
        <is>
          <t>Information System Monitoring</t>
        </is>
      </c>
      <c r="C1045" s="12" t="inlineStr">
        <is>
          <t>ServiceNow</t>
        </is>
      </c>
      <c r="D1045" s="11" t="inlineStr">
        <is>
          <t>SI</t>
        </is>
      </c>
      <c r="E1045" s="12" t="inlineStr">
        <is>
          <t>ServiceNow</t>
        </is>
      </c>
      <c r="F1045" s="12" t="inlineStr">
        <is>
          <t>SI-4-20</t>
        </is>
      </c>
      <c r="G1045" s="13">
        <f>IFERROR('[ServiceNow.xlsx]SI-4-20'!B20,"Not Started")</f>
        <v/>
      </c>
      <c r="H1045" s="14">
        <f>IF(OR(G1045="Passed",G1045="Accepted Exception"),"GREEN",IF(OR(G1045="Not Started",G1045="Failed"),"RED","AMBER"))</f>
        <v/>
      </c>
      <c r="I1045" s="15">
        <f>IFERROR('[ServiceNow.xlsx]SI-4-20'!E20,"Non commencé")</f>
        <v/>
      </c>
      <c r="J1045" s="16">
        <f>IF(OR(I1045="Réussi",I1045="Exception acceptée"),"GREEN",IF(OR(I1045="Non commencé",I1045="Échec"),"RED","AMBER"))</f>
        <v/>
      </c>
      <c r="K1045" s="12" t="inlineStr"/>
      <c r="L1045" s="12" t="inlineStr"/>
      <c r="M1045" s="17" t="inlineStr"/>
    </row>
    <row r="1046" ht="18" customHeight="1">
      <c r="A1046" s="18" t="inlineStr">
        <is>
          <t>SI-6</t>
        </is>
      </c>
      <c r="B1046" s="19" t="inlineStr">
        <is>
          <t>Security Functional Verification</t>
        </is>
      </c>
      <c r="C1046" s="19" t="inlineStr">
        <is>
          <t>ServiceNow</t>
        </is>
      </c>
      <c r="D1046" s="18" t="inlineStr">
        <is>
          <t>SI</t>
        </is>
      </c>
      <c r="E1046" s="19" t="inlineStr">
        <is>
          <t>ServiceNow</t>
        </is>
      </c>
      <c r="F1046" s="19" t="inlineStr">
        <is>
          <t>SI-6</t>
        </is>
      </c>
      <c r="G1046" s="20">
        <f>IFERROR('[ServiceNow.xlsx]SI-6'!B20,"Not Started")</f>
        <v/>
      </c>
      <c r="H1046" s="14">
        <f>IF(OR(G1046="Passed",G1046="Accepted Exception"),"GREEN",IF(OR(G1046="Not Started",G1046="Failed"),"RED","AMBER"))</f>
        <v/>
      </c>
      <c r="I1046" s="21">
        <f>IFERROR('[ServiceNow.xlsx]SI-6'!E20,"Non commencé")</f>
        <v/>
      </c>
      <c r="J1046" s="16">
        <f>IF(OR(I1046="Réussi",I1046="Exception acceptée"),"GREEN",IF(OR(I1046="Non commencé",I1046="Échec"),"RED","AMBER"))</f>
        <v/>
      </c>
      <c r="K1046" s="19" t="inlineStr"/>
      <c r="L1046" s="19" t="inlineStr"/>
      <c r="M1046" s="22" t="inlineStr"/>
    </row>
    <row r="1047" ht="18" customHeight="1">
      <c r="A1047" s="11" t="inlineStr">
        <is>
          <t>SI-10</t>
        </is>
      </c>
      <c r="B1047" s="12" t="inlineStr">
        <is>
          <t>Information Input Validation</t>
        </is>
      </c>
      <c r="C1047" s="12" t="inlineStr">
        <is>
          <t>ServiceNow</t>
        </is>
      </c>
      <c r="D1047" s="11" t="inlineStr">
        <is>
          <t>SI</t>
        </is>
      </c>
      <c r="E1047" s="12" t="inlineStr">
        <is>
          <t>ServiceNow</t>
        </is>
      </c>
      <c r="F1047" s="12" t="inlineStr">
        <is>
          <t>SI-10</t>
        </is>
      </c>
      <c r="G1047" s="13">
        <f>IFERROR('[ServiceNow.xlsx]SI-10'!B20,"Not Started")</f>
        <v/>
      </c>
      <c r="H1047" s="14">
        <f>IF(OR(G1047="Passed",G1047="Accepted Exception"),"GREEN",IF(OR(G1047="Not Started",G1047="Failed"),"RED","AMBER"))</f>
        <v/>
      </c>
      <c r="I1047" s="15">
        <f>IFERROR('[ServiceNow.xlsx]SI-10'!E20,"Non commencé")</f>
        <v/>
      </c>
      <c r="J1047" s="16">
        <f>IF(OR(I1047="Réussi",I1047="Exception acceptée"),"GREEN",IF(OR(I1047="Non commencé",I1047="Échec"),"RED","AMBER"))</f>
        <v/>
      </c>
      <c r="K1047" s="12" t="inlineStr"/>
      <c r="L1047" s="12" t="inlineStr"/>
      <c r="M1047" s="17" t="inlineStr"/>
    </row>
    <row r="1048" ht="18" customHeight="1">
      <c r="A1048" s="18" t="inlineStr">
        <is>
          <t>SI-11</t>
        </is>
      </c>
      <c r="B1048" s="19" t="inlineStr">
        <is>
          <t>Error Handling</t>
        </is>
      </c>
      <c r="C1048" s="19" t="inlineStr">
        <is>
          <t>ServiceNow</t>
        </is>
      </c>
      <c r="D1048" s="18" t="inlineStr">
        <is>
          <t>SI</t>
        </is>
      </c>
      <c r="E1048" s="19" t="inlineStr">
        <is>
          <t>ServiceNow</t>
        </is>
      </c>
      <c r="F1048" s="19" t="inlineStr">
        <is>
          <t>SI-11</t>
        </is>
      </c>
      <c r="G1048" s="20">
        <f>IFERROR('[ServiceNow.xlsx]SI-11'!B20,"Not Started")</f>
        <v/>
      </c>
      <c r="H1048" s="14">
        <f>IF(OR(G1048="Passed",G1048="Accepted Exception"),"GREEN",IF(OR(G1048="Not Started",G1048="Failed"),"RED","AMBER"))</f>
        <v/>
      </c>
      <c r="I1048" s="21">
        <f>IFERROR('[ServiceNow.xlsx]SI-11'!E20,"Non commencé")</f>
        <v/>
      </c>
      <c r="J1048" s="16">
        <f>IF(OR(I1048="Réussi",I1048="Exception acceptée"),"GREEN",IF(OR(I1048="Non commencé",I1048="Échec"),"RED","AMBER"))</f>
        <v/>
      </c>
      <c r="K1048" s="19" t="inlineStr"/>
      <c r="L1048" s="19" t="inlineStr"/>
      <c r="M1048" s="22" t="inlineStr"/>
    </row>
    <row r="1049" ht="18" customHeight="1">
      <c r="A1049" s="11" t="inlineStr">
        <is>
          <t>SI-12</t>
        </is>
      </c>
      <c r="B1049" s="12" t="inlineStr">
        <is>
          <t>Information Output Handling and Retention</t>
        </is>
      </c>
      <c r="C1049" s="12" t="inlineStr">
        <is>
          <t>ServiceNow</t>
        </is>
      </c>
      <c r="D1049" s="11" t="inlineStr">
        <is>
          <t>SI</t>
        </is>
      </c>
      <c r="E1049" s="12" t="inlineStr">
        <is>
          <t>ServiceNow</t>
        </is>
      </c>
      <c r="F1049" s="12" t="inlineStr">
        <is>
          <t>SI-12</t>
        </is>
      </c>
      <c r="G1049" s="13">
        <f>IFERROR('[ServiceNow.xlsx]SI-12'!B20,"Not Started")</f>
        <v/>
      </c>
      <c r="H1049" s="14">
        <f>IF(OR(G1049="Passed",G1049="Accepted Exception"),"GREEN",IF(OR(G1049="Not Started",G1049="Failed"),"RED","AMBER"))</f>
        <v/>
      </c>
      <c r="I1049" s="15">
        <f>IFERROR('[ServiceNow.xlsx]SI-12'!E20,"Non commencé")</f>
        <v/>
      </c>
      <c r="J1049" s="16">
        <f>IF(OR(I1049="Réussi",I1049="Exception acceptée"),"GREEN",IF(OR(I1049="Non commencé",I1049="Échec"),"RED","AMBER"))</f>
        <v/>
      </c>
      <c r="K1049" s="12" t="inlineStr"/>
      <c r="L1049" s="12" t="inlineStr"/>
      <c r="M1049" s="17" t="inlineStr"/>
    </row>
    <row r="1050" ht="18" customHeight="1">
      <c r="A1050" s="18" t="inlineStr">
        <is>
          <t>AU-2</t>
        </is>
      </c>
      <c r="B1050" s="19" t="inlineStr">
        <is>
          <t>Auditable Events</t>
        </is>
      </c>
      <c r="C1050" s="19" t="inlineStr">
        <is>
          <t>Storage</t>
        </is>
      </c>
      <c r="D1050" s="18" t="inlineStr">
        <is>
          <t>AU</t>
        </is>
      </c>
      <c r="E1050" s="19" t="inlineStr">
        <is>
          <t>Storage</t>
        </is>
      </c>
      <c r="F1050" s="19" t="inlineStr">
        <is>
          <t>AU-2</t>
        </is>
      </c>
      <c r="G1050" s="20">
        <f>IFERROR('[Storage.xlsx]AU-2'!B20,"Not Started")</f>
        <v/>
      </c>
      <c r="H1050" s="14">
        <f>IF(OR(G1050="Passed",G1050="Accepted Exception"),"GREEN",IF(OR(G1050="Not Started",G1050="Failed"),"RED","AMBER"))</f>
        <v/>
      </c>
      <c r="I1050" s="21">
        <f>IFERROR('[Storage.xlsx]AU-2'!E20,"Non commencé")</f>
        <v/>
      </c>
      <c r="J1050" s="16">
        <f>IF(OR(I1050="Réussi",I1050="Exception acceptée"),"GREEN",IF(OR(I1050="Non commencé",I1050="Échec"),"RED","AMBER"))</f>
        <v/>
      </c>
      <c r="K1050" s="19" t="inlineStr"/>
      <c r="L1050" s="19" t="inlineStr"/>
      <c r="M1050" s="22" t="inlineStr"/>
    </row>
    <row r="1051" ht="18" customHeight="1">
      <c r="A1051" s="11" t="inlineStr">
        <is>
          <t>AU-3</t>
        </is>
      </c>
      <c r="B1051" s="12" t="inlineStr">
        <is>
          <t>Content of Audit Records</t>
        </is>
      </c>
      <c r="C1051" s="12" t="inlineStr">
        <is>
          <t>Storage</t>
        </is>
      </c>
      <c r="D1051" s="11" t="inlineStr">
        <is>
          <t>AU</t>
        </is>
      </c>
      <c r="E1051" s="12" t="inlineStr">
        <is>
          <t>Storage</t>
        </is>
      </c>
      <c r="F1051" s="12" t="inlineStr">
        <is>
          <t>AU-3</t>
        </is>
      </c>
      <c r="G1051" s="13">
        <f>IFERROR('[Storage.xlsx]AU-3'!B20,"Not Started")</f>
        <v/>
      </c>
      <c r="H1051" s="14">
        <f>IF(OR(G1051="Passed",G1051="Accepted Exception"),"GREEN",IF(OR(G1051="Not Started",G1051="Failed"),"RED","AMBER"))</f>
        <v/>
      </c>
      <c r="I1051" s="15">
        <f>IFERROR('[Storage.xlsx]AU-3'!E20,"Non commencé")</f>
        <v/>
      </c>
      <c r="J1051" s="16">
        <f>IF(OR(I1051="Réussi",I1051="Exception acceptée"),"GREEN",IF(OR(I1051="Non commencé",I1051="Échec"),"RED","AMBER"))</f>
        <v/>
      </c>
      <c r="K1051" s="12" t="inlineStr"/>
      <c r="L1051" s="12" t="inlineStr"/>
      <c r="M1051" s="17" t="inlineStr"/>
    </row>
    <row r="1052" ht="18" customHeight="1">
      <c r="A1052" s="18" t="inlineStr">
        <is>
          <t>AU-3(1)</t>
        </is>
      </c>
      <c r="B1052" s="19" t="inlineStr">
        <is>
          <t>Content of Audit Records</t>
        </is>
      </c>
      <c r="C1052" s="19" t="inlineStr">
        <is>
          <t>Storage</t>
        </is>
      </c>
      <c r="D1052" s="18" t="inlineStr">
        <is>
          <t>AU</t>
        </is>
      </c>
      <c r="E1052" s="19" t="inlineStr">
        <is>
          <t>Storage</t>
        </is>
      </c>
      <c r="F1052" s="19" t="inlineStr">
        <is>
          <t>AU-3-1</t>
        </is>
      </c>
      <c r="G1052" s="20">
        <f>IFERROR('[Storage.xlsx]AU-3-1'!B20,"Not Started")</f>
        <v/>
      </c>
      <c r="H1052" s="14">
        <f>IF(OR(G1052="Passed",G1052="Accepted Exception"),"GREEN",IF(OR(G1052="Not Started",G1052="Failed"),"RED","AMBER"))</f>
        <v/>
      </c>
      <c r="I1052" s="21">
        <f>IFERROR('[Storage.xlsx]AU-3-1'!E20,"Non commencé")</f>
        <v/>
      </c>
      <c r="J1052" s="16">
        <f>IF(OR(I1052="Réussi",I1052="Exception acceptée"),"GREEN",IF(OR(I1052="Non commencé",I1052="Échec"),"RED","AMBER"))</f>
        <v/>
      </c>
      <c r="K1052" s="19" t="inlineStr"/>
      <c r="L1052" s="19" t="inlineStr"/>
      <c r="M1052" s="22" t="inlineStr"/>
    </row>
    <row r="1053" ht="18" customHeight="1">
      <c r="A1053" s="11" t="inlineStr">
        <is>
          <t>AU-9(2)</t>
        </is>
      </c>
      <c r="B1053" s="12" t="inlineStr">
        <is>
          <t>Protection of Audit Information</t>
        </is>
      </c>
      <c r="C1053" s="12" t="inlineStr">
        <is>
          <t>Storage</t>
        </is>
      </c>
      <c r="D1053" s="11" t="inlineStr">
        <is>
          <t>AU</t>
        </is>
      </c>
      <c r="E1053" s="12" t="inlineStr">
        <is>
          <t>Storage</t>
        </is>
      </c>
      <c r="F1053" s="12" t="inlineStr">
        <is>
          <t>AU-9-2</t>
        </is>
      </c>
      <c r="G1053" s="13">
        <f>IFERROR('[Storage.xlsx]AU-9-2'!B20,"Not Started")</f>
        <v/>
      </c>
      <c r="H1053" s="14">
        <f>IF(OR(G1053="Passed",G1053="Accepted Exception"),"GREEN",IF(OR(G1053="Not Started",G1053="Failed"),"RED","AMBER"))</f>
        <v/>
      </c>
      <c r="I1053" s="15">
        <f>IFERROR('[Storage.xlsx]AU-9-2'!E20,"Non commencé")</f>
        <v/>
      </c>
      <c r="J1053" s="16">
        <f>IF(OR(I1053="Réussi",I1053="Exception acceptée"),"GREEN",IF(OR(I1053="Non commencé",I1053="Échec"),"RED","AMBER"))</f>
        <v/>
      </c>
      <c r="K1053" s="12" t="inlineStr"/>
      <c r="L1053" s="12" t="inlineStr"/>
      <c r="M1053" s="17" t="inlineStr"/>
    </row>
    <row r="1054" ht="18" customHeight="1">
      <c r="A1054" s="18" t="inlineStr">
        <is>
          <t>AU-11</t>
        </is>
      </c>
      <c r="B1054" s="19" t="inlineStr">
        <is>
          <t>Audit Record Retention</t>
        </is>
      </c>
      <c r="C1054" s="19" t="inlineStr">
        <is>
          <t>Storage</t>
        </is>
      </c>
      <c r="D1054" s="18" t="inlineStr">
        <is>
          <t>AU</t>
        </is>
      </c>
      <c r="E1054" s="19" t="inlineStr">
        <is>
          <t>Storage</t>
        </is>
      </c>
      <c r="F1054" s="19" t="inlineStr">
        <is>
          <t>AU-11</t>
        </is>
      </c>
      <c r="G1054" s="20">
        <f>IFERROR('[Storage.xlsx]AU-11'!B20,"Not Started")</f>
        <v/>
      </c>
      <c r="H1054" s="14">
        <f>IF(OR(G1054="Passed",G1054="Accepted Exception"),"GREEN",IF(OR(G1054="Not Started",G1054="Failed"),"RED","AMBER"))</f>
        <v/>
      </c>
      <c r="I1054" s="21">
        <f>IFERROR('[Storage.xlsx]AU-11'!E20,"Non commencé")</f>
        <v/>
      </c>
      <c r="J1054" s="16">
        <f>IF(OR(I1054="Réussi",I1054="Exception acceptée"),"GREEN",IF(OR(I1054="Non commencé",I1054="Échec"),"RED","AMBER"))</f>
        <v/>
      </c>
      <c r="K1054" s="19" t="inlineStr"/>
      <c r="L1054" s="19" t="inlineStr"/>
      <c r="M1054" s="22" t="inlineStr"/>
    </row>
    <row r="1055" ht="18" customHeight="1">
      <c r="A1055" s="11" t="inlineStr">
        <is>
          <t>AU-12</t>
        </is>
      </c>
      <c r="B1055" s="12" t="inlineStr">
        <is>
          <t>Audit Generation</t>
        </is>
      </c>
      <c r="C1055" s="12" t="inlineStr">
        <is>
          <t>Storage</t>
        </is>
      </c>
      <c r="D1055" s="11" t="inlineStr">
        <is>
          <t>AU</t>
        </is>
      </c>
      <c r="E1055" s="12" t="inlineStr">
        <is>
          <t>Storage</t>
        </is>
      </c>
      <c r="F1055" s="12" t="inlineStr">
        <is>
          <t>AU-12</t>
        </is>
      </c>
      <c r="G1055" s="13">
        <f>IFERROR('[Storage.xlsx]AU-12'!B20,"Not Started")</f>
        <v/>
      </c>
      <c r="H1055" s="14">
        <f>IF(OR(G1055="Passed",G1055="Accepted Exception"),"GREEN",IF(OR(G1055="Not Started",G1055="Failed"),"RED","AMBER"))</f>
        <v/>
      </c>
      <c r="I1055" s="15">
        <f>IFERROR('[Storage.xlsx]AU-12'!E20,"Non commencé")</f>
        <v/>
      </c>
      <c r="J1055" s="16">
        <f>IF(OR(I1055="Réussi",I1055="Exception acceptée"),"GREEN",IF(OR(I1055="Non commencé",I1055="Échec"),"RED","AMBER"))</f>
        <v/>
      </c>
      <c r="K1055" s="12" t="inlineStr"/>
      <c r="L1055" s="12" t="inlineStr"/>
      <c r="M1055" s="17" t="inlineStr"/>
    </row>
    <row r="1056" ht="18" customHeight="1">
      <c r="A1056" s="18" t="inlineStr">
        <is>
          <t>CM-2(3)</t>
        </is>
      </c>
      <c r="B1056" s="19" t="inlineStr">
        <is>
          <t>Baseline Configuration</t>
        </is>
      </c>
      <c r="C1056" s="19" t="inlineStr">
        <is>
          <t>Storage</t>
        </is>
      </c>
      <c r="D1056" s="18" t="inlineStr">
        <is>
          <t>CM</t>
        </is>
      </c>
      <c r="E1056" s="19" t="inlineStr">
        <is>
          <t>Storage</t>
        </is>
      </c>
      <c r="F1056" s="19" t="inlineStr">
        <is>
          <t>CM-2-3</t>
        </is>
      </c>
      <c r="G1056" s="20">
        <f>IFERROR('[Storage.xlsx]CM-2-3'!B20,"Not Started")</f>
        <v/>
      </c>
      <c r="H1056" s="14">
        <f>IF(OR(G1056="Passed",G1056="Accepted Exception"),"GREEN",IF(OR(G1056="Not Started",G1056="Failed"),"RED","AMBER"))</f>
        <v/>
      </c>
      <c r="I1056" s="21">
        <f>IFERROR('[Storage.xlsx]CM-2-3'!E20,"Non commencé")</f>
        <v/>
      </c>
      <c r="J1056" s="16">
        <f>IF(OR(I1056="Réussi",I1056="Exception acceptée"),"GREEN",IF(OR(I1056="Non commencé",I1056="Échec"),"RED","AMBER"))</f>
        <v/>
      </c>
      <c r="K1056" s="19" t="inlineStr"/>
      <c r="L1056" s="19" t="inlineStr"/>
      <c r="M1056" s="22" t="inlineStr"/>
    </row>
    <row r="1057" ht="18" customHeight="1">
      <c r="A1057" s="11" t="inlineStr">
        <is>
          <t>CM-6</t>
        </is>
      </c>
      <c r="B1057" s="12" t="inlineStr">
        <is>
          <t>Configuration Settings</t>
        </is>
      </c>
      <c r="C1057" s="12" t="inlineStr">
        <is>
          <t>Storage</t>
        </is>
      </c>
      <c r="D1057" s="11" t="inlineStr">
        <is>
          <t>CM</t>
        </is>
      </c>
      <c r="E1057" s="12" t="inlineStr">
        <is>
          <t>Storage</t>
        </is>
      </c>
      <c r="F1057" s="12" t="inlineStr">
        <is>
          <t>CM-6</t>
        </is>
      </c>
      <c r="G1057" s="13">
        <f>IFERROR('[Storage.xlsx]CM-6'!B20,"Not Started")</f>
        <v/>
      </c>
      <c r="H1057" s="14">
        <f>IF(OR(G1057="Passed",G1057="Accepted Exception"),"GREEN",IF(OR(G1057="Not Started",G1057="Failed"),"RED","AMBER"))</f>
        <v/>
      </c>
      <c r="I1057" s="15">
        <f>IFERROR('[Storage.xlsx]CM-6'!E20,"Non commencé")</f>
        <v/>
      </c>
      <c r="J1057" s="16">
        <f>IF(OR(I1057="Réussi",I1057="Exception acceptée"),"GREEN",IF(OR(I1057="Non commencé",I1057="Échec"),"RED","AMBER"))</f>
        <v/>
      </c>
      <c r="K1057" s="12" t="inlineStr"/>
      <c r="L1057" s="12" t="inlineStr"/>
      <c r="M1057" s="17" t="inlineStr"/>
    </row>
    <row r="1058" ht="18" customHeight="1">
      <c r="A1058" s="18" t="inlineStr">
        <is>
          <t>CM-7</t>
        </is>
      </c>
      <c r="B1058" s="19" t="inlineStr">
        <is>
          <t>Least Functionality</t>
        </is>
      </c>
      <c r="C1058" s="19" t="inlineStr">
        <is>
          <t>Storage</t>
        </is>
      </c>
      <c r="D1058" s="18" t="inlineStr">
        <is>
          <t>CM</t>
        </is>
      </c>
      <c r="E1058" s="19" t="inlineStr">
        <is>
          <t>Storage</t>
        </is>
      </c>
      <c r="F1058" s="19" t="inlineStr">
        <is>
          <t>CM-7</t>
        </is>
      </c>
      <c r="G1058" s="20">
        <f>IFERROR('[Storage.xlsx]CM-7'!B20,"Not Started")</f>
        <v/>
      </c>
      <c r="H1058" s="14">
        <f>IF(OR(G1058="Passed",G1058="Accepted Exception"),"GREEN",IF(OR(G1058="Not Started",G1058="Failed"),"RED","AMBER"))</f>
        <v/>
      </c>
      <c r="I1058" s="21">
        <f>IFERROR('[Storage.xlsx]CM-7'!E20,"Non commencé")</f>
        <v/>
      </c>
      <c r="J1058" s="16">
        <f>IF(OR(I1058="Réussi",I1058="Exception acceptée"),"GREEN",IF(OR(I1058="Non commencé",I1058="Échec"),"RED","AMBER"))</f>
        <v/>
      </c>
      <c r="K1058" s="19" t="inlineStr"/>
      <c r="L1058" s="19" t="inlineStr"/>
      <c r="M1058" s="22" t="inlineStr"/>
    </row>
    <row r="1059" ht="18" customHeight="1">
      <c r="A1059" s="11" t="inlineStr">
        <is>
          <t>CM-7(1)</t>
        </is>
      </c>
      <c r="B1059" s="12" t="inlineStr">
        <is>
          <t>Least Functionality</t>
        </is>
      </c>
      <c r="C1059" s="12" t="inlineStr">
        <is>
          <t>Storage</t>
        </is>
      </c>
      <c r="D1059" s="11" t="inlineStr">
        <is>
          <t>CM</t>
        </is>
      </c>
      <c r="E1059" s="12" t="inlineStr">
        <is>
          <t>Storage</t>
        </is>
      </c>
      <c r="F1059" s="12" t="inlineStr">
        <is>
          <t>CM-7-1</t>
        </is>
      </c>
      <c r="G1059" s="13">
        <f>IFERROR('[Storage.xlsx]CM-7-1'!B20,"Not Started")</f>
        <v/>
      </c>
      <c r="H1059" s="14">
        <f>IF(OR(G1059="Passed",G1059="Accepted Exception"),"GREEN",IF(OR(G1059="Not Started",G1059="Failed"),"RED","AMBER"))</f>
        <v/>
      </c>
      <c r="I1059" s="15">
        <f>IFERROR('[Storage.xlsx]CM-7-1'!E20,"Non commencé")</f>
        <v/>
      </c>
      <c r="J1059" s="16">
        <f>IF(OR(I1059="Réussi",I1059="Exception acceptée"),"GREEN",IF(OR(I1059="Non commencé",I1059="Échec"),"RED","AMBER"))</f>
        <v/>
      </c>
      <c r="K1059" s="12" t="inlineStr"/>
      <c r="L1059" s="12" t="inlineStr"/>
      <c r="M1059" s="17" t="inlineStr"/>
    </row>
    <row r="1060" ht="18" customHeight="1">
      <c r="A1060" s="18" t="inlineStr">
        <is>
          <t>CP-6</t>
        </is>
      </c>
      <c r="B1060" s="19" t="inlineStr">
        <is>
          <t>Alternate Storage Site</t>
        </is>
      </c>
      <c r="C1060" s="19" t="inlineStr">
        <is>
          <t>Storage</t>
        </is>
      </c>
      <c r="D1060" s="18" t="inlineStr">
        <is>
          <t>CP</t>
        </is>
      </c>
      <c r="E1060" s="19" t="inlineStr">
        <is>
          <t>Storage</t>
        </is>
      </c>
      <c r="F1060" s="19" t="inlineStr">
        <is>
          <t>CP-6</t>
        </is>
      </c>
      <c r="G1060" s="20">
        <f>IFERROR('[Storage.xlsx]CP-6'!B20,"Not Started")</f>
        <v/>
      </c>
      <c r="H1060" s="14">
        <f>IF(OR(G1060="Passed",G1060="Accepted Exception"),"GREEN",IF(OR(G1060="Not Started",G1060="Failed"),"RED","AMBER"))</f>
        <v/>
      </c>
      <c r="I1060" s="21">
        <f>IFERROR('[Storage.xlsx]CP-6'!E20,"Non commencé")</f>
        <v/>
      </c>
      <c r="J1060" s="16">
        <f>IF(OR(I1060="Réussi",I1060="Exception acceptée"),"GREEN",IF(OR(I1060="Non commencé",I1060="Échec"),"RED","AMBER"))</f>
        <v/>
      </c>
      <c r="K1060" s="19" t="inlineStr"/>
      <c r="L1060" s="19" t="inlineStr"/>
      <c r="M1060" s="22" t="inlineStr"/>
    </row>
    <row r="1061" ht="18" customHeight="1">
      <c r="A1061" s="11" t="inlineStr">
        <is>
          <t>CP-6(2)</t>
        </is>
      </c>
      <c r="B1061" s="12" t="inlineStr">
        <is>
          <t>Alternate Storage Site</t>
        </is>
      </c>
      <c r="C1061" s="12" t="inlineStr">
        <is>
          <t>Storage</t>
        </is>
      </c>
      <c r="D1061" s="11" t="inlineStr">
        <is>
          <t>CP</t>
        </is>
      </c>
      <c r="E1061" s="12" t="inlineStr">
        <is>
          <t>Storage</t>
        </is>
      </c>
      <c r="F1061" s="12" t="inlineStr">
        <is>
          <t>CP-6-2</t>
        </is>
      </c>
      <c r="G1061" s="13">
        <f>IFERROR('[Storage.xlsx]CP-6-2'!B20,"Not Started")</f>
        <v/>
      </c>
      <c r="H1061" s="14">
        <f>IF(OR(G1061="Passed",G1061="Accepted Exception"),"GREEN",IF(OR(G1061="Not Started",G1061="Failed"),"RED","AMBER"))</f>
        <v/>
      </c>
      <c r="I1061" s="15">
        <f>IFERROR('[Storage.xlsx]CP-6-2'!E20,"Non commencé")</f>
        <v/>
      </c>
      <c r="J1061" s="16">
        <f>IF(OR(I1061="Réussi",I1061="Exception acceptée"),"GREEN",IF(OR(I1061="Non commencé",I1061="Échec"),"RED","AMBER"))</f>
        <v/>
      </c>
      <c r="K1061" s="12" t="inlineStr"/>
      <c r="L1061" s="12" t="inlineStr"/>
      <c r="M1061" s="17" t="inlineStr"/>
    </row>
    <row r="1062" ht="18" customHeight="1">
      <c r="A1062" s="18" t="inlineStr">
        <is>
          <t>CP-9</t>
        </is>
      </c>
      <c r="B1062" s="19" t="inlineStr">
        <is>
          <t>Information System Backup</t>
        </is>
      </c>
      <c r="C1062" s="19" t="inlineStr">
        <is>
          <t>Storage</t>
        </is>
      </c>
      <c r="D1062" s="18" t="inlineStr">
        <is>
          <t>CP</t>
        </is>
      </c>
      <c r="E1062" s="19" t="inlineStr">
        <is>
          <t>Storage</t>
        </is>
      </c>
      <c r="F1062" s="19" t="inlineStr">
        <is>
          <t>CP-9</t>
        </is>
      </c>
      <c r="G1062" s="20">
        <f>IFERROR('[Storage.xlsx]CP-9'!B20,"Not Started")</f>
        <v/>
      </c>
      <c r="H1062" s="14">
        <f>IF(OR(G1062="Passed",G1062="Accepted Exception"),"GREEN",IF(OR(G1062="Not Started",G1062="Failed"),"RED","AMBER"))</f>
        <v/>
      </c>
      <c r="I1062" s="21">
        <f>IFERROR('[Storage.xlsx]CP-9'!E20,"Non commencé")</f>
        <v/>
      </c>
      <c r="J1062" s="16">
        <f>IF(OR(I1062="Réussi",I1062="Exception acceptée"),"GREEN",IF(OR(I1062="Non commencé",I1062="Échec"),"RED","AMBER"))</f>
        <v/>
      </c>
      <c r="K1062" s="19" t="inlineStr"/>
      <c r="L1062" s="19" t="inlineStr"/>
      <c r="M1062" s="22" t="inlineStr"/>
    </row>
    <row r="1063" ht="18" customHeight="1">
      <c r="A1063" s="11" t="inlineStr">
        <is>
          <t>CP-9(1)</t>
        </is>
      </c>
      <c r="B1063" s="12" t="inlineStr">
        <is>
          <t>Information System Backup</t>
        </is>
      </c>
      <c r="C1063" s="12" t="inlineStr">
        <is>
          <t>Storage</t>
        </is>
      </c>
      <c r="D1063" s="11" t="inlineStr">
        <is>
          <t>CP</t>
        </is>
      </c>
      <c r="E1063" s="12" t="inlineStr">
        <is>
          <t>Storage</t>
        </is>
      </c>
      <c r="F1063" s="12" t="inlineStr">
        <is>
          <t>CP-9-1</t>
        </is>
      </c>
      <c r="G1063" s="13">
        <f>IFERROR('[Storage.xlsx]CP-9-1'!B20,"Not Started")</f>
        <v/>
      </c>
      <c r="H1063" s="14">
        <f>IF(OR(G1063="Passed",G1063="Accepted Exception"),"GREEN",IF(OR(G1063="Not Started",G1063="Failed"),"RED","AMBER"))</f>
        <v/>
      </c>
      <c r="I1063" s="15">
        <f>IFERROR('[Storage.xlsx]CP-9-1'!E20,"Non commencé")</f>
        <v/>
      </c>
      <c r="J1063" s="16">
        <f>IF(OR(I1063="Réussi",I1063="Exception acceptée"),"GREEN",IF(OR(I1063="Non commencé",I1063="Échec"),"RED","AMBER"))</f>
        <v/>
      </c>
      <c r="K1063" s="12" t="inlineStr"/>
      <c r="L1063" s="12" t="inlineStr"/>
      <c r="M1063" s="17" t="inlineStr"/>
    </row>
    <row r="1064" ht="18" customHeight="1">
      <c r="A1064" s="18" t="inlineStr">
        <is>
          <t>CP-9(2)</t>
        </is>
      </c>
      <c r="B1064" s="19" t="inlineStr">
        <is>
          <t>Information System Backup</t>
        </is>
      </c>
      <c r="C1064" s="19" t="inlineStr">
        <is>
          <t>Storage</t>
        </is>
      </c>
      <c r="D1064" s="18" t="inlineStr">
        <is>
          <t>CP</t>
        </is>
      </c>
      <c r="E1064" s="19" t="inlineStr">
        <is>
          <t>Storage</t>
        </is>
      </c>
      <c r="F1064" s="19" t="inlineStr">
        <is>
          <t>CP-9-2</t>
        </is>
      </c>
      <c r="G1064" s="20">
        <f>IFERROR('[Storage.xlsx]CP-9-2'!B20,"Not Started")</f>
        <v/>
      </c>
      <c r="H1064" s="14">
        <f>IF(OR(G1064="Passed",G1064="Accepted Exception"),"GREEN",IF(OR(G1064="Not Started",G1064="Failed"),"RED","AMBER"))</f>
        <v/>
      </c>
      <c r="I1064" s="21">
        <f>IFERROR('[Storage.xlsx]CP-9-2'!E20,"Non commencé")</f>
        <v/>
      </c>
      <c r="J1064" s="16">
        <f>IF(OR(I1064="Réussi",I1064="Exception acceptée"),"GREEN",IF(OR(I1064="Non commencé",I1064="Échec"),"RED","AMBER"))</f>
        <v/>
      </c>
      <c r="K1064" s="19" t="inlineStr"/>
      <c r="L1064" s="19" t="inlineStr"/>
      <c r="M1064" s="22" t="inlineStr"/>
    </row>
    <row r="1065" ht="18" customHeight="1">
      <c r="A1065" s="11" t="inlineStr">
        <is>
          <t>CP-9(3)</t>
        </is>
      </c>
      <c r="B1065" s="12" t="inlineStr">
        <is>
          <t>Information System Backup</t>
        </is>
      </c>
      <c r="C1065" s="12" t="inlineStr">
        <is>
          <t>Storage</t>
        </is>
      </c>
      <c r="D1065" s="11" t="inlineStr">
        <is>
          <t>CP</t>
        </is>
      </c>
      <c r="E1065" s="12" t="inlineStr">
        <is>
          <t>Storage</t>
        </is>
      </c>
      <c r="F1065" s="12" t="inlineStr">
        <is>
          <t>CP-9-3</t>
        </is>
      </c>
      <c r="G1065" s="13">
        <f>IFERROR('[Storage.xlsx]CP-9-3'!B20,"Not Started")</f>
        <v/>
      </c>
      <c r="H1065" s="14">
        <f>IF(OR(G1065="Passed",G1065="Accepted Exception"),"GREEN",IF(OR(G1065="Not Started",G1065="Failed"),"RED","AMBER"))</f>
        <v/>
      </c>
      <c r="I1065" s="15">
        <f>IFERROR('[Storage.xlsx]CP-9-3'!E20,"Non commencé")</f>
        <v/>
      </c>
      <c r="J1065" s="16">
        <f>IF(OR(I1065="Réussi",I1065="Exception acceptée"),"GREEN",IF(OR(I1065="Non commencé",I1065="Échec"),"RED","AMBER"))</f>
        <v/>
      </c>
      <c r="K1065" s="12" t="inlineStr"/>
      <c r="L1065" s="12" t="inlineStr"/>
      <c r="M1065" s="17" t="inlineStr"/>
    </row>
    <row r="1066" ht="18" customHeight="1">
      <c r="A1066" s="18" t="inlineStr">
        <is>
          <t>CP-9(5)</t>
        </is>
      </c>
      <c r="B1066" s="19" t="inlineStr">
        <is>
          <t>Information System Backup</t>
        </is>
      </c>
      <c r="C1066" s="19" t="inlineStr">
        <is>
          <t>Storage</t>
        </is>
      </c>
      <c r="D1066" s="18" t="inlineStr">
        <is>
          <t>CP</t>
        </is>
      </c>
      <c r="E1066" s="19" t="inlineStr">
        <is>
          <t>Storage</t>
        </is>
      </c>
      <c r="F1066" s="19" t="inlineStr">
        <is>
          <t>CP-9-5</t>
        </is>
      </c>
      <c r="G1066" s="20">
        <f>IFERROR('[Storage.xlsx]CP-9-5'!B20,"Not Started")</f>
        <v/>
      </c>
      <c r="H1066" s="14">
        <f>IF(OR(G1066="Passed",G1066="Accepted Exception"),"GREEN",IF(OR(G1066="Not Started",G1066="Failed"),"RED","AMBER"))</f>
        <v/>
      </c>
      <c r="I1066" s="21">
        <f>IFERROR('[Storage.xlsx]CP-9-5'!E20,"Non commencé")</f>
        <v/>
      </c>
      <c r="J1066" s="16">
        <f>IF(OR(I1066="Réussi",I1066="Exception acceptée"),"GREEN",IF(OR(I1066="Non commencé",I1066="Échec"),"RED","AMBER"))</f>
        <v/>
      </c>
      <c r="K1066" s="19" t="inlineStr"/>
      <c r="L1066" s="19" t="inlineStr"/>
      <c r="M1066" s="22" t="inlineStr"/>
    </row>
    <row r="1067" ht="18" customHeight="1">
      <c r="A1067" s="11" t="inlineStr">
        <is>
          <t>CP-9(7)</t>
        </is>
      </c>
      <c r="B1067" s="12" t="inlineStr">
        <is>
          <t>Information System Backup</t>
        </is>
      </c>
      <c r="C1067" s="12" t="inlineStr">
        <is>
          <t>Storage</t>
        </is>
      </c>
      <c r="D1067" s="11" t="inlineStr">
        <is>
          <t>CP</t>
        </is>
      </c>
      <c r="E1067" s="12" t="inlineStr">
        <is>
          <t>Storage</t>
        </is>
      </c>
      <c r="F1067" s="12" t="inlineStr">
        <is>
          <t>CP-9-7</t>
        </is>
      </c>
      <c r="G1067" s="13">
        <f>IFERROR('[Storage.xlsx]CP-9-7'!B20,"Not Started")</f>
        <v/>
      </c>
      <c r="H1067" s="14">
        <f>IF(OR(G1067="Passed",G1067="Accepted Exception"),"GREEN",IF(OR(G1067="Not Started",G1067="Failed"),"RED","AMBER"))</f>
        <v/>
      </c>
      <c r="I1067" s="15">
        <f>IFERROR('[Storage.xlsx]CP-9-7'!E20,"Non commencé")</f>
        <v/>
      </c>
      <c r="J1067" s="16">
        <f>IF(OR(I1067="Réussi",I1067="Exception acceptée"),"GREEN",IF(OR(I1067="Non commencé",I1067="Échec"),"RED","AMBER"))</f>
        <v/>
      </c>
      <c r="K1067" s="12" t="inlineStr"/>
      <c r="L1067" s="12" t="inlineStr"/>
      <c r="M1067" s="17" t="inlineStr"/>
    </row>
    <row r="1068" ht="18" customHeight="1">
      <c r="A1068" s="18" t="inlineStr">
        <is>
          <t>CP-10</t>
        </is>
      </c>
      <c r="B1068" s="19" t="inlineStr">
        <is>
          <t>Information System Recovery and Reconstitution</t>
        </is>
      </c>
      <c r="C1068" s="19" t="inlineStr">
        <is>
          <t>Storage</t>
        </is>
      </c>
      <c r="D1068" s="18" t="inlineStr">
        <is>
          <t>CP</t>
        </is>
      </c>
      <c r="E1068" s="19" t="inlineStr">
        <is>
          <t>Storage</t>
        </is>
      </c>
      <c r="F1068" s="19" t="inlineStr">
        <is>
          <t>CP-10</t>
        </is>
      </c>
      <c r="G1068" s="20">
        <f>IFERROR('[Storage.xlsx]CP-10'!B20,"Not Started")</f>
        <v/>
      </c>
      <c r="H1068" s="14">
        <f>IF(OR(G1068="Passed",G1068="Accepted Exception"),"GREEN",IF(OR(G1068="Not Started",G1068="Failed"),"RED","AMBER"))</f>
        <v/>
      </c>
      <c r="I1068" s="21">
        <f>IFERROR('[Storage.xlsx]CP-10'!E20,"Non commencé")</f>
        <v/>
      </c>
      <c r="J1068" s="16">
        <f>IF(OR(I1068="Réussi",I1068="Exception acceptée"),"GREEN",IF(OR(I1068="Non commencé",I1068="Échec"),"RED","AMBER"))</f>
        <v/>
      </c>
      <c r="K1068" s="19" t="inlineStr"/>
      <c r="L1068" s="19" t="inlineStr"/>
      <c r="M1068" s="22" t="inlineStr"/>
    </row>
    <row r="1069" ht="18" customHeight="1">
      <c r="A1069" s="11" t="inlineStr">
        <is>
          <t>CP-10(4)</t>
        </is>
      </c>
      <c r="B1069" s="12" t="inlineStr">
        <is>
          <t>Information System Recovery and Reconstitution</t>
        </is>
      </c>
      <c r="C1069" s="12" t="inlineStr">
        <is>
          <t>Storage</t>
        </is>
      </c>
      <c r="D1069" s="11" t="inlineStr">
        <is>
          <t>CP</t>
        </is>
      </c>
      <c r="E1069" s="12" t="inlineStr">
        <is>
          <t>Storage</t>
        </is>
      </c>
      <c r="F1069" s="12" t="inlineStr">
        <is>
          <t>CP-10-4</t>
        </is>
      </c>
      <c r="G1069" s="13">
        <f>IFERROR('[Storage.xlsx]CP-10-4'!B20,"Not Started")</f>
        <v/>
      </c>
      <c r="H1069" s="14">
        <f>IF(OR(G1069="Passed",G1069="Accepted Exception"),"GREEN",IF(OR(G1069="Not Started",G1069="Failed"),"RED","AMBER"))</f>
        <v/>
      </c>
      <c r="I1069" s="15">
        <f>IFERROR('[Storage.xlsx]CP-10-4'!E20,"Non commencé")</f>
        <v/>
      </c>
      <c r="J1069" s="16">
        <f>IF(OR(I1069="Réussi",I1069="Exception acceptée"),"GREEN",IF(OR(I1069="Non commencé",I1069="Échec"),"RED","AMBER"))</f>
        <v/>
      </c>
      <c r="K1069" s="12" t="inlineStr"/>
      <c r="L1069" s="12" t="inlineStr"/>
      <c r="M1069" s="17" t="inlineStr"/>
    </row>
    <row r="1070" ht="18" customHeight="1">
      <c r="A1070" s="18" t="inlineStr">
        <is>
          <t>SA-9(5)</t>
        </is>
      </c>
      <c r="B1070" s="19" t="inlineStr">
        <is>
          <t>External Information System Services</t>
        </is>
      </c>
      <c r="C1070" s="19" t="inlineStr">
        <is>
          <t>Storage</t>
        </is>
      </c>
      <c r="D1070" s="18" t="inlineStr">
        <is>
          <t>SA</t>
        </is>
      </c>
      <c r="E1070" s="19" t="inlineStr">
        <is>
          <t>Storage</t>
        </is>
      </c>
      <c r="F1070" s="19" t="inlineStr">
        <is>
          <t>SA-9-5</t>
        </is>
      </c>
      <c r="G1070" s="20">
        <f>IFERROR('[Storage.xlsx]SA-9-5'!B20,"Not Started")</f>
        <v/>
      </c>
      <c r="H1070" s="14">
        <f>IF(OR(G1070="Passed",G1070="Accepted Exception"),"GREEN",IF(OR(G1070="Not Started",G1070="Failed"),"RED","AMBER"))</f>
        <v/>
      </c>
      <c r="I1070" s="21">
        <f>IFERROR('[Storage.xlsx]SA-9-5'!E20,"Non commencé")</f>
        <v/>
      </c>
      <c r="J1070" s="16">
        <f>IF(OR(I1070="Réussi",I1070="Exception acceptée"),"GREEN",IF(OR(I1070="Non commencé",I1070="Échec"),"RED","AMBER"))</f>
        <v/>
      </c>
      <c r="K1070" s="19" t="inlineStr"/>
      <c r="L1070" s="19" t="inlineStr"/>
      <c r="M1070" s="22" t="inlineStr"/>
    </row>
    <row r="1071" ht="18" customHeight="1">
      <c r="A1071" s="11" t="inlineStr">
        <is>
          <t>SC-4</t>
        </is>
      </c>
      <c r="B1071" s="12" t="inlineStr">
        <is>
          <t>Information in Shared Resources</t>
        </is>
      </c>
      <c r="C1071" s="12" t="inlineStr">
        <is>
          <t>Storage</t>
        </is>
      </c>
      <c r="D1071" s="11" t="inlineStr">
        <is>
          <t>SC</t>
        </is>
      </c>
      <c r="E1071" s="12" t="inlineStr">
        <is>
          <t>Storage</t>
        </is>
      </c>
      <c r="F1071" s="12" t="inlineStr">
        <is>
          <t>SC-4</t>
        </is>
      </c>
      <c r="G1071" s="13">
        <f>IFERROR('[Storage.xlsx]SC-4'!B20,"Not Started")</f>
        <v/>
      </c>
      <c r="H1071" s="14">
        <f>IF(OR(G1071="Passed",G1071="Accepted Exception"),"GREEN",IF(OR(G1071="Not Started",G1071="Failed"),"RED","AMBER"))</f>
        <v/>
      </c>
      <c r="I1071" s="15">
        <f>IFERROR('[Storage.xlsx]SC-4'!E20,"Non commencé")</f>
        <v/>
      </c>
      <c r="J1071" s="16">
        <f>IF(OR(I1071="Réussi",I1071="Exception acceptée"),"GREEN",IF(OR(I1071="Non commencé",I1071="Échec"),"RED","AMBER"))</f>
        <v/>
      </c>
      <c r="K1071" s="12" t="inlineStr"/>
      <c r="L1071" s="12" t="inlineStr"/>
      <c r="M1071" s="17" t="inlineStr"/>
    </row>
    <row r="1072" ht="18" customHeight="1">
      <c r="A1072" s="18" t="inlineStr">
        <is>
          <t>SC-13</t>
        </is>
      </c>
      <c r="B1072" s="19" t="inlineStr">
        <is>
          <t>Cryptographic Protection</t>
        </is>
      </c>
      <c r="C1072" s="19" t="inlineStr">
        <is>
          <t>Storage</t>
        </is>
      </c>
      <c r="D1072" s="18" t="inlineStr">
        <is>
          <t>SC</t>
        </is>
      </c>
      <c r="E1072" s="19" t="inlineStr">
        <is>
          <t>Storage</t>
        </is>
      </c>
      <c r="F1072" s="19" t="inlineStr">
        <is>
          <t>SC-13</t>
        </is>
      </c>
      <c r="G1072" s="20">
        <f>IFERROR('[Storage.xlsx]SC-13'!B20,"Not Started")</f>
        <v/>
      </c>
      <c r="H1072" s="14">
        <f>IF(OR(G1072="Passed",G1072="Accepted Exception"),"GREEN",IF(OR(G1072="Not Started",G1072="Failed"),"RED","AMBER"))</f>
        <v/>
      </c>
      <c r="I1072" s="21">
        <f>IFERROR('[Storage.xlsx]SC-13'!E20,"Non commencé")</f>
        <v/>
      </c>
      <c r="J1072" s="16">
        <f>IF(OR(I1072="Réussi",I1072="Exception acceptée"),"GREEN",IF(OR(I1072="Non commencé",I1072="Échec"),"RED","AMBER"))</f>
        <v/>
      </c>
      <c r="K1072" s="19" t="inlineStr"/>
      <c r="L1072" s="19" t="inlineStr"/>
      <c r="M1072" s="22" t="inlineStr"/>
    </row>
    <row r="1073" ht="18" customHeight="1">
      <c r="A1073" s="11" t="inlineStr">
        <is>
          <t>SC-28</t>
        </is>
      </c>
      <c r="B1073" s="12" t="inlineStr">
        <is>
          <t>Protection of Information At Rest</t>
        </is>
      </c>
      <c r="C1073" s="12" t="inlineStr">
        <is>
          <t>Storage</t>
        </is>
      </c>
      <c r="D1073" s="11" t="inlineStr">
        <is>
          <t>SC</t>
        </is>
      </c>
      <c r="E1073" s="12" t="inlineStr">
        <is>
          <t>Storage</t>
        </is>
      </c>
      <c r="F1073" s="12" t="inlineStr">
        <is>
          <t>SC-28</t>
        </is>
      </c>
      <c r="G1073" s="13">
        <f>IFERROR('[Storage.xlsx]SC-28'!B20,"Not Started")</f>
        <v/>
      </c>
      <c r="H1073" s="14">
        <f>IF(OR(G1073="Passed",G1073="Accepted Exception"),"GREEN",IF(OR(G1073="Not Started",G1073="Failed"),"RED","AMBER"))</f>
        <v/>
      </c>
      <c r="I1073" s="15">
        <f>IFERROR('[Storage.xlsx]SC-28'!E20,"Non commencé")</f>
        <v/>
      </c>
      <c r="J1073" s="16">
        <f>IF(OR(I1073="Réussi",I1073="Exception acceptée"),"GREEN",IF(OR(I1073="Non commencé",I1073="Échec"),"RED","AMBER"))</f>
        <v/>
      </c>
      <c r="K1073" s="12" t="inlineStr"/>
      <c r="L1073" s="12" t="inlineStr"/>
      <c r="M1073" s="17" t="inlineStr"/>
    </row>
    <row r="1074" ht="18" customHeight="1">
      <c r="A1074" s="18" t="inlineStr">
        <is>
          <t>SC-28(1)</t>
        </is>
      </c>
      <c r="B1074" s="19" t="inlineStr">
        <is>
          <t>Protection of Information At Rest</t>
        </is>
      </c>
      <c r="C1074" s="19" t="inlineStr">
        <is>
          <t>Storage</t>
        </is>
      </c>
      <c r="D1074" s="18" t="inlineStr">
        <is>
          <t>SC</t>
        </is>
      </c>
      <c r="E1074" s="19" t="inlineStr">
        <is>
          <t>Storage</t>
        </is>
      </c>
      <c r="F1074" s="19" t="inlineStr">
        <is>
          <t>SC-28-1</t>
        </is>
      </c>
      <c r="G1074" s="20">
        <f>IFERROR('[Storage.xlsx]SC-28-1'!B20,"Not Started")</f>
        <v/>
      </c>
      <c r="H1074" s="14">
        <f>IF(OR(G1074="Passed",G1074="Accepted Exception"),"GREEN",IF(OR(G1074="Not Started",G1074="Failed"),"RED","AMBER"))</f>
        <v/>
      </c>
      <c r="I1074" s="21">
        <f>IFERROR('[Storage.xlsx]SC-28-1'!E20,"Non commencé")</f>
        <v/>
      </c>
      <c r="J1074" s="16">
        <f>IF(OR(I1074="Réussi",I1074="Exception acceptée"),"GREEN",IF(OR(I1074="Non commencé",I1074="Échec"),"RED","AMBER"))</f>
        <v/>
      </c>
      <c r="K1074" s="19" t="inlineStr"/>
      <c r="L1074" s="19" t="inlineStr"/>
      <c r="M1074" s="22" t="inlineStr"/>
    </row>
    <row r="1075" ht="18" customHeight="1">
      <c r="A1075" s="11" t="inlineStr">
        <is>
          <t>SI-4(2)</t>
        </is>
      </c>
      <c r="B1075" s="12" t="inlineStr">
        <is>
          <t>Information System Monitoring</t>
        </is>
      </c>
      <c r="C1075" s="12" t="inlineStr">
        <is>
          <t>Storage</t>
        </is>
      </c>
      <c r="D1075" s="11" t="inlineStr">
        <is>
          <t>SI</t>
        </is>
      </c>
      <c r="E1075" s="12" t="inlineStr">
        <is>
          <t>Storage</t>
        </is>
      </c>
      <c r="F1075" s="12" t="inlineStr">
        <is>
          <t>SI-4-2</t>
        </is>
      </c>
      <c r="G1075" s="13">
        <f>IFERROR('[Storage.xlsx]SI-4-2'!B20,"Not Started")</f>
        <v/>
      </c>
      <c r="H1075" s="14">
        <f>IF(OR(G1075="Passed",G1075="Accepted Exception"),"GREEN",IF(OR(G1075="Not Started",G1075="Failed"),"RED","AMBER"))</f>
        <v/>
      </c>
      <c r="I1075" s="15">
        <f>IFERROR('[Storage.xlsx]SI-4-2'!E20,"Non commencé")</f>
        <v/>
      </c>
      <c r="J1075" s="16">
        <f>IF(OR(I1075="Réussi",I1075="Exception acceptée"),"GREEN",IF(OR(I1075="Non commencé",I1075="Échec"),"RED","AMBER"))</f>
        <v/>
      </c>
      <c r="K1075" s="12" t="inlineStr"/>
      <c r="L1075" s="12" t="inlineStr"/>
      <c r="M1075" s="17" t="inlineStr"/>
    </row>
    <row r="1076" ht="18" customHeight="1">
      <c r="A1076" s="18" t="inlineStr">
        <is>
          <t>SI-6</t>
        </is>
      </c>
      <c r="B1076" s="19" t="inlineStr">
        <is>
          <t>Security Functional Verification</t>
        </is>
      </c>
      <c r="C1076" s="19" t="inlineStr">
        <is>
          <t>Storage</t>
        </is>
      </c>
      <c r="D1076" s="18" t="inlineStr">
        <is>
          <t>SI</t>
        </is>
      </c>
      <c r="E1076" s="19" t="inlineStr">
        <is>
          <t>Storage</t>
        </is>
      </c>
      <c r="F1076" s="19" t="inlineStr">
        <is>
          <t>SI-6</t>
        </is>
      </c>
      <c r="G1076" s="20">
        <f>IFERROR('[Storage.xlsx]SI-6'!B20,"Not Started")</f>
        <v/>
      </c>
      <c r="H1076" s="14">
        <f>IF(OR(G1076="Passed",G1076="Accepted Exception"),"GREEN",IF(OR(G1076="Not Started",G1076="Failed"),"RED","AMBER"))</f>
        <v/>
      </c>
      <c r="I1076" s="21">
        <f>IFERROR('[Storage.xlsx]SI-6'!E20,"Non commencé")</f>
        <v/>
      </c>
      <c r="J1076" s="16">
        <f>IF(OR(I1076="Réussi",I1076="Exception acceptée"),"GREEN",IF(OR(I1076="Non commencé",I1076="Échec"),"RED","AMBER"))</f>
        <v/>
      </c>
      <c r="K1076" s="19" t="inlineStr"/>
      <c r="L1076" s="19" t="inlineStr"/>
      <c r="M1076" s="22" t="inlineStr"/>
    </row>
    <row r="1077" ht="18" customHeight="1">
      <c r="A1077" s="11" t="inlineStr">
        <is>
          <t>AC-2(2)</t>
        </is>
      </c>
      <c r="B1077" s="12" t="inlineStr">
        <is>
          <t>Account Management</t>
        </is>
      </c>
      <c r="C1077" s="12" t="inlineStr">
        <is>
          <t>Tenable Nessus</t>
        </is>
      </c>
      <c r="D1077" s="11" t="inlineStr">
        <is>
          <t>AC</t>
        </is>
      </c>
      <c r="E1077" s="12" t="inlineStr">
        <is>
          <t>Tenable Nessus</t>
        </is>
      </c>
      <c r="F1077" s="12" t="inlineStr">
        <is>
          <t>AC-2-2</t>
        </is>
      </c>
      <c r="G1077" s="13">
        <f>IFERROR('[Tenable_Nessus.xlsx]AC-2-2'!B20,"Not Started")</f>
        <v/>
      </c>
      <c r="H1077" s="14">
        <f>IF(OR(G1077="Passed",G1077="Accepted Exception"),"GREEN",IF(OR(G1077="Not Started",G1077="Failed"),"RED","AMBER"))</f>
        <v/>
      </c>
      <c r="I1077" s="15">
        <f>IFERROR('[Tenable_Nessus.xlsx]AC-2-2'!E20,"Non commencé")</f>
        <v/>
      </c>
      <c r="J1077" s="16">
        <f>IF(OR(I1077="Réussi",I1077="Exception acceptée"),"GREEN",IF(OR(I1077="Non commencé",I1077="Échec"),"RED","AMBER"))</f>
        <v/>
      </c>
      <c r="K1077" s="12" t="inlineStr"/>
      <c r="L1077" s="12" t="inlineStr"/>
      <c r="M1077" s="17" t="inlineStr"/>
    </row>
    <row r="1078" ht="18" customHeight="1">
      <c r="A1078" s="18" t="inlineStr">
        <is>
          <t>AC-2(3)</t>
        </is>
      </c>
      <c r="B1078" s="19" t="inlineStr">
        <is>
          <t>Account Management</t>
        </is>
      </c>
      <c r="C1078" s="19" t="inlineStr">
        <is>
          <t>Tenable Nessus</t>
        </is>
      </c>
      <c r="D1078" s="18" t="inlineStr">
        <is>
          <t>AC</t>
        </is>
      </c>
      <c r="E1078" s="19" t="inlineStr">
        <is>
          <t>Tenable Nessus</t>
        </is>
      </c>
      <c r="F1078" s="19" t="inlineStr">
        <is>
          <t>AC-2-3</t>
        </is>
      </c>
      <c r="G1078" s="20">
        <f>IFERROR('[Tenable_Nessus.xlsx]AC-2-3'!B20,"Not Started")</f>
        <v/>
      </c>
      <c r="H1078" s="14">
        <f>IF(OR(G1078="Passed",G1078="Accepted Exception"),"GREEN",IF(OR(G1078="Not Started",G1078="Failed"),"RED","AMBER"))</f>
        <v/>
      </c>
      <c r="I1078" s="21">
        <f>IFERROR('[Tenable_Nessus.xlsx]AC-2-3'!E20,"Non commencé")</f>
        <v/>
      </c>
      <c r="J1078" s="16">
        <f>IF(OR(I1078="Réussi",I1078="Exception acceptée"),"GREEN",IF(OR(I1078="Non commencé",I1078="Échec"),"RED","AMBER"))</f>
        <v/>
      </c>
      <c r="K1078" s="19" t="inlineStr"/>
      <c r="L1078" s="19" t="inlineStr"/>
      <c r="M1078" s="22" t="inlineStr"/>
    </row>
    <row r="1079" ht="18" customHeight="1">
      <c r="A1079" s="11" t="inlineStr">
        <is>
          <t>AC-2(4)</t>
        </is>
      </c>
      <c r="B1079" s="12" t="inlineStr">
        <is>
          <t>Account Management</t>
        </is>
      </c>
      <c r="C1079" s="12" t="inlineStr">
        <is>
          <t>Tenable Nessus</t>
        </is>
      </c>
      <c r="D1079" s="11" t="inlineStr">
        <is>
          <t>AC</t>
        </is>
      </c>
      <c r="E1079" s="12" t="inlineStr">
        <is>
          <t>Tenable Nessus</t>
        </is>
      </c>
      <c r="F1079" s="12" t="inlineStr">
        <is>
          <t>AC-2-4</t>
        </is>
      </c>
      <c r="G1079" s="13">
        <f>IFERROR('[Tenable_Nessus.xlsx]AC-2-4'!B20,"Not Started")</f>
        <v/>
      </c>
      <c r="H1079" s="14">
        <f>IF(OR(G1079="Passed",G1079="Accepted Exception"),"GREEN",IF(OR(G1079="Not Started",G1079="Failed"),"RED","AMBER"))</f>
        <v/>
      </c>
      <c r="I1079" s="15">
        <f>IFERROR('[Tenable_Nessus.xlsx]AC-2-4'!E20,"Non commencé")</f>
        <v/>
      </c>
      <c r="J1079" s="16">
        <f>IF(OR(I1079="Réussi",I1079="Exception acceptée"),"GREEN",IF(OR(I1079="Non commencé",I1079="Échec"),"RED","AMBER"))</f>
        <v/>
      </c>
      <c r="K1079" s="12" t="inlineStr"/>
      <c r="L1079" s="12" t="inlineStr"/>
      <c r="M1079" s="17" t="inlineStr"/>
    </row>
    <row r="1080" ht="18" customHeight="1">
      <c r="A1080" s="18" t="inlineStr">
        <is>
          <t>AU-2</t>
        </is>
      </c>
      <c r="B1080" s="19" t="inlineStr">
        <is>
          <t>Auditable Events</t>
        </is>
      </c>
      <c r="C1080" s="19" t="inlineStr">
        <is>
          <t>Tenable Nessus</t>
        </is>
      </c>
      <c r="D1080" s="18" t="inlineStr">
        <is>
          <t>AU</t>
        </is>
      </c>
      <c r="E1080" s="19" t="inlineStr">
        <is>
          <t>Tenable Nessus</t>
        </is>
      </c>
      <c r="F1080" s="19" t="inlineStr">
        <is>
          <t>AU-2</t>
        </is>
      </c>
      <c r="G1080" s="20">
        <f>IFERROR('[Tenable_Nessus.xlsx]AU-2'!B20,"Not Started")</f>
        <v/>
      </c>
      <c r="H1080" s="14">
        <f>IF(OR(G1080="Passed",G1080="Accepted Exception"),"GREEN",IF(OR(G1080="Not Started",G1080="Failed"),"RED","AMBER"))</f>
        <v/>
      </c>
      <c r="I1080" s="21">
        <f>IFERROR('[Tenable_Nessus.xlsx]AU-2'!E20,"Non commencé")</f>
        <v/>
      </c>
      <c r="J1080" s="16">
        <f>IF(OR(I1080="Réussi",I1080="Exception acceptée"),"GREEN",IF(OR(I1080="Non commencé",I1080="Échec"),"RED","AMBER"))</f>
        <v/>
      </c>
      <c r="K1080" s="19" t="inlineStr"/>
      <c r="L1080" s="19" t="inlineStr"/>
      <c r="M1080" s="22" t="inlineStr"/>
    </row>
    <row r="1081" ht="18" customHeight="1">
      <c r="A1081" s="11" t="inlineStr">
        <is>
          <t>AU-3</t>
        </is>
      </c>
      <c r="B1081" s="12" t="inlineStr">
        <is>
          <t>Content of Audit Records</t>
        </is>
      </c>
      <c r="C1081" s="12" t="inlineStr">
        <is>
          <t>Tenable Nessus</t>
        </is>
      </c>
      <c r="D1081" s="11" t="inlineStr">
        <is>
          <t>AU</t>
        </is>
      </c>
      <c r="E1081" s="12" t="inlineStr">
        <is>
          <t>Tenable Nessus</t>
        </is>
      </c>
      <c r="F1081" s="12" t="inlineStr">
        <is>
          <t>AU-3</t>
        </is>
      </c>
      <c r="G1081" s="13">
        <f>IFERROR('[Tenable_Nessus.xlsx]AU-3'!B20,"Not Started")</f>
        <v/>
      </c>
      <c r="H1081" s="14">
        <f>IF(OR(G1081="Passed",G1081="Accepted Exception"),"GREEN",IF(OR(G1081="Not Started",G1081="Failed"),"RED","AMBER"))</f>
        <v/>
      </c>
      <c r="I1081" s="15">
        <f>IFERROR('[Tenable_Nessus.xlsx]AU-3'!E20,"Non commencé")</f>
        <v/>
      </c>
      <c r="J1081" s="16">
        <f>IF(OR(I1081="Réussi",I1081="Exception acceptée"),"GREEN",IF(OR(I1081="Non commencé",I1081="Échec"),"RED","AMBER"))</f>
        <v/>
      </c>
      <c r="K1081" s="12" t="inlineStr"/>
      <c r="L1081" s="12" t="inlineStr"/>
      <c r="M1081" s="17" t="inlineStr"/>
    </row>
    <row r="1082" ht="18" customHeight="1">
      <c r="A1082" s="18" t="inlineStr">
        <is>
          <t>AU-3(1)</t>
        </is>
      </c>
      <c r="B1082" s="19" t="inlineStr">
        <is>
          <t>Content of Audit Records</t>
        </is>
      </c>
      <c r="C1082" s="19" t="inlineStr">
        <is>
          <t>Tenable Nessus</t>
        </is>
      </c>
      <c r="D1082" s="18" t="inlineStr">
        <is>
          <t>AU</t>
        </is>
      </c>
      <c r="E1082" s="19" t="inlineStr">
        <is>
          <t>Tenable Nessus</t>
        </is>
      </c>
      <c r="F1082" s="19" t="inlineStr">
        <is>
          <t>AU-3-1</t>
        </is>
      </c>
      <c r="G1082" s="20">
        <f>IFERROR('[Tenable_Nessus.xlsx]AU-3-1'!B20,"Not Started")</f>
        <v/>
      </c>
      <c r="H1082" s="14">
        <f>IF(OR(G1082="Passed",G1082="Accepted Exception"),"GREEN",IF(OR(G1082="Not Started",G1082="Failed"),"RED","AMBER"))</f>
        <v/>
      </c>
      <c r="I1082" s="21">
        <f>IFERROR('[Tenable_Nessus.xlsx]AU-3-1'!E20,"Non commencé")</f>
        <v/>
      </c>
      <c r="J1082" s="16">
        <f>IF(OR(I1082="Réussi",I1082="Exception acceptée"),"GREEN",IF(OR(I1082="Non commencé",I1082="Échec"),"RED","AMBER"))</f>
        <v/>
      </c>
      <c r="K1082" s="19" t="inlineStr"/>
      <c r="L1082" s="19" t="inlineStr"/>
      <c r="M1082" s="22" t="inlineStr"/>
    </row>
    <row r="1083" ht="18" customHeight="1">
      <c r="A1083" s="11" t="inlineStr">
        <is>
          <t>AU-8</t>
        </is>
      </c>
      <c r="B1083" s="12" t="inlineStr">
        <is>
          <t>Time Stamps</t>
        </is>
      </c>
      <c r="C1083" s="12" t="inlineStr">
        <is>
          <t>Tenable Nessus</t>
        </is>
      </c>
      <c r="D1083" s="11" t="inlineStr">
        <is>
          <t>AU</t>
        </is>
      </c>
      <c r="E1083" s="12" t="inlineStr">
        <is>
          <t>Tenable Nessus</t>
        </is>
      </c>
      <c r="F1083" s="12" t="inlineStr">
        <is>
          <t>AU-8</t>
        </is>
      </c>
      <c r="G1083" s="13">
        <f>IFERROR('[Tenable_Nessus.xlsx]AU-8'!B20,"Not Started")</f>
        <v/>
      </c>
      <c r="H1083" s="14">
        <f>IF(OR(G1083="Passed",G1083="Accepted Exception"),"GREEN",IF(OR(G1083="Not Started",G1083="Failed"),"RED","AMBER"))</f>
        <v/>
      </c>
      <c r="I1083" s="15">
        <f>IFERROR('[Tenable_Nessus.xlsx]AU-8'!E20,"Non commencé")</f>
        <v/>
      </c>
      <c r="J1083" s="16">
        <f>IF(OR(I1083="Réussi",I1083="Exception acceptée"),"GREEN",IF(OR(I1083="Non commencé",I1083="Échec"),"RED","AMBER"))</f>
        <v/>
      </c>
      <c r="K1083" s="12" t="inlineStr"/>
      <c r="L1083" s="12" t="inlineStr"/>
      <c r="M1083" s="17" t="inlineStr"/>
    </row>
    <row r="1084" ht="18" customHeight="1">
      <c r="A1084" s="18" t="inlineStr">
        <is>
          <t>AU-8(1)</t>
        </is>
      </c>
      <c r="B1084" s="19" t="inlineStr">
        <is>
          <t>Time Stamps</t>
        </is>
      </c>
      <c r="C1084" s="19" t="inlineStr">
        <is>
          <t>Tenable Nessus</t>
        </is>
      </c>
      <c r="D1084" s="18" t="inlineStr">
        <is>
          <t>AU</t>
        </is>
      </c>
      <c r="E1084" s="19" t="inlineStr">
        <is>
          <t>Tenable Nessus</t>
        </is>
      </c>
      <c r="F1084" s="19" t="inlineStr">
        <is>
          <t>AU-8-1</t>
        </is>
      </c>
      <c r="G1084" s="20">
        <f>IFERROR('[Tenable_Nessus.xlsx]AU-8-1'!B20,"Not Started")</f>
        <v/>
      </c>
      <c r="H1084" s="14">
        <f>IF(OR(G1084="Passed",G1084="Accepted Exception"),"GREEN",IF(OR(G1084="Not Started",G1084="Failed"),"RED","AMBER"))</f>
        <v/>
      </c>
      <c r="I1084" s="21">
        <f>IFERROR('[Tenable_Nessus.xlsx]AU-8-1'!E20,"Non commencé")</f>
        <v/>
      </c>
      <c r="J1084" s="16">
        <f>IF(OR(I1084="Réussi",I1084="Exception acceptée"),"GREEN",IF(OR(I1084="Non commencé",I1084="Échec"),"RED","AMBER"))</f>
        <v/>
      </c>
      <c r="K1084" s="19" t="inlineStr"/>
      <c r="L1084" s="19" t="inlineStr"/>
      <c r="M1084" s="22" t="inlineStr"/>
    </row>
    <row r="1085" ht="18" customHeight="1">
      <c r="A1085" s="11" t="inlineStr">
        <is>
          <t>AU-12</t>
        </is>
      </c>
      <c r="B1085" s="12" t="inlineStr">
        <is>
          <t>Audit Generation</t>
        </is>
      </c>
      <c r="C1085" s="12" t="inlineStr">
        <is>
          <t>Tenable Nessus</t>
        </is>
      </c>
      <c r="D1085" s="11" t="inlineStr">
        <is>
          <t>AU</t>
        </is>
      </c>
      <c r="E1085" s="12" t="inlineStr">
        <is>
          <t>Tenable Nessus</t>
        </is>
      </c>
      <c r="F1085" s="12" t="inlineStr">
        <is>
          <t>AU-12</t>
        </is>
      </c>
      <c r="G1085" s="13">
        <f>IFERROR('[Tenable_Nessus.xlsx]AU-12'!B20,"Not Started")</f>
        <v/>
      </c>
      <c r="H1085" s="14">
        <f>IF(OR(G1085="Passed",G1085="Accepted Exception"),"GREEN",IF(OR(G1085="Not Started",G1085="Failed"),"RED","AMBER"))</f>
        <v/>
      </c>
      <c r="I1085" s="15">
        <f>IFERROR('[Tenable_Nessus.xlsx]AU-12'!E20,"Non commencé")</f>
        <v/>
      </c>
      <c r="J1085" s="16">
        <f>IF(OR(I1085="Réussi",I1085="Exception acceptée"),"GREEN",IF(OR(I1085="Non commencé",I1085="Échec"),"RED","AMBER"))</f>
        <v/>
      </c>
      <c r="K1085" s="12" t="inlineStr"/>
      <c r="L1085" s="12" t="inlineStr"/>
      <c r="M1085" s="17" t="inlineStr"/>
    </row>
    <row r="1086" ht="18" customHeight="1">
      <c r="A1086" s="18" t="inlineStr">
        <is>
          <t>CA-2(2)</t>
        </is>
      </c>
      <c r="B1086" s="19" t="inlineStr">
        <is>
          <t>Security Assessments</t>
        </is>
      </c>
      <c r="C1086" s="19" t="inlineStr">
        <is>
          <t>Tenable Nessus</t>
        </is>
      </c>
      <c r="D1086" s="18" t="inlineStr">
        <is>
          <t>CA</t>
        </is>
      </c>
      <c r="E1086" s="19" t="inlineStr">
        <is>
          <t>Tenable Nessus</t>
        </is>
      </c>
      <c r="F1086" s="19" t="inlineStr">
        <is>
          <t>CA-2-2</t>
        </is>
      </c>
      <c r="G1086" s="20">
        <f>IFERROR('[Tenable_Nessus.xlsx]CA-2-2'!B20,"Not Started")</f>
        <v/>
      </c>
      <c r="H1086" s="14">
        <f>IF(OR(G1086="Passed",G1086="Accepted Exception"),"GREEN",IF(OR(G1086="Not Started",G1086="Failed"),"RED","AMBER"))</f>
        <v/>
      </c>
      <c r="I1086" s="21">
        <f>IFERROR('[Tenable_Nessus.xlsx]CA-2-2'!E20,"Non commencé")</f>
        <v/>
      </c>
      <c r="J1086" s="16">
        <f>IF(OR(I1086="Réussi",I1086="Exception acceptée"),"GREEN",IF(OR(I1086="Non commencé",I1086="Échec"),"RED","AMBER"))</f>
        <v/>
      </c>
      <c r="K1086" s="19" t="inlineStr"/>
      <c r="L1086" s="19" t="inlineStr"/>
      <c r="M1086" s="22" t="inlineStr"/>
    </row>
    <row r="1087" ht="18" customHeight="1">
      <c r="A1087" s="11" t="inlineStr">
        <is>
          <t>CA-9</t>
        </is>
      </c>
      <c r="B1087" s="12" t="inlineStr">
        <is>
          <t>Internal System Connections</t>
        </is>
      </c>
      <c r="C1087" s="12" t="inlineStr">
        <is>
          <t>Tenable Nessus</t>
        </is>
      </c>
      <c r="D1087" s="11" t="inlineStr">
        <is>
          <t>CA</t>
        </is>
      </c>
      <c r="E1087" s="12" t="inlineStr">
        <is>
          <t>Tenable Nessus</t>
        </is>
      </c>
      <c r="F1087" s="12" t="inlineStr">
        <is>
          <t>CA-9</t>
        </is>
      </c>
      <c r="G1087" s="13">
        <f>IFERROR('[Tenable_Nessus.xlsx]CA-9'!B20,"Not Started")</f>
        <v/>
      </c>
      <c r="H1087" s="14">
        <f>IF(OR(G1087="Passed",G1087="Accepted Exception"),"GREEN",IF(OR(G1087="Not Started",G1087="Failed"),"RED","AMBER"))</f>
        <v/>
      </c>
      <c r="I1087" s="15">
        <f>IFERROR('[Tenable_Nessus.xlsx]CA-9'!E20,"Non commencé")</f>
        <v/>
      </c>
      <c r="J1087" s="16">
        <f>IF(OR(I1087="Réussi",I1087="Exception acceptée"),"GREEN",IF(OR(I1087="Non commencé",I1087="Échec"),"RED","AMBER"))</f>
        <v/>
      </c>
      <c r="K1087" s="12" t="inlineStr"/>
      <c r="L1087" s="12" t="inlineStr"/>
      <c r="M1087" s="17" t="inlineStr"/>
    </row>
    <row r="1088" ht="18" customHeight="1">
      <c r="A1088" s="18" t="inlineStr">
        <is>
          <t>CM-2</t>
        </is>
      </c>
      <c r="B1088" s="19" t="inlineStr">
        <is>
          <t>Baseline Configuration</t>
        </is>
      </c>
      <c r="C1088" s="19" t="inlineStr">
        <is>
          <t>Tenable Nessus</t>
        </is>
      </c>
      <c r="D1088" s="18" t="inlineStr">
        <is>
          <t>CM</t>
        </is>
      </c>
      <c r="E1088" s="19" t="inlineStr">
        <is>
          <t>Tenable Nessus</t>
        </is>
      </c>
      <c r="F1088" s="19" t="inlineStr">
        <is>
          <t>CM-2</t>
        </is>
      </c>
      <c r="G1088" s="20">
        <f>IFERROR('[Tenable_Nessus.xlsx]CM-2'!B20,"Not Started")</f>
        <v/>
      </c>
      <c r="H1088" s="14">
        <f>IF(OR(G1088="Passed",G1088="Accepted Exception"),"GREEN",IF(OR(G1088="Not Started",G1088="Failed"),"RED","AMBER"))</f>
        <v/>
      </c>
      <c r="I1088" s="21">
        <f>IFERROR('[Tenable_Nessus.xlsx]CM-2'!E20,"Non commencé")</f>
        <v/>
      </c>
      <c r="J1088" s="16">
        <f>IF(OR(I1088="Réussi",I1088="Exception acceptée"),"GREEN",IF(OR(I1088="Non commencé",I1088="Échec"),"RED","AMBER"))</f>
        <v/>
      </c>
      <c r="K1088" s="19" t="inlineStr"/>
      <c r="L1088" s="19" t="inlineStr"/>
      <c r="M1088" s="22" t="inlineStr"/>
    </row>
    <row r="1089" ht="18" customHeight="1">
      <c r="A1089" s="11" t="inlineStr">
        <is>
          <t>CM-2(1)</t>
        </is>
      </c>
      <c r="B1089" s="12" t="inlineStr">
        <is>
          <t>Baseline Configuration</t>
        </is>
      </c>
      <c r="C1089" s="12" t="inlineStr">
        <is>
          <t>Tenable Nessus</t>
        </is>
      </c>
      <c r="D1089" s="11" t="inlineStr">
        <is>
          <t>CM</t>
        </is>
      </c>
      <c r="E1089" s="12" t="inlineStr">
        <is>
          <t>Tenable Nessus</t>
        </is>
      </c>
      <c r="F1089" s="12" t="inlineStr">
        <is>
          <t>CM-2-1</t>
        </is>
      </c>
      <c r="G1089" s="13">
        <f>IFERROR('[Tenable_Nessus.xlsx]CM-2-1'!B20,"Not Started")</f>
        <v/>
      </c>
      <c r="H1089" s="14">
        <f>IF(OR(G1089="Passed",G1089="Accepted Exception"),"GREEN",IF(OR(G1089="Not Started",G1089="Failed"),"RED","AMBER"))</f>
        <v/>
      </c>
      <c r="I1089" s="15">
        <f>IFERROR('[Tenable_Nessus.xlsx]CM-2-1'!E20,"Non commencé")</f>
        <v/>
      </c>
      <c r="J1089" s="16">
        <f>IF(OR(I1089="Réussi",I1089="Exception acceptée"),"GREEN",IF(OR(I1089="Non commencé",I1089="Échec"),"RED","AMBER"))</f>
        <v/>
      </c>
      <c r="K1089" s="12" t="inlineStr"/>
      <c r="L1089" s="12" t="inlineStr"/>
      <c r="M1089" s="17" t="inlineStr"/>
    </row>
    <row r="1090" ht="18" customHeight="1">
      <c r="A1090" s="18" t="inlineStr">
        <is>
          <t>CM-6</t>
        </is>
      </c>
      <c r="B1090" s="19" t="inlineStr">
        <is>
          <t>Configuration Settings</t>
        </is>
      </c>
      <c r="C1090" s="19" t="inlineStr">
        <is>
          <t>Tenable Nessus</t>
        </is>
      </c>
      <c r="D1090" s="18" t="inlineStr">
        <is>
          <t>CM</t>
        </is>
      </c>
      <c r="E1090" s="19" t="inlineStr">
        <is>
          <t>Tenable Nessus</t>
        </is>
      </c>
      <c r="F1090" s="19" t="inlineStr">
        <is>
          <t>CM-6</t>
        </is>
      </c>
      <c r="G1090" s="20">
        <f>IFERROR('[Tenable_Nessus.xlsx]CM-6'!B20,"Not Started")</f>
        <v/>
      </c>
      <c r="H1090" s="14">
        <f>IF(OR(G1090="Passed",G1090="Accepted Exception"),"GREEN",IF(OR(G1090="Not Started",G1090="Failed"),"RED","AMBER"))</f>
        <v/>
      </c>
      <c r="I1090" s="21">
        <f>IFERROR('[Tenable_Nessus.xlsx]CM-6'!E20,"Non commencé")</f>
        <v/>
      </c>
      <c r="J1090" s="16">
        <f>IF(OR(I1090="Réussi",I1090="Exception acceptée"),"GREEN",IF(OR(I1090="Non commencé",I1090="Échec"),"RED","AMBER"))</f>
        <v/>
      </c>
      <c r="K1090" s="19" t="inlineStr"/>
      <c r="L1090" s="19" t="inlineStr"/>
      <c r="M1090" s="22" t="inlineStr"/>
    </row>
    <row r="1091" ht="18" customHeight="1">
      <c r="A1091" s="11" t="inlineStr">
        <is>
          <t>CM-7</t>
        </is>
      </c>
      <c r="B1091" s="12" t="inlineStr">
        <is>
          <t>Least Functionality</t>
        </is>
      </c>
      <c r="C1091" s="12" t="inlineStr">
        <is>
          <t>Tenable Nessus</t>
        </is>
      </c>
      <c r="D1091" s="11" t="inlineStr">
        <is>
          <t>CM</t>
        </is>
      </c>
      <c r="E1091" s="12" t="inlineStr">
        <is>
          <t>Tenable Nessus</t>
        </is>
      </c>
      <c r="F1091" s="12" t="inlineStr">
        <is>
          <t>CM-7</t>
        </is>
      </c>
      <c r="G1091" s="13">
        <f>IFERROR('[Tenable_Nessus.xlsx]CM-7'!B20,"Not Started")</f>
        <v/>
      </c>
      <c r="H1091" s="14">
        <f>IF(OR(G1091="Passed",G1091="Accepted Exception"),"GREEN",IF(OR(G1091="Not Started",G1091="Failed"),"RED","AMBER"))</f>
        <v/>
      </c>
      <c r="I1091" s="15">
        <f>IFERROR('[Tenable_Nessus.xlsx]CM-7'!E20,"Non commencé")</f>
        <v/>
      </c>
      <c r="J1091" s="16">
        <f>IF(OR(I1091="Réussi",I1091="Exception acceptée"),"GREEN",IF(OR(I1091="Non commencé",I1091="Échec"),"RED","AMBER"))</f>
        <v/>
      </c>
      <c r="K1091" s="12" t="inlineStr"/>
      <c r="L1091" s="12" t="inlineStr"/>
      <c r="M1091" s="17" t="inlineStr"/>
    </row>
    <row r="1092" ht="18" customHeight="1">
      <c r="A1092" s="18" t="inlineStr">
        <is>
          <t>CM-7(1)</t>
        </is>
      </c>
      <c r="B1092" s="19" t="inlineStr">
        <is>
          <t>Least Functionality</t>
        </is>
      </c>
      <c r="C1092" s="19" t="inlineStr">
        <is>
          <t>Tenable Nessus</t>
        </is>
      </c>
      <c r="D1092" s="18" t="inlineStr">
        <is>
          <t>CM</t>
        </is>
      </c>
      <c r="E1092" s="19" t="inlineStr">
        <is>
          <t>Tenable Nessus</t>
        </is>
      </c>
      <c r="F1092" s="19" t="inlineStr">
        <is>
          <t>CM-7-1</t>
        </is>
      </c>
      <c r="G1092" s="20">
        <f>IFERROR('[Tenable_Nessus.xlsx]CM-7-1'!B20,"Not Started")</f>
        <v/>
      </c>
      <c r="H1092" s="14">
        <f>IF(OR(G1092="Passed",G1092="Accepted Exception"),"GREEN",IF(OR(G1092="Not Started",G1092="Failed"),"RED","AMBER"))</f>
        <v/>
      </c>
      <c r="I1092" s="21">
        <f>IFERROR('[Tenable_Nessus.xlsx]CM-7-1'!E20,"Non commencé")</f>
        <v/>
      </c>
      <c r="J1092" s="16">
        <f>IF(OR(I1092="Réussi",I1092="Exception acceptée"),"GREEN",IF(OR(I1092="Non commencé",I1092="Échec"),"RED","AMBER"))</f>
        <v/>
      </c>
      <c r="K1092" s="19" t="inlineStr"/>
      <c r="L1092" s="19" t="inlineStr"/>
      <c r="M1092" s="22" t="inlineStr"/>
    </row>
    <row r="1093" ht="18" customHeight="1">
      <c r="A1093" s="11" t="inlineStr">
        <is>
          <t>CP-7</t>
        </is>
      </c>
      <c r="B1093" s="12" t="inlineStr">
        <is>
          <t>Alternate Processing Site</t>
        </is>
      </c>
      <c r="C1093" s="12" t="inlineStr">
        <is>
          <t>Tenable Nessus</t>
        </is>
      </c>
      <c r="D1093" s="11" t="inlineStr">
        <is>
          <t>CP</t>
        </is>
      </c>
      <c r="E1093" s="12" t="inlineStr">
        <is>
          <t>Tenable Nessus</t>
        </is>
      </c>
      <c r="F1093" s="12" t="inlineStr">
        <is>
          <t>CP-7</t>
        </is>
      </c>
      <c r="G1093" s="13">
        <f>IFERROR('[Tenable_Nessus.xlsx]CP-7'!B20,"Not Started")</f>
        <v/>
      </c>
      <c r="H1093" s="14">
        <f>IF(OR(G1093="Passed",G1093="Accepted Exception"),"GREEN",IF(OR(G1093="Not Started",G1093="Failed"),"RED","AMBER"))</f>
        <v/>
      </c>
      <c r="I1093" s="15">
        <f>IFERROR('[Tenable_Nessus.xlsx]CP-7'!E20,"Non commencé")</f>
        <v/>
      </c>
      <c r="J1093" s="16">
        <f>IF(OR(I1093="Réussi",I1093="Exception acceptée"),"GREEN",IF(OR(I1093="Non commencé",I1093="Échec"),"RED","AMBER"))</f>
        <v/>
      </c>
      <c r="K1093" s="12" t="inlineStr"/>
      <c r="L1093" s="12" t="inlineStr"/>
      <c r="M1093" s="17" t="inlineStr"/>
    </row>
    <row r="1094" ht="18" customHeight="1">
      <c r="A1094" s="18" t="inlineStr">
        <is>
          <t>CP-7(1)</t>
        </is>
      </c>
      <c r="B1094" s="19" t="inlineStr">
        <is>
          <t>Alternate Processing Site</t>
        </is>
      </c>
      <c r="C1094" s="19" t="inlineStr">
        <is>
          <t>Tenable Nessus</t>
        </is>
      </c>
      <c r="D1094" s="18" t="inlineStr">
        <is>
          <t>CP</t>
        </is>
      </c>
      <c r="E1094" s="19" t="inlineStr">
        <is>
          <t>Tenable Nessus</t>
        </is>
      </c>
      <c r="F1094" s="19" t="inlineStr">
        <is>
          <t>CP-7-1</t>
        </is>
      </c>
      <c r="G1094" s="20">
        <f>IFERROR('[Tenable_Nessus.xlsx]CP-7-1'!B20,"Not Started")</f>
        <v/>
      </c>
      <c r="H1094" s="14">
        <f>IF(OR(G1094="Passed",G1094="Accepted Exception"),"GREEN",IF(OR(G1094="Not Started",G1094="Failed"),"RED","AMBER"))</f>
        <v/>
      </c>
      <c r="I1094" s="21">
        <f>IFERROR('[Tenable_Nessus.xlsx]CP-7-1'!E20,"Non commencé")</f>
        <v/>
      </c>
      <c r="J1094" s="16">
        <f>IF(OR(I1094="Réussi",I1094="Exception acceptée"),"GREEN",IF(OR(I1094="Non commencé",I1094="Échec"),"RED","AMBER"))</f>
        <v/>
      </c>
      <c r="K1094" s="19" t="inlineStr"/>
      <c r="L1094" s="19" t="inlineStr"/>
      <c r="M1094" s="22" t="inlineStr"/>
    </row>
    <row r="1095" ht="18" customHeight="1">
      <c r="A1095" s="11" t="inlineStr">
        <is>
          <t>CP-7(4)</t>
        </is>
      </c>
      <c r="B1095" s="12" t="inlineStr">
        <is>
          <t>Alternate Processing Site</t>
        </is>
      </c>
      <c r="C1095" s="12" t="inlineStr">
        <is>
          <t>Tenable Nessus</t>
        </is>
      </c>
      <c r="D1095" s="11" t="inlineStr">
        <is>
          <t>CP</t>
        </is>
      </c>
      <c r="E1095" s="12" t="inlineStr">
        <is>
          <t>Tenable Nessus</t>
        </is>
      </c>
      <c r="F1095" s="12" t="inlineStr">
        <is>
          <t>CP-7-4</t>
        </is>
      </c>
      <c r="G1095" s="13">
        <f>IFERROR('[Tenable_Nessus.xlsx]CP-7-4'!B20,"Not Started")</f>
        <v/>
      </c>
      <c r="H1095" s="14">
        <f>IF(OR(G1095="Passed",G1095="Accepted Exception"),"GREEN",IF(OR(G1095="Not Started",G1095="Failed"),"RED","AMBER"))</f>
        <v/>
      </c>
      <c r="I1095" s="15">
        <f>IFERROR('[Tenable_Nessus.xlsx]CP-7-4'!E20,"Non commencé")</f>
        <v/>
      </c>
      <c r="J1095" s="16">
        <f>IF(OR(I1095="Réussi",I1095="Exception acceptée"),"GREEN",IF(OR(I1095="Non commencé",I1095="Échec"),"RED","AMBER"))</f>
        <v/>
      </c>
      <c r="K1095" s="12" t="inlineStr"/>
      <c r="L1095" s="12" t="inlineStr"/>
      <c r="M1095" s="17" t="inlineStr"/>
    </row>
    <row r="1096" ht="18" customHeight="1">
      <c r="A1096" s="18" t="inlineStr">
        <is>
          <t>CP-9</t>
        </is>
      </c>
      <c r="B1096" s="19" t="inlineStr">
        <is>
          <t>Information System Backup</t>
        </is>
      </c>
      <c r="C1096" s="19" t="inlineStr">
        <is>
          <t>Tenable Nessus</t>
        </is>
      </c>
      <c r="D1096" s="18" t="inlineStr">
        <is>
          <t>CP</t>
        </is>
      </c>
      <c r="E1096" s="19" t="inlineStr">
        <is>
          <t>Tenable Nessus</t>
        </is>
      </c>
      <c r="F1096" s="19" t="inlineStr">
        <is>
          <t>CP-9</t>
        </is>
      </c>
      <c r="G1096" s="20">
        <f>IFERROR('[Tenable_Nessus.xlsx]CP-9'!B20,"Not Started")</f>
        <v/>
      </c>
      <c r="H1096" s="14">
        <f>IF(OR(G1096="Passed",G1096="Accepted Exception"),"GREEN",IF(OR(G1096="Not Started",G1096="Failed"),"RED","AMBER"))</f>
        <v/>
      </c>
      <c r="I1096" s="21">
        <f>IFERROR('[Tenable_Nessus.xlsx]CP-9'!E20,"Non commencé")</f>
        <v/>
      </c>
      <c r="J1096" s="16">
        <f>IF(OR(I1096="Réussi",I1096="Exception acceptée"),"GREEN",IF(OR(I1096="Non commencé",I1096="Échec"),"RED","AMBER"))</f>
        <v/>
      </c>
      <c r="K1096" s="19" t="inlineStr"/>
      <c r="L1096" s="19" t="inlineStr"/>
      <c r="M1096" s="22" t="inlineStr"/>
    </row>
    <row r="1097" ht="18" customHeight="1">
      <c r="A1097" s="11" t="inlineStr">
        <is>
          <t>CP-10</t>
        </is>
      </c>
      <c r="B1097" s="12" t="inlineStr">
        <is>
          <t>Information System Recovery and Reconstitution</t>
        </is>
      </c>
      <c r="C1097" s="12" t="inlineStr">
        <is>
          <t>Tenable Nessus</t>
        </is>
      </c>
      <c r="D1097" s="11" t="inlineStr">
        <is>
          <t>CP</t>
        </is>
      </c>
      <c r="E1097" s="12" t="inlineStr">
        <is>
          <t>Tenable Nessus</t>
        </is>
      </c>
      <c r="F1097" s="12" t="inlineStr">
        <is>
          <t>CP-10</t>
        </is>
      </c>
      <c r="G1097" s="13">
        <f>IFERROR('[Tenable_Nessus.xlsx]CP-10'!B20,"Not Started")</f>
        <v/>
      </c>
      <c r="H1097" s="14">
        <f>IF(OR(G1097="Passed",G1097="Accepted Exception"),"GREEN",IF(OR(G1097="Not Started",G1097="Failed"),"RED","AMBER"))</f>
        <v/>
      </c>
      <c r="I1097" s="15">
        <f>IFERROR('[Tenable_Nessus.xlsx]CP-10'!E20,"Non commencé")</f>
        <v/>
      </c>
      <c r="J1097" s="16">
        <f>IF(OR(I1097="Réussi",I1097="Exception acceptée"),"GREEN",IF(OR(I1097="Non commencé",I1097="Échec"),"RED","AMBER"))</f>
        <v/>
      </c>
      <c r="K1097" s="12" t="inlineStr"/>
      <c r="L1097" s="12" t="inlineStr"/>
      <c r="M1097" s="17" t="inlineStr"/>
    </row>
    <row r="1098" ht="18" customHeight="1">
      <c r="A1098" s="18" t="inlineStr">
        <is>
          <t>CP-10(4)</t>
        </is>
      </c>
      <c r="B1098" s="19" t="inlineStr">
        <is>
          <t>Information System Recovery and Reconstitution</t>
        </is>
      </c>
      <c r="C1098" s="19" t="inlineStr">
        <is>
          <t>Tenable Nessus</t>
        </is>
      </c>
      <c r="D1098" s="18" t="inlineStr">
        <is>
          <t>CP</t>
        </is>
      </c>
      <c r="E1098" s="19" t="inlineStr">
        <is>
          <t>Tenable Nessus</t>
        </is>
      </c>
      <c r="F1098" s="19" t="inlineStr">
        <is>
          <t>CP-10-4</t>
        </is>
      </c>
      <c r="G1098" s="20">
        <f>IFERROR('[Tenable_Nessus.xlsx]CP-10-4'!B20,"Not Started")</f>
        <v/>
      </c>
      <c r="H1098" s="14">
        <f>IF(OR(G1098="Passed",G1098="Accepted Exception"),"GREEN",IF(OR(G1098="Not Started",G1098="Failed"),"RED","AMBER"))</f>
        <v/>
      </c>
      <c r="I1098" s="21">
        <f>IFERROR('[Tenable_Nessus.xlsx]CP-10-4'!E20,"Non commencé")</f>
        <v/>
      </c>
      <c r="J1098" s="16">
        <f>IF(OR(I1098="Réussi",I1098="Exception acceptée"),"GREEN",IF(OR(I1098="Non commencé",I1098="Échec"),"RED","AMBER"))</f>
        <v/>
      </c>
      <c r="K1098" s="19" t="inlineStr"/>
      <c r="L1098" s="19" t="inlineStr"/>
      <c r="M1098" s="22" t="inlineStr"/>
    </row>
    <row r="1099" ht="18" customHeight="1">
      <c r="A1099" s="11" t="inlineStr">
        <is>
          <t>RA-5</t>
        </is>
      </c>
      <c r="B1099" s="12" t="inlineStr">
        <is>
          <t>Vulnerability Scanning</t>
        </is>
      </c>
      <c r="C1099" s="12" t="inlineStr">
        <is>
          <t>Tenable Nessus</t>
        </is>
      </c>
      <c r="D1099" s="11" t="inlineStr">
        <is>
          <t>RA</t>
        </is>
      </c>
      <c r="E1099" s="12" t="inlineStr">
        <is>
          <t>Tenable Nessus</t>
        </is>
      </c>
      <c r="F1099" s="12" t="inlineStr">
        <is>
          <t>RA-5</t>
        </is>
      </c>
      <c r="G1099" s="13">
        <f>IFERROR('[Tenable_Nessus.xlsx]RA-5'!B20,"Not Started")</f>
        <v/>
      </c>
      <c r="H1099" s="14">
        <f>IF(OR(G1099="Passed",G1099="Accepted Exception"),"GREEN",IF(OR(G1099="Not Started",G1099="Failed"),"RED","AMBER"))</f>
        <v/>
      </c>
      <c r="I1099" s="15">
        <f>IFERROR('[Tenable_Nessus.xlsx]RA-5'!E20,"Non commencé")</f>
        <v/>
      </c>
      <c r="J1099" s="16">
        <f>IF(OR(I1099="Réussi",I1099="Exception acceptée"),"GREEN",IF(OR(I1099="Non commencé",I1099="Échec"),"RED","AMBER"))</f>
        <v/>
      </c>
      <c r="K1099" s="12" t="inlineStr"/>
      <c r="L1099" s="12" t="inlineStr"/>
      <c r="M1099" s="17" t="inlineStr"/>
    </row>
    <row r="1100" ht="18" customHeight="1">
      <c r="A1100" s="18" t="inlineStr">
        <is>
          <t>RA-5(1)</t>
        </is>
      </c>
      <c r="B1100" s="19" t="inlineStr">
        <is>
          <t>Vulnerability Scanning</t>
        </is>
      </c>
      <c r="C1100" s="19" t="inlineStr">
        <is>
          <t>Tenable Nessus</t>
        </is>
      </c>
      <c r="D1100" s="18" t="inlineStr">
        <is>
          <t>RA</t>
        </is>
      </c>
      <c r="E1100" s="19" t="inlineStr">
        <is>
          <t>Tenable Nessus</t>
        </is>
      </c>
      <c r="F1100" s="19" t="inlineStr">
        <is>
          <t>RA-5-1</t>
        </is>
      </c>
      <c r="G1100" s="20">
        <f>IFERROR('[Tenable_Nessus.xlsx]RA-5-1'!B20,"Not Started")</f>
        <v/>
      </c>
      <c r="H1100" s="14">
        <f>IF(OR(G1100="Passed",G1100="Accepted Exception"),"GREEN",IF(OR(G1100="Not Started",G1100="Failed"),"RED","AMBER"))</f>
        <v/>
      </c>
      <c r="I1100" s="21">
        <f>IFERROR('[Tenable_Nessus.xlsx]RA-5-1'!E20,"Non commencé")</f>
        <v/>
      </c>
      <c r="J1100" s="16">
        <f>IF(OR(I1100="Réussi",I1100="Exception acceptée"),"GREEN",IF(OR(I1100="Non commencé",I1100="Échec"),"RED","AMBER"))</f>
        <v/>
      </c>
      <c r="K1100" s="19" t="inlineStr"/>
      <c r="L1100" s="19" t="inlineStr"/>
      <c r="M1100" s="22" t="inlineStr"/>
    </row>
    <row r="1101" ht="18" customHeight="1">
      <c r="A1101" s="11" t="inlineStr">
        <is>
          <t>RA-5(2)</t>
        </is>
      </c>
      <c r="B1101" s="12" t="inlineStr">
        <is>
          <t>Vulnerability Scanning</t>
        </is>
      </c>
      <c r="C1101" s="12" t="inlineStr">
        <is>
          <t>Tenable Nessus</t>
        </is>
      </c>
      <c r="D1101" s="11" t="inlineStr">
        <is>
          <t>RA</t>
        </is>
      </c>
      <c r="E1101" s="12" t="inlineStr">
        <is>
          <t>Tenable Nessus</t>
        </is>
      </c>
      <c r="F1101" s="12" t="inlineStr">
        <is>
          <t>RA-5-2</t>
        </is>
      </c>
      <c r="G1101" s="13">
        <f>IFERROR('[Tenable_Nessus.xlsx]RA-5-2'!B20,"Not Started")</f>
        <v/>
      </c>
      <c r="H1101" s="14">
        <f>IF(OR(G1101="Passed",G1101="Accepted Exception"),"GREEN",IF(OR(G1101="Not Started",G1101="Failed"),"RED","AMBER"))</f>
        <v/>
      </c>
      <c r="I1101" s="15">
        <f>IFERROR('[Tenable_Nessus.xlsx]RA-5-2'!E20,"Non commencé")</f>
        <v/>
      </c>
      <c r="J1101" s="16">
        <f>IF(OR(I1101="Réussi",I1101="Exception acceptée"),"GREEN",IF(OR(I1101="Non commencé",I1101="Échec"),"RED","AMBER"))</f>
        <v/>
      </c>
      <c r="K1101" s="12" t="inlineStr"/>
      <c r="L1101" s="12" t="inlineStr"/>
      <c r="M1101" s="17" t="inlineStr"/>
    </row>
    <row r="1102" ht="18" customHeight="1">
      <c r="A1102" s="18" t="inlineStr">
        <is>
          <t>RA-5(3)</t>
        </is>
      </c>
      <c r="B1102" s="19" t="inlineStr">
        <is>
          <t>Vulnerability Scanning</t>
        </is>
      </c>
      <c r="C1102" s="19" t="inlineStr">
        <is>
          <t>Tenable Nessus</t>
        </is>
      </c>
      <c r="D1102" s="18" t="inlineStr">
        <is>
          <t>RA</t>
        </is>
      </c>
      <c r="E1102" s="19" t="inlineStr">
        <is>
          <t>Tenable Nessus</t>
        </is>
      </c>
      <c r="F1102" s="19" t="inlineStr">
        <is>
          <t>RA-5-3</t>
        </is>
      </c>
      <c r="G1102" s="20">
        <f>IFERROR('[Tenable_Nessus.xlsx]RA-5-3'!B20,"Not Started")</f>
        <v/>
      </c>
      <c r="H1102" s="14">
        <f>IF(OR(G1102="Passed",G1102="Accepted Exception"),"GREEN",IF(OR(G1102="Not Started",G1102="Failed"),"RED","AMBER"))</f>
        <v/>
      </c>
      <c r="I1102" s="21">
        <f>IFERROR('[Tenable_Nessus.xlsx]RA-5-3'!E20,"Non commencé")</f>
        <v/>
      </c>
      <c r="J1102" s="16">
        <f>IF(OR(I1102="Réussi",I1102="Exception acceptée"),"GREEN",IF(OR(I1102="Non commencé",I1102="Échec"),"RED","AMBER"))</f>
        <v/>
      </c>
      <c r="K1102" s="19" t="inlineStr"/>
      <c r="L1102" s="19" t="inlineStr"/>
      <c r="M1102" s="22" t="inlineStr"/>
    </row>
    <row r="1103" ht="18" customHeight="1">
      <c r="A1103" s="11" t="inlineStr">
        <is>
          <t>RA-5(5)</t>
        </is>
      </c>
      <c r="B1103" s="12" t="inlineStr">
        <is>
          <t>Vulnerability Scanning</t>
        </is>
      </c>
      <c r="C1103" s="12" t="inlineStr">
        <is>
          <t>Tenable Nessus</t>
        </is>
      </c>
      <c r="D1103" s="11" t="inlineStr">
        <is>
          <t>RA</t>
        </is>
      </c>
      <c r="E1103" s="12" t="inlineStr">
        <is>
          <t>Tenable Nessus</t>
        </is>
      </c>
      <c r="F1103" s="12" t="inlineStr">
        <is>
          <t>RA-5-5</t>
        </is>
      </c>
      <c r="G1103" s="13">
        <f>IFERROR('[Tenable_Nessus.xlsx]RA-5-5'!B20,"Not Started")</f>
        <v/>
      </c>
      <c r="H1103" s="14">
        <f>IF(OR(G1103="Passed",G1103="Accepted Exception"),"GREEN",IF(OR(G1103="Not Started",G1103="Failed"),"RED","AMBER"))</f>
        <v/>
      </c>
      <c r="I1103" s="15">
        <f>IFERROR('[Tenable_Nessus.xlsx]RA-5-5'!E20,"Non commencé")</f>
        <v/>
      </c>
      <c r="J1103" s="16">
        <f>IF(OR(I1103="Réussi",I1103="Exception acceptée"),"GREEN",IF(OR(I1103="Non commencé",I1103="Échec"),"RED","AMBER"))</f>
        <v/>
      </c>
      <c r="K1103" s="12" t="inlineStr"/>
      <c r="L1103" s="12" t="inlineStr"/>
      <c r="M1103" s="17" t="inlineStr"/>
    </row>
    <row r="1104" ht="18" customHeight="1">
      <c r="A1104" s="18" t="inlineStr">
        <is>
          <t>RA-5(6)</t>
        </is>
      </c>
      <c r="B1104" s="19" t="inlineStr">
        <is>
          <t>Vulnerability Scanning</t>
        </is>
      </c>
      <c r="C1104" s="19" t="inlineStr">
        <is>
          <t>Tenable Nessus</t>
        </is>
      </c>
      <c r="D1104" s="18" t="inlineStr">
        <is>
          <t>RA</t>
        </is>
      </c>
      <c r="E1104" s="19" t="inlineStr">
        <is>
          <t>Tenable Nessus</t>
        </is>
      </c>
      <c r="F1104" s="19" t="inlineStr">
        <is>
          <t>RA-5-6</t>
        </is>
      </c>
      <c r="G1104" s="20">
        <f>IFERROR('[Tenable_Nessus.xlsx]RA-5-6'!B20,"Not Started")</f>
        <v/>
      </c>
      <c r="H1104" s="14">
        <f>IF(OR(G1104="Passed",G1104="Accepted Exception"),"GREEN",IF(OR(G1104="Not Started",G1104="Failed"),"RED","AMBER"))</f>
        <v/>
      </c>
      <c r="I1104" s="21">
        <f>IFERROR('[Tenable_Nessus.xlsx]RA-5-6'!E20,"Non commencé")</f>
        <v/>
      </c>
      <c r="J1104" s="16">
        <f>IF(OR(I1104="Réussi",I1104="Exception acceptée"),"GREEN",IF(OR(I1104="Non commencé",I1104="Échec"),"RED","AMBER"))</f>
        <v/>
      </c>
      <c r="K1104" s="19" t="inlineStr"/>
      <c r="L1104" s="19" t="inlineStr"/>
      <c r="M1104" s="22" t="inlineStr"/>
    </row>
    <row r="1105" ht="18" customHeight="1">
      <c r="A1105" s="11" t="inlineStr">
        <is>
          <t>RA-5(8)</t>
        </is>
      </c>
      <c r="B1105" s="12" t="inlineStr">
        <is>
          <t>Vulnerability Scanning</t>
        </is>
      </c>
      <c r="C1105" s="12" t="inlineStr">
        <is>
          <t>Tenable Nessus</t>
        </is>
      </c>
      <c r="D1105" s="11" t="inlineStr">
        <is>
          <t>RA</t>
        </is>
      </c>
      <c r="E1105" s="12" t="inlineStr">
        <is>
          <t>Tenable Nessus</t>
        </is>
      </c>
      <c r="F1105" s="12" t="inlineStr">
        <is>
          <t>RA-5-8</t>
        </is>
      </c>
      <c r="G1105" s="13">
        <f>IFERROR('[Tenable_Nessus.xlsx]RA-5-8'!B20,"Not Started")</f>
        <v/>
      </c>
      <c r="H1105" s="14">
        <f>IF(OR(G1105="Passed",G1105="Accepted Exception"),"GREEN",IF(OR(G1105="Not Started",G1105="Failed"),"RED","AMBER"))</f>
        <v/>
      </c>
      <c r="I1105" s="15">
        <f>IFERROR('[Tenable_Nessus.xlsx]RA-5-8'!E20,"Non commencé")</f>
        <v/>
      </c>
      <c r="J1105" s="16">
        <f>IF(OR(I1105="Réussi",I1105="Exception acceptée"),"GREEN",IF(OR(I1105="Non commencé",I1105="Échec"),"RED","AMBER"))</f>
        <v/>
      </c>
      <c r="K1105" s="12" t="inlineStr"/>
      <c r="L1105" s="12" t="inlineStr"/>
      <c r="M1105" s="17" t="inlineStr"/>
    </row>
    <row r="1106" ht="18" customHeight="1">
      <c r="A1106" s="18" t="inlineStr">
        <is>
          <t>SA-4</t>
        </is>
      </c>
      <c r="B1106" s="19" t="inlineStr">
        <is>
          <t>Acquisition Process</t>
        </is>
      </c>
      <c r="C1106" s="19" t="inlineStr">
        <is>
          <t>Tenable Nessus</t>
        </is>
      </c>
      <c r="D1106" s="18" t="inlineStr">
        <is>
          <t>SA</t>
        </is>
      </c>
      <c r="E1106" s="19" t="inlineStr">
        <is>
          <t>Tenable Nessus</t>
        </is>
      </c>
      <c r="F1106" s="19" t="inlineStr">
        <is>
          <t>SA-4</t>
        </is>
      </c>
      <c r="G1106" s="20">
        <f>IFERROR('[Tenable_Nessus.xlsx]SA-4'!B20,"Not Started")</f>
        <v/>
      </c>
      <c r="H1106" s="14">
        <f>IF(OR(G1106="Passed",G1106="Accepted Exception"),"GREEN",IF(OR(G1106="Not Started",G1106="Failed"),"RED","AMBER"))</f>
        <v/>
      </c>
      <c r="I1106" s="21">
        <f>IFERROR('[Tenable_Nessus.xlsx]SA-4'!E20,"Non commencé")</f>
        <v/>
      </c>
      <c r="J1106" s="16">
        <f>IF(OR(I1106="Réussi",I1106="Exception acceptée"),"GREEN",IF(OR(I1106="Non commencé",I1106="Échec"),"RED","AMBER"))</f>
        <v/>
      </c>
      <c r="K1106" s="19" t="inlineStr"/>
      <c r="L1106" s="19" t="inlineStr"/>
      <c r="M1106" s="22" t="inlineStr"/>
    </row>
    <row r="1107" ht="18" customHeight="1">
      <c r="A1107" s="11" t="inlineStr">
        <is>
          <t>SA-4(1)</t>
        </is>
      </c>
      <c r="B1107" s="12" t="inlineStr">
        <is>
          <t>Acquisition Process</t>
        </is>
      </c>
      <c r="C1107" s="12" t="inlineStr">
        <is>
          <t>Tenable Nessus</t>
        </is>
      </c>
      <c r="D1107" s="11" t="inlineStr">
        <is>
          <t>SA</t>
        </is>
      </c>
      <c r="E1107" s="12" t="inlineStr">
        <is>
          <t>Tenable Nessus</t>
        </is>
      </c>
      <c r="F1107" s="12" t="inlineStr">
        <is>
          <t>SA-4-1</t>
        </is>
      </c>
      <c r="G1107" s="13">
        <f>IFERROR('[Tenable_Nessus.xlsx]SA-4-1'!B20,"Not Started")</f>
        <v/>
      </c>
      <c r="H1107" s="14">
        <f>IF(OR(G1107="Passed",G1107="Accepted Exception"),"GREEN",IF(OR(G1107="Not Started",G1107="Failed"),"RED","AMBER"))</f>
        <v/>
      </c>
      <c r="I1107" s="15">
        <f>IFERROR('[Tenable_Nessus.xlsx]SA-4-1'!E20,"Non commencé")</f>
        <v/>
      </c>
      <c r="J1107" s="16">
        <f>IF(OR(I1107="Réussi",I1107="Exception acceptée"),"GREEN",IF(OR(I1107="Non commencé",I1107="Échec"),"RED","AMBER"))</f>
        <v/>
      </c>
      <c r="K1107" s="12" t="inlineStr"/>
      <c r="L1107" s="12" t="inlineStr"/>
      <c r="M1107" s="17" t="inlineStr"/>
    </row>
    <row r="1108" ht="18" customHeight="1">
      <c r="A1108" s="18" t="inlineStr">
        <is>
          <t>SA-4(2)</t>
        </is>
      </c>
      <c r="B1108" s="19" t="inlineStr">
        <is>
          <t>Acquisition Process</t>
        </is>
      </c>
      <c r="C1108" s="19" t="inlineStr">
        <is>
          <t>Tenable Nessus</t>
        </is>
      </c>
      <c r="D1108" s="18" t="inlineStr">
        <is>
          <t>SA</t>
        </is>
      </c>
      <c r="E1108" s="19" t="inlineStr">
        <is>
          <t>Tenable Nessus</t>
        </is>
      </c>
      <c r="F1108" s="19" t="inlineStr">
        <is>
          <t>SA-4-2</t>
        </is>
      </c>
      <c r="G1108" s="20">
        <f>IFERROR('[Tenable_Nessus.xlsx]SA-4-2'!B20,"Not Started")</f>
        <v/>
      </c>
      <c r="H1108" s="14">
        <f>IF(OR(G1108="Passed",G1108="Accepted Exception"),"GREEN",IF(OR(G1108="Not Started",G1108="Failed"),"RED","AMBER"))</f>
        <v/>
      </c>
      <c r="I1108" s="21">
        <f>IFERROR('[Tenable_Nessus.xlsx]SA-4-2'!E20,"Non commencé")</f>
        <v/>
      </c>
      <c r="J1108" s="16">
        <f>IF(OR(I1108="Réussi",I1108="Exception acceptée"),"GREEN",IF(OR(I1108="Non commencé",I1108="Échec"),"RED","AMBER"))</f>
        <v/>
      </c>
      <c r="K1108" s="19" t="inlineStr"/>
      <c r="L1108" s="19" t="inlineStr"/>
      <c r="M1108" s="22" t="inlineStr"/>
    </row>
    <row r="1109" ht="18" customHeight="1">
      <c r="A1109" s="11" t="inlineStr">
        <is>
          <t>SA-4(8)</t>
        </is>
      </c>
      <c r="B1109" s="12" t="inlineStr">
        <is>
          <t>Acquisition Process</t>
        </is>
      </c>
      <c r="C1109" s="12" t="inlineStr">
        <is>
          <t>Tenable Nessus</t>
        </is>
      </c>
      <c r="D1109" s="11" t="inlineStr">
        <is>
          <t>SA</t>
        </is>
      </c>
      <c r="E1109" s="12" t="inlineStr">
        <is>
          <t>Tenable Nessus</t>
        </is>
      </c>
      <c r="F1109" s="12" t="inlineStr">
        <is>
          <t>SA-4-8</t>
        </is>
      </c>
      <c r="G1109" s="13">
        <f>IFERROR('[Tenable_Nessus.xlsx]SA-4-8'!B20,"Not Started")</f>
        <v/>
      </c>
      <c r="H1109" s="14">
        <f>IF(OR(G1109="Passed",G1109="Accepted Exception"),"GREEN",IF(OR(G1109="Not Started",G1109="Failed"),"RED","AMBER"))</f>
        <v/>
      </c>
      <c r="I1109" s="15">
        <f>IFERROR('[Tenable_Nessus.xlsx]SA-4-8'!E20,"Non commencé")</f>
        <v/>
      </c>
      <c r="J1109" s="16">
        <f>IF(OR(I1109="Réussi",I1109="Exception acceptée"),"GREEN",IF(OR(I1109="Non commencé",I1109="Échec"),"RED","AMBER"))</f>
        <v/>
      </c>
      <c r="K1109" s="12" t="inlineStr"/>
      <c r="L1109" s="12" t="inlineStr"/>
      <c r="M1109" s="17" t="inlineStr"/>
    </row>
    <row r="1110" ht="18" customHeight="1">
      <c r="A1110" s="18" t="inlineStr">
        <is>
          <t>SA-4(9)</t>
        </is>
      </c>
      <c r="B1110" s="19" t="inlineStr">
        <is>
          <t>Acquisition Process</t>
        </is>
      </c>
      <c r="C1110" s="19" t="inlineStr">
        <is>
          <t>Tenable Nessus</t>
        </is>
      </c>
      <c r="D1110" s="18" t="inlineStr">
        <is>
          <t>SA</t>
        </is>
      </c>
      <c r="E1110" s="19" t="inlineStr">
        <is>
          <t>Tenable Nessus</t>
        </is>
      </c>
      <c r="F1110" s="19" t="inlineStr">
        <is>
          <t>SA-4-9</t>
        </is>
      </c>
      <c r="G1110" s="20">
        <f>IFERROR('[Tenable_Nessus.xlsx]SA-4-9'!B20,"Not Started")</f>
        <v/>
      </c>
      <c r="H1110" s="14">
        <f>IF(OR(G1110="Passed",G1110="Accepted Exception"),"GREEN",IF(OR(G1110="Not Started",G1110="Failed"),"RED","AMBER"))</f>
        <v/>
      </c>
      <c r="I1110" s="21">
        <f>IFERROR('[Tenable_Nessus.xlsx]SA-4-9'!E20,"Non commencé")</f>
        <v/>
      </c>
      <c r="J1110" s="16">
        <f>IF(OR(I1110="Réussi",I1110="Exception acceptée"),"GREEN",IF(OR(I1110="Non commencé",I1110="Échec"),"RED","AMBER"))</f>
        <v/>
      </c>
      <c r="K1110" s="19" t="inlineStr"/>
      <c r="L1110" s="19" t="inlineStr"/>
      <c r="M1110" s="22" t="inlineStr"/>
    </row>
    <row r="1111" ht="18" customHeight="1">
      <c r="A1111" s="11" t="inlineStr">
        <is>
          <t>SA-5</t>
        </is>
      </c>
      <c r="B1111" s="12" t="inlineStr">
        <is>
          <t>Information System Documentation</t>
        </is>
      </c>
      <c r="C1111" s="12" t="inlineStr">
        <is>
          <t>Tenable Nessus</t>
        </is>
      </c>
      <c r="D1111" s="11" t="inlineStr">
        <is>
          <t>SA</t>
        </is>
      </c>
      <c r="E1111" s="12" t="inlineStr">
        <is>
          <t>Tenable Nessus</t>
        </is>
      </c>
      <c r="F1111" s="12" t="inlineStr">
        <is>
          <t>SA-5</t>
        </is>
      </c>
      <c r="G1111" s="13">
        <f>IFERROR('[Tenable_Nessus.xlsx]SA-5'!B20,"Not Started")</f>
        <v/>
      </c>
      <c r="H1111" s="14">
        <f>IF(OR(G1111="Passed",G1111="Accepted Exception"),"GREEN",IF(OR(G1111="Not Started",G1111="Failed"),"RED","AMBER"))</f>
        <v/>
      </c>
      <c r="I1111" s="15">
        <f>IFERROR('[Tenable_Nessus.xlsx]SA-5'!E20,"Non commencé")</f>
        <v/>
      </c>
      <c r="J1111" s="16">
        <f>IF(OR(I1111="Réussi",I1111="Exception acceptée"),"GREEN",IF(OR(I1111="Non commencé",I1111="Échec"),"RED","AMBER"))</f>
        <v/>
      </c>
      <c r="K1111" s="12" t="inlineStr"/>
      <c r="L1111" s="12" t="inlineStr"/>
      <c r="M1111" s="17" t="inlineStr"/>
    </row>
    <row r="1112" ht="18" customHeight="1">
      <c r="A1112" s="18" t="inlineStr">
        <is>
          <t>SA-9(2)</t>
        </is>
      </c>
      <c r="B1112" s="19" t="inlineStr">
        <is>
          <t>External Information System Services</t>
        </is>
      </c>
      <c r="C1112" s="19" t="inlineStr">
        <is>
          <t>Tenable Nessus</t>
        </is>
      </c>
      <c r="D1112" s="18" t="inlineStr">
        <is>
          <t>SA</t>
        </is>
      </c>
      <c r="E1112" s="19" t="inlineStr">
        <is>
          <t>Tenable Nessus</t>
        </is>
      </c>
      <c r="F1112" s="19" t="inlineStr">
        <is>
          <t>SA-9-2</t>
        </is>
      </c>
      <c r="G1112" s="20">
        <f>IFERROR('[Tenable_Nessus.xlsx]SA-9-2'!B20,"Not Started")</f>
        <v/>
      </c>
      <c r="H1112" s="14">
        <f>IF(OR(G1112="Passed",G1112="Accepted Exception"),"GREEN",IF(OR(G1112="Not Started",G1112="Failed"),"RED","AMBER"))</f>
        <v/>
      </c>
      <c r="I1112" s="21">
        <f>IFERROR('[Tenable_Nessus.xlsx]SA-9-2'!E20,"Non commencé")</f>
        <v/>
      </c>
      <c r="J1112" s="16">
        <f>IF(OR(I1112="Réussi",I1112="Exception acceptée"),"GREEN",IF(OR(I1112="Non commencé",I1112="Échec"),"RED","AMBER"))</f>
        <v/>
      </c>
      <c r="K1112" s="19" t="inlineStr"/>
      <c r="L1112" s="19" t="inlineStr"/>
      <c r="M1112" s="22" t="inlineStr"/>
    </row>
    <row r="1113" ht="18" customHeight="1">
      <c r="A1113" s="11" t="inlineStr">
        <is>
          <t>SA-9(5)</t>
        </is>
      </c>
      <c r="B1113" s="12" t="inlineStr">
        <is>
          <t>External Information System Services</t>
        </is>
      </c>
      <c r="C1113" s="12" t="inlineStr">
        <is>
          <t>Tenable Nessus</t>
        </is>
      </c>
      <c r="D1113" s="11" t="inlineStr">
        <is>
          <t>SA</t>
        </is>
      </c>
      <c r="E1113" s="12" t="inlineStr">
        <is>
          <t>Tenable Nessus</t>
        </is>
      </c>
      <c r="F1113" s="12" t="inlineStr">
        <is>
          <t>SA-9-5</t>
        </is>
      </c>
      <c r="G1113" s="13">
        <f>IFERROR('[Tenable_Nessus.xlsx]SA-9-5'!B20,"Not Started")</f>
        <v/>
      </c>
      <c r="H1113" s="14">
        <f>IF(OR(G1113="Passed",G1113="Accepted Exception"),"GREEN",IF(OR(G1113="Not Started",G1113="Failed"),"RED","AMBER"))</f>
        <v/>
      </c>
      <c r="I1113" s="15">
        <f>IFERROR('[Tenable_Nessus.xlsx]SA-9-5'!E20,"Non commencé")</f>
        <v/>
      </c>
      <c r="J1113" s="16">
        <f>IF(OR(I1113="Réussi",I1113="Exception acceptée"),"GREEN",IF(OR(I1113="Non commencé",I1113="Échec"),"RED","AMBER"))</f>
        <v/>
      </c>
      <c r="K1113" s="12" t="inlineStr"/>
      <c r="L1113" s="12" t="inlineStr"/>
      <c r="M1113" s="17" t="inlineStr"/>
    </row>
    <row r="1114" ht="18" customHeight="1">
      <c r="A1114" s="18" t="inlineStr">
        <is>
          <t>SA-11(2)</t>
        </is>
      </c>
      <c r="B1114" s="19" t="inlineStr">
        <is>
          <t>Developer Security Testing</t>
        </is>
      </c>
      <c r="C1114" s="19" t="inlineStr">
        <is>
          <t>Tenable Nessus</t>
        </is>
      </c>
      <c r="D1114" s="18" t="inlineStr">
        <is>
          <t>SA</t>
        </is>
      </c>
      <c r="E1114" s="19" t="inlineStr">
        <is>
          <t>Tenable Nessus</t>
        </is>
      </c>
      <c r="F1114" s="19" t="inlineStr">
        <is>
          <t>SA-11-2</t>
        </is>
      </c>
      <c r="G1114" s="20">
        <f>IFERROR('[Tenable_Nessus.xlsx]SA-11-2'!B20,"Not Started")</f>
        <v/>
      </c>
      <c r="H1114" s="14">
        <f>IF(OR(G1114="Passed",G1114="Accepted Exception"),"GREEN",IF(OR(G1114="Not Started",G1114="Failed"),"RED","AMBER"))</f>
        <v/>
      </c>
      <c r="I1114" s="21">
        <f>IFERROR('[Tenable_Nessus.xlsx]SA-11-2'!E20,"Non commencé")</f>
        <v/>
      </c>
      <c r="J1114" s="16">
        <f>IF(OR(I1114="Réussi",I1114="Exception acceptée"),"GREEN",IF(OR(I1114="Non commencé",I1114="Échec"),"RED","AMBER"))</f>
        <v/>
      </c>
      <c r="K1114" s="19" t="inlineStr"/>
      <c r="L1114" s="19" t="inlineStr"/>
      <c r="M1114" s="22" t="inlineStr"/>
    </row>
    <row r="1115" ht="18" customHeight="1">
      <c r="A1115" s="11" t="inlineStr">
        <is>
          <t>SA-11(8)</t>
        </is>
      </c>
      <c r="B1115" s="12" t="inlineStr">
        <is>
          <t>Developer Security Testing</t>
        </is>
      </c>
      <c r="C1115" s="12" t="inlineStr">
        <is>
          <t>Tenable Nessus</t>
        </is>
      </c>
      <c r="D1115" s="11" t="inlineStr">
        <is>
          <t>SA</t>
        </is>
      </c>
      <c r="E1115" s="12" t="inlineStr">
        <is>
          <t>Tenable Nessus</t>
        </is>
      </c>
      <c r="F1115" s="12" t="inlineStr">
        <is>
          <t>SA-11-8</t>
        </is>
      </c>
      <c r="G1115" s="13">
        <f>IFERROR('[Tenable_Nessus.xlsx]SA-11-8'!B20,"Not Started")</f>
        <v/>
      </c>
      <c r="H1115" s="14">
        <f>IF(OR(G1115="Passed",G1115="Accepted Exception"),"GREEN",IF(OR(G1115="Not Started",G1115="Failed"),"RED","AMBER"))</f>
        <v/>
      </c>
      <c r="I1115" s="15">
        <f>IFERROR('[Tenable_Nessus.xlsx]SA-11-8'!E20,"Non commencé")</f>
        <v/>
      </c>
      <c r="J1115" s="16">
        <f>IF(OR(I1115="Réussi",I1115="Exception acceptée"),"GREEN",IF(OR(I1115="Non commencé",I1115="Échec"),"RED","AMBER"))</f>
        <v/>
      </c>
      <c r="K1115" s="12" t="inlineStr"/>
      <c r="L1115" s="12" t="inlineStr"/>
      <c r="M1115" s="17" t="inlineStr"/>
    </row>
    <row r="1116" ht="18" customHeight="1">
      <c r="A1116" s="18" t="inlineStr">
        <is>
          <t>SC-2</t>
        </is>
      </c>
      <c r="B1116" s="19" t="inlineStr">
        <is>
          <t>Application Partitioning</t>
        </is>
      </c>
      <c r="C1116" s="19" t="inlineStr">
        <is>
          <t>Tenable Nessus</t>
        </is>
      </c>
      <c r="D1116" s="18" t="inlineStr">
        <is>
          <t>SC</t>
        </is>
      </c>
      <c r="E1116" s="19" t="inlineStr">
        <is>
          <t>Tenable Nessus</t>
        </is>
      </c>
      <c r="F1116" s="19" t="inlineStr">
        <is>
          <t>SC-2</t>
        </is>
      </c>
      <c r="G1116" s="20">
        <f>IFERROR('[Tenable_Nessus.xlsx]SC-2'!B20,"Not Started")</f>
        <v/>
      </c>
      <c r="H1116" s="14">
        <f>IF(OR(G1116="Passed",G1116="Accepted Exception"),"GREEN",IF(OR(G1116="Not Started",G1116="Failed"),"RED","AMBER"))</f>
        <v/>
      </c>
      <c r="I1116" s="21">
        <f>IFERROR('[Tenable_Nessus.xlsx]SC-2'!E20,"Non commencé")</f>
        <v/>
      </c>
      <c r="J1116" s="16">
        <f>IF(OR(I1116="Réussi",I1116="Exception acceptée"),"GREEN",IF(OR(I1116="Non commencé",I1116="Échec"),"RED","AMBER"))</f>
        <v/>
      </c>
      <c r="K1116" s="19" t="inlineStr"/>
      <c r="L1116" s="19" t="inlineStr"/>
      <c r="M1116" s="22" t="inlineStr"/>
    </row>
    <row r="1117" ht="18" customHeight="1">
      <c r="A1117" s="11" t="inlineStr">
        <is>
          <t>SC-7(13)</t>
        </is>
      </c>
      <c r="B1117" s="12" t="inlineStr">
        <is>
          <t>Boundary Protection</t>
        </is>
      </c>
      <c r="C1117" s="12" t="inlineStr">
        <is>
          <t>Tenable Nessus</t>
        </is>
      </c>
      <c r="D1117" s="11" t="inlineStr">
        <is>
          <t>SC</t>
        </is>
      </c>
      <c r="E1117" s="12" t="inlineStr">
        <is>
          <t>Tenable Nessus</t>
        </is>
      </c>
      <c r="F1117" s="12" t="inlineStr">
        <is>
          <t>SC-7-13</t>
        </is>
      </c>
      <c r="G1117" s="13">
        <f>IFERROR('[Tenable_Nessus.xlsx]SC-7-13'!B20,"Not Started")</f>
        <v/>
      </c>
      <c r="H1117" s="14">
        <f>IF(OR(G1117="Passed",G1117="Accepted Exception"),"GREEN",IF(OR(G1117="Not Started",G1117="Failed"),"RED","AMBER"))</f>
        <v/>
      </c>
      <c r="I1117" s="15">
        <f>IFERROR('[Tenable_Nessus.xlsx]SC-7-13'!E20,"Non commencé")</f>
        <v/>
      </c>
      <c r="J1117" s="16">
        <f>IF(OR(I1117="Réussi",I1117="Exception acceptée"),"GREEN",IF(OR(I1117="Non commencé",I1117="Échec"),"RED","AMBER"))</f>
        <v/>
      </c>
      <c r="K1117" s="12" t="inlineStr"/>
      <c r="L1117" s="12" t="inlineStr"/>
      <c r="M1117" s="17" t="inlineStr"/>
    </row>
    <row r="1118" ht="18" customHeight="1">
      <c r="A1118" s="18" t="inlineStr">
        <is>
          <t>SC-8</t>
        </is>
      </c>
      <c r="B1118" s="19" t="inlineStr">
        <is>
          <t>Transmission Confidentiality and Integrity</t>
        </is>
      </c>
      <c r="C1118" s="19" t="inlineStr">
        <is>
          <t>Tenable Nessus</t>
        </is>
      </c>
      <c r="D1118" s="18" t="inlineStr">
        <is>
          <t>SC</t>
        </is>
      </c>
      <c r="E1118" s="19" t="inlineStr">
        <is>
          <t>Tenable Nessus</t>
        </is>
      </c>
      <c r="F1118" s="19" t="inlineStr">
        <is>
          <t>SC-8</t>
        </is>
      </c>
      <c r="G1118" s="20">
        <f>IFERROR('[Tenable_Nessus.xlsx]SC-8'!B20,"Not Started")</f>
        <v/>
      </c>
      <c r="H1118" s="14">
        <f>IF(OR(G1118="Passed",G1118="Accepted Exception"),"GREEN",IF(OR(G1118="Not Started",G1118="Failed"),"RED","AMBER"))</f>
        <v/>
      </c>
      <c r="I1118" s="21">
        <f>IFERROR('[Tenable_Nessus.xlsx]SC-8'!E20,"Non commencé")</f>
        <v/>
      </c>
      <c r="J1118" s="16">
        <f>IF(OR(I1118="Réussi",I1118="Exception acceptée"),"GREEN",IF(OR(I1118="Non commencé",I1118="Échec"),"RED","AMBER"))</f>
        <v/>
      </c>
      <c r="K1118" s="19" t="inlineStr"/>
      <c r="L1118" s="19" t="inlineStr"/>
      <c r="M1118" s="22" t="inlineStr"/>
    </row>
    <row r="1119" ht="18" customHeight="1">
      <c r="A1119" s="11" t="inlineStr">
        <is>
          <t>SC-8(1)</t>
        </is>
      </c>
      <c r="B1119" s="12" t="inlineStr">
        <is>
          <t>Transmission Confidentiality and Integrity</t>
        </is>
      </c>
      <c r="C1119" s="12" t="inlineStr">
        <is>
          <t>Tenable Nessus</t>
        </is>
      </c>
      <c r="D1119" s="11" t="inlineStr">
        <is>
          <t>SC</t>
        </is>
      </c>
      <c r="E1119" s="12" t="inlineStr">
        <is>
          <t>Tenable Nessus</t>
        </is>
      </c>
      <c r="F1119" s="12" t="inlineStr">
        <is>
          <t>SC-8-1</t>
        </is>
      </c>
      <c r="G1119" s="13">
        <f>IFERROR('[Tenable_Nessus.xlsx]SC-8-1'!B20,"Not Started")</f>
        <v/>
      </c>
      <c r="H1119" s="14">
        <f>IF(OR(G1119="Passed",G1119="Accepted Exception"),"GREEN",IF(OR(G1119="Not Started",G1119="Failed"),"RED","AMBER"))</f>
        <v/>
      </c>
      <c r="I1119" s="15">
        <f>IFERROR('[Tenable_Nessus.xlsx]SC-8-1'!E20,"Non commencé")</f>
        <v/>
      </c>
      <c r="J1119" s="16">
        <f>IF(OR(I1119="Réussi",I1119="Exception acceptée"),"GREEN",IF(OR(I1119="Non commencé",I1119="Échec"),"RED","AMBER"))</f>
        <v/>
      </c>
      <c r="K1119" s="12" t="inlineStr"/>
      <c r="L1119" s="12" t="inlineStr"/>
      <c r="M1119" s="17" t="inlineStr"/>
    </row>
    <row r="1120" ht="18" customHeight="1">
      <c r="A1120" s="18" t="inlineStr">
        <is>
          <t>SC-23</t>
        </is>
      </c>
      <c r="B1120" s="19" t="inlineStr">
        <is>
          <t>Session Authenticity</t>
        </is>
      </c>
      <c r="C1120" s="19" t="inlineStr">
        <is>
          <t>Tenable Nessus</t>
        </is>
      </c>
      <c r="D1120" s="18" t="inlineStr">
        <is>
          <t>SC</t>
        </is>
      </c>
      <c r="E1120" s="19" t="inlineStr">
        <is>
          <t>Tenable Nessus</t>
        </is>
      </c>
      <c r="F1120" s="19" t="inlineStr">
        <is>
          <t>SC-23</t>
        </is>
      </c>
      <c r="G1120" s="20">
        <f>IFERROR('[Tenable_Nessus.xlsx]SC-23'!B20,"Not Started")</f>
        <v/>
      </c>
      <c r="H1120" s="14">
        <f>IF(OR(G1120="Passed",G1120="Accepted Exception"),"GREEN",IF(OR(G1120="Not Started",G1120="Failed"),"RED","AMBER"))</f>
        <v/>
      </c>
      <c r="I1120" s="21">
        <f>IFERROR('[Tenable_Nessus.xlsx]SC-23'!E20,"Non commencé")</f>
        <v/>
      </c>
      <c r="J1120" s="16">
        <f>IF(OR(I1120="Réussi",I1120="Exception acceptée"),"GREEN",IF(OR(I1120="Non commencé",I1120="Échec"),"RED","AMBER"))</f>
        <v/>
      </c>
      <c r="K1120" s="19" t="inlineStr"/>
      <c r="L1120" s="19" t="inlineStr"/>
      <c r="M1120" s="22" t="inlineStr"/>
    </row>
    <row r="1121" ht="18" customHeight="1">
      <c r="A1121" s="11" t="inlineStr">
        <is>
          <t>SC-23(1)</t>
        </is>
      </c>
      <c r="B1121" s="12" t="inlineStr">
        <is>
          <t>Session Authenticity</t>
        </is>
      </c>
      <c r="C1121" s="12" t="inlineStr">
        <is>
          <t>Tenable Nessus</t>
        </is>
      </c>
      <c r="D1121" s="11" t="inlineStr">
        <is>
          <t>SC</t>
        </is>
      </c>
      <c r="E1121" s="12" t="inlineStr">
        <is>
          <t>Tenable Nessus</t>
        </is>
      </c>
      <c r="F1121" s="12" t="inlineStr">
        <is>
          <t>SC-23-1</t>
        </is>
      </c>
      <c r="G1121" s="13">
        <f>IFERROR('[Tenable_Nessus.xlsx]SC-23-1'!B20,"Not Started")</f>
        <v/>
      </c>
      <c r="H1121" s="14">
        <f>IF(OR(G1121="Passed",G1121="Accepted Exception"),"GREEN",IF(OR(G1121="Not Started",G1121="Failed"),"RED","AMBER"))</f>
        <v/>
      </c>
      <c r="I1121" s="15">
        <f>IFERROR('[Tenable_Nessus.xlsx]SC-23-1'!E20,"Non commencé")</f>
        <v/>
      </c>
      <c r="J1121" s="16">
        <f>IF(OR(I1121="Réussi",I1121="Exception acceptée"),"GREEN",IF(OR(I1121="Non commencé",I1121="Échec"),"RED","AMBER"))</f>
        <v/>
      </c>
      <c r="K1121" s="12" t="inlineStr"/>
      <c r="L1121" s="12" t="inlineStr"/>
      <c r="M1121" s="17" t="inlineStr"/>
    </row>
    <row r="1122" ht="18" customHeight="1">
      <c r="A1122" s="18" t="inlineStr">
        <is>
          <t>SI-2</t>
        </is>
      </c>
      <c r="B1122" s="19" t="inlineStr">
        <is>
          <t>Flaw Remediation</t>
        </is>
      </c>
      <c r="C1122" s="19" t="inlineStr">
        <is>
          <t>Tenable Nessus</t>
        </is>
      </c>
      <c r="D1122" s="18" t="inlineStr">
        <is>
          <t>SI</t>
        </is>
      </c>
      <c r="E1122" s="19" t="inlineStr">
        <is>
          <t>Tenable Nessus</t>
        </is>
      </c>
      <c r="F1122" s="19" t="inlineStr">
        <is>
          <t>SI-2</t>
        </is>
      </c>
      <c r="G1122" s="20">
        <f>IFERROR('[Tenable_Nessus.xlsx]SI-2'!B20,"Not Started")</f>
        <v/>
      </c>
      <c r="H1122" s="14">
        <f>IF(OR(G1122="Passed",G1122="Accepted Exception"),"GREEN",IF(OR(G1122="Not Started",G1122="Failed"),"RED","AMBER"))</f>
        <v/>
      </c>
      <c r="I1122" s="21">
        <f>IFERROR('[Tenable_Nessus.xlsx]SI-2'!E20,"Non commencé")</f>
        <v/>
      </c>
      <c r="J1122" s="16">
        <f>IF(OR(I1122="Réussi",I1122="Exception acceptée"),"GREEN",IF(OR(I1122="Non commencé",I1122="Échec"),"RED","AMBER"))</f>
        <v/>
      </c>
      <c r="K1122" s="19" t="inlineStr"/>
      <c r="L1122" s="19" t="inlineStr"/>
      <c r="M1122" s="22" t="inlineStr"/>
    </row>
    <row r="1123" ht="18" customHeight="1">
      <c r="A1123" s="11" t="inlineStr">
        <is>
          <t>SI-2(2)</t>
        </is>
      </c>
      <c r="B1123" s="12" t="inlineStr">
        <is>
          <t>Flaw Remediation</t>
        </is>
      </c>
      <c r="C1123" s="12" t="inlineStr">
        <is>
          <t>Tenable Nessus</t>
        </is>
      </c>
      <c r="D1123" s="11" t="inlineStr">
        <is>
          <t>SI</t>
        </is>
      </c>
      <c r="E1123" s="12" t="inlineStr">
        <is>
          <t>Tenable Nessus</t>
        </is>
      </c>
      <c r="F1123" s="12" t="inlineStr">
        <is>
          <t>SI-2-2</t>
        </is>
      </c>
      <c r="G1123" s="13">
        <f>IFERROR('[Tenable_Nessus.xlsx]SI-2-2'!B20,"Not Started")</f>
        <v/>
      </c>
      <c r="H1123" s="14">
        <f>IF(OR(G1123="Passed",G1123="Accepted Exception"),"GREEN",IF(OR(G1123="Not Started",G1123="Failed"),"RED","AMBER"))</f>
        <v/>
      </c>
      <c r="I1123" s="15">
        <f>IFERROR('[Tenable_Nessus.xlsx]SI-2-2'!E20,"Non commencé")</f>
        <v/>
      </c>
      <c r="J1123" s="16">
        <f>IF(OR(I1123="Réussi",I1123="Exception acceptée"),"GREEN",IF(OR(I1123="Non commencé",I1123="Échec"),"RED","AMBER"))</f>
        <v/>
      </c>
      <c r="K1123" s="12" t="inlineStr"/>
      <c r="L1123" s="12" t="inlineStr"/>
      <c r="M1123" s="17" t="inlineStr"/>
    </row>
    <row r="1124" ht="18" customHeight="1">
      <c r="A1124" s="18" t="inlineStr">
        <is>
          <t>SI-4(5)</t>
        </is>
      </c>
      <c r="B1124" s="19" t="inlineStr">
        <is>
          <t>Information System Monitoring</t>
        </is>
      </c>
      <c r="C1124" s="19" t="inlineStr">
        <is>
          <t>Tenable Nessus</t>
        </is>
      </c>
      <c r="D1124" s="18" t="inlineStr">
        <is>
          <t>SI</t>
        </is>
      </c>
      <c r="E1124" s="19" t="inlineStr">
        <is>
          <t>Tenable Nessus</t>
        </is>
      </c>
      <c r="F1124" s="19" t="inlineStr">
        <is>
          <t>SI-4-5</t>
        </is>
      </c>
      <c r="G1124" s="20">
        <f>IFERROR('[Tenable_Nessus.xlsx]SI-4-5'!B20,"Not Started")</f>
        <v/>
      </c>
      <c r="H1124" s="14">
        <f>IF(OR(G1124="Passed",G1124="Accepted Exception"),"GREEN",IF(OR(G1124="Not Started",G1124="Failed"),"RED","AMBER"))</f>
        <v/>
      </c>
      <c r="I1124" s="21">
        <f>IFERROR('[Tenable_Nessus.xlsx]SI-4-5'!E20,"Non commencé")</f>
        <v/>
      </c>
      <c r="J1124" s="16">
        <f>IF(OR(I1124="Réussi",I1124="Exception acceptée"),"GREEN",IF(OR(I1124="Non commencé",I1124="Échec"),"RED","AMBER"))</f>
        <v/>
      </c>
      <c r="K1124" s="19" t="inlineStr"/>
      <c r="L1124" s="19" t="inlineStr"/>
      <c r="M1124" s="22" t="inlineStr"/>
    </row>
    <row r="1125" ht="18" customHeight="1">
      <c r="A1125" s="11" t="inlineStr">
        <is>
          <t>SI-6</t>
        </is>
      </c>
      <c r="B1125" s="12" t="inlineStr">
        <is>
          <t>Security Functional Verification</t>
        </is>
      </c>
      <c r="C1125" s="12" t="inlineStr">
        <is>
          <t>Tenable Nessus</t>
        </is>
      </c>
      <c r="D1125" s="11" t="inlineStr">
        <is>
          <t>SI</t>
        </is>
      </c>
      <c r="E1125" s="12" t="inlineStr">
        <is>
          <t>Tenable Nessus</t>
        </is>
      </c>
      <c r="F1125" s="12" t="inlineStr">
        <is>
          <t>SI-6</t>
        </is>
      </c>
      <c r="G1125" s="13">
        <f>IFERROR('[Tenable_Nessus.xlsx]SI-6'!B20,"Not Started")</f>
        <v/>
      </c>
      <c r="H1125" s="14">
        <f>IF(OR(G1125="Passed",G1125="Accepted Exception"),"GREEN",IF(OR(G1125="Not Started",G1125="Failed"),"RED","AMBER"))</f>
        <v/>
      </c>
      <c r="I1125" s="15">
        <f>IFERROR('[Tenable_Nessus.xlsx]SI-6'!E20,"Non commencé")</f>
        <v/>
      </c>
      <c r="J1125" s="16">
        <f>IF(OR(I1125="Réussi",I1125="Exception acceptée"),"GREEN",IF(OR(I1125="Non commencé",I1125="Échec"),"RED","AMBER"))</f>
        <v/>
      </c>
      <c r="K1125" s="12" t="inlineStr"/>
      <c r="L1125" s="12" t="inlineStr"/>
      <c r="M1125" s="17" t="inlineStr"/>
    </row>
    <row r="1126" ht="18" customHeight="1">
      <c r="A1126" s="18" t="inlineStr">
        <is>
          <t>SI-7</t>
        </is>
      </c>
      <c r="B1126" s="19" t="inlineStr">
        <is>
          <t>Software, Firmware, and Information Integrity</t>
        </is>
      </c>
      <c r="C1126" s="19" t="inlineStr">
        <is>
          <t>Tenable Nessus</t>
        </is>
      </c>
      <c r="D1126" s="18" t="inlineStr">
        <is>
          <t>SI</t>
        </is>
      </c>
      <c r="E1126" s="19" t="inlineStr">
        <is>
          <t>Tenable Nessus</t>
        </is>
      </c>
      <c r="F1126" s="19" t="inlineStr">
        <is>
          <t>SI-7</t>
        </is>
      </c>
      <c r="G1126" s="20">
        <f>IFERROR('[Tenable_Nessus.xlsx]SI-7'!B20,"Not Started")</f>
        <v/>
      </c>
      <c r="H1126" s="14">
        <f>IF(OR(G1126="Passed",G1126="Accepted Exception"),"GREEN",IF(OR(G1126="Not Started",G1126="Failed"),"RED","AMBER"))</f>
        <v/>
      </c>
      <c r="I1126" s="21">
        <f>IFERROR('[Tenable_Nessus.xlsx]SI-7'!E20,"Non commencé")</f>
        <v/>
      </c>
      <c r="J1126" s="16">
        <f>IF(OR(I1126="Réussi",I1126="Exception acceptée"),"GREEN",IF(OR(I1126="Non commencé",I1126="Échec"),"RED","AMBER"))</f>
        <v/>
      </c>
      <c r="K1126" s="19" t="inlineStr"/>
      <c r="L1126" s="19" t="inlineStr"/>
      <c r="M1126" s="22" t="inlineStr"/>
    </row>
    <row r="1127" ht="18" customHeight="1">
      <c r="A1127" s="11" t="inlineStr">
        <is>
          <t>SI-7(1)</t>
        </is>
      </c>
      <c r="B1127" s="12" t="inlineStr">
        <is>
          <t>Software, Firmware, and Information Integrity</t>
        </is>
      </c>
      <c r="C1127" s="12" t="inlineStr">
        <is>
          <t>Tenable Nessus</t>
        </is>
      </c>
      <c r="D1127" s="11" t="inlineStr">
        <is>
          <t>SI</t>
        </is>
      </c>
      <c r="E1127" s="12" t="inlineStr">
        <is>
          <t>Tenable Nessus</t>
        </is>
      </c>
      <c r="F1127" s="12" t="inlineStr">
        <is>
          <t>SI-7-1</t>
        </is>
      </c>
      <c r="G1127" s="13">
        <f>IFERROR('[Tenable_Nessus.xlsx]SI-7-1'!B20,"Not Started")</f>
        <v/>
      </c>
      <c r="H1127" s="14">
        <f>IF(OR(G1127="Passed",G1127="Accepted Exception"),"GREEN",IF(OR(G1127="Not Started",G1127="Failed"),"RED","AMBER"))</f>
        <v/>
      </c>
      <c r="I1127" s="15">
        <f>IFERROR('[Tenable_Nessus.xlsx]SI-7-1'!E20,"Non commencé")</f>
        <v/>
      </c>
      <c r="J1127" s="16">
        <f>IF(OR(I1127="Réussi",I1127="Exception acceptée"),"GREEN",IF(OR(I1127="Non commencé",I1127="Échec"),"RED","AMBER"))</f>
        <v/>
      </c>
      <c r="K1127" s="12" t="inlineStr"/>
      <c r="L1127" s="12" t="inlineStr"/>
      <c r="M1127" s="17" t="inlineStr"/>
    </row>
    <row r="1128" ht="18" customHeight="1">
      <c r="A1128" s="18" t="inlineStr">
        <is>
          <t>SI-7(7)</t>
        </is>
      </c>
      <c r="B1128" s="19" t="inlineStr">
        <is>
          <t>Software, Firmware, and Information Integrity</t>
        </is>
      </c>
      <c r="C1128" s="19" t="inlineStr">
        <is>
          <t>Tenable Nessus</t>
        </is>
      </c>
      <c r="D1128" s="18" t="inlineStr">
        <is>
          <t>SI</t>
        </is>
      </c>
      <c r="E1128" s="19" t="inlineStr">
        <is>
          <t>Tenable Nessus</t>
        </is>
      </c>
      <c r="F1128" s="19" t="inlineStr">
        <is>
          <t>SI-7-7</t>
        </is>
      </c>
      <c r="G1128" s="20">
        <f>IFERROR('[Tenable_Nessus.xlsx]SI-7-7'!B20,"Not Started")</f>
        <v/>
      </c>
      <c r="H1128" s="14">
        <f>IF(OR(G1128="Passed",G1128="Accepted Exception"),"GREEN",IF(OR(G1128="Not Started",G1128="Failed"),"RED","AMBER"))</f>
        <v/>
      </c>
      <c r="I1128" s="21">
        <f>IFERROR('[Tenable_Nessus.xlsx]SI-7-7'!E20,"Non commencé")</f>
        <v/>
      </c>
      <c r="J1128" s="16">
        <f>IF(OR(I1128="Réussi",I1128="Exception acceptée"),"GREEN",IF(OR(I1128="Non commencé",I1128="Échec"),"RED","AMBER"))</f>
        <v/>
      </c>
      <c r="K1128" s="19" t="inlineStr"/>
      <c r="L1128" s="19" t="inlineStr"/>
      <c r="M1128" s="22" t="inlineStr"/>
    </row>
    <row r="1129" ht="18" customHeight="1">
      <c r="A1129" s="11" t="inlineStr">
        <is>
          <t>SI-11</t>
        </is>
      </c>
      <c r="B1129" s="12" t="inlineStr">
        <is>
          <t>Error Handling</t>
        </is>
      </c>
      <c r="C1129" s="12" t="inlineStr">
        <is>
          <t>Tenable Nessus</t>
        </is>
      </c>
      <c r="D1129" s="11" t="inlineStr">
        <is>
          <t>SI</t>
        </is>
      </c>
      <c r="E1129" s="12" t="inlineStr">
        <is>
          <t>Tenable Nessus</t>
        </is>
      </c>
      <c r="F1129" s="12" t="inlineStr">
        <is>
          <t>SI-11</t>
        </is>
      </c>
      <c r="G1129" s="13">
        <f>IFERROR('[Tenable_Nessus.xlsx]SI-11'!B20,"Not Started")</f>
        <v/>
      </c>
      <c r="H1129" s="14">
        <f>IF(OR(G1129="Passed",G1129="Accepted Exception"),"GREEN",IF(OR(G1129="Not Started",G1129="Failed"),"RED","AMBER"))</f>
        <v/>
      </c>
      <c r="I1129" s="15">
        <f>IFERROR('[Tenable_Nessus.xlsx]SI-11'!E20,"Non commencé")</f>
        <v/>
      </c>
      <c r="J1129" s="16">
        <f>IF(OR(I1129="Réussi",I1129="Exception acceptée"),"GREEN",IF(OR(I1129="Non commencé",I1129="Échec"),"RED","AMBER"))</f>
        <v/>
      </c>
      <c r="K1129" s="12" t="inlineStr"/>
      <c r="L1129" s="12" t="inlineStr"/>
      <c r="M1129" s="17" t="inlineStr"/>
    </row>
    <row r="1130" ht="18" customHeight="1">
      <c r="A1130" s="18" t="inlineStr">
        <is>
          <t>SI-12</t>
        </is>
      </c>
      <c r="B1130" s="19" t="inlineStr">
        <is>
          <t>Information Output Handling and Retention</t>
        </is>
      </c>
      <c r="C1130" s="19" t="inlineStr">
        <is>
          <t>Tenable Nessus</t>
        </is>
      </c>
      <c r="D1130" s="18" t="inlineStr">
        <is>
          <t>SI</t>
        </is>
      </c>
      <c r="E1130" s="19" t="inlineStr">
        <is>
          <t>Tenable Nessus</t>
        </is>
      </c>
      <c r="F1130" s="19" t="inlineStr">
        <is>
          <t>SI-12</t>
        </is>
      </c>
      <c r="G1130" s="20">
        <f>IFERROR('[Tenable_Nessus.xlsx]SI-12'!B20,"Not Started")</f>
        <v/>
      </c>
      <c r="H1130" s="14">
        <f>IF(OR(G1130="Passed",G1130="Accepted Exception"),"GREEN",IF(OR(G1130="Not Started",G1130="Failed"),"RED","AMBER"))</f>
        <v/>
      </c>
      <c r="I1130" s="21">
        <f>IFERROR('[Tenable_Nessus.xlsx]SI-12'!E20,"Non commencé")</f>
        <v/>
      </c>
      <c r="J1130" s="16">
        <f>IF(OR(I1130="Réussi",I1130="Exception acceptée"),"GREEN",IF(OR(I1130="Non commencé",I1130="Échec"),"RED","AMBER"))</f>
        <v/>
      </c>
      <c r="K1130" s="19" t="inlineStr"/>
      <c r="L1130" s="19" t="inlineStr"/>
      <c r="M1130" s="22" t="inlineStr"/>
    </row>
    <row r="1131" ht="18" customHeight="1">
      <c r="A1131" s="11" t="inlineStr">
        <is>
          <t>AC-2(2)</t>
        </is>
      </c>
      <c r="B1131" s="12" t="inlineStr">
        <is>
          <t>Account Management</t>
        </is>
      </c>
      <c r="C1131" s="12" t="inlineStr">
        <is>
          <t>Tenable Security Centre+</t>
        </is>
      </c>
      <c r="D1131" s="11" t="inlineStr">
        <is>
          <t>AC</t>
        </is>
      </c>
      <c r="E1131" s="12" t="inlineStr">
        <is>
          <t>Tenable Security Centre Plus</t>
        </is>
      </c>
      <c r="F1131" s="12" t="inlineStr">
        <is>
          <t>AC-2-2</t>
        </is>
      </c>
      <c r="G1131" s="13">
        <f>IFERROR('[Tenable_Security_Centre_Plus.xlsx]AC-2-2'!B20,"Not Started")</f>
        <v/>
      </c>
      <c r="H1131" s="14">
        <f>IF(OR(G1131="Passed",G1131="Accepted Exception"),"GREEN",IF(OR(G1131="Not Started",G1131="Failed"),"RED","AMBER"))</f>
        <v/>
      </c>
      <c r="I1131" s="15">
        <f>IFERROR('[Tenable_Security_Centre_Plus.xlsx]AC-2-2'!E20,"Non commencé")</f>
        <v/>
      </c>
      <c r="J1131" s="16">
        <f>IF(OR(I1131="Réussi",I1131="Exception acceptée"),"GREEN",IF(OR(I1131="Non commencé",I1131="Échec"),"RED","AMBER"))</f>
        <v/>
      </c>
      <c r="K1131" s="12" t="inlineStr"/>
      <c r="L1131" s="12" t="inlineStr"/>
      <c r="M1131" s="17" t="inlineStr"/>
    </row>
    <row r="1132" ht="18" customHeight="1">
      <c r="A1132" s="18" t="inlineStr">
        <is>
          <t>AC-2(3)</t>
        </is>
      </c>
      <c r="B1132" s="19" t="inlineStr">
        <is>
          <t>Account Management</t>
        </is>
      </c>
      <c r="C1132" s="19" t="inlineStr">
        <is>
          <t>Tenable Security Centre+</t>
        </is>
      </c>
      <c r="D1132" s="18" t="inlineStr">
        <is>
          <t>AC</t>
        </is>
      </c>
      <c r="E1132" s="19" t="inlineStr">
        <is>
          <t>Tenable Security Centre Plus</t>
        </is>
      </c>
      <c r="F1132" s="19" t="inlineStr">
        <is>
          <t>AC-2-3</t>
        </is>
      </c>
      <c r="G1132" s="20">
        <f>IFERROR('[Tenable_Security_Centre_Plus.xlsx]AC-2-3'!B20,"Not Started")</f>
        <v/>
      </c>
      <c r="H1132" s="14">
        <f>IF(OR(G1132="Passed",G1132="Accepted Exception"),"GREEN",IF(OR(G1132="Not Started",G1132="Failed"),"RED","AMBER"))</f>
        <v/>
      </c>
      <c r="I1132" s="21">
        <f>IFERROR('[Tenable_Security_Centre_Plus.xlsx]AC-2-3'!E20,"Non commencé")</f>
        <v/>
      </c>
      <c r="J1132" s="16">
        <f>IF(OR(I1132="Réussi",I1132="Exception acceptée"),"GREEN",IF(OR(I1132="Non commencé",I1132="Échec"),"RED","AMBER"))</f>
        <v/>
      </c>
      <c r="K1132" s="19" t="inlineStr"/>
      <c r="L1132" s="19" t="inlineStr"/>
      <c r="M1132" s="22" t="inlineStr"/>
    </row>
    <row r="1133" ht="18" customHeight="1">
      <c r="A1133" s="11" t="inlineStr">
        <is>
          <t>AC-2(4)</t>
        </is>
      </c>
      <c r="B1133" s="12" t="inlineStr">
        <is>
          <t>Account Management</t>
        </is>
      </c>
      <c r="C1133" s="12" t="inlineStr">
        <is>
          <t>Tenable Security Centre+</t>
        </is>
      </c>
      <c r="D1133" s="11" t="inlineStr">
        <is>
          <t>AC</t>
        </is>
      </c>
      <c r="E1133" s="12" t="inlineStr">
        <is>
          <t>Tenable Security Centre Plus</t>
        </is>
      </c>
      <c r="F1133" s="12" t="inlineStr">
        <is>
          <t>AC-2-4</t>
        </is>
      </c>
      <c r="G1133" s="13">
        <f>IFERROR('[Tenable_Security_Centre_Plus.xlsx]AC-2-4'!B20,"Not Started")</f>
        <v/>
      </c>
      <c r="H1133" s="14">
        <f>IF(OR(G1133="Passed",G1133="Accepted Exception"),"GREEN",IF(OR(G1133="Not Started",G1133="Failed"),"RED","AMBER"))</f>
        <v/>
      </c>
      <c r="I1133" s="15">
        <f>IFERROR('[Tenable_Security_Centre_Plus.xlsx]AC-2-4'!E20,"Non commencé")</f>
        <v/>
      </c>
      <c r="J1133" s="16">
        <f>IF(OR(I1133="Réussi",I1133="Exception acceptée"),"GREEN",IF(OR(I1133="Non commencé",I1133="Échec"),"RED","AMBER"))</f>
        <v/>
      </c>
      <c r="K1133" s="12" t="inlineStr"/>
      <c r="L1133" s="12" t="inlineStr"/>
      <c r="M1133" s="17" t="inlineStr"/>
    </row>
    <row r="1134" ht="18" customHeight="1">
      <c r="A1134" s="18" t="inlineStr">
        <is>
          <t>AC-3</t>
        </is>
      </c>
      <c r="B1134" s="19" t="inlineStr">
        <is>
          <t>Access Enforcement</t>
        </is>
      </c>
      <c r="C1134" s="19" t="inlineStr">
        <is>
          <t>Tenable Security Centre+</t>
        </is>
      </c>
      <c r="D1134" s="18" t="inlineStr">
        <is>
          <t>AC</t>
        </is>
      </c>
      <c r="E1134" s="19" t="inlineStr">
        <is>
          <t>Tenable Security Centre Plus</t>
        </is>
      </c>
      <c r="F1134" s="19" t="inlineStr">
        <is>
          <t>AC-3</t>
        </is>
      </c>
      <c r="G1134" s="20">
        <f>IFERROR('[Tenable_Security_Centre_Plus.xlsx]AC-3'!B20,"Not Started")</f>
        <v/>
      </c>
      <c r="H1134" s="14">
        <f>IF(OR(G1134="Passed",G1134="Accepted Exception"),"GREEN",IF(OR(G1134="Not Started",G1134="Failed"),"RED","AMBER"))</f>
        <v/>
      </c>
      <c r="I1134" s="21">
        <f>IFERROR('[Tenable_Security_Centre_Plus.xlsx]AC-3'!E20,"Non commencé")</f>
        <v/>
      </c>
      <c r="J1134" s="16">
        <f>IF(OR(I1134="Réussi",I1134="Exception acceptée"),"GREEN",IF(OR(I1134="Non commencé",I1134="Échec"),"RED","AMBER"))</f>
        <v/>
      </c>
      <c r="K1134" s="19" t="inlineStr"/>
      <c r="L1134" s="19" t="inlineStr"/>
      <c r="M1134" s="22" t="inlineStr"/>
    </row>
    <row r="1135" ht="18" customHeight="1">
      <c r="A1135" s="11" t="inlineStr">
        <is>
          <t>AC-6</t>
        </is>
      </c>
      <c r="B1135" s="12" t="inlineStr">
        <is>
          <t>Least Privilege</t>
        </is>
      </c>
      <c r="C1135" s="12" t="inlineStr">
        <is>
          <t>Tenable Security Centre+</t>
        </is>
      </c>
      <c r="D1135" s="11" t="inlineStr">
        <is>
          <t>AC</t>
        </is>
      </c>
      <c r="E1135" s="12" t="inlineStr">
        <is>
          <t>Tenable Security Centre Plus</t>
        </is>
      </c>
      <c r="F1135" s="12" t="inlineStr">
        <is>
          <t>AC-6</t>
        </is>
      </c>
      <c r="G1135" s="13">
        <f>IFERROR('[Tenable_Security_Centre_Plus.xlsx]AC-6'!B20,"Not Started")</f>
        <v/>
      </c>
      <c r="H1135" s="14">
        <f>IF(OR(G1135="Passed",G1135="Accepted Exception"),"GREEN",IF(OR(G1135="Not Started",G1135="Failed"),"RED","AMBER"))</f>
        <v/>
      </c>
      <c r="I1135" s="15">
        <f>IFERROR('[Tenable_Security_Centre_Plus.xlsx]AC-6'!E20,"Non commencé")</f>
        <v/>
      </c>
      <c r="J1135" s="16">
        <f>IF(OR(I1135="Réussi",I1135="Exception acceptée"),"GREEN",IF(OR(I1135="Non commencé",I1135="Échec"),"RED","AMBER"))</f>
        <v/>
      </c>
      <c r="K1135" s="12" t="inlineStr"/>
      <c r="L1135" s="12" t="inlineStr"/>
      <c r="M1135" s="17" t="inlineStr"/>
    </row>
    <row r="1136" ht="18" customHeight="1">
      <c r="A1136" s="18" t="inlineStr">
        <is>
          <t>AC-6(1)</t>
        </is>
      </c>
      <c r="B1136" s="19" t="inlineStr">
        <is>
          <t>Least Privilege</t>
        </is>
      </c>
      <c r="C1136" s="19" t="inlineStr">
        <is>
          <t>Tenable Security Centre+</t>
        </is>
      </c>
      <c r="D1136" s="18" t="inlineStr">
        <is>
          <t>AC</t>
        </is>
      </c>
      <c r="E1136" s="19" t="inlineStr">
        <is>
          <t>Tenable Security Centre Plus</t>
        </is>
      </c>
      <c r="F1136" s="19" t="inlineStr">
        <is>
          <t>AC-6-1</t>
        </is>
      </c>
      <c r="G1136" s="20">
        <f>IFERROR('[Tenable_Security_Centre_Plus.xlsx]AC-6-1'!B20,"Not Started")</f>
        <v/>
      </c>
      <c r="H1136" s="14">
        <f>IF(OR(G1136="Passed",G1136="Accepted Exception"),"GREEN",IF(OR(G1136="Not Started",G1136="Failed"),"RED","AMBER"))</f>
        <v/>
      </c>
      <c r="I1136" s="21">
        <f>IFERROR('[Tenable_Security_Centre_Plus.xlsx]AC-6-1'!E20,"Non commencé")</f>
        <v/>
      </c>
      <c r="J1136" s="16">
        <f>IF(OR(I1136="Réussi",I1136="Exception acceptée"),"GREEN",IF(OR(I1136="Non commencé",I1136="Échec"),"RED","AMBER"))</f>
        <v/>
      </c>
      <c r="K1136" s="19" t="inlineStr"/>
      <c r="L1136" s="19" t="inlineStr"/>
      <c r="M1136" s="22" t="inlineStr"/>
    </row>
    <row r="1137" ht="18" customHeight="1">
      <c r="A1137" s="11" t="inlineStr">
        <is>
          <t>AC-6(9)</t>
        </is>
      </c>
      <c r="B1137" s="12" t="inlineStr">
        <is>
          <t>Least Privilege</t>
        </is>
      </c>
      <c r="C1137" s="12" t="inlineStr">
        <is>
          <t>Tenable Security Centre+</t>
        </is>
      </c>
      <c r="D1137" s="11" t="inlineStr">
        <is>
          <t>AC</t>
        </is>
      </c>
      <c r="E1137" s="12" t="inlineStr">
        <is>
          <t>Tenable Security Centre Plus</t>
        </is>
      </c>
      <c r="F1137" s="12" t="inlineStr">
        <is>
          <t>AC-6-9</t>
        </is>
      </c>
      <c r="G1137" s="13">
        <f>IFERROR('[Tenable_Security_Centre_Plus.xlsx]AC-6-9'!B20,"Not Started")</f>
        <v/>
      </c>
      <c r="H1137" s="14">
        <f>IF(OR(G1137="Passed",G1137="Accepted Exception"),"GREEN",IF(OR(G1137="Not Started",G1137="Failed"),"RED","AMBER"))</f>
        <v/>
      </c>
      <c r="I1137" s="15">
        <f>IFERROR('[Tenable_Security_Centre_Plus.xlsx]AC-6-9'!E20,"Non commencé")</f>
        <v/>
      </c>
      <c r="J1137" s="16">
        <f>IF(OR(I1137="Réussi",I1137="Exception acceptée"),"GREEN",IF(OR(I1137="Non commencé",I1137="Échec"),"RED","AMBER"))</f>
        <v/>
      </c>
      <c r="K1137" s="12" t="inlineStr"/>
      <c r="L1137" s="12" t="inlineStr"/>
      <c r="M1137" s="17" t="inlineStr"/>
    </row>
    <row r="1138" ht="18" customHeight="1">
      <c r="A1138" s="18" t="inlineStr">
        <is>
          <t>AC-6(10)</t>
        </is>
      </c>
      <c r="B1138" s="19" t="inlineStr">
        <is>
          <t>Least Privilege</t>
        </is>
      </c>
      <c r="C1138" s="19" t="inlineStr">
        <is>
          <t>Tenable Security Centre+</t>
        </is>
      </c>
      <c r="D1138" s="18" t="inlineStr">
        <is>
          <t>AC</t>
        </is>
      </c>
      <c r="E1138" s="19" t="inlineStr">
        <is>
          <t>Tenable Security Centre Plus</t>
        </is>
      </c>
      <c r="F1138" s="19" t="inlineStr">
        <is>
          <t>AC-6-10</t>
        </is>
      </c>
      <c r="G1138" s="20">
        <f>IFERROR('[Tenable_Security_Centre_Plus.xlsx]AC-6-10'!B20,"Not Started")</f>
        <v/>
      </c>
      <c r="H1138" s="14">
        <f>IF(OR(G1138="Passed",G1138="Accepted Exception"),"GREEN",IF(OR(G1138="Not Started",G1138="Failed"),"RED","AMBER"))</f>
        <v/>
      </c>
      <c r="I1138" s="21">
        <f>IFERROR('[Tenable_Security_Centre_Plus.xlsx]AC-6-10'!E20,"Non commencé")</f>
        <v/>
      </c>
      <c r="J1138" s="16">
        <f>IF(OR(I1138="Réussi",I1138="Exception acceptée"),"GREEN",IF(OR(I1138="Non commencé",I1138="Échec"),"RED","AMBER"))</f>
        <v/>
      </c>
      <c r="K1138" s="19" t="inlineStr"/>
      <c r="L1138" s="19" t="inlineStr"/>
      <c r="M1138" s="22" t="inlineStr"/>
    </row>
    <row r="1139" ht="18" customHeight="1">
      <c r="A1139" s="11" t="inlineStr">
        <is>
          <t>AC-7</t>
        </is>
      </c>
      <c r="B1139" s="12" t="inlineStr">
        <is>
          <t>Unsuccessful Login Attempts</t>
        </is>
      </c>
      <c r="C1139" s="12" t="inlineStr">
        <is>
          <t>Tenable Security Centre+</t>
        </is>
      </c>
      <c r="D1139" s="11" t="inlineStr">
        <is>
          <t>AC</t>
        </is>
      </c>
      <c r="E1139" s="12" t="inlineStr">
        <is>
          <t>Tenable Security Centre Plus</t>
        </is>
      </c>
      <c r="F1139" s="12" t="inlineStr">
        <is>
          <t>AC-7</t>
        </is>
      </c>
      <c r="G1139" s="13">
        <f>IFERROR('[Tenable_Security_Centre_Plus.xlsx]AC-7'!B20,"Not Started")</f>
        <v/>
      </c>
      <c r="H1139" s="14">
        <f>IF(OR(G1139="Passed",G1139="Accepted Exception"),"GREEN",IF(OR(G1139="Not Started",G1139="Failed"),"RED","AMBER"))</f>
        <v/>
      </c>
      <c r="I1139" s="15">
        <f>IFERROR('[Tenable_Security_Centre_Plus.xlsx]AC-7'!E20,"Non commencé")</f>
        <v/>
      </c>
      <c r="J1139" s="16">
        <f>IF(OR(I1139="Réussi",I1139="Exception acceptée"),"GREEN",IF(OR(I1139="Non commencé",I1139="Échec"),"RED","AMBER"))</f>
        <v/>
      </c>
      <c r="K1139" s="12" t="inlineStr"/>
      <c r="L1139" s="12" t="inlineStr"/>
      <c r="M1139" s="17" t="inlineStr"/>
    </row>
    <row r="1140" ht="18" customHeight="1">
      <c r="A1140" s="18" t="inlineStr">
        <is>
          <t>AC-17(2)</t>
        </is>
      </c>
      <c r="B1140" s="19" t="inlineStr">
        <is>
          <t>Remote Access</t>
        </is>
      </c>
      <c r="C1140" s="19" t="inlineStr">
        <is>
          <t>Tenable Security Centre+</t>
        </is>
      </c>
      <c r="D1140" s="18" t="inlineStr">
        <is>
          <t>AC</t>
        </is>
      </c>
      <c r="E1140" s="19" t="inlineStr">
        <is>
          <t>Tenable Security Centre Plus</t>
        </is>
      </c>
      <c r="F1140" s="19" t="inlineStr">
        <is>
          <t>AC-17-2</t>
        </is>
      </c>
      <c r="G1140" s="20">
        <f>IFERROR('[Tenable_Security_Centre_Plus.xlsx]AC-17-2'!B20,"Not Started")</f>
        <v/>
      </c>
      <c r="H1140" s="14">
        <f>IF(OR(G1140="Passed",G1140="Accepted Exception"),"GREEN",IF(OR(G1140="Not Started",G1140="Failed"),"RED","AMBER"))</f>
        <v/>
      </c>
      <c r="I1140" s="21">
        <f>IFERROR('[Tenable_Security_Centre_Plus.xlsx]AC-17-2'!E20,"Non commencé")</f>
        <v/>
      </c>
      <c r="J1140" s="16">
        <f>IF(OR(I1140="Réussi",I1140="Exception acceptée"),"GREEN",IF(OR(I1140="Non commencé",I1140="Échec"),"RED","AMBER"))</f>
        <v/>
      </c>
      <c r="K1140" s="19" t="inlineStr"/>
      <c r="L1140" s="19" t="inlineStr"/>
      <c r="M1140" s="22" t="inlineStr"/>
    </row>
    <row r="1141" ht="18" customHeight="1">
      <c r="A1141" s="11" t="inlineStr">
        <is>
          <t>AU-2</t>
        </is>
      </c>
      <c r="B1141" s="12" t="inlineStr">
        <is>
          <t>Auditable Events</t>
        </is>
      </c>
      <c r="C1141" s="12" t="inlineStr">
        <is>
          <t>Tenable Security Centre+</t>
        </is>
      </c>
      <c r="D1141" s="11" t="inlineStr">
        <is>
          <t>AU</t>
        </is>
      </c>
      <c r="E1141" s="12" t="inlineStr">
        <is>
          <t>Tenable Security Centre Plus</t>
        </is>
      </c>
      <c r="F1141" s="12" t="inlineStr">
        <is>
          <t>AU-2</t>
        </is>
      </c>
      <c r="G1141" s="13">
        <f>IFERROR('[Tenable_Security_Centre_Plus.xlsx]AU-2'!B20,"Not Started")</f>
        <v/>
      </c>
      <c r="H1141" s="14">
        <f>IF(OR(G1141="Passed",G1141="Accepted Exception"),"GREEN",IF(OR(G1141="Not Started",G1141="Failed"),"RED","AMBER"))</f>
        <v/>
      </c>
      <c r="I1141" s="15">
        <f>IFERROR('[Tenable_Security_Centre_Plus.xlsx]AU-2'!E20,"Non commencé")</f>
        <v/>
      </c>
      <c r="J1141" s="16">
        <f>IF(OR(I1141="Réussi",I1141="Exception acceptée"),"GREEN",IF(OR(I1141="Non commencé",I1141="Échec"),"RED","AMBER"))</f>
        <v/>
      </c>
      <c r="K1141" s="12" t="inlineStr"/>
      <c r="L1141" s="12" t="inlineStr"/>
      <c r="M1141" s="17" t="inlineStr"/>
    </row>
    <row r="1142" ht="18" customHeight="1">
      <c r="A1142" s="18" t="inlineStr">
        <is>
          <t>AU-3</t>
        </is>
      </c>
      <c r="B1142" s="19" t="inlineStr">
        <is>
          <t>Content of Audit Records</t>
        </is>
      </c>
      <c r="C1142" s="19" t="inlineStr">
        <is>
          <t>Tenable Security Centre+</t>
        </is>
      </c>
      <c r="D1142" s="18" t="inlineStr">
        <is>
          <t>AU</t>
        </is>
      </c>
      <c r="E1142" s="19" t="inlineStr">
        <is>
          <t>Tenable Security Centre Plus</t>
        </is>
      </c>
      <c r="F1142" s="19" t="inlineStr">
        <is>
          <t>AU-3</t>
        </is>
      </c>
      <c r="G1142" s="20">
        <f>IFERROR('[Tenable_Security_Centre_Plus.xlsx]AU-3'!B20,"Not Started")</f>
        <v/>
      </c>
      <c r="H1142" s="14">
        <f>IF(OR(G1142="Passed",G1142="Accepted Exception"),"GREEN",IF(OR(G1142="Not Started",G1142="Failed"),"RED","AMBER"))</f>
        <v/>
      </c>
      <c r="I1142" s="21">
        <f>IFERROR('[Tenable_Security_Centre_Plus.xlsx]AU-3'!E20,"Non commencé")</f>
        <v/>
      </c>
      <c r="J1142" s="16">
        <f>IF(OR(I1142="Réussi",I1142="Exception acceptée"),"GREEN",IF(OR(I1142="Non commencé",I1142="Échec"),"RED","AMBER"))</f>
        <v/>
      </c>
      <c r="K1142" s="19" t="inlineStr"/>
      <c r="L1142" s="19" t="inlineStr"/>
      <c r="M1142" s="22" t="inlineStr"/>
    </row>
    <row r="1143" ht="18" customHeight="1">
      <c r="A1143" s="11" t="inlineStr">
        <is>
          <t>AU-3(1)</t>
        </is>
      </c>
      <c r="B1143" s="12" t="inlineStr">
        <is>
          <t>Content of Audit Records</t>
        </is>
      </c>
      <c r="C1143" s="12" t="inlineStr">
        <is>
          <t>Tenable Security Centre+</t>
        </is>
      </c>
      <c r="D1143" s="11" t="inlineStr">
        <is>
          <t>AU</t>
        </is>
      </c>
      <c r="E1143" s="12" t="inlineStr">
        <is>
          <t>Tenable Security Centre Plus</t>
        </is>
      </c>
      <c r="F1143" s="12" t="inlineStr">
        <is>
          <t>AU-3-1</t>
        </is>
      </c>
      <c r="G1143" s="13">
        <f>IFERROR('[Tenable_Security_Centre_Plus.xlsx]AU-3-1'!B20,"Not Started")</f>
        <v/>
      </c>
      <c r="H1143" s="14">
        <f>IF(OR(G1143="Passed",G1143="Accepted Exception"),"GREEN",IF(OR(G1143="Not Started",G1143="Failed"),"RED","AMBER"))</f>
        <v/>
      </c>
      <c r="I1143" s="15">
        <f>IFERROR('[Tenable_Security_Centre_Plus.xlsx]AU-3-1'!E20,"Non commencé")</f>
        <v/>
      </c>
      <c r="J1143" s="16">
        <f>IF(OR(I1143="Réussi",I1143="Exception acceptée"),"GREEN",IF(OR(I1143="Non commencé",I1143="Échec"),"RED","AMBER"))</f>
        <v/>
      </c>
      <c r="K1143" s="12" t="inlineStr"/>
      <c r="L1143" s="12" t="inlineStr"/>
      <c r="M1143" s="17" t="inlineStr"/>
    </row>
    <row r="1144" ht="18" customHeight="1">
      <c r="A1144" s="18" t="inlineStr">
        <is>
          <t>AU-8</t>
        </is>
      </c>
      <c r="B1144" s="19" t="inlineStr">
        <is>
          <t>Time Stamps</t>
        </is>
      </c>
      <c r="C1144" s="19" t="inlineStr">
        <is>
          <t>Tenable Security Centre+</t>
        </is>
      </c>
      <c r="D1144" s="18" t="inlineStr">
        <is>
          <t>AU</t>
        </is>
      </c>
      <c r="E1144" s="19" t="inlineStr">
        <is>
          <t>Tenable Security Centre Plus</t>
        </is>
      </c>
      <c r="F1144" s="19" t="inlineStr">
        <is>
          <t>AU-8</t>
        </is>
      </c>
      <c r="G1144" s="20">
        <f>IFERROR('[Tenable_Security_Centre_Plus.xlsx]AU-8'!B20,"Not Started")</f>
        <v/>
      </c>
      <c r="H1144" s="14">
        <f>IF(OR(G1144="Passed",G1144="Accepted Exception"),"GREEN",IF(OR(G1144="Not Started",G1144="Failed"),"RED","AMBER"))</f>
        <v/>
      </c>
      <c r="I1144" s="21">
        <f>IFERROR('[Tenable_Security_Centre_Plus.xlsx]AU-8'!E20,"Non commencé")</f>
        <v/>
      </c>
      <c r="J1144" s="16">
        <f>IF(OR(I1144="Réussi",I1144="Exception acceptée"),"GREEN",IF(OR(I1144="Non commencé",I1144="Échec"),"RED","AMBER"))</f>
        <v/>
      </c>
      <c r="K1144" s="19" t="inlineStr"/>
      <c r="L1144" s="19" t="inlineStr"/>
      <c r="M1144" s="22" t="inlineStr"/>
    </row>
    <row r="1145" ht="18" customHeight="1">
      <c r="A1145" s="11" t="inlineStr">
        <is>
          <t>AU-8(1)</t>
        </is>
      </c>
      <c r="B1145" s="12" t="inlineStr">
        <is>
          <t>Time Stamps</t>
        </is>
      </c>
      <c r="C1145" s="12" t="inlineStr">
        <is>
          <t>Tenable Security Centre+</t>
        </is>
      </c>
      <c r="D1145" s="11" t="inlineStr">
        <is>
          <t>AU</t>
        </is>
      </c>
      <c r="E1145" s="12" t="inlineStr">
        <is>
          <t>Tenable Security Centre Plus</t>
        </is>
      </c>
      <c r="F1145" s="12" t="inlineStr">
        <is>
          <t>AU-8-1</t>
        </is>
      </c>
      <c r="G1145" s="13">
        <f>IFERROR('[Tenable_Security_Centre_Plus.xlsx]AU-8-1'!B20,"Not Started")</f>
        <v/>
      </c>
      <c r="H1145" s="14">
        <f>IF(OR(G1145="Passed",G1145="Accepted Exception"),"GREEN",IF(OR(G1145="Not Started",G1145="Failed"),"RED","AMBER"))</f>
        <v/>
      </c>
      <c r="I1145" s="15">
        <f>IFERROR('[Tenable_Security_Centre_Plus.xlsx]AU-8-1'!E20,"Non commencé")</f>
        <v/>
      </c>
      <c r="J1145" s="16">
        <f>IF(OR(I1145="Réussi",I1145="Exception acceptée"),"GREEN",IF(OR(I1145="Non commencé",I1145="Échec"),"RED","AMBER"))</f>
        <v/>
      </c>
      <c r="K1145" s="12" t="inlineStr"/>
      <c r="L1145" s="12" t="inlineStr"/>
      <c r="M1145" s="17" t="inlineStr"/>
    </row>
    <row r="1146" ht="18" customHeight="1">
      <c r="A1146" s="18" t="inlineStr">
        <is>
          <t>AU-12</t>
        </is>
      </c>
      <c r="B1146" s="19" t="inlineStr">
        <is>
          <t>Audit Generation</t>
        </is>
      </c>
      <c r="C1146" s="19" t="inlineStr">
        <is>
          <t>Tenable Security Centre+</t>
        </is>
      </c>
      <c r="D1146" s="18" t="inlineStr">
        <is>
          <t>AU</t>
        </is>
      </c>
      <c r="E1146" s="19" t="inlineStr">
        <is>
          <t>Tenable Security Centre Plus</t>
        </is>
      </c>
      <c r="F1146" s="19" t="inlineStr">
        <is>
          <t>AU-12</t>
        </is>
      </c>
      <c r="G1146" s="20">
        <f>IFERROR('[Tenable_Security_Centre_Plus.xlsx]AU-12'!B20,"Not Started")</f>
        <v/>
      </c>
      <c r="H1146" s="14">
        <f>IF(OR(G1146="Passed",G1146="Accepted Exception"),"GREEN",IF(OR(G1146="Not Started",G1146="Failed"),"RED","AMBER"))</f>
        <v/>
      </c>
      <c r="I1146" s="21">
        <f>IFERROR('[Tenable_Security_Centre_Plus.xlsx]AU-12'!E20,"Non commencé")</f>
        <v/>
      </c>
      <c r="J1146" s="16">
        <f>IF(OR(I1146="Réussi",I1146="Exception acceptée"),"GREEN",IF(OR(I1146="Non commencé",I1146="Échec"),"RED","AMBER"))</f>
        <v/>
      </c>
      <c r="K1146" s="19" t="inlineStr"/>
      <c r="L1146" s="19" t="inlineStr"/>
      <c r="M1146" s="22" t="inlineStr"/>
    </row>
    <row r="1147" ht="18" customHeight="1">
      <c r="A1147" s="11" t="inlineStr">
        <is>
          <t>CA-2(2)</t>
        </is>
      </c>
      <c r="B1147" s="12" t="inlineStr">
        <is>
          <t>Security Assessments</t>
        </is>
      </c>
      <c r="C1147" s="12" t="inlineStr">
        <is>
          <t>Tenable Security Centre+</t>
        </is>
      </c>
      <c r="D1147" s="11" t="inlineStr">
        <is>
          <t>CA</t>
        </is>
      </c>
      <c r="E1147" s="12" t="inlineStr">
        <is>
          <t>Tenable Security Centre Plus</t>
        </is>
      </c>
      <c r="F1147" s="12" t="inlineStr">
        <is>
          <t>CA-2-2</t>
        </is>
      </c>
      <c r="G1147" s="13">
        <f>IFERROR('[Tenable_Security_Centre_Plus.xlsx]CA-2-2'!B20,"Not Started")</f>
        <v/>
      </c>
      <c r="H1147" s="14">
        <f>IF(OR(G1147="Passed",G1147="Accepted Exception"),"GREEN",IF(OR(G1147="Not Started",G1147="Failed"),"RED","AMBER"))</f>
        <v/>
      </c>
      <c r="I1147" s="15">
        <f>IFERROR('[Tenable_Security_Centre_Plus.xlsx]CA-2-2'!E20,"Non commencé")</f>
        <v/>
      </c>
      <c r="J1147" s="16">
        <f>IF(OR(I1147="Réussi",I1147="Exception acceptée"),"GREEN",IF(OR(I1147="Non commencé",I1147="Échec"),"RED","AMBER"))</f>
        <v/>
      </c>
      <c r="K1147" s="12" t="inlineStr"/>
      <c r="L1147" s="12" t="inlineStr"/>
      <c r="M1147" s="17" t="inlineStr"/>
    </row>
    <row r="1148" ht="18" customHeight="1">
      <c r="A1148" s="18" t="inlineStr">
        <is>
          <t>CA-9</t>
        </is>
      </c>
      <c r="B1148" s="19" t="inlineStr">
        <is>
          <t>Internal System Connections</t>
        </is>
      </c>
      <c r="C1148" s="19" t="inlineStr">
        <is>
          <t>Tenable Security Centre+</t>
        </is>
      </c>
      <c r="D1148" s="18" t="inlineStr">
        <is>
          <t>CA</t>
        </is>
      </c>
      <c r="E1148" s="19" t="inlineStr">
        <is>
          <t>Tenable Security Centre Plus</t>
        </is>
      </c>
      <c r="F1148" s="19" t="inlineStr">
        <is>
          <t>CA-9</t>
        </is>
      </c>
      <c r="G1148" s="20">
        <f>IFERROR('[Tenable_Security_Centre_Plus.xlsx]CA-9'!B20,"Not Started")</f>
        <v/>
      </c>
      <c r="H1148" s="14">
        <f>IF(OR(G1148="Passed",G1148="Accepted Exception"),"GREEN",IF(OR(G1148="Not Started",G1148="Failed"),"RED","AMBER"))</f>
        <v/>
      </c>
      <c r="I1148" s="21">
        <f>IFERROR('[Tenable_Security_Centre_Plus.xlsx]CA-9'!E20,"Non commencé")</f>
        <v/>
      </c>
      <c r="J1148" s="16">
        <f>IF(OR(I1148="Réussi",I1148="Exception acceptée"),"GREEN",IF(OR(I1148="Non commencé",I1148="Échec"),"RED","AMBER"))</f>
        <v/>
      </c>
      <c r="K1148" s="19" t="inlineStr"/>
      <c r="L1148" s="19" t="inlineStr"/>
      <c r="M1148" s="22" t="inlineStr"/>
    </row>
    <row r="1149" ht="18" customHeight="1">
      <c r="A1149" s="11" t="inlineStr">
        <is>
          <t>CM-2</t>
        </is>
      </c>
      <c r="B1149" s="12" t="inlineStr">
        <is>
          <t>Baseline Configuration</t>
        </is>
      </c>
      <c r="C1149" s="12" t="inlineStr">
        <is>
          <t>Tenable Security Centre+</t>
        </is>
      </c>
      <c r="D1149" s="11" t="inlineStr">
        <is>
          <t>CM</t>
        </is>
      </c>
      <c r="E1149" s="12" t="inlineStr">
        <is>
          <t>Tenable Security Centre Plus</t>
        </is>
      </c>
      <c r="F1149" s="12" t="inlineStr">
        <is>
          <t>CM-2</t>
        </is>
      </c>
      <c r="G1149" s="13">
        <f>IFERROR('[Tenable_Security_Centre_Plus.xlsx]CM-2'!B20,"Not Started")</f>
        <v/>
      </c>
      <c r="H1149" s="14">
        <f>IF(OR(G1149="Passed",G1149="Accepted Exception"),"GREEN",IF(OR(G1149="Not Started",G1149="Failed"),"RED","AMBER"))</f>
        <v/>
      </c>
      <c r="I1149" s="15">
        <f>IFERROR('[Tenable_Security_Centre_Plus.xlsx]CM-2'!E20,"Non commencé")</f>
        <v/>
      </c>
      <c r="J1149" s="16">
        <f>IF(OR(I1149="Réussi",I1149="Exception acceptée"),"GREEN",IF(OR(I1149="Non commencé",I1149="Échec"),"RED","AMBER"))</f>
        <v/>
      </c>
      <c r="K1149" s="12" t="inlineStr"/>
      <c r="L1149" s="12" t="inlineStr"/>
      <c r="M1149" s="17" t="inlineStr"/>
    </row>
    <row r="1150" ht="18" customHeight="1">
      <c r="A1150" s="18" t="inlineStr">
        <is>
          <t>CM-2(1)</t>
        </is>
      </c>
      <c r="B1150" s="19" t="inlineStr">
        <is>
          <t>Baseline Configuration</t>
        </is>
      </c>
      <c r="C1150" s="19" t="inlineStr">
        <is>
          <t>Tenable Security Centre+</t>
        </is>
      </c>
      <c r="D1150" s="18" t="inlineStr">
        <is>
          <t>CM</t>
        </is>
      </c>
      <c r="E1150" s="19" t="inlineStr">
        <is>
          <t>Tenable Security Centre Plus</t>
        </is>
      </c>
      <c r="F1150" s="19" t="inlineStr">
        <is>
          <t>CM-2-1</t>
        </is>
      </c>
      <c r="G1150" s="20">
        <f>IFERROR('[Tenable_Security_Centre_Plus.xlsx]CM-2-1'!B20,"Not Started")</f>
        <v/>
      </c>
      <c r="H1150" s="14">
        <f>IF(OR(G1150="Passed",G1150="Accepted Exception"),"GREEN",IF(OR(G1150="Not Started",G1150="Failed"),"RED","AMBER"))</f>
        <v/>
      </c>
      <c r="I1150" s="21">
        <f>IFERROR('[Tenable_Security_Centre_Plus.xlsx]CM-2-1'!E20,"Non commencé")</f>
        <v/>
      </c>
      <c r="J1150" s="16">
        <f>IF(OR(I1150="Réussi",I1150="Exception acceptée"),"GREEN",IF(OR(I1150="Non commencé",I1150="Échec"),"RED","AMBER"))</f>
        <v/>
      </c>
      <c r="K1150" s="19" t="inlineStr"/>
      <c r="L1150" s="19" t="inlineStr"/>
      <c r="M1150" s="22" t="inlineStr"/>
    </row>
    <row r="1151" ht="18" customHeight="1">
      <c r="A1151" s="11" t="inlineStr">
        <is>
          <t>CM-6</t>
        </is>
      </c>
      <c r="B1151" s="12" t="inlineStr">
        <is>
          <t>Configuration Settings</t>
        </is>
      </c>
      <c r="C1151" s="12" t="inlineStr">
        <is>
          <t>Tenable Security Centre+</t>
        </is>
      </c>
      <c r="D1151" s="11" t="inlineStr">
        <is>
          <t>CM</t>
        </is>
      </c>
      <c r="E1151" s="12" t="inlineStr">
        <is>
          <t>Tenable Security Centre Plus</t>
        </is>
      </c>
      <c r="F1151" s="12" t="inlineStr">
        <is>
          <t>CM-6</t>
        </is>
      </c>
      <c r="G1151" s="13">
        <f>IFERROR('[Tenable_Security_Centre_Plus.xlsx]CM-6'!B20,"Not Started")</f>
        <v/>
      </c>
      <c r="H1151" s="14">
        <f>IF(OR(G1151="Passed",G1151="Accepted Exception"),"GREEN",IF(OR(G1151="Not Started",G1151="Failed"),"RED","AMBER"))</f>
        <v/>
      </c>
      <c r="I1151" s="15">
        <f>IFERROR('[Tenable_Security_Centre_Plus.xlsx]CM-6'!E20,"Non commencé")</f>
        <v/>
      </c>
      <c r="J1151" s="16">
        <f>IF(OR(I1151="Réussi",I1151="Exception acceptée"),"GREEN",IF(OR(I1151="Non commencé",I1151="Échec"),"RED","AMBER"))</f>
        <v/>
      </c>
      <c r="K1151" s="12" t="inlineStr"/>
      <c r="L1151" s="12" t="inlineStr"/>
      <c r="M1151" s="17" t="inlineStr"/>
    </row>
    <row r="1152" ht="18" customHeight="1">
      <c r="A1152" s="18" t="inlineStr">
        <is>
          <t>CM-7</t>
        </is>
      </c>
      <c r="B1152" s="19" t="inlineStr">
        <is>
          <t>Least Functionality</t>
        </is>
      </c>
      <c r="C1152" s="19" t="inlineStr">
        <is>
          <t>Tenable Security Centre+</t>
        </is>
      </c>
      <c r="D1152" s="18" t="inlineStr">
        <is>
          <t>CM</t>
        </is>
      </c>
      <c r="E1152" s="19" t="inlineStr">
        <is>
          <t>Tenable Security Centre Plus</t>
        </is>
      </c>
      <c r="F1152" s="19" t="inlineStr">
        <is>
          <t>CM-7</t>
        </is>
      </c>
      <c r="G1152" s="20">
        <f>IFERROR('[Tenable_Security_Centre_Plus.xlsx]CM-7'!B20,"Not Started")</f>
        <v/>
      </c>
      <c r="H1152" s="14">
        <f>IF(OR(G1152="Passed",G1152="Accepted Exception"),"GREEN",IF(OR(G1152="Not Started",G1152="Failed"),"RED","AMBER"))</f>
        <v/>
      </c>
      <c r="I1152" s="21">
        <f>IFERROR('[Tenable_Security_Centre_Plus.xlsx]CM-7'!E20,"Non commencé")</f>
        <v/>
      </c>
      <c r="J1152" s="16">
        <f>IF(OR(I1152="Réussi",I1152="Exception acceptée"),"GREEN",IF(OR(I1152="Non commencé",I1152="Échec"),"RED","AMBER"))</f>
        <v/>
      </c>
      <c r="K1152" s="19" t="inlineStr"/>
      <c r="L1152" s="19" t="inlineStr"/>
      <c r="M1152" s="22" t="inlineStr"/>
    </row>
    <row r="1153" ht="18" customHeight="1">
      <c r="A1153" s="11" t="inlineStr">
        <is>
          <t>CM-7(1)</t>
        </is>
      </c>
      <c r="B1153" s="12" t="inlineStr">
        <is>
          <t>Least Functionality</t>
        </is>
      </c>
      <c r="C1153" s="12" t="inlineStr">
        <is>
          <t>Tenable Security Centre+</t>
        </is>
      </c>
      <c r="D1153" s="11" t="inlineStr">
        <is>
          <t>CM</t>
        </is>
      </c>
      <c r="E1153" s="12" t="inlineStr">
        <is>
          <t>Tenable Security Centre Plus</t>
        </is>
      </c>
      <c r="F1153" s="12" t="inlineStr">
        <is>
          <t>CM-7-1</t>
        </is>
      </c>
      <c r="G1153" s="13">
        <f>IFERROR('[Tenable_Security_Centre_Plus.xlsx]CM-7-1'!B20,"Not Started")</f>
        <v/>
      </c>
      <c r="H1153" s="14">
        <f>IF(OR(G1153="Passed",G1153="Accepted Exception"),"GREEN",IF(OR(G1153="Not Started",G1153="Failed"),"RED","AMBER"))</f>
        <v/>
      </c>
      <c r="I1153" s="15">
        <f>IFERROR('[Tenable_Security_Centre_Plus.xlsx]CM-7-1'!E20,"Non commencé")</f>
        <v/>
      </c>
      <c r="J1153" s="16">
        <f>IF(OR(I1153="Réussi",I1153="Exception acceptée"),"GREEN",IF(OR(I1153="Non commencé",I1153="Échec"),"RED","AMBER"))</f>
        <v/>
      </c>
      <c r="K1153" s="12" t="inlineStr"/>
      <c r="L1153" s="12" t="inlineStr"/>
      <c r="M1153" s="17" t="inlineStr"/>
    </row>
    <row r="1154" ht="18" customHeight="1">
      <c r="A1154" s="18" t="inlineStr">
        <is>
          <t>CP-7</t>
        </is>
      </c>
      <c r="B1154" s="19" t="inlineStr">
        <is>
          <t>Alternate Processing Site</t>
        </is>
      </c>
      <c r="C1154" s="19" t="inlineStr">
        <is>
          <t>Tenable Security Centre+</t>
        </is>
      </c>
      <c r="D1154" s="18" t="inlineStr">
        <is>
          <t>CP</t>
        </is>
      </c>
      <c r="E1154" s="19" t="inlineStr">
        <is>
          <t>Tenable Security Centre Plus</t>
        </is>
      </c>
      <c r="F1154" s="19" t="inlineStr">
        <is>
          <t>CP-7</t>
        </is>
      </c>
      <c r="G1154" s="20">
        <f>IFERROR('[Tenable_Security_Centre_Plus.xlsx]CP-7'!B20,"Not Started")</f>
        <v/>
      </c>
      <c r="H1154" s="14">
        <f>IF(OR(G1154="Passed",G1154="Accepted Exception"),"GREEN",IF(OR(G1154="Not Started",G1154="Failed"),"RED","AMBER"))</f>
        <v/>
      </c>
      <c r="I1154" s="21">
        <f>IFERROR('[Tenable_Security_Centre_Plus.xlsx]CP-7'!E20,"Non commencé")</f>
        <v/>
      </c>
      <c r="J1154" s="16">
        <f>IF(OR(I1154="Réussi",I1154="Exception acceptée"),"GREEN",IF(OR(I1154="Non commencé",I1154="Échec"),"RED","AMBER"))</f>
        <v/>
      </c>
      <c r="K1154" s="19" t="inlineStr"/>
      <c r="L1154" s="19" t="inlineStr"/>
      <c r="M1154" s="22" t="inlineStr"/>
    </row>
    <row r="1155" ht="18" customHeight="1">
      <c r="A1155" s="11" t="inlineStr">
        <is>
          <t>CP-7(1)</t>
        </is>
      </c>
      <c r="B1155" s="12" t="inlineStr">
        <is>
          <t>Alternate Processing Site</t>
        </is>
      </c>
      <c r="C1155" s="12" t="inlineStr">
        <is>
          <t>Tenable Security Centre+</t>
        </is>
      </c>
      <c r="D1155" s="11" t="inlineStr">
        <is>
          <t>CP</t>
        </is>
      </c>
      <c r="E1155" s="12" t="inlineStr">
        <is>
          <t>Tenable Security Centre Plus</t>
        </is>
      </c>
      <c r="F1155" s="12" t="inlineStr">
        <is>
          <t>CP-7-1</t>
        </is>
      </c>
      <c r="G1155" s="13">
        <f>IFERROR('[Tenable_Security_Centre_Plus.xlsx]CP-7-1'!B20,"Not Started")</f>
        <v/>
      </c>
      <c r="H1155" s="14">
        <f>IF(OR(G1155="Passed",G1155="Accepted Exception"),"GREEN",IF(OR(G1155="Not Started",G1155="Failed"),"RED","AMBER"))</f>
        <v/>
      </c>
      <c r="I1155" s="15">
        <f>IFERROR('[Tenable_Security_Centre_Plus.xlsx]CP-7-1'!E20,"Non commencé")</f>
        <v/>
      </c>
      <c r="J1155" s="16">
        <f>IF(OR(I1155="Réussi",I1155="Exception acceptée"),"GREEN",IF(OR(I1155="Non commencé",I1155="Échec"),"RED","AMBER"))</f>
        <v/>
      </c>
      <c r="K1155" s="12" t="inlineStr"/>
      <c r="L1155" s="12" t="inlineStr"/>
      <c r="M1155" s="17" t="inlineStr"/>
    </row>
    <row r="1156" ht="18" customHeight="1">
      <c r="A1156" s="18" t="inlineStr">
        <is>
          <t>CP-7(4)</t>
        </is>
      </c>
      <c r="B1156" s="19" t="inlineStr">
        <is>
          <t>Alternate Processing Site</t>
        </is>
      </c>
      <c r="C1156" s="19" t="inlineStr">
        <is>
          <t>Tenable Security Centre+</t>
        </is>
      </c>
      <c r="D1156" s="18" t="inlineStr">
        <is>
          <t>CP</t>
        </is>
      </c>
      <c r="E1156" s="19" t="inlineStr">
        <is>
          <t>Tenable Security Centre Plus</t>
        </is>
      </c>
      <c r="F1156" s="19" t="inlineStr">
        <is>
          <t>CP-7-4</t>
        </is>
      </c>
      <c r="G1156" s="20">
        <f>IFERROR('[Tenable_Security_Centre_Plus.xlsx]CP-7-4'!B20,"Not Started")</f>
        <v/>
      </c>
      <c r="H1156" s="14">
        <f>IF(OR(G1156="Passed",G1156="Accepted Exception"),"GREEN",IF(OR(G1156="Not Started",G1156="Failed"),"RED","AMBER"))</f>
        <v/>
      </c>
      <c r="I1156" s="21">
        <f>IFERROR('[Tenable_Security_Centre_Plus.xlsx]CP-7-4'!E20,"Non commencé")</f>
        <v/>
      </c>
      <c r="J1156" s="16">
        <f>IF(OR(I1156="Réussi",I1156="Exception acceptée"),"GREEN",IF(OR(I1156="Non commencé",I1156="Échec"),"RED","AMBER"))</f>
        <v/>
      </c>
      <c r="K1156" s="19" t="inlineStr"/>
      <c r="L1156" s="19" t="inlineStr"/>
      <c r="M1156" s="22" t="inlineStr"/>
    </row>
    <row r="1157" ht="18" customHeight="1">
      <c r="A1157" s="11" t="inlineStr">
        <is>
          <t>CP-9</t>
        </is>
      </c>
      <c r="B1157" s="12" t="inlineStr">
        <is>
          <t>Information System Backup</t>
        </is>
      </c>
      <c r="C1157" s="12" t="inlineStr">
        <is>
          <t>Tenable Security Centre+</t>
        </is>
      </c>
      <c r="D1157" s="11" t="inlineStr">
        <is>
          <t>CP</t>
        </is>
      </c>
      <c r="E1157" s="12" t="inlineStr">
        <is>
          <t>Tenable Security Centre Plus</t>
        </is>
      </c>
      <c r="F1157" s="12" t="inlineStr">
        <is>
          <t>CP-9</t>
        </is>
      </c>
      <c r="G1157" s="13">
        <f>IFERROR('[Tenable_Security_Centre_Plus.xlsx]CP-9'!B20,"Not Started")</f>
        <v/>
      </c>
      <c r="H1157" s="14">
        <f>IF(OR(G1157="Passed",G1157="Accepted Exception"),"GREEN",IF(OR(G1157="Not Started",G1157="Failed"),"RED","AMBER"))</f>
        <v/>
      </c>
      <c r="I1157" s="15">
        <f>IFERROR('[Tenable_Security_Centre_Plus.xlsx]CP-9'!E20,"Non commencé")</f>
        <v/>
      </c>
      <c r="J1157" s="16">
        <f>IF(OR(I1157="Réussi",I1157="Exception acceptée"),"GREEN",IF(OR(I1157="Non commencé",I1157="Échec"),"RED","AMBER"))</f>
        <v/>
      </c>
      <c r="K1157" s="12" t="inlineStr"/>
      <c r="L1157" s="12" t="inlineStr"/>
      <c r="M1157" s="17" t="inlineStr"/>
    </row>
    <row r="1158" ht="18" customHeight="1">
      <c r="A1158" s="18" t="inlineStr">
        <is>
          <t>CP-10</t>
        </is>
      </c>
      <c r="B1158" s="19" t="inlineStr">
        <is>
          <t>Information System Recovery and Reconstitution</t>
        </is>
      </c>
      <c r="C1158" s="19" t="inlineStr">
        <is>
          <t>Tenable Security Centre+</t>
        </is>
      </c>
      <c r="D1158" s="18" t="inlineStr">
        <is>
          <t>CP</t>
        </is>
      </c>
      <c r="E1158" s="19" t="inlineStr">
        <is>
          <t>Tenable Security Centre Plus</t>
        </is>
      </c>
      <c r="F1158" s="19" t="inlineStr">
        <is>
          <t>CP-10</t>
        </is>
      </c>
      <c r="G1158" s="20">
        <f>IFERROR('[Tenable_Security_Centre_Plus.xlsx]CP-10'!B20,"Not Started")</f>
        <v/>
      </c>
      <c r="H1158" s="14">
        <f>IF(OR(G1158="Passed",G1158="Accepted Exception"),"GREEN",IF(OR(G1158="Not Started",G1158="Failed"),"RED","AMBER"))</f>
        <v/>
      </c>
      <c r="I1158" s="21">
        <f>IFERROR('[Tenable_Security_Centre_Plus.xlsx]CP-10'!E20,"Non commencé")</f>
        <v/>
      </c>
      <c r="J1158" s="16">
        <f>IF(OR(I1158="Réussi",I1158="Exception acceptée"),"GREEN",IF(OR(I1158="Non commencé",I1158="Échec"),"RED","AMBER"))</f>
        <v/>
      </c>
      <c r="K1158" s="19" t="inlineStr"/>
      <c r="L1158" s="19" t="inlineStr"/>
      <c r="M1158" s="22" t="inlineStr"/>
    </row>
    <row r="1159" ht="18" customHeight="1">
      <c r="A1159" s="11" t="inlineStr">
        <is>
          <t>CP-10(4)</t>
        </is>
      </c>
      <c r="B1159" s="12" t="inlineStr">
        <is>
          <t>Information System Recovery and Reconstitution</t>
        </is>
      </c>
      <c r="C1159" s="12" t="inlineStr">
        <is>
          <t>Tenable Security Centre+</t>
        </is>
      </c>
      <c r="D1159" s="11" t="inlineStr">
        <is>
          <t>CP</t>
        </is>
      </c>
      <c r="E1159" s="12" t="inlineStr">
        <is>
          <t>Tenable Security Centre Plus</t>
        </is>
      </c>
      <c r="F1159" s="12" t="inlineStr">
        <is>
          <t>CP-10-4</t>
        </is>
      </c>
      <c r="G1159" s="13">
        <f>IFERROR('[Tenable_Security_Centre_Plus.xlsx]CP-10-4'!B20,"Not Started")</f>
        <v/>
      </c>
      <c r="H1159" s="14">
        <f>IF(OR(G1159="Passed",G1159="Accepted Exception"),"GREEN",IF(OR(G1159="Not Started",G1159="Failed"),"RED","AMBER"))</f>
        <v/>
      </c>
      <c r="I1159" s="15">
        <f>IFERROR('[Tenable_Security_Centre_Plus.xlsx]CP-10-4'!E20,"Non commencé")</f>
        <v/>
      </c>
      <c r="J1159" s="16">
        <f>IF(OR(I1159="Réussi",I1159="Exception acceptée"),"GREEN",IF(OR(I1159="Non commencé",I1159="Échec"),"RED","AMBER"))</f>
        <v/>
      </c>
      <c r="K1159" s="12" t="inlineStr"/>
      <c r="L1159" s="12" t="inlineStr"/>
      <c r="M1159" s="17" t="inlineStr"/>
    </row>
    <row r="1160" ht="18" customHeight="1">
      <c r="A1160" s="18" t="inlineStr">
        <is>
          <t>RA-5</t>
        </is>
      </c>
      <c r="B1160" s="19" t="inlineStr">
        <is>
          <t>Vulnerability Scanning</t>
        </is>
      </c>
      <c r="C1160" s="19" t="inlineStr">
        <is>
          <t>Tenable Security Centre+</t>
        </is>
      </c>
      <c r="D1160" s="18" t="inlineStr">
        <is>
          <t>RA</t>
        </is>
      </c>
      <c r="E1160" s="19" t="inlineStr">
        <is>
          <t>Tenable Security Centre Plus</t>
        </is>
      </c>
      <c r="F1160" s="19" t="inlineStr">
        <is>
          <t>RA-5</t>
        </is>
      </c>
      <c r="G1160" s="20">
        <f>IFERROR('[Tenable_Security_Centre_Plus.xlsx]RA-5'!B20,"Not Started")</f>
        <v/>
      </c>
      <c r="H1160" s="14">
        <f>IF(OR(G1160="Passed",G1160="Accepted Exception"),"GREEN",IF(OR(G1160="Not Started",G1160="Failed"),"RED","AMBER"))</f>
        <v/>
      </c>
      <c r="I1160" s="21">
        <f>IFERROR('[Tenable_Security_Centre_Plus.xlsx]RA-5'!E20,"Non commencé")</f>
        <v/>
      </c>
      <c r="J1160" s="16">
        <f>IF(OR(I1160="Réussi",I1160="Exception acceptée"),"GREEN",IF(OR(I1160="Non commencé",I1160="Échec"),"RED","AMBER"))</f>
        <v/>
      </c>
      <c r="K1160" s="19" t="inlineStr"/>
      <c r="L1160" s="19" t="inlineStr"/>
      <c r="M1160" s="22" t="inlineStr"/>
    </row>
    <row r="1161" ht="18" customHeight="1">
      <c r="A1161" s="11" t="inlineStr">
        <is>
          <t>RA-5(1)</t>
        </is>
      </c>
      <c r="B1161" s="12" t="inlineStr">
        <is>
          <t>Vulnerability Scanning</t>
        </is>
      </c>
      <c r="C1161" s="12" t="inlineStr">
        <is>
          <t>Tenable Security Centre+</t>
        </is>
      </c>
      <c r="D1161" s="11" t="inlineStr">
        <is>
          <t>RA</t>
        </is>
      </c>
      <c r="E1161" s="12" t="inlineStr">
        <is>
          <t>Tenable Security Centre Plus</t>
        </is>
      </c>
      <c r="F1161" s="12" t="inlineStr">
        <is>
          <t>RA-5-1</t>
        </is>
      </c>
      <c r="G1161" s="13">
        <f>IFERROR('[Tenable_Security_Centre_Plus.xlsx]RA-5-1'!B20,"Not Started")</f>
        <v/>
      </c>
      <c r="H1161" s="14">
        <f>IF(OR(G1161="Passed",G1161="Accepted Exception"),"GREEN",IF(OR(G1161="Not Started",G1161="Failed"),"RED","AMBER"))</f>
        <v/>
      </c>
      <c r="I1161" s="15">
        <f>IFERROR('[Tenable_Security_Centre_Plus.xlsx]RA-5-1'!E20,"Non commencé")</f>
        <v/>
      </c>
      <c r="J1161" s="16">
        <f>IF(OR(I1161="Réussi",I1161="Exception acceptée"),"GREEN",IF(OR(I1161="Non commencé",I1161="Échec"),"RED","AMBER"))</f>
        <v/>
      </c>
      <c r="K1161" s="12" t="inlineStr"/>
      <c r="L1161" s="12" t="inlineStr"/>
      <c r="M1161" s="17" t="inlineStr"/>
    </row>
    <row r="1162" ht="18" customHeight="1">
      <c r="A1162" s="18" t="inlineStr">
        <is>
          <t>RA-5(2)</t>
        </is>
      </c>
      <c r="B1162" s="19" t="inlineStr">
        <is>
          <t>Vulnerability Scanning</t>
        </is>
      </c>
      <c r="C1162" s="19" t="inlineStr">
        <is>
          <t>Tenable Security Centre+</t>
        </is>
      </c>
      <c r="D1162" s="18" t="inlineStr">
        <is>
          <t>RA</t>
        </is>
      </c>
      <c r="E1162" s="19" t="inlineStr">
        <is>
          <t>Tenable Security Centre Plus</t>
        </is>
      </c>
      <c r="F1162" s="19" t="inlineStr">
        <is>
          <t>RA-5-2</t>
        </is>
      </c>
      <c r="G1162" s="20">
        <f>IFERROR('[Tenable_Security_Centre_Plus.xlsx]RA-5-2'!B20,"Not Started")</f>
        <v/>
      </c>
      <c r="H1162" s="14">
        <f>IF(OR(G1162="Passed",G1162="Accepted Exception"),"GREEN",IF(OR(G1162="Not Started",G1162="Failed"),"RED","AMBER"))</f>
        <v/>
      </c>
      <c r="I1162" s="21">
        <f>IFERROR('[Tenable_Security_Centre_Plus.xlsx]RA-5-2'!E20,"Non commencé")</f>
        <v/>
      </c>
      <c r="J1162" s="16">
        <f>IF(OR(I1162="Réussi",I1162="Exception acceptée"),"GREEN",IF(OR(I1162="Non commencé",I1162="Échec"),"RED","AMBER"))</f>
        <v/>
      </c>
      <c r="K1162" s="19" t="inlineStr"/>
      <c r="L1162" s="19" t="inlineStr"/>
      <c r="M1162" s="22" t="inlineStr"/>
    </row>
    <row r="1163" ht="18" customHeight="1">
      <c r="A1163" s="11" t="inlineStr">
        <is>
          <t>RA-5(3)</t>
        </is>
      </c>
      <c r="B1163" s="12" t="inlineStr">
        <is>
          <t>Vulnerability Scanning</t>
        </is>
      </c>
      <c r="C1163" s="12" t="inlineStr">
        <is>
          <t>Tenable Security Centre+</t>
        </is>
      </c>
      <c r="D1163" s="11" t="inlineStr">
        <is>
          <t>RA</t>
        </is>
      </c>
      <c r="E1163" s="12" t="inlineStr">
        <is>
          <t>Tenable Security Centre Plus</t>
        </is>
      </c>
      <c r="F1163" s="12" t="inlineStr">
        <is>
          <t>RA-5-3</t>
        </is>
      </c>
      <c r="G1163" s="13">
        <f>IFERROR('[Tenable_Security_Centre_Plus.xlsx]RA-5-3'!B20,"Not Started")</f>
        <v/>
      </c>
      <c r="H1163" s="14">
        <f>IF(OR(G1163="Passed",G1163="Accepted Exception"),"GREEN",IF(OR(G1163="Not Started",G1163="Failed"),"RED","AMBER"))</f>
        <v/>
      </c>
      <c r="I1163" s="15">
        <f>IFERROR('[Tenable_Security_Centre_Plus.xlsx]RA-5-3'!E20,"Non commencé")</f>
        <v/>
      </c>
      <c r="J1163" s="16">
        <f>IF(OR(I1163="Réussi",I1163="Exception acceptée"),"GREEN",IF(OR(I1163="Non commencé",I1163="Échec"),"RED","AMBER"))</f>
        <v/>
      </c>
      <c r="K1163" s="12" t="inlineStr"/>
      <c r="L1163" s="12" t="inlineStr"/>
      <c r="M1163" s="17" t="inlineStr"/>
    </row>
    <row r="1164" ht="18" customHeight="1">
      <c r="A1164" s="18" t="inlineStr">
        <is>
          <t>RA-5(5)</t>
        </is>
      </c>
      <c r="B1164" s="19" t="inlineStr">
        <is>
          <t>Vulnerability Scanning</t>
        </is>
      </c>
      <c r="C1164" s="19" t="inlineStr">
        <is>
          <t>Tenable Security Centre+</t>
        </is>
      </c>
      <c r="D1164" s="18" t="inlineStr">
        <is>
          <t>RA</t>
        </is>
      </c>
      <c r="E1164" s="19" t="inlineStr">
        <is>
          <t>Tenable Security Centre Plus</t>
        </is>
      </c>
      <c r="F1164" s="19" t="inlineStr">
        <is>
          <t>RA-5-5</t>
        </is>
      </c>
      <c r="G1164" s="20">
        <f>IFERROR('[Tenable_Security_Centre_Plus.xlsx]RA-5-5'!B20,"Not Started")</f>
        <v/>
      </c>
      <c r="H1164" s="14">
        <f>IF(OR(G1164="Passed",G1164="Accepted Exception"),"GREEN",IF(OR(G1164="Not Started",G1164="Failed"),"RED","AMBER"))</f>
        <v/>
      </c>
      <c r="I1164" s="21">
        <f>IFERROR('[Tenable_Security_Centre_Plus.xlsx]RA-5-5'!E20,"Non commencé")</f>
        <v/>
      </c>
      <c r="J1164" s="16">
        <f>IF(OR(I1164="Réussi",I1164="Exception acceptée"),"GREEN",IF(OR(I1164="Non commencé",I1164="Échec"),"RED","AMBER"))</f>
        <v/>
      </c>
      <c r="K1164" s="19" t="inlineStr"/>
      <c r="L1164" s="19" t="inlineStr"/>
      <c r="M1164" s="22" t="inlineStr"/>
    </row>
    <row r="1165" ht="18" customHeight="1">
      <c r="A1165" s="11" t="inlineStr">
        <is>
          <t>RA-5(6)</t>
        </is>
      </c>
      <c r="B1165" s="12" t="inlineStr">
        <is>
          <t>Vulnerability Scanning</t>
        </is>
      </c>
      <c r="C1165" s="12" t="inlineStr">
        <is>
          <t>Tenable Security Centre+</t>
        </is>
      </c>
      <c r="D1165" s="11" t="inlineStr">
        <is>
          <t>RA</t>
        </is>
      </c>
      <c r="E1165" s="12" t="inlineStr">
        <is>
          <t>Tenable Security Centre Plus</t>
        </is>
      </c>
      <c r="F1165" s="12" t="inlineStr">
        <is>
          <t>RA-5-6</t>
        </is>
      </c>
      <c r="G1165" s="13">
        <f>IFERROR('[Tenable_Security_Centre_Plus.xlsx]RA-5-6'!B20,"Not Started")</f>
        <v/>
      </c>
      <c r="H1165" s="14">
        <f>IF(OR(G1165="Passed",G1165="Accepted Exception"),"GREEN",IF(OR(G1165="Not Started",G1165="Failed"),"RED","AMBER"))</f>
        <v/>
      </c>
      <c r="I1165" s="15">
        <f>IFERROR('[Tenable_Security_Centre_Plus.xlsx]RA-5-6'!E20,"Non commencé")</f>
        <v/>
      </c>
      <c r="J1165" s="16">
        <f>IF(OR(I1165="Réussi",I1165="Exception acceptée"),"GREEN",IF(OR(I1165="Non commencé",I1165="Échec"),"RED","AMBER"))</f>
        <v/>
      </c>
      <c r="K1165" s="12" t="inlineStr"/>
      <c r="L1165" s="12" t="inlineStr"/>
      <c r="M1165" s="17" t="inlineStr"/>
    </row>
    <row r="1166" ht="18" customHeight="1">
      <c r="A1166" s="18" t="inlineStr">
        <is>
          <t>RA-5(8)</t>
        </is>
      </c>
      <c r="B1166" s="19" t="inlineStr">
        <is>
          <t>Vulnerability Scanning</t>
        </is>
      </c>
      <c r="C1166" s="19" t="inlineStr">
        <is>
          <t>Tenable Security Centre+</t>
        </is>
      </c>
      <c r="D1166" s="18" t="inlineStr">
        <is>
          <t>RA</t>
        </is>
      </c>
      <c r="E1166" s="19" t="inlineStr">
        <is>
          <t>Tenable Security Centre Plus</t>
        </is>
      </c>
      <c r="F1166" s="19" t="inlineStr">
        <is>
          <t>RA-5-8</t>
        </is>
      </c>
      <c r="G1166" s="20">
        <f>IFERROR('[Tenable_Security_Centre_Plus.xlsx]RA-5-8'!B20,"Not Started")</f>
        <v/>
      </c>
      <c r="H1166" s="14">
        <f>IF(OR(G1166="Passed",G1166="Accepted Exception"),"GREEN",IF(OR(G1166="Not Started",G1166="Failed"),"RED","AMBER"))</f>
        <v/>
      </c>
      <c r="I1166" s="21">
        <f>IFERROR('[Tenable_Security_Centre_Plus.xlsx]RA-5-8'!E20,"Non commencé")</f>
        <v/>
      </c>
      <c r="J1166" s="16">
        <f>IF(OR(I1166="Réussi",I1166="Exception acceptée"),"GREEN",IF(OR(I1166="Non commencé",I1166="Échec"),"RED","AMBER"))</f>
        <v/>
      </c>
      <c r="K1166" s="19" t="inlineStr"/>
      <c r="L1166" s="19" t="inlineStr"/>
      <c r="M1166" s="22" t="inlineStr"/>
    </row>
    <row r="1167" ht="18" customHeight="1">
      <c r="A1167" s="11" t="inlineStr">
        <is>
          <t>SA-4</t>
        </is>
      </c>
      <c r="B1167" s="12" t="inlineStr">
        <is>
          <t>Acquisition Process</t>
        </is>
      </c>
      <c r="C1167" s="12" t="inlineStr">
        <is>
          <t>Tenable Security Centre+</t>
        </is>
      </c>
      <c r="D1167" s="11" t="inlineStr">
        <is>
          <t>SA</t>
        </is>
      </c>
      <c r="E1167" s="12" t="inlineStr">
        <is>
          <t>Tenable Security Centre Plus</t>
        </is>
      </c>
      <c r="F1167" s="12" t="inlineStr">
        <is>
          <t>SA-4</t>
        </is>
      </c>
      <c r="G1167" s="13">
        <f>IFERROR('[Tenable_Security_Centre_Plus.xlsx]SA-4'!B20,"Not Started")</f>
        <v/>
      </c>
      <c r="H1167" s="14">
        <f>IF(OR(G1167="Passed",G1167="Accepted Exception"),"GREEN",IF(OR(G1167="Not Started",G1167="Failed"),"RED","AMBER"))</f>
        <v/>
      </c>
      <c r="I1167" s="15">
        <f>IFERROR('[Tenable_Security_Centre_Plus.xlsx]SA-4'!E20,"Non commencé")</f>
        <v/>
      </c>
      <c r="J1167" s="16">
        <f>IF(OR(I1167="Réussi",I1167="Exception acceptée"),"GREEN",IF(OR(I1167="Non commencé",I1167="Échec"),"RED","AMBER"))</f>
        <v/>
      </c>
      <c r="K1167" s="12" t="inlineStr"/>
      <c r="L1167" s="12" t="inlineStr"/>
      <c r="M1167" s="17" t="inlineStr"/>
    </row>
    <row r="1168" ht="18" customHeight="1">
      <c r="A1168" s="18" t="inlineStr">
        <is>
          <t>SA-4(1)</t>
        </is>
      </c>
      <c r="B1168" s="19" t="inlineStr">
        <is>
          <t>Acquisition Process</t>
        </is>
      </c>
      <c r="C1168" s="19" t="inlineStr">
        <is>
          <t>Tenable Security Centre+</t>
        </is>
      </c>
      <c r="D1168" s="18" t="inlineStr">
        <is>
          <t>SA</t>
        </is>
      </c>
      <c r="E1168" s="19" t="inlineStr">
        <is>
          <t>Tenable Security Centre Plus</t>
        </is>
      </c>
      <c r="F1168" s="19" t="inlineStr">
        <is>
          <t>SA-4-1</t>
        </is>
      </c>
      <c r="G1168" s="20">
        <f>IFERROR('[Tenable_Security_Centre_Plus.xlsx]SA-4-1'!B20,"Not Started")</f>
        <v/>
      </c>
      <c r="H1168" s="14">
        <f>IF(OR(G1168="Passed",G1168="Accepted Exception"),"GREEN",IF(OR(G1168="Not Started",G1168="Failed"),"RED","AMBER"))</f>
        <v/>
      </c>
      <c r="I1168" s="21">
        <f>IFERROR('[Tenable_Security_Centre_Plus.xlsx]SA-4-1'!E20,"Non commencé")</f>
        <v/>
      </c>
      <c r="J1168" s="16">
        <f>IF(OR(I1168="Réussi",I1168="Exception acceptée"),"GREEN",IF(OR(I1168="Non commencé",I1168="Échec"),"RED","AMBER"))</f>
        <v/>
      </c>
      <c r="K1168" s="19" t="inlineStr"/>
      <c r="L1168" s="19" t="inlineStr"/>
      <c r="M1168" s="22" t="inlineStr"/>
    </row>
    <row r="1169" ht="18" customHeight="1">
      <c r="A1169" s="11" t="inlineStr">
        <is>
          <t>SA-4(2)</t>
        </is>
      </c>
      <c r="B1169" s="12" t="inlineStr">
        <is>
          <t>Acquisition Process</t>
        </is>
      </c>
      <c r="C1169" s="12" t="inlineStr">
        <is>
          <t>Tenable Security Centre+</t>
        </is>
      </c>
      <c r="D1169" s="11" t="inlineStr">
        <is>
          <t>SA</t>
        </is>
      </c>
      <c r="E1169" s="12" t="inlineStr">
        <is>
          <t>Tenable Security Centre Plus</t>
        </is>
      </c>
      <c r="F1169" s="12" t="inlineStr">
        <is>
          <t>SA-4-2</t>
        </is>
      </c>
      <c r="G1169" s="13">
        <f>IFERROR('[Tenable_Security_Centre_Plus.xlsx]SA-4-2'!B20,"Not Started")</f>
        <v/>
      </c>
      <c r="H1169" s="14">
        <f>IF(OR(G1169="Passed",G1169="Accepted Exception"),"GREEN",IF(OR(G1169="Not Started",G1169="Failed"),"RED","AMBER"))</f>
        <v/>
      </c>
      <c r="I1169" s="15">
        <f>IFERROR('[Tenable_Security_Centre_Plus.xlsx]SA-4-2'!E20,"Non commencé")</f>
        <v/>
      </c>
      <c r="J1169" s="16">
        <f>IF(OR(I1169="Réussi",I1169="Exception acceptée"),"GREEN",IF(OR(I1169="Non commencé",I1169="Échec"),"RED","AMBER"))</f>
        <v/>
      </c>
      <c r="K1169" s="12" t="inlineStr"/>
      <c r="L1169" s="12" t="inlineStr"/>
      <c r="M1169" s="17" t="inlineStr"/>
    </row>
    <row r="1170" ht="18" customHeight="1">
      <c r="A1170" s="18" t="inlineStr">
        <is>
          <t>SA-4(8)</t>
        </is>
      </c>
      <c r="B1170" s="19" t="inlineStr">
        <is>
          <t>Acquisition Process</t>
        </is>
      </c>
      <c r="C1170" s="19" t="inlineStr">
        <is>
          <t>Tenable Security Centre+</t>
        </is>
      </c>
      <c r="D1170" s="18" t="inlineStr">
        <is>
          <t>SA</t>
        </is>
      </c>
      <c r="E1170" s="19" t="inlineStr">
        <is>
          <t>Tenable Security Centre Plus</t>
        </is>
      </c>
      <c r="F1170" s="19" t="inlineStr">
        <is>
          <t>SA-4-8</t>
        </is>
      </c>
      <c r="G1170" s="20">
        <f>IFERROR('[Tenable_Security_Centre_Plus.xlsx]SA-4-8'!B20,"Not Started")</f>
        <v/>
      </c>
      <c r="H1170" s="14">
        <f>IF(OR(G1170="Passed",G1170="Accepted Exception"),"GREEN",IF(OR(G1170="Not Started",G1170="Failed"),"RED","AMBER"))</f>
        <v/>
      </c>
      <c r="I1170" s="21">
        <f>IFERROR('[Tenable_Security_Centre_Plus.xlsx]SA-4-8'!E20,"Non commencé")</f>
        <v/>
      </c>
      <c r="J1170" s="16">
        <f>IF(OR(I1170="Réussi",I1170="Exception acceptée"),"GREEN",IF(OR(I1170="Non commencé",I1170="Échec"),"RED","AMBER"))</f>
        <v/>
      </c>
      <c r="K1170" s="19" t="inlineStr"/>
      <c r="L1170" s="19" t="inlineStr"/>
      <c r="M1170" s="22" t="inlineStr"/>
    </row>
    <row r="1171" ht="18" customHeight="1">
      <c r="A1171" s="11" t="inlineStr">
        <is>
          <t>SA-4(9)</t>
        </is>
      </c>
      <c r="B1171" s="12" t="inlineStr">
        <is>
          <t>Acquisition Process</t>
        </is>
      </c>
      <c r="C1171" s="12" t="inlineStr">
        <is>
          <t>Tenable Security Centre+</t>
        </is>
      </c>
      <c r="D1171" s="11" t="inlineStr">
        <is>
          <t>SA</t>
        </is>
      </c>
      <c r="E1171" s="12" t="inlineStr">
        <is>
          <t>Tenable Security Centre Plus</t>
        </is>
      </c>
      <c r="F1171" s="12" t="inlineStr">
        <is>
          <t>SA-4-9</t>
        </is>
      </c>
      <c r="G1171" s="13">
        <f>IFERROR('[Tenable_Security_Centre_Plus.xlsx]SA-4-9'!B20,"Not Started")</f>
        <v/>
      </c>
      <c r="H1171" s="14">
        <f>IF(OR(G1171="Passed",G1171="Accepted Exception"),"GREEN",IF(OR(G1171="Not Started",G1171="Failed"),"RED","AMBER"))</f>
        <v/>
      </c>
      <c r="I1171" s="15">
        <f>IFERROR('[Tenable_Security_Centre_Plus.xlsx]SA-4-9'!E20,"Non commencé")</f>
        <v/>
      </c>
      <c r="J1171" s="16">
        <f>IF(OR(I1171="Réussi",I1171="Exception acceptée"),"GREEN",IF(OR(I1171="Non commencé",I1171="Échec"),"RED","AMBER"))</f>
        <v/>
      </c>
      <c r="K1171" s="12" t="inlineStr"/>
      <c r="L1171" s="12" t="inlineStr"/>
      <c r="M1171" s="17" t="inlineStr"/>
    </row>
    <row r="1172" ht="18" customHeight="1">
      <c r="A1172" s="18" t="inlineStr">
        <is>
          <t>SA-5</t>
        </is>
      </c>
      <c r="B1172" s="19" t="inlineStr">
        <is>
          <t>Information System Documentation</t>
        </is>
      </c>
      <c r="C1172" s="19" t="inlineStr">
        <is>
          <t>Tenable Security Centre+</t>
        </is>
      </c>
      <c r="D1172" s="18" t="inlineStr">
        <is>
          <t>SA</t>
        </is>
      </c>
      <c r="E1172" s="19" t="inlineStr">
        <is>
          <t>Tenable Security Centre Plus</t>
        </is>
      </c>
      <c r="F1172" s="19" t="inlineStr">
        <is>
          <t>SA-5</t>
        </is>
      </c>
      <c r="G1172" s="20">
        <f>IFERROR('[Tenable_Security_Centre_Plus.xlsx]SA-5'!B20,"Not Started")</f>
        <v/>
      </c>
      <c r="H1172" s="14">
        <f>IF(OR(G1172="Passed",G1172="Accepted Exception"),"GREEN",IF(OR(G1172="Not Started",G1172="Failed"),"RED","AMBER"))</f>
        <v/>
      </c>
      <c r="I1172" s="21">
        <f>IFERROR('[Tenable_Security_Centre_Plus.xlsx]SA-5'!E20,"Non commencé")</f>
        <v/>
      </c>
      <c r="J1172" s="16">
        <f>IF(OR(I1172="Réussi",I1172="Exception acceptée"),"GREEN",IF(OR(I1172="Non commencé",I1172="Échec"),"RED","AMBER"))</f>
        <v/>
      </c>
      <c r="K1172" s="19" t="inlineStr"/>
      <c r="L1172" s="19" t="inlineStr"/>
      <c r="M1172" s="22" t="inlineStr"/>
    </row>
    <row r="1173" ht="18" customHeight="1">
      <c r="A1173" s="11" t="inlineStr">
        <is>
          <t>SA-9(2)</t>
        </is>
      </c>
      <c r="B1173" s="12" t="inlineStr">
        <is>
          <t>External Information System Services</t>
        </is>
      </c>
      <c r="C1173" s="12" t="inlineStr">
        <is>
          <t>Tenable Security Centre+</t>
        </is>
      </c>
      <c r="D1173" s="11" t="inlineStr">
        <is>
          <t>SA</t>
        </is>
      </c>
      <c r="E1173" s="12" t="inlineStr">
        <is>
          <t>Tenable Security Centre Plus</t>
        </is>
      </c>
      <c r="F1173" s="12" t="inlineStr">
        <is>
          <t>SA-9-2</t>
        </is>
      </c>
      <c r="G1173" s="13">
        <f>IFERROR('[Tenable_Security_Centre_Plus.xlsx]SA-9-2'!B20,"Not Started")</f>
        <v/>
      </c>
      <c r="H1173" s="14">
        <f>IF(OR(G1173="Passed",G1173="Accepted Exception"),"GREEN",IF(OR(G1173="Not Started",G1173="Failed"),"RED","AMBER"))</f>
        <v/>
      </c>
      <c r="I1173" s="15">
        <f>IFERROR('[Tenable_Security_Centre_Plus.xlsx]SA-9-2'!E20,"Non commencé")</f>
        <v/>
      </c>
      <c r="J1173" s="16">
        <f>IF(OR(I1173="Réussi",I1173="Exception acceptée"),"GREEN",IF(OR(I1173="Non commencé",I1173="Échec"),"RED","AMBER"))</f>
        <v/>
      </c>
      <c r="K1173" s="12" t="inlineStr"/>
      <c r="L1173" s="12" t="inlineStr"/>
      <c r="M1173" s="17" t="inlineStr"/>
    </row>
    <row r="1174" ht="18" customHeight="1">
      <c r="A1174" s="18" t="inlineStr">
        <is>
          <t>SA-9(5)</t>
        </is>
      </c>
      <c r="B1174" s="19" t="inlineStr">
        <is>
          <t>External Information System Services</t>
        </is>
      </c>
      <c r="C1174" s="19" t="inlineStr">
        <is>
          <t>Tenable Security Centre+</t>
        </is>
      </c>
      <c r="D1174" s="18" t="inlineStr">
        <is>
          <t>SA</t>
        </is>
      </c>
      <c r="E1174" s="19" t="inlineStr">
        <is>
          <t>Tenable Security Centre Plus</t>
        </is>
      </c>
      <c r="F1174" s="19" t="inlineStr">
        <is>
          <t>SA-9-5</t>
        </is>
      </c>
      <c r="G1174" s="20">
        <f>IFERROR('[Tenable_Security_Centre_Plus.xlsx]SA-9-5'!B20,"Not Started")</f>
        <v/>
      </c>
      <c r="H1174" s="14">
        <f>IF(OR(G1174="Passed",G1174="Accepted Exception"),"GREEN",IF(OR(G1174="Not Started",G1174="Failed"),"RED","AMBER"))</f>
        <v/>
      </c>
      <c r="I1174" s="21">
        <f>IFERROR('[Tenable_Security_Centre_Plus.xlsx]SA-9-5'!E20,"Non commencé")</f>
        <v/>
      </c>
      <c r="J1174" s="16">
        <f>IF(OR(I1174="Réussi",I1174="Exception acceptée"),"GREEN",IF(OR(I1174="Non commencé",I1174="Échec"),"RED","AMBER"))</f>
        <v/>
      </c>
      <c r="K1174" s="19" t="inlineStr"/>
      <c r="L1174" s="19" t="inlineStr"/>
      <c r="M1174" s="22" t="inlineStr"/>
    </row>
    <row r="1175" ht="18" customHeight="1">
      <c r="A1175" s="11" t="inlineStr">
        <is>
          <t>SA-11(2)</t>
        </is>
      </c>
      <c r="B1175" s="12" t="inlineStr">
        <is>
          <t>Developer Security Testing</t>
        </is>
      </c>
      <c r="C1175" s="12" t="inlineStr">
        <is>
          <t>Tenable Security Centre+</t>
        </is>
      </c>
      <c r="D1175" s="11" t="inlineStr">
        <is>
          <t>SA</t>
        </is>
      </c>
      <c r="E1175" s="12" t="inlineStr">
        <is>
          <t>Tenable Security Centre Plus</t>
        </is>
      </c>
      <c r="F1175" s="12" t="inlineStr">
        <is>
          <t>SA-11-2</t>
        </is>
      </c>
      <c r="G1175" s="13">
        <f>IFERROR('[Tenable_Security_Centre_Plus.xlsx]SA-11-2'!B20,"Not Started")</f>
        <v/>
      </c>
      <c r="H1175" s="14">
        <f>IF(OR(G1175="Passed",G1175="Accepted Exception"),"GREEN",IF(OR(G1175="Not Started",G1175="Failed"),"RED","AMBER"))</f>
        <v/>
      </c>
      <c r="I1175" s="15">
        <f>IFERROR('[Tenable_Security_Centre_Plus.xlsx]SA-11-2'!E20,"Non commencé")</f>
        <v/>
      </c>
      <c r="J1175" s="16">
        <f>IF(OR(I1175="Réussi",I1175="Exception acceptée"),"GREEN",IF(OR(I1175="Non commencé",I1175="Échec"),"RED","AMBER"))</f>
        <v/>
      </c>
      <c r="K1175" s="12" t="inlineStr"/>
      <c r="L1175" s="12" t="inlineStr"/>
      <c r="M1175" s="17" t="inlineStr"/>
    </row>
    <row r="1176" ht="18" customHeight="1">
      <c r="A1176" s="18" t="inlineStr">
        <is>
          <t>SA-11(8)</t>
        </is>
      </c>
      <c r="B1176" s="19" t="inlineStr">
        <is>
          <t>Developer Security Testing</t>
        </is>
      </c>
      <c r="C1176" s="19" t="inlineStr">
        <is>
          <t>Tenable Security Centre+</t>
        </is>
      </c>
      <c r="D1176" s="18" t="inlineStr">
        <is>
          <t>SA</t>
        </is>
      </c>
      <c r="E1176" s="19" t="inlineStr">
        <is>
          <t>Tenable Security Centre Plus</t>
        </is>
      </c>
      <c r="F1176" s="19" t="inlineStr">
        <is>
          <t>SA-11-8</t>
        </is>
      </c>
      <c r="G1176" s="20">
        <f>IFERROR('[Tenable_Security_Centre_Plus.xlsx]SA-11-8'!B20,"Not Started")</f>
        <v/>
      </c>
      <c r="H1176" s="14">
        <f>IF(OR(G1176="Passed",G1176="Accepted Exception"),"GREEN",IF(OR(G1176="Not Started",G1176="Failed"),"RED","AMBER"))</f>
        <v/>
      </c>
      <c r="I1176" s="21">
        <f>IFERROR('[Tenable_Security_Centre_Plus.xlsx]SA-11-8'!E20,"Non commencé")</f>
        <v/>
      </c>
      <c r="J1176" s="16">
        <f>IF(OR(I1176="Réussi",I1176="Exception acceptée"),"GREEN",IF(OR(I1176="Non commencé",I1176="Échec"),"RED","AMBER"))</f>
        <v/>
      </c>
      <c r="K1176" s="19" t="inlineStr"/>
      <c r="L1176" s="19" t="inlineStr"/>
      <c r="M1176" s="22" t="inlineStr"/>
    </row>
    <row r="1177" ht="18" customHeight="1">
      <c r="A1177" s="11" t="inlineStr">
        <is>
          <t>SC-2</t>
        </is>
      </c>
      <c r="B1177" s="12" t="inlineStr">
        <is>
          <t>Application Partitioning</t>
        </is>
      </c>
      <c r="C1177" s="12" t="inlineStr">
        <is>
          <t>Tenable Security Centre+</t>
        </is>
      </c>
      <c r="D1177" s="11" t="inlineStr">
        <is>
          <t>SC</t>
        </is>
      </c>
      <c r="E1177" s="12" t="inlineStr">
        <is>
          <t>Tenable Security Centre Plus</t>
        </is>
      </c>
      <c r="F1177" s="12" t="inlineStr">
        <is>
          <t>SC-2</t>
        </is>
      </c>
      <c r="G1177" s="13">
        <f>IFERROR('[Tenable_Security_Centre_Plus.xlsx]SC-2'!B20,"Not Started")</f>
        <v/>
      </c>
      <c r="H1177" s="14">
        <f>IF(OR(G1177="Passed",G1177="Accepted Exception"),"GREEN",IF(OR(G1177="Not Started",G1177="Failed"),"RED","AMBER"))</f>
        <v/>
      </c>
      <c r="I1177" s="15">
        <f>IFERROR('[Tenable_Security_Centre_Plus.xlsx]SC-2'!E20,"Non commencé")</f>
        <v/>
      </c>
      <c r="J1177" s="16">
        <f>IF(OR(I1177="Réussi",I1177="Exception acceptée"),"GREEN",IF(OR(I1177="Non commencé",I1177="Échec"),"RED","AMBER"))</f>
        <v/>
      </c>
      <c r="K1177" s="12" t="inlineStr"/>
      <c r="L1177" s="12" t="inlineStr"/>
      <c r="M1177" s="17" t="inlineStr"/>
    </row>
    <row r="1178" ht="18" customHeight="1">
      <c r="A1178" s="18" t="inlineStr">
        <is>
          <t>SC-7(13)</t>
        </is>
      </c>
      <c r="B1178" s="19" t="inlineStr">
        <is>
          <t>Boundary Protection</t>
        </is>
      </c>
      <c r="C1178" s="19" t="inlineStr">
        <is>
          <t>Tenable Security Centre+</t>
        </is>
      </c>
      <c r="D1178" s="18" t="inlineStr">
        <is>
          <t>SC</t>
        </is>
      </c>
      <c r="E1178" s="19" t="inlineStr">
        <is>
          <t>Tenable Security Centre Plus</t>
        </is>
      </c>
      <c r="F1178" s="19" t="inlineStr">
        <is>
          <t>SC-7-13</t>
        </is>
      </c>
      <c r="G1178" s="20">
        <f>IFERROR('[Tenable_Security_Centre_Plus.xlsx]SC-7-13'!B20,"Not Started")</f>
        <v/>
      </c>
      <c r="H1178" s="14">
        <f>IF(OR(G1178="Passed",G1178="Accepted Exception"),"GREEN",IF(OR(G1178="Not Started",G1178="Failed"),"RED","AMBER"))</f>
        <v/>
      </c>
      <c r="I1178" s="21">
        <f>IFERROR('[Tenable_Security_Centre_Plus.xlsx]SC-7-13'!E20,"Non commencé")</f>
        <v/>
      </c>
      <c r="J1178" s="16">
        <f>IF(OR(I1178="Réussi",I1178="Exception acceptée"),"GREEN",IF(OR(I1178="Non commencé",I1178="Échec"),"RED","AMBER"))</f>
        <v/>
      </c>
      <c r="K1178" s="19" t="inlineStr"/>
      <c r="L1178" s="19" t="inlineStr"/>
      <c r="M1178" s="22" t="inlineStr"/>
    </row>
    <row r="1179" ht="18" customHeight="1">
      <c r="A1179" s="11" t="inlineStr">
        <is>
          <t>SC-8</t>
        </is>
      </c>
      <c r="B1179" s="12" t="inlineStr">
        <is>
          <t>Transmission Confidentiality and Integrity</t>
        </is>
      </c>
      <c r="C1179" s="12" t="inlineStr">
        <is>
          <t>Tenable Security Centre+</t>
        </is>
      </c>
      <c r="D1179" s="11" t="inlineStr">
        <is>
          <t>SC</t>
        </is>
      </c>
      <c r="E1179" s="12" t="inlineStr">
        <is>
          <t>Tenable Security Centre Plus</t>
        </is>
      </c>
      <c r="F1179" s="12" t="inlineStr">
        <is>
          <t>SC-8</t>
        </is>
      </c>
      <c r="G1179" s="13">
        <f>IFERROR('[Tenable_Security_Centre_Plus.xlsx]SC-8'!B20,"Not Started")</f>
        <v/>
      </c>
      <c r="H1179" s="14">
        <f>IF(OR(G1179="Passed",G1179="Accepted Exception"),"GREEN",IF(OR(G1179="Not Started",G1179="Failed"),"RED","AMBER"))</f>
        <v/>
      </c>
      <c r="I1179" s="15">
        <f>IFERROR('[Tenable_Security_Centre_Plus.xlsx]SC-8'!E20,"Non commencé")</f>
        <v/>
      </c>
      <c r="J1179" s="16">
        <f>IF(OR(I1179="Réussi",I1179="Exception acceptée"),"GREEN",IF(OR(I1179="Non commencé",I1179="Échec"),"RED","AMBER"))</f>
        <v/>
      </c>
      <c r="K1179" s="12" t="inlineStr"/>
      <c r="L1179" s="12" t="inlineStr"/>
      <c r="M1179" s="17" t="inlineStr"/>
    </row>
    <row r="1180" ht="18" customHeight="1">
      <c r="A1180" s="18" t="inlineStr">
        <is>
          <t>SC-8(1)</t>
        </is>
      </c>
      <c r="B1180" s="19" t="inlineStr">
        <is>
          <t>Transmission Confidentiality and Integrity</t>
        </is>
      </c>
      <c r="C1180" s="19" t="inlineStr">
        <is>
          <t>Tenable Security Centre+</t>
        </is>
      </c>
      <c r="D1180" s="18" t="inlineStr">
        <is>
          <t>SC</t>
        </is>
      </c>
      <c r="E1180" s="19" t="inlineStr">
        <is>
          <t>Tenable Security Centre Plus</t>
        </is>
      </c>
      <c r="F1180" s="19" t="inlineStr">
        <is>
          <t>SC-8-1</t>
        </is>
      </c>
      <c r="G1180" s="20">
        <f>IFERROR('[Tenable_Security_Centre_Plus.xlsx]SC-8-1'!B20,"Not Started")</f>
        <v/>
      </c>
      <c r="H1180" s="14">
        <f>IF(OR(G1180="Passed",G1180="Accepted Exception"),"GREEN",IF(OR(G1180="Not Started",G1180="Failed"),"RED","AMBER"))</f>
        <v/>
      </c>
      <c r="I1180" s="21">
        <f>IFERROR('[Tenable_Security_Centre_Plus.xlsx]SC-8-1'!E20,"Non commencé")</f>
        <v/>
      </c>
      <c r="J1180" s="16">
        <f>IF(OR(I1180="Réussi",I1180="Exception acceptée"),"GREEN",IF(OR(I1180="Non commencé",I1180="Échec"),"RED","AMBER"))</f>
        <v/>
      </c>
      <c r="K1180" s="19" t="inlineStr"/>
      <c r="L1180" s="19" t="inlineStr"/>
      <c r="M1180" s="22" t="inlineStr"/>
    </row>
    <row r="1181" ht="18" customHeight="1">
      <c r="A1181" s="11" t="inlineStr">
        <is>
          <t>SC-23</t>
        </is>
      </c>
      <c r="B1181" s="12" t="inlineStr">
        <is>
          <t>Session Authenticity</t>
        </is>
      </c>
      <c r="C1181" s="12" t="inlineStr">
        <is>
          <t>Tenable Security Centre+</t>
        </is>
      </c>
      <c r="D1181" s="11" t="inlineStr">
        <is>
          <t>SC</t>
        </is>
      </c>
      <c r="E1181" s="12" t="inlineStr">
        <is>
          <t>Tenable Security Centre Plus</t>
        </is>
      </c>
      <c r="F1181" s="12" t="inlineStr">
        <is>
          <t>SC-23</t>
        </is>
      </c>
      <c r="G1181" s="13">
        <f>IFERROR('[Tenable_Security_Centre_Plus.xlsx]SC-23'!B20,"Not Started")</f>
        <v/>
      </c>
      <c r="H1181" s="14">
        <f>IF(OR(G1181="Passed",G1181="Accepted Exception"),"GREEN",IF(OR(G1181="Not Started",G1181="Failed"),"RED","AMBER"))</f>
        <v/>
      </c>
      <c r="I1181" s="15">
        <f>IFERROR('[Tenable_Security_Centre_Plus.xlsx]SC-23'!E20,"Non commencé")</f>
        <v/>
      </c>
      <c r="J1181" s="16">
        <f>IF(OR(I1181="Réussi",I1181="Exception acceptée"),"GREEN",IF(OR(I1181="Non commencé",I1181="Échec"),"RED","AMBER"))</f>
        <v/>
      </c>
      <c r="K1181" s="12" t="inlineStr"/>
      <c r="L1181" s="12" t="inlineStr"/>
      <c r="M1181" s="17" t="inlineStr"/>
    </row>
    <row r="1182" ht="18" customHeight="1">
      <c r="A1182" s="18" t="inlineStr">
        <is>
          <t>SC-23(1)</t>
        </is>
      </c>
      <c r="B1182" s="19" t="inlineStr">
        <is>
          <t>Session Authenticity</t>
        </is>
      </c>
      <c r="C1182" s="19" t="inlineStr">
        <is>
          <t>Tenable Security Centre+</t>
        </is>
      </c>
      <c r="D1182" s="18" t="inlineStr">
        <is>
          <t>SC</t>
        </is>
      </c>
      <c r="E1182" s="19" t="inlineStr">
        <is>
          <t>Tenable Security Centre Plus</t>
        </is>
      </c>
      <c r="F1182" s="19" t="inlineStr">
        <is>
          <t>SC-23-1</t>
        </is>
      </c>
      <c r="G1182" s="20">
        <f>IFERROR('[Tenable_Security_Centre_Plus.xlsx]SC-23-1'!B20,"Not Started")</f>
        <v/>
      </c>
      <c r="H1182" s="14">
        <f>IF(OR(G1182="Passed",G1182="Accepted Exception"),"GREEN",IF(OR(G1182="Not Started",G1182="Failed"),"RED","AMBER"))</f>
        <v/>
      </c>
      <c r="I1182" s="21">
        <f>IFERROR('[Tenable_Security_Centre_Plus.xlsx]SC-23-1'!E20,"Non commencé")</f>
        <v/>
      </c>
      <c r="J1182" s="16">
        <f>IF(OR(I1182="Réussi",I1182="Exception acceptée"),"GREEN",IF(OR(I1182="Non commencé",I1182="Échec"),"RED","AMBER"))</f>
        <v/>
      </c>
      <c r="K1182" s="19" t="inlineStr"/>
      <c r="L1182" s="19" t="inlineStr"/>
      <c r="M1182" s="22" t="inlineStr"/>
    </row>
    <row r="1183" ht="18" customHeight="1">
      <c r="A1183" s="11" t="inlineStr">
        <is>
          <t>SI-2</t>
        </is>
      </c>
      <c r="B1183" s="12" t="inlineStr">
        <is>
          <t>Flaw Remediation</t>
        </is>
      </c>
      <c r="C1183" s="12" t="inlineStr">
        <is>
          <t>Tenable Security Centre+</t>
        </is>
      </c>
      <c r="D1183" s="11" t="inlineStr">
        <is>
          <t>SI</t>
        </is>
      </c>
      <c r="E1183" s="12" t="inlineStr">
        <is>
          <t>Tenable Security Centre Plus</t>
        </is>
      </c>
      <c r="F1183" s="12" t="inlineStr">
        <is>
          <t>SI-2</t>
        </is>
      </c>
      <c r="G1183" s="13">
        <f>IFERROR('[Tenable_Security_Centre_Plus.xlsx]SI-2'!B20,"Not Started")</f>
        <v/>
      </c>
      <c r="H1183" s="14">
        <f>IF(OR(G1183="Passed",G1183="Accepted Exception"),"GREEN",IF(OR(G1183="Not Started",G1183="Failed"),"RED","AMBER"))</f>
        <v/>
      </c>
      <c r="I1183" s="15">
        <f>IFERROR('[Tenable_Security_Centre_Plus.xlsx]SI-2'!E20,"Non commencé")</f>
        <v/>
      </c>
      <c r="J1183" s="16">
        <f>IF(OR(I1183="Réussi",I1183="Exception acceptée"),"GREEN",IF(OR(I1183="Non commencé",I1183="Échec"),"RED","AMBER"))</f>
        <v/>
      </c>
      <c r="K1183" s="12" t="inlineStr"/>
      <c r="L1183" s="12" t="inlineStr"/>
      <c r="M1183" s="17" t="inlineStr"/>
    </row>
    <row r="1184" ht="18" customHeight="1">
      <c r="A1184" s="18" t="inlineStr">
        <is>
          <t>SI-2(2)</t>
        </is>
      </c>
      <c r="B1184" s="19" t="inlineStr">
        <is>
          <t>Flaw Remediation</t>
        </is>
      </c>
      <c r="C1184" s="19" t="inlineStr">
        <is>
          <t>Tenable Security Centre+</t>
        </is>
      </c>
      <c r="D1184" s="18" t="inlineStr">
        <is>
          <t>SI</t>
        </is>
      </c>
      <c r="E1184" s="19" t="inlineStr">
        <is>
          <t>Tenable Security Centre Plus</t>
        </is>
      </c>
      <c r="F1184" s="19" t="inlineStr">
        <is>
          <t>SI-2-2</t>
        </is>
      </c>
      <c r="G1184" s="20">
        <f>IFERROR('[Tenable_Security_Centre_Plus.xlsx]SI-2-2'!B20,"Not Started")</f>
        <v/>
      </c>
      <c r="H1184" s="14">
        <f>IF(OR(G1184="Passed",G1184="Accepted Exception"),"GREEN",IF(OR(G1184="Not Started",G1184="Failed"),"RED","AMBER"))</f>
        <v/>
      </c>
      <c r="I1184" s="21">
        <f>IFERROR('[Tenable_Security_Centre_Plus.xlsx]SI-2-2'!E20,"Non commencé")</f>
        <v/>
      </c>
      <c r="J1184" s="16">
        <f>IF(OR(I1184="Réussi",I1184="Exception acceptée"),"GREEN",IF(OR(I1184="Non commencé",I1184="Échec"),"RED","AMBER"))</f>
        <v/>
      </c>
      <c r="K1184" s="19" t="inlineStr"/>
      <c r="L1184" s="19" t="inlineStr"/>
      <c r="M1184" s="22" t="inlineStr"/>
    </row>
    <row r="1185" ht="18" customHeight="1">
      <c r="A1185" s="11" t="inlineStr">
        <is>
          <t>SI-4(5)</t>
        </is>
      </c>
      <c r="B1185" s="12" t="inlineStr">
        <is>
          <t>Information System Monitoring</t>
        </is>
      </c>
      <c r="C1185" s="12" t="inlineStr">
        <is>
          <t>Tenable Security Centre+</t>
        </is>
      </c>
      <c r="D1185" s="11" t="inlineStr">
        <is>
          <t>SI</t>
        </is>
      </c>
      <c r="E1185" s="12" t="inlineStr">
        <is>
          <t>Tenable Security Centre Plus</t>
        </is>
      </c>
      <c r="F1185" s="12" t="inlineStr">
        <is>
          <t>SI-4-5</t>
        </is>
      </c>
      <c r="G1185" s="13">
        <f>IFERROR('[Tenable_Security_Centre_Plus.xlsx]SI-4-5'!B20,"Not Started")</f>
        <v/>
      </c>
      <c r="H1185" s="14">
        <f>IF(OR(G1185="Passed",G1185="Accepted Exception"),"GREEN",IF(OR(G1185="Not Started",G1185="Failed"),"RED","AMBER"))</f>
        <v/>
      </c>
      <c r="I1185" s="15">
        <f>IFERROR('[Tenable_Security_Centre_Plus.xlsx]SI-4-5'!E20,"Non commencé")</f>
        <v/>
      </c>
      <c r="J1185" s="16">
        <f>IF(OR(I1185="Réussi",I1185="Exception acceptée"),"GREEN",IF(OR(I1185="Non commencé",I1185="Échec"),"RED","AMBER"))</f>
        <v/>
      </c>
      <c r="K1185" s="12" t="inlineStr"/>
      <c r="L1185" s="12" t="inlineStr"/>
      <c r="M1185" s="17" t="inlineStr"/>
    </row>
    <row r="1186" ht="18" customHeight="1">
      <c r="A1186" s="18" t="inlineStr">
        <is>
          <t>SI-6</t>
        </is>
      </c>
      <c r="B1186" s="19" t="inlineStr">
        <is>
          <t>Security Functional Verification</t>
        </is>
      </c>
      <c r="C1186" s="19" t="inlineStr">
        <is>
          <t>Tenable Security Centre+</t>
        </is>
      </c>
      <c r="D1186" s="18" t="inlineStr">
        <is>
          <t>SI</t>
        </is>
      </c>
      <c r="E1186" s="19" t="inlineStr">
        <is>
          <t>Tenable Security Centre Plus</t>
        </is>
      </c>
      <c r="F1186" s="19" t="inlineStr">
        <is>
          <t>SI-6</t>
        </is>
      </c>
      <c r="G1186" s="20">
        <f>IFERROR('[Tenable_Security_Centre_Plus.xlsx]SI-6'!B20,"Not Started")</f>
        <v/>
      </c>
      <c r="H1186" s="14">
        <f>IF(OR(G1186="Passed",G1186="Accepted Exception"),"GREEN",IF(OR(G1186="Not Started",G1186="Failed"),"RED","AMBER"))</f>
        <v/>
      </c>
      <c r="I1186" s="21">
        <f>IFERROR('[Tenable_Security_Centre_Plus.xlsx]SI-6'!E20,"Non commencé")</f>
        <v/>
      </c>
      <c r="J1186" s="16">
        <f>IF(OR(I1186="Réussi",I1186="Exception acceptée"),"GREEN",IF(OR(I1186="Non commencé",I1186="Échec"),"RED","AMBER"))</f>
        <v/>
      </c>
      <c r="K1186" s="19" t="inlineStr"/>
      <c r="L1186" s="19" t="inlineStr"/>
      <c r="M1186" s="22" t="inlineStr"/>
    </row>
    <row r="1187" ht="18" customHeight="1">
      <c r="A1187" s="11" t="inlineStr">
        <is>
          <t>SI-7</t>
        </is>
      </c>
      <c r="B1187" s="12" t="inlineStr">
        <is>
          <t>Software, Firmware, and Information Integrity</t>
        </is>
      </c>
      <c r="C1187" s="12" t="inlineStr">
        <is>
          <t>Tenable Security Centre+</t>
        </is>
      </c>
      <c r="D1187" s="11" t="inlineStr">
        <is>
          <t>SI</t>
        </is>
      </c>
      <c r="E1187" s="12" t="inlineStr">
        <is>
          <t>Tenable Security Centre Plus</t>
        </is>
      </c>
      <c r="F1187" s="12" t="inlineStr">
        <is>
          <t>SI-7</t>
        </is>
      </c>
      <c r="G1187" s="13">
        <f>IFERROR('[Tenable_Security_Centre_Plus.xlsx]SI-7'!B20,"Not Started")</f>
        <v/>
      </c>
      <c r="H1187" s="14">
        <f>IF(OR(G1187="Passed",G1187="Accepted Exception"),"GREEN",IF(OR(G1187="Not Started",G1187="Failed"),"RED","AMBER"))</f>
        <v/>
      </c>
      <c r="I1187" s="15">
        <f>IFERROR('[Tenable_Security_Centre_Plus.xlsx]SI-7'!E20,"Non commencé")</f>
        <v/>
      </c>
      <c r="J1187" s="16">
        <f>IF(OR(I1187="Réussi",I1187="Exception acceptée"),"GREEN",IF(OR(I1187="Non commencé",I1187="Échec"),"RED","AMBER"))</f>
        <v/>
      </c>
      <c r="K1187" s="12" t="inlineStr"/>
      <c r="L1187" s="12" t="inlineStr"/>
      <c r="M1187" s="17" t="inlineStr"/>
    </row>
    <row r="1188" ht="18" customHeight="1">
      <c r="A1188" s="18" t="inlineStr">
        <is>
          <t>SI-7(1)</t>
        </is>
      </c>
      <c r="B1188" s="19" t="inlineStr">
        <is>
          <t>Software, Firmware, and Information Integrity</t>
        </is>
      </c>
      <c r="C1188" s="19" t="inlineStr">
        <is>
          <t>Tenable Security Centre+</t>
        </is>
      </c>
      <c r="D1188" s="18" t="inlineStr">
        <is>
          <t>SI</t>
        </is>
      </c>
      <c r="E1188" s="19" t="inlineStr">
        <is>
          <t>Tenable Security Centre Plus</t>
        </is>
      </c>
      <c r="F1188" s="19" t="inlineStr">
        <is>
          <t>SI-7-1</t>
        </is>
      </c>
      <c r="G1188" s="20">
        <f>IFERROR('[Tenable_Security_Centre_Plus.xlsx]SI-7-1'!B20,"Not Started")</f>
        <v/>
      </c>
      <c r="H1188" s="14">
        <f>IF(OR(G1188="Passed",G1188="Accepted Exception"),"GREEN",IF(OR(G1188="Not Started",G1188="Failed"),"RED","AMBER"))</f>
        <v/>
      </c>
      <c r="I1188" s="21">
        <f>IFERROR('[Tenable_Security_Centre_Plus.xlsx]SI-7-1'!E20,"Non commencé")</f>
        <v/>
      </c>
      <c r="J1188" s="16">
        <f>IF(OR(I1188="Réussi",I1188="Exception acceptée"),"GREEN",IF(OR(I1188="Non commencé",I1188="Échec"),"RED","AMBER"))</f>
        <v/>
      </c>
      <c r="K1188" s="19" t="inlineStr"/>
      <c r="L1188" s="19" t="inlineStr"/>
      <c r="M1188" s="22" t="inlineStr"/>
    </row>
    <row r="1189" ht="18" customHeight="1">
      <c r="A1189" s="11" t="inlineStr">
        <is>
          <t>SI-7(7)</t>
        </is>
      </c>
      <c r="B1189" s="12" t="inlineStr">
        <is>
          <t>Software, Firmware, and Information Integrity</t>
        </is>
      </c>
      <c r="C1189" s="12" t="inlineStr">
        <is>
          <t>Tenable Security Centre+</t>
        </is>
      </c>
      <c r="D1189" s="11" t="inlineStr">
        <is>
          <t>SI</t>
        </is>
      </c>
      <c r="E1189" s="12" t="inlineStr">
        <is>
          <t>Tenable Security Centre Plus</t>
        </is>
      </c>
      <c r="F1189" s="12" t="inlineStr">
        <is>
          <t>SI-7-7</t>
        </is>
      </c>
      <c r="G1189" s="13">
        <f>IFERROR('[Tenable_Security_Centre_Plus.xlsx]SI-7-7'!B20,"Not Started")</f>
        <v/>
      </c>
      <c r="H1189" s="14">
        <f>IF(OR(G1189="Passed",G1189="Accepted Exception"),"GREEN",IF(OR(G1189="Not Started",G1189="Failed"),"RED","AMBER"))</f>
        <v/>
      </c>
      <c r="I1189" s="15">
        <f>IFERROR('[Tenable_Security_Centre_Plus.xlsx]SI-7-7'!E20,"Non commencé")</f>
        <v/>
      </c>
      <c r="J1189" s="16">
        <f>IF(OR(I1189="Réussi",I1189="Exception acceptée"),"GREEN",IF(OR(I1189="Non commencé",I1189="Échec"),"RED","AMBER"))</f>
        <v/>
      </c>
      <c r="K1189" s="12" t="inlineStr"/>
      <c r="L1189" s="12" t="inlineStr"/>
      <c r="M1189" s="17" t="inlineStr"/>
    </row>
    <row r="1190" ht="18" customHeight="1">
      <c r="A1190" s="18" t="inlineStr">
        <is>
          <t>SI-11</t>
        </is>
      </c>
      <c r="B1190" s="19" t="inlineStr">
        <is>
          <t>Error Handling</t>
        </is>
      </c>
      <c r="C1190" s="19" t="inlineStr">
        <is>
          <t>Tenable Security Centre+</t>
        </is>
      </c>
      <c r="D1190" s="18" t="inlineStr">
        <is>
          <t>SI</t>
        </is>
      </c>
      <c r="E1190" s="19" t="inlineStr">
        <is>
          <t>Tenable Security Centre Plus</t>
        </is>
      </c>
      <c r="F1190" s="19" t="inlineStr">
        <is>
          <t>SI-11</t>
        </is>
      </c>
      <c r="G1190" s="20">
        <f>IFERROR('[Tenable_Security_Centre_Plus.xlsx]SI-11'!B20,"Not Started")</f>
        <v/>
      </c>
      <c r="H1190" s="14">
        <f>IF(OR(G1190="Passed",G1190="Accepted Exception"),"GREEN",IF(OR(G1190="Not Started",G1190="Failed"),"RED","AMBER"))</f>
        <v/>
      </c>
      <c r="I1190" s="21">
        <f>IFERROR('[Tenable_Security_Centre_Plus.xlsx]SI-11'!E20,"Non commencé")</f>
        <v/>
      </c>
      <c r="J1190" s="16">
        <f>IF(OR(I1190="Réussi",I1190="Exception acceptée"),"GREEN",IF(OR(I1190="Non commencé",I1190="Échec"),"RED","AMBER"))</f>
        <v/>
      </c>
      <c r="K1190" s="19" t="inlineStr"/>
      <c r="L1190" s="19" t="inlineStr"/>
      <c r="M1190" s="22" t="inlineStr"/>
    </row>
    <row r="1191" ht="18" customHeight="1">
      <c r="A1191" s="11" t="inlineStr">
        <is>
          <t>SI-12</t>
        </is>
      </c>
      <c r="B1191" s="12" t="inlineStr">
        <is>
          <t>Information Output Handling and Retention</t>
        </is>
      </c>
      <c r="C1191" s="12" t="inlineStr">
        <is>
          <t>Tenable Security Centre+</t>
        </is>
      </c>
      <c r="D1191" s="11" t="inlineStr">
        <is>
          <t>SI</t>
        </is>
      </c>
      <c r="E1191" s="12" t="inlineStr">
        <is>
          <t>Tenable Security Centre Plus</t>
        </is>
      </c>
      <c r="F1191" s="12" t="inlineStr">
        <is>
          <t>SI-12</t>
        </is>
      </c>
      <c r="G1191" s="13">
        <f>IFERROR('[Tenable_Security_Centre_Plus.xlsx]SI-12'!B20,"Not Started")</f>
        <v/>
      </c>
      <c r="H1191" s="14">
        <f>IF(OR(G1191="Passed",G1191="Accepted Exception"),"GREEN",IF(OR(G1191="Not Started",G1191="Failed"),"RED","AMBER"))</f>
        <v/>
      </c>
      <c r="I1191" s="15">
        <f>IFERROR('[Tenable_Security_Centre_Plus.xlsx]SI-12'!E20,"Non commencé")</f>
        <v/>
      </c>
      <c r="J1191" s="16">
        <f>IF(OR(I1191="Réussi",I1191="Exception acceptée"),"GREEN",IF(OR(I1191="Non commencé",I1191="Échec"),"RED","AMBER"))</f>
        <v/>
      </c>
      <c r="K1191" s="12" t="inlineStr"/>
      <c r="L1191" s="12" t="inlineStr"/>
      <c r="M1191" s="17" t="inlineStr"/>
    </row>
    <row r="1192" ht="18" customHeight="1">
      <c r="A1192" s="18" t="inlineStr">
        <is>
          <t>AC-3</t>
        </is>
      </c>
      <c r="B1192" s="19" t="inlineStr">
        <is>
          <t>Access Enforcement</t>
        </is>
      </c>
      <c r="C1192" s="19" t="inlineStr">
        <is>
          <t>Virtual Desktop Infrastructure</t>
        </is>
      </c>
      <c r="D1192" s="18" t="inlineStr">
        <is>
          <t>AC</t>
        </is>
      </c>
      <c r="E1192" s="19" t="inlineStr">
        <is>
          <t>Virtual Desktop Infrastructure</t>
        </is>
      </c>
      <c r="F1192" s="19" t="inlineStr">
        <is>
          <t>AC-3</t>
        </is>
      </c>
      <c r="G1192" s="20">
        <f>IFERROR('[Virtual_Desktop_Infrastructure.xlsx]AC-3'!B20,"Not Started")</f>
        <v/>
      </c>
      <c r="H1192" s="14">
        <f>IF(OR(G1192="Passed",G1192="Accepted Exception"),"GREEN",IF(OR(G1192="Not Started",G1192="Failed"),"RED","AMBER"))</f>
        <v/>
      </c>
      <c r="I1192" s="21">
        <f>IFERROR('[Virtual_Desktop_Infrastructure.xlsx]AC-3'!E20,"Non commencé")</f>
        <v/>
      </c>
      <c r="J1192" s="16">
        <f>IF(OR(I1192="Réussi",I1192="Exception acceptée"),"GREEN",IF(OR(I1192="Non commencé",I1192="Échec"),"RED","AMBER"))</f>
        <v/>
      </c>
      <c r="K1192" s="19" t="inlineStr"/>
      <c r="L1192" s="19" t="inlineStr"/>
      <c r="M1192" s="22" t="inlineStr"/>
    </row>
    <row r="1193" ht="18" customHeight="1">
      <c r="A1193" s="11" t="inlineStr">
        <is>
          <t>AC-6</t>
        </is>
      </c>
      <c r="B1193" s="12" t="inlineStr">
        <is>
          <t>Least Privilege</t>
        </is>
      </c>
      <c r="C1193" s="12" t="inlineStr">
        <is>
          <t>Virtual Desktop Infrastructure</t>
        </is>
      </c>
      <c r="D1193" s="11" t="inlineStr">
        <is>
          <t>AC</t>
        </is>
      </c>
      <c r="E1193" s="12" t="inlineStr">
        <is>
          <t>Virtual Desktop Infrastructure</t>
        </is>
      </c>
      <c r="F1193" s="12" t="inlineStr">
        <is>
          <t>AC-6</t>
        </is>
      </c>
      <c r="G1193" s="13">
        <f>IFERROR('[Virtual_Desktop_Infrastructure.xlsx]AC-6'!B20,"Not Started")</f>
        <v/>
      </c>
      <c r="H1193" s="14">
        <f>IF(OR(G1193="Passed",G1193="Accepted Exception"),"GREEN",IF(OR(G1193="Not Started",G1193="Failed"),"RED","AMBER"))</f>
        <v/>
      </c>
      <c r="I1193" s="15">
        <f>IFERROR('[Virtual_Desktop_Infrastructure.xlsx]AC-6'!E20,"Non commencé")</f>
        <v/>
      </c>
      <c r="J1193" s="16">
        <f>IF(OR(I1193="Réussi",I1193="Exception acceptée"),"GREEN",IF(OR(I1193="Non commencé",I1193="Échec"),"RED","AMBER"))</f>
        <v/>
      </c>
      <c r="K1193" s="12" t="inlineStr"/>
      <c r="L1193" s="12" t="inlineStr"/>
      <c r="M1193" s="17" t="inlineStr"/>
    </row>
    <row r="1194" ht="18" customHeight="1">
      <c r="A1194" s="18" t="inlineStr">
        <is>
          <t>AC-6(1)</t>
        </is>
      </c>
      <c r="B1194" s="19" t="inlineStr">
        <is>
          <t>Least Privilege</t>
        </is>
      </c>
      <c r="C1194" s="19" t="inlineStr">
        <is>
          <t>Virtual Desktop Infrastructure</t>
        </is>
      </c>
      <c r="D1194" s="18" t="inlineStr">
        <is>
          <t>AC</t>
        </is>
      </c>
      <c r="E1194" s="19" t="inlineStr">
        <is>
          <t>Virtual Desktop Infrastructure</t>
        </is>
      </c>
      <c r="F1194" s="19" t="inlineStr">
        <is>
          <t>AC-6-1</t>
        </is>
      </c>
      <c r="G1194" s="20">
        <f>IFERROR('[Virtual_Desktop_Infrastructure.xlsx]AC-6-1'!B20,"Not Started")</f>
        <v/>
      </c>
      <c r="H1194" s="14">
        <f>IF(OR(G1194="Passed",G1194="Accepted Exception"),"GREEN",IF(OR(G1194="Not Started",G1194="Failed"),"RED","AMBER"))</f>
        <v/>
      </c>
      <c r="I1194" s="21">
        <f>IFERROR('[Virtual_Desktop_Infrastructure.xlsx]AC-6-1'!E20,"Non commencé")</f>
        <v/>
      </c>
      <c r="J1194" s="16">
        <f>IF(OR(I1194="Réussi",I1194="Exception acceptée"),"GREEN",IF(OR(I1194="Non commencé",I1194="Échec"),"RED","AMBER"))</f>
        <v/>
      </c>
      <c r="K1194" s="19" t="inlineStr"/>
      <c r="L1194" s="19" t="inlineStr"/>
      <c r="M1194" s="22" t="inlineStr"/>
    </row>
    <row r="1195" ht="18" customHeight="1">
      <c r="A1195" s="11" t="inlineStr">
        <is>
          <t>AC-7</t>
        </is>
      </c>
      <c r="B1195" s="12" t="inlineStr">
        <is>
          <t>Unsuccessful Login Attempts</t>
        </is>
      </c>
      <c r="C1195" s="12" t="inlineStr">
        <is>
          <t>Virtual Desktop Infrastructure</t>
        </is>
      </c>
      <c r="D1195" s="11" t="inlineStr">
        <is>
          <t>AC</t>
        </is>
      </c>
      <c r="E1195" s="12" t="inlineStr">
        <is>
          <t>Virtual Desktop Infrastructure</t>
        </is>
      </c>
      <c r="F1195" s="12" t="inlineStr">
        <is>
          <t>AC-7</t>
        </is>
      </c>
      <c r="G1195" s="13">
        <f>IFERROR('[Virtual_Desktop_Infrastructure.xlsx]AC-7'!B20,"Not Started")</f>
        <v/>
      </c>
      <c r="H1195" s="14">
        <f>IF(OR(G1195="Passed",G1195="Accepted Exception"),"GREEN",IF(OR(G1195="Not Started",G1195="Failed"),"RED","AMBER"))</f>
        <v/>
      </c>
      <c r="I1195" s="15">
        <f>IFERROR('[Virtual_Desktop_Infrastructure.xlsx]AC-7'!E20,"Non commencé")</f>
        <v/>
      </c>
      <c r="J1195" s="16">
        <f>IF(OR(I1195="Réussi",I1195="Exception acceptée"),"GREEN",IF(OR(I1195="Non commencé",I1195="Échec"),"RED","AMBER"))</f>
        <v/>
      </c>
      <c r="K1195" s="12" t="inlineStr"/>
      <c r="L1195" s="12" t="inlineStr"/>
      <c r="M1195" s="17" t="inlineStr"/>
    </row>
    <row r="1196" ht="18" customHeight="1">
      <c r="A1196" s="18" t="inlineStr">
        <is>
          <t>AC-8</t>
        </is>
      </c>
      <c r="B1196" s="19" t="inlineStr">
        <is>
          <t>System Use Notification</t>
        </is>
      </c>
      <c r="C1196" s="19" t="inlineStr">
        <is>
          <t>Virtual Desktop Infrastructure</t>
        </is>
      </c>
      <c r="D1196" s="18" t="inlineStr">
        <is>
          <t>AC</t>
        </is>
      </c>
      <c r="E1196" s="19" t="inlineStr">
        <is>
          <t>Virtual Desktop Infrastructure</t>
        </is>
      </c>
      <c r="F1196" s="19" t="inlineStr">
        <is>
          <t>AC-8</t>
        </is>
      </c>
      <c r="G1196" s="20">
        <f>IFERROR('[Virtual_Desktop_Infrastructure.xlsx]AC-8'!B20,"Not Started")</f>
        <v/>
      </c>
      <c r="H1196" s="14">
        <f>IF(OR(G1196="Passed",G1196="Accepted Exception"),"GREEN",IF(OR(G1196="Not Started",G1196="Failed"),"RED","AMBER"))</f>
        <v/>
      </c>
      <c r="I1196" s="21">
        <f>IFERROR('[Virtual_Desktop_Infrastructure.xlsx]AC-8'!E20,"Non commencé")</f>
        <v/>
      </c>
      <c r="J1196" s="16">
        <f>IF(OR(I1196="Réussi",I1196="Exception acceptée"),"GREEN",IF(OR(I1196="Non commencé",I1196="Échec"),"RED","AMBER"))</f>
        <v/>
      </c>
      <c r="K1196" s="19" t="inlineStr"/>
      <c r="L1196" s="19" t="inlineStr"/>
      <c r="M1196" s="22" t="inlineStr"/>
    </row>
    <row r="1197" ht="18" customHeight="1">
      <c r="A1197" s="11" t="inlineStr">
        <is>
          <t>AC-11</t>
        </is>
      </c>
      <c r="B1197" s="12" t="inlineStr">
        <is>
          <t>Session Lock</t>
        </is>
      </c>
      <c r="C1197" s="12" t="inlineStr">
        <is>
          <t>Virtual Desktop Infrastructure</t>
        </is>
      </c>
      <c r="D1197" s="11" t="inlineStr">
        <is>
          <t>AC</t>
        </is>
      </c>
      <c r="E1197" s="12" t="inlineStr">
        <is>
          <t>Virtual Desktop Infrastructure</t>
        </is>
      </c>
      <c r="F1197" s="12" t="inlineStr">
        <is>
          <t>AC-11</t>
        </is>
      </c>
      <c r="G1197" s="13">
        <f>IFERROR('[Virtual_Desktop_Infrastructure.xlsx]AC-11'!B20,"Not Started")</f>
        <v/>
      </c>
      <c r="H1197" s="14">
        <f>IF(OR(G1197="Passed",G1197="Accepted Exception"),"GREEN",IF(OR(G1197="Not Started",G1197="Failed"),"RED","AMBER"))</f>
        <v/>
      </c>
      <c r="I1197" s="15">
        <f>IFERROR('[Virtual_Desktop_Infrastructure.xlsx]AC-11'!E20,"Non commencé")</f>
        <v/>
      </c>
      <c r="J1197" s="16">
        <f>IF(OR(I1197="Réussi",I1197="Exception acceptée"),"GREEN",IF(OR(I1197="Non commencé",I1197="Échec"),"RED","AMBER"))</f>
        <v/>
      </c>
      <c r="K1197" s="12" t="inlineStr"/>
      <c r="L1197" s="12" t="inlineStr"/>
      <c r="M1197" s="17" t="inlineStr"/>
    </row>
    <row r="1198" ht="18" customHeight="1">
      <c r="A1198" s="18" t="inlineStr">
        <is>
          <t>AC-11(1)</t>
        </is>
      </c>
      <c r="B1198" s="19" t="inlineStr">
        <is>
          <t>Session Lock</t>
        </is>
      </c>
      <c r="C1198" s="19" t="inlineStr">
        <is>
          <t>Virtual Desktop Infrastructure</t>
        </is>
      </c>
      <c r="D1198" s="18" t="inlineStr">
        <is>
          <t>AC</t>
        </is>
      </c>
      <c r="E1198" s="19" t="inlineStr">
        <is>
          <t>Virtual Desktop Infrastructure</t>
        </is>
      </c>
      <c r="F1198" s="19" t="inlineStr">
        <is>
          <t>AC-11-1</t>
        </is>
      </c>
      <c r="G1198" s="20">
        <f>IFERROR('[Virtual_Desktop_Infrastructure.xlsx]AC-11-1'!B20,"Not Started")</f>
        <v/>
      </c>
      <c r="H1198" s="14">
        <f>IF(OR(G1198="Passed",G1198="Accepted Exception"),"GREEN",IF(OR(G1198="Not Started",G1198="Failed"),"RED","AMBER"))</f>
        <v/>
      </c>
      <c r="I1198" s="21">
        <f>IFERROR('[Virtual_Desktop_Infrastructure.xlsx]AC-11-1'!E20,"Non commencé")</f>
        <v/>
      </c>
      <c r="J1198" s="16">
        <f>IF(OR(I1198="Réussi",I1198="Exception acceptée"),"GREEN",IF(OR(I1198="Non commencé",I1198="Échec"),"RED","AMBER"))</f>
        <v/>
      </c>
      <c r="K1198" s="19" t="inlineStr"/>
      <c r="L1198" s="19" t="inlineStr"/>
      <c r="M1198" s="22" t="inlineStr"/>
    </row>
    <row r="1199" ht="18" customHeight="1">
      <c r="A1199" s="11" t="inlineStr">
        <is>
          <t>AC-12</t>
        </is>
      </c>
      <c r="B1199" s="12" t="inlineStr">
        <is>
          <t>Session Termination</t>
        </is>
      </c>
      <c r="C1199" s="12" t="inlineStr">
        <is>
          <t>Virtual Desktop Infrastructure</t>
        </is>
      </c>
      <c r="D1199" s="11" t="inlineStr">
        <is>
          <t>AC</t>
        </is>
      </c>
      <c r="E1199" s="12" t="inlineStr">
        <is>
          <t>Virtual Desktop Infrastructure</t>
        </is>
      </c>
      <c r="F1199" s="12" t="inlineStr">
        <is>
          <t>AC-12</t>
        </is>
      </c>
      <c r="G1199" s="13">
        <f>IFERROR('[Virtual_Desktop_Infrastructure.xlsx]AC-12'!B20,"Not Started")</f>
        <v/>
      </c>
      <c r="H1199" s="14">
        <f>IF(OR(G1199="Passed",G1199="Accepted Exception"),"GREEN",IF(OR(G1199="Not Started",G1199="Failed"),"RED","AMBER"))</f>
        <v/>
      </c>
      <c r="I1199" s="15">
        <f>IFERROR('[Virtual_Desktop_Infrastructure.xlsx]AC-12'!E20,"Non commencé")</f>
        <v/>
      </c>
      <c r="J1199" s="16">
        <f>IF(OR(I1199="Réussi",I1199="Exception acceptée"),"GREEN",IF(OR(I1199="Non commencé",I1199="Échec"),"RED","AMBER"))</f>
        <v/>
      </c>
      <c r="K1199" s="12" t="inlineStr"/>
      <c r="L1199" s="12" t="inlineStr"/>
      <c r="M1199" s="17" t="inlineStr"/>
    </row>
    <row r="1200" ht="18" customHeight="1">
      <c r="A1200" s="18" t="inlineStr">
        <is>
          <t>AC-17(1)</t>
        </is>
      </c>
      <c r="B1200" s="19" t="inlineStr">
        <is>
          <t>Remote Access</t>
        </is>
      </c>
      <c r="C1200" s="19" t="inlineStr">
        <is>
          <t>Virtual Desktop Infrastructure</t>
        </is>
      </c>
      <c r="D1200" s="18" t="inlineStr">
        <is>
          <t>AC</t>
        </is>
      </c>
      <c r="E1200" s="19" t="inlineStr">
        <is>
          <t>Virtual Desktop Infrastructure</t>
        </is>
      </c>
      <c r="F1200" s="19" t="inlineStr">
        <is>
          <t>AC-17-1</t>
        </is>
      </c>
      <c r="G1200" s="20">
        <f>IFERROR('[Virtual_Desktop_Infrastructure.xlsx]AC-17-1'!B20,"Not Started")</f>
        <v/>
      </c>
      <c r="H1200" s="14">
        <f>IF(OR(G1200="Passed",G1200="Accepted Exception"),"GREEN",IF(OR(G1200="Not Started",G1200="Failed"),"RED","AMBER"))</f>
        <v/>
      </c>
      <c r="I1200" s="21">
        <f>IFERROR('[Virtual_Desktop_Infrastructure.xlsx]AC-17-1'!E20,"Non commencé")</f>
        <v/>
      </c>
      <c r="J1200" s="16">
        <f>IF(OR(I1200="Réussi",I1200="Exception acceptée"),"GREEN",IF(OR(I1200="Non commencé",I1200="Échec"),"RED","AMBER"))</f>
        <v/>
      </c>
      <c r="K1200" s="19" t="inlineStr"/>
      <c r="L1200" s="19" t="inlineStr"/>
      <c r="M1200" s="22" t="inlineStr"/>
    </row>
    <row r="1201" ht="18" customHeight="1">
      <c r="A1201" s="11" t="inlineStr">
        <is>
          <t>AC-17(2)</t>
        </is>
      </c>
      <c r="B1201" s="12" t="inlineStr">
        <is>
          <t>Remote Access</t>
        </is>
      </c>
      <c r="C1201" s="12" t="inlineStr">
        <is>
          <t>Virtual Desktop Infrastructure</t>
        </is>
      </c>
      <c r="D1201" s="11" t="inlineStr">
        <is>
          <t>AC</t>
        </is>
      </c>
      <c r="E1201" s="12" t="inlineStr">
        <is>
          <t>Virtual Desktop Infrastructure</t>
        </is>
      </c>
      <c r="F1201" s="12" t="inlineStr">
        <is>
          <t>AC-17-2</t>
        </is>
      </c>
      <c r="G1201" s="13">
        <f>IFERROR('[Virtual_Desktop_Infrastructure.xlsx]AC-17-2'!B20,"Not Started")</f>
        <v/>
      </c>
      <c r="H1201" s="14">
        <f>IF(OR(G1201="Passed",G1201="Accepted Exception"),"GREEN",IF(OR(G1201="Not Started",G1201="Failed"),"RED","AMBER"))</f>
        <v/>
      </c>
      <c r="I1201" s="15">
        <f>IFERROR('[Virtual_Desktop_Infrastructure.xlsx]AC-17-2'!E20,"Non commencé")</f>
        <v/>
      </c>
      <c r="J1201" s="16">
        <f>IF(OR(I1201="Réussi",I1201="Exception acceptée"),"GREEN",IF(OR(I1201="Non commencé",I1201="Échec"),"RED","AMBER"))</f>
        <v/>
      </c>
      <c r="K1201" s="12" t="inlineStr"/>
      <c r="L1201" s="12" t="inlineStr"/>
      <c r="M1201" s="17" t="inlineStr"/>
    </row>
    <row r="1202" ht="18" customHeight="1">
      <c r="A1202" s="18" t="inlineStr">
        <is>
          <t>AC-17(100)</t>
        </is>
      </c>
      <c r="B1202" s="19" t="inlineStr">
        <is>
          <t>Remote Access</t>
        </is>
      </c>
      <c r="C1202" s="19" t="inlineStr">
        <is>
          <t>Virtual Desktop Infrastructure</t>
        </is>
      </c>
      <c r="D1202" s="18" t="inlineStr">
        <is>
          <t>AC</t>
        </is>
      </c>
      <c r="E1202" s="19" t="inlineStr">
        <is>
          <t>Virtual Desktop Infrastructure</t>
        </is>
      </c>
      <c r="F1202" s="19" t="inlineStr">
        <is>
          <t>AC-17-100</t>
        </is>
      </c>
      <c r="G1202" s="20">
        <f>IFERROR('[Virtual_Desktop_Infrastructure.xlsx]AC-17-100'!B20,"Not Started")</f>
        <v/>
      </c>
      <c r="H1202" s="14">
        <f>IF(OR(G1202="Passed",G1202="Accepted Exception"),"GREEN",IF(OR(G1202="Not Started",G1202="Failed"),"RED","AMBER"))</f>
        <v/>
      </c>
      <c r="I1202" s="21">
        <f>IFERROR('[Virtual_Desktop_Infrastructure.xlsx]AC-17-100'!E20,"Non commencé")</f>
        <v/>
      </c>
      <c r="J1202" s="16">
        <f>IF(OR(I1202="Réussi",I1202="Exception acceptée"),"GREEN",IF(OR(I1202="Non commencé",I1202="Échec"),"RED","AMBER"))</f>
        <v/>
      </c>
      <c r="K1202" s="19" t="inlineStr"/>
      <c r="L1202" s="19" t="inlineStr"/>
      <c r="M1202" s="22" t="inlineStr"/>
    </row>
    <row r="1203" ht="18" customHeight="1">
      <c r="A1203" s="11" t="inlineStr">
        <is>
          <t>AU-2</t>
        </is>
      </c>
      <c r="B1203" s="12" t="inlineStr">
        <is>
          <t>Auditable Events</t>
        </is>
      </c>
      <c r="C1203" s="12" t="inlineStr">
        <is>
          <t>Virtual Desktop Infrastructure</t>
        </is>
      </c>
      <c r="D1203" s="11" t="inlineStr">
        <is>
          <t>AU</t>
        </is>
      </c>
      <c r="E1203" s="12" t="inlineStr">
        <is>
          <t>Virtual Desktop Infrastructure</t>
        </is>
      </c>
      <c r="F1203" s="12" t="inlineStr">
        <is>
          <t>AU-2</t>
        </is>
      </c>
      <c r="G1203" s="13">
        <f>IFERROR('[Virtual_Desktop_Infrastructure.xlsx]AU-2'!B20,"Not Started")</f>
        <v/>
      </c>
      <c r="H1203" s="14">
        <f>IF(OR(G1203="Passed",G1203="Accepted Exception"),"GREEN",IF(OR(G1203="Not Started",G1203="Failed"),"RED","AMBER"))</f>
        <v/>
      </c>
      <c r="I1203" s="15">
        <f>IFERROR('[Virtual_Desktop_Infrastructure.xlsx]AU-2'!E20,"Non commencé")</f>
        <v/>
      </c>
      <c r="J1203" s="16">
        <f>IF(OR(I1203="Réussi",I1203="Exception acceptée"),"GREEN",IF(OR(I1203="Non commencé",I1203="Échec"),"RED","AMBER"))</f>
        <v/>
      </c>
      <c r="K1203" s="12" t="inlineStr"/>
      <c r="L1203" s="12" t="inlineStr"/>
      <c r="M1203" s="17" t="inlineStr"/>
    </row>
    <row r="1204" ht="18" customHeight="1">
      <c r="A1204" s="18" t="inlineStr">
        <is>
          <t>AU-3</t>
        </is>
      </c>
      <c r="B1204" s="19" t="inlineStr">
        <is>
          <t>Content of Audit Records</t>
        </is>
      </c>
      <c r="C1204" s="19" t="inlineStr">
        <is>
          <t>Virtual Desktop Infrastructure</t>
        </is>
      </c>
      <c r="D1204" s="18" t="inlineStr">
        <is>
          <t>AU</t>
        </is>
      </c>
      <c r="E1204" s="19" t="inlineStr">
        <is>
          <t>Virtual Desktop Infrastructure</t>
        </is>
      </c>
      <c r="F1204" s="19" t="inlineStr">
        <is>
          <t>AU-3</t>
        </is>
      </c>
      <c r="G1204" s="20">
        <f>IFERROR('[Virtual_Desktop_Infrastructure.xlsx]AU-3'!B20,"Not Started")</f>
        <v/>
      </c>
      <c r="H1204" s="14">
        <f>IF(OR(G1204="Passed",G1204="Accepted Exception"),"GREEN",IF(OR(G1204="Not Started",G1204="Failed"),"RED","AMBER"))</f>
        <v/>
      </c>
      <c r="I1204" s="21">
        <f>IFERROR('[Virtual_Desktop_Infrastructure.xlsx]AU-3'!E20,"Non commencé")</f>
        <v/>
      </c>
      <c r="J1204" s="16">
        <f>IF(OR(I1204="Réussi",I1204="Exception acceptée"),"GREEN",IF(OR(I1204="Non commencé",I1204="Échec"),"RED","AMBER"))</f>
        <v/>
      </c>
      <c r="K1204" s="19" t="inlineStr"/>
      <c r="L1204" s="19" t="inlineStr"/>
      <c r="M1204" s="22" t="inlineStr"/>
    </row>
    <row r="1205" ht="18" customHeight="1">
      <c r="A1205" s="11" t="inlineStr">
        <is>
          <t>AU-3(1)</t>
        </is>
      </c>
      <c r="B1205" s="12" t="inlineStr">
        <is>
          <t>Content of Audit Records</t>
        </is>
      </c>
      <c r="C1205" s="12" t="inlineStr">
        <is>
          <t>Virtual Desktop Infrastructure</t>
        </is>
      </c>
      <c r="D1205" s="11" t="inlineStr">
        <is>
          <t>AU</t>
        </is>
      </c>
      <c r="E1205" s="12" t="inlineStr">
        <is>
          <t>Virtual Desktop Infrastructure</t>
        </is>
      </c>
      <c r="F1205" s="12" t="inlineStr">
        <is>
          <t>AU-3-1</t>
        </is>
      </c>
      <c r="G1205" s="13">
        <f>IFERROR('[Virtual_Desktop_Infrastructure.xlsx]AU-3-1'!B20,"Not Started")</f>
        <v/>
      </c>
      <c r="H1205" s="14">
        <f>IF(OR(G1205="Passed",G1205="Accepted Exception"),"GREEN",IF(OR(G1205="Not Started",G1205="Failed"),"RED","AMBER"))</f>
        <v/>
      </c>
      <c r="I1205" s="15">
        <f>IFERROR('[Virtual_Desktop_Infrastructure.xlsx]AU-3-1'!E20,"Non commencé")</f>
        <v/>
      </c>
      <c r="J1205" s="16">
        <f>IF(OR(I1205="Réussi",I1205="Exception acceptée"),"GREEN",IF(OR(I1205="Non commencé",I1205="Échec"),"RED","AMBER"))</f>
        <v/>
      </c>
      <c r="K1205" s="12" t="inlineStr"/>
      <c r="L1205" s="12" t="inlineStr"/>
      <c r="M1205" s="17" t="inlineStr"/>
    </row>
    <row r="1206" ht="18" customHeight="1">
      <c r="A1206" s="18" t="inlineStr">
        <is>
          <t>AU-9(2)</t>
        </is>
      </c>
      <c r="B1206" s="19" t="inlineStr">
        <is>
          <t>Protection of Audit Information</t>
        </is>
      </c>
      <c r="C1206" s="19" t="inlineStr">
        <is>
          <t>Virtual Desktop Infrastructure</t>
        </is>
      </c>
      <c r="D1206" s="18" t="inlineStr">
        <is>
          <t>AU</t>
        </is>
      </c>
      <c r="E1206" s="19" t="inlineStr">
        <is>
          <t>Virtual Desktop Infrastructure</t>
        </is>
      </c>
      <c r="F1206" s="19" t="inlineStr">
        <is>
          <t>AU-9-2</t>
        </is>
      </c>
      <c r="G1206" s="20">
        <f>IFERROR('[Virtual_Desktop_Infrastructure.xlsx]AU-9-2'!B20,"Not Started")</f>
        <v/>
      </c>
      <c r="H1206" s="14">
        <f>IF(OR(G1206="Passed",G1206="Accepted Exception"),"GREEN",IF(OR(G1206="Not Started",G1206="Failed"),"RED","AMBER"))</f>
        <v/>
      </c>
      <c r="I1206" s="21">
        <f>IFERROR('[Virtual_Desktop_Infrastructure.xlsx]AU-9-2'!E20,"Non commencé")</f>
        <v/>
      </c>
      <c r="J1206" s="16">
        <f>IF(OR(I1206="Réussi",I1206="Exception acceptée"),"GREEN",IF(OR(I1206="Non commencé",I1206="Échec"),"RED","AMBER"))</f>
        <v/>
      </c>
      <c r="K1206" s="19" t="inlineStr"/>
      <c r="L1206" s="19" t="inlineStr"/>
      <c r="M1206" s="22" t="inlineStr"/>
    </row>
    <row r="1207" ht="18" customHeight="1">
      <c r="A1207" s="11" t="inlineStr">
        <is>
          <t>AU-12</t>
        </is>
      </c>
      <c r="B1207" s="12" t="inlineStr">
        <is>
          <t>Audit Generation</t>
        </is>
      </c>
      <c r="C1207" s="12" t="inlineStr">
        <is>
          <t>Virtual Desktop Infrastructure</t>
        </is>
      </c>
      <c r="D1207" s="11" t="inlineStr">
        <is>
          <t>AU</t>
        </is>
      </c>
      <c r="E1207" s="12" t="inlineStr">
        <is>
          <t>Virtual Desktop Infrastructure</t>
        </is>
      </c>
      <c r="F1207" s="12" t="inlineStr">
        <is>
          <t>AU-12</t>
        </is>
      </c>
      <c r="G1207" s="13">
        <f>IFERROR('[Virtual_Desktop_Infrastructure.xlsx]AU-12'!B20,"Not Started")</f>
        <v/>
      </c>
      <c r="H1207" s="14">
        <f>IF(OR(G1207="Passed",G1207="Accepted Exception"),"GREEN",IF(OR(G1207="Not Started",G1207="Failed"),"RED","AMBER"))</f>
        <v/>
      </c>
      <c r="I1207" s="15">
        <f>IFERROR('[Virtual_Desktop_Infrastructure.xlsx]AU-12'!E20,"Non commencé")</f>
        <v/>
      </c>
      <c r="J1207" s="16">
        <f>IF(OR(I1207="Réussi",I1207="Exception acceptée"),"GREEN",IF(OR(I1207="Non commencé",I1207="Échec"),"RED","AMBER"))</f>
        <v/>
      </c>
      <c r="K1207" s="12" t="inlineStr"/>
      <c r="L1207" s="12" t="inlineStr"/>
      <c r="M1207" s="17" t="inlineStr"/>
    </row>
    <row r="1208" ht="18" customHeight="1">
      <c r="A1208" s="18" t="inlineStr">
        <is>
          <t>CA-9</t>
        </is>
      </c>
      <c r="B1208" s="19" t="inlineStr">
        <is>
          <t>Internal System Connections</t>
        </is>
      </c>
      <c r="C1208" s="19" t="inlineStr">
        <is>
          <t>Virtual Desktop Infrastructure</t>
        </is>
      </c>
      <c r="D1208" s="18" t="inlineStr">
        <is>
          <t>CA</t>
        </is>
      </c>
      <c r="E1208" s="19" t="inlineStr">
        <is>
          <t>Virtual Desktop Infrastructure</t>
        </is>
      </c>
      <c r="F1208" s="19" t="inlineStr">
        <is>
          <t>CA-9</t>
        </is>
      </c>
      <c r="G1208" s="20">
        <f>IFERROR('[Virtual_Desktop_Infrastructure.xlsx]CA-9'!B20,"Not Started")</f>
        <v/>
      </c>
      <c r="H1208" s="14">
        <f>IF(OR(G1208="Passed",G1208="Accepted Exception"),"GREEN",IF(OR(G1208="Not Started",G1208="Failed"),"RED","AMBER"))</f>
        <v/>
      </c>
      <c r="I1208" s="21">
        <f>IFERROR('[Virtual_Desktop_Infrastructure.xlsx]CA-9'!E20,"Non commencé")</f>
        <v/>
      </c>
      <c r="J1208" s="16">
        <f>IF(OR(I1208="Réussi",I1208="Exception acceptée"),"GREEN",IF(OR(I1208="Non commencé",I1208="Échec"),"RED","AMBER"))</f>
        <v/>
      </c>
      <c r="K1208" s="19" t="inlineStr"/>
      <c r="L1208" s="19" t="inlineStr"/>
      <c r="M1208" s="22" t="inlineStr"/>
    </row>
    <row r="1209" ht="18" customHeight="1">
      <c r="A1209" s="11" t="inlineStr">
        <is>
          <t>CM-6</t>
        </is>
      </c>
      <c r="B1209" s="12" t="inlineStr">
        <is>
          <t>Configuration Settings</t>
        </is>
      </c>
      <c r="C1209" s="12" t="inlineStr">
        <is>
          <t>Virtual Desktop Infrastructure</t>
        </is>
      </c>
      <c r="D1209" s="11" t="inlineStr">
        <is>
          <t>CM</t>
        </is>
      </c>
      <c r="E1209" s="12" t="inlineStr">
        <is>
          <t>Virtual Desktop Infrastructure</t>
        </is>
      </c>
      <c r="F1209" s="12" t="inlineStr">
        <is>
          <t>CM-6</t>
        </is>
      </c>
      <c r="G1209" s="13">
        <f>IFERROR('[Virtual_Desktop_Infrastructure.xlsx]CM-6'!B20,"Not Started")</f>
        <v/>
      </c>
      <c r="H1209" s="14">
        <f>IF(OR(G1209="Passed",G1209="Accepted Exception"),"GREEN",IF(OR(G1209="Not Started",G1209="Failed"),"RED","AMBER"))</f>
        <v/>
      </c>
      <c r="I1209" s="15">
        <f>IFERROR('[Virtual_Desktop_Infrastructure.xlsx]CM-6'!E20,"Non commencé")</f>
        <v/>
      </c>
      <c r="J1209" s="16">
        <f>IF(OR(I1209="Réussi",I1209="Exception acceptée"),"GREEN",IF(OR(I1209="Non commencé",I1209="Échec"),"RED","AMBER"))</f>
        <v/>
      </c>
      <c r="K1209" s="12" t="inlineStr"/>
      <c r="L1209" s="12" t="inlineStr"/>
      <c r="M1209" s="17" t="inlineStr"/>
    </row>
    <row r="1210" ht="18" customHeight="1">
      <c r="A1210" s="18" t="inlineStr">
        <is>
          <t>CM-7</t>
        </is>
      </c>
      <c r="B1210" s="19" t="inlineStr">
        <is>
          <t>Least Functionality</t>
        </is>
      </c>
      <c r="C1210" s="19" t="inlineStr">
        <is>
          <t>Virtual Desktop Infrastructure</t>
        </is>
      </c>
      <c r="D1210" s="18" t="inlineStr">
        <is>
          <t>CM</t>
        </is>
      </c>
      <c r="E1210" s="19" t="inlineStr">
        <is>
          <t>Virtual Desktop Infrastructure</t>
        </is>
      </c>
      <c r="F1210" s="19" t="inlineStr">
        <is>
          <t>CM-7</t>
        </is>
      </c>
      <c r="G1210" s="20">
        <f>IFERROR('[Virtual_Desktop_Infrastructure.xlsx]CM-7'!B20,"Not Started")</f>
        <v/>
      </c>
      <c r="H1210" s="14">
        <f>IF(OR(G1210="Passed",G1210="Accepted Exception"),"GREEN",IF(OR(G1210="Not Started",G1210="Failed"),"RED","AMBER"))</f>
        <v/>
      </c>
      <c r="I1210" s="21">
        <f>IFERROR('[Virtual_Desktop_Infrastructure.xlsx]CM-7'!E20,"Non commencé")</f>
        <v/>
      </c>
      <c r="J1210" s="16">
        <f>IF(OR(I1210="Réussi",I1210="Exception acceptée"),"GREEN",IF(OR(I1210="Non commencé",I1210="Échec"),"RED","AMBER"))</f>
        <v/>
      </c>
      <c r="K1210" s="19" t="inlineStr"/>
      <c r="L1210" s="19" t="inlineStr"/>
      <c r="M1210" s="22" t="inlineStr"/>
    </row>
    <row r="1211" ht="18" customHeight="1">
      <c r="A1211" s="11" t="inlineStr">
        <is>
          <t>CM-7(1)</t>
        </is>
      </c>
      <c r="B1211" s="12" t="inlineStr">
        <is>
          <t>Least Functionality</t>
        </is>
      </c>
      <c r="C1211" s="12" t="inlineStr">
        <is>
          <t>Virtual Desktop Infrastructure</t>
        </is>
      </c>
      <c r="D1211" s="11" t="inlineStr">
        <is>
          <t>CM</t>
        </is>
      </c>
      <c r="E1211" s="12" t="inlineStr">
        <is>
          <t>Virtual Desktop Infrastructure</t>
        </is>
      </c>
      <c r="F1211" s="12" t="inlineStr">
        <is>
          <t>CM-7-1</t>
        </is>
      </c>
      <c r="G1211" s="13">
        <f>IFERROR('[Virtual_Desktop_Infrastructure.xlsx]CM-7-1'!B20,"Not Started")</f>
        <v/>
      </c>
      <c r="H1211" s="14">
        <f>IF(OR(G1211="Passed",G1211="Accepted Exception"),"GREEN",IF(OR(G1211="Not Started",G1211="Failed"),"RED","AMBER"))</f>
        <v/>
      </c>
      <c r="I1211" s="15">
        <f>IFERROR('[Virtual_Desktop_Infrastructure.xlsx]CM-7-1'!E20,"Non commencé")</f>
        <v/>
      </c>
      <c r="J1211" s="16">
        <f>IF(OR(I1211="Réussi",I1211="Exception acceptée"),"GREEN",IF(OR(I1211="Non commencé",I1211="Échec"),"RED","AMBER"))</f>
        <v/>
      </c>
      <c r="K1211" s="12" t="inlineStr"/>
      <c r="L1211" s="12" t="inlineStr"/>
      <c r="M1211" s="17" t="inlineStr"/>
    </row>
    <row r="1212" ht="18" customHeight="1">
      <c r="A1212" s="18" t="inlineStr">
        <is>
          <t>CM-7(5)</t>
        </is>
      </c>
      <c r="B1212" s="19" t="inlineStr">
        <is>
          <t>Least Functionality</t>
        </is>
      </c>
      <c r="C1212" s="19" t="inlineStr">
        <is>
          <t>Virtual Desktop Infrastructure</t>
        </is>
      </c>
      <c r="D1212" s="18" t="inlineStr">
        <is>
          <t>CM</t>
        </is>
      </c>
      <c r="E1212" s="19" t="inlineStr">
        <is>
          <t>Virtual Desktop Infrastructure</t>
        </is>
      </c>
      <c r="F1212" s="19" t="inlineStr">
        <is>
          <t>CM-7-5</t>
        </is>
      </c>
      <c r="G1212" s="20">
        <f>IFERROR('[Virtual_Desktop_Infrastructure.xlsx]CM-7-5'!B20,"Not Started")</f>
        <v/>
      </c>
      <c r="H1212" s="14">
        <f>IF(OR(G1212="Passed",G1212="Accepted Exception"),"GREEN",IF(OR(G1212="Not Started",G1212="Failed"),"RED","AMBER"))</f>
        <v/>
      </c>
      <c r="I1212" s="21">
        <f>IFERROR('[Virtual_Desktop_Infrastructure.xlsx]CM-7-5'!E20,"Non commencé")</f>
        <v/>
      </c>
      <c r="J1212" s="16">
        <f>IF(OR(I1212="Réussi",I1212="Exception acceptée"),"GREEN",IF(OR(I1212="Non commencé",I1212="Échec"),"RED","AMBER"))</f>
        <v/>
      </c>
      <c r="K1212" s="19" t="inlineStr"/>
      <c r="L1212" s="19" t="inlineStr"/>
      <c r="M1212" s="22" t="inlineStr"/>
    </row>
    <row r="1213" ht="18" customHeight="1">
      <c r="A1213" s="11" t="inlineStr">
        <is>
          <t>CM-11</t>
        </is>
      </c>
      <c r="B1213" s="12" t="inlineStr">
        <is>
          <t>User Installed Software</t>
        </is>
      </c>
      <c r="C1213" s="12" t="inlineStr">
        <is>
          <t>Virtual Desktop Infrastructure</t>
        </is>
      </c>
      <c r="D1213" s="11" t="inlineStr">
        <is>
          <t>CM</t>
        </is>
      </c>
      <c r="E1213" s="12" t="inlineStr">
        <is>
          <t>Virtual Desktop Infrastructure</t>
        </is>
      </c>
      <c r="F1213" s="12" t="inlineStr">
        <is>
          <t>CM-11</t>
        </is>
      </c>
      <c r="G1213" s="13">
        <f>IFERROR('[Virtual_Desktop_Infrastructure.xlsx]CM-11'!B20,"Not Started")</f>
        <v/>
      </c>
      <c r="H1213" s="14">
        <f>IF(OR(G1213="Passed",G1213="Accepted Exception"),"GREEN",IF(OR(G1213="Not Started",G1213="Failed"),"RED","AMBER"))</f>
        <v/>
      </c>
      <c r="I1213" s="15">
        <f>IFERROR('[Virtual_Desktop_Infrastructure.xlsx]CM-11'!E20,"Non commencé")</f>
        <v/>
      </c>
      <c r="J1213" s="16">
        <f>IF(OR(I1213="Réussi",I1213="Exception acceptée"),"GREEN",IF(OR(I1213="Non commencé",I1213="Échec"),"RED","AMBER"))</f>
        <v/>
      </c>
      <c r="K1213" s="12" t="inlineStr"/>
      <c r="L1213" s="12" t="inlineStr"/>
      <c r="M1213" s="17" t="inlineStr"/>
    </row>
    <row r="1214" ht="18" customHeight="1">
      <c r="A1214" s="18" t="inlineStr">
        <is>
          <t>CP-6</t>
        </is>
      </c>
      <c r="B1214" s="19" t="inlineStr">
        <is>
          <t>Alternate Storage Site</t>
        </is>
      </c>
      <c r="C1214" s="19" t="inlineStr">
        <is>
          <t>Virtual Desktop Infrastructure</t>
        </is>
      </c>
      <c r="D1214" s="18" t="inlineStr">
        <is>
          <t>CP</t>
        </is>
      </c>
      <c r="E1214" s="19" t="inlineStr">
        <is>
          <t>Virtual Desktop Infrastructure</t>
        </is>
      </c>
      <c r="F1214" s="19" t="inlineStr">
        <is>
          <t>CP-6</t>
        </is>
      </c>
      <c r="G1214" s="20">
        <f>IFERROR('[Virtual_Desktop_Infrastructure.xlsx]CP-6'!B20,"Not Started")</f>
        <v/>
      </c>
      <c r="H1214" s="14">
        <f>IF(OR(G1214="Passed",G1214="Accepted Exception"),"GREEN",IF(OR(G1214="Not Started",G1214="Failed"),"RED","AMBER"))</f>
        <v/>
      </c>
      <c r="I1214" s="21">
        <f>IFERROR('[Virtual_Desktop_Infrastructure.xlsx]CP-6'!E20,"Non commencé")</f>
        <v/>
      </c>
      <c r="J1214" s="16">
        <f>IF(OR(I1214="Réussi",I1214="Exception acceptée"),"GREEN",IF(OR(I1214="Non commencé",I1214="Échec"),"RED","AMBER"))</f>
        <v/>
      </c>
      <c r="K1214" s="19" t="inlineStr"/>
      <c r="L1214" s="19" t="inlineStr"/>
      <c r="M1214" s="22" t="inlineStr"/>
    </row>
    <row r="1215" ht="18" customHeight="1">
      <c r="A1215" s="11" t="inlineStr">
        <is>
          <t>CP-6(2)</t>
        </is>
      </c>
      <c r="B1215" s="12" t="inlineStr">
        <is>
          <t>Alternate Storage Site</t>
        </is>
      </c>
      <c r="C1215" s="12" t="inlineStr">
        <is>
          <t>Virtual Desktop Infrastructure</t>
        </is>
      </c>
      <c r="D1215" s="11" t="inlineStr">
        <is>
          <t>CP</t>
        </is>
      </c>
      <c r="E1215" s="12" t="inlineStr">
        <is>
          <t>Virtual Desktop Infrastructure</t>
        </is>
      </c>
      <c r="F1215" s="12" t="inlineStr">
        <is>
          <t>CP-6-2</t>
        </is>
      </c>
      <c r="G1215" s="13">
        <f>IFERROR('[Virtual_Desktop_Infrastructure.xlsx]CP-6-2'!B20,"Not Started")</f>
        <v/>
      </c>
      <c r="H1215" s="14">
        <f>IF(OR(G1215="Passed",G1215="Accepted Exception"),"GREEN",IF(OR(G1215="Not Started",G1215="Failed"),"RED","AMBER"))</f>
        <v/>
      </c>
      <c r="I1215" s="15">
        <f>IFERROR('[Virtual_Desktop_Infrastructure.xlsx]CP-6-2'!E20,"Non commencé")</f>
        <v/>
      </c>
      <c r="J1215" s="16">
        <f>IF(OR(I1215="Réussi",I1215="Exception acceptée"),"GREEN",IF(OR(I1215="Non commencé",I1215="Échec"),"RED","AMBER"))</f>
        <v/>
      </c>
      <c r="K1215" s="12" t="inlineStr"/>
      <c r="L1215" s="12" t="inlineStr"/>
      <c r="M1215" s="17" t="inlineStr"/>
    </row>
    <row r="1216" ht="18" customHeight="1">
      <c r="A1216" s="18" t="inlineStr">
        <is>
          <t>CP-7</t>
        </is>
      </c>
      <c r="B1216" s="19" t="inlineStr">
        <is>
          <t>Alternate Processing Site</t>
        </is>
      </c>
      <c r="C1216" s="19" t="inlineStr">
        <is>
          <t>Virtual Desktop Infrastructure</t>
        </is>
      </c>
      <c r="D1216" s="18" t="inlineStr">
        <is>
          <t>CP</t>
        </is>
      </c>
      <c r="E1216" s="19" t="inlineStr">
        <is>
          <t>Virtual Desktop Infrastructure</t>
        </is>
      </c>
      <c r="F1216" s="19" t="inlineStr">
        <is>
          <t>CP-7</t>
        </is>
      </c>
      <c r="G1216" s="20">
        <f>IFERROR('[Virtual_Desktop_Infrastructure.xlsx]CP-7'!B20,"Not Started")</f>
        <v/>
      </c>
      <c r="H1216" s="14">
        <f>IF(OR(G1216="Passed",G1216="Accepted Exception"),"GREEN",IF(OR(G1216="Not Started",G1216="Failed"),"RED","AMBER"))</f>
        <v/>
      </c>
      <c r="I1216" s="21">
        <f>IFERROR('[Virtual_Desktop_Infrastructure.xlsx]CP-7'!E20,"Non commencé")</f>
        <v/>
      </c>
      <c r="J1216" s="16">
        <f>IF(OR(I1216="Réussi",I1216="Exception acceptée"),"GREEN",IF(OR(I1216="Non commencé",I1216="Échec"),"RED","AMBER"))</f>
        <v/>
      </c>
      <c r="K1216" s="19" t="inlineStr"/>
      <c r="L1216" s="19" t="inlineStr"/>
      <c r="M1216" s="22" t="inlineStr"/>
    </row>
    <row r="1217" ht="18" customHeight="1">
      <c r="A1217" s="11" t="inlineStr">
        <is>
          <t>CP-7(4)</t>
        </is>
      </c>
      <c r="B1217" s="12" t="inlineStr">
        <is>
          <t>Alternate Processing Site</t>
        </is>
      </c>
      <c r="C1217" s="12" t="inlineStr">
        <is>
          <t>Virtual Desktop Infrastructure</t>
        </is>
      </c>
      <c r="D1217" s="11" t="inlineStr">
        <is>
          <t>CP</t>
        </is>
      </c>
      <c r="E1217" s="12" t="inlineStr">
        <is>
          <t>Virtual Desktop Infrastructure</t>
        </is>
      </c>
      <c r="F1217" s="12" t="inlineStr">
        <is>
          <t>CP-7-4</t>
        </is>
      </c>
      <c r="G1217" s="13">
        <f>IFERROR('[Virtual_Desktop_Infrastructure.xlsx]CP-7-4'!B20,"Not Started")</f>
        <v/>
      </c>
      <c r="H1217" s="14">
        <f>IF(OR(G1217="Passed",G1217="Accepted Exception"),"GREEN",IF(OR(G1217="Not Started",G1217="Failed"),"RED","AMBER"))</f>
        <v/>
      </c>
      <c r="I1217" s="15">
        <f>IFERROR('[Virtual_Desktop_Infrastructure.xlsx]CP-7-4'!E20,"Non commencé")</f>
        <v/>
      </c>
      <c r="J1217" s="16">
        <f>IF(OR(I1217="Réussi",I1217="Exception acceptée"),"GREEN",IF(OR(I1217="Non commencé",I1217="Échec"),"RED","AMBER"))</f>
        <v/>
      </c>
      <c r="K1217" s="12" t="inlineStr"/>
      <c r="L1217" s="12" t="inlineStr"/>
      <c r="M1217" s="17" t="inlineStr"/>
    </row>
    <row r="1218" ht="18" customHeight="1">
      <c r="A1218" s="18" t="inlineStr">
        <is>
          <t>CP-9</t>
        </is>
      </c>
      <c r="B1218" s="19" t="inlineStr">
        <is>
          <t>Information System Backup</t>
        </is>
      </c>
      <c r="C1218" s="19" t="inlineStr">
        <is>
          <t>Virtual Desktop Infrastructure</t>
        </is>
      </c>
      <c r="D1218" s="18" t="inlineStr">
        <is>
          <t>CP</t>
        </is>
      </c>
      <c r="E1218" s="19" t="inlineStr">
        <is>
          <t>Virtual Desktop Infrastructure</t>
        </is>
      </c>
      <c r="F1218" s="19" t="inlineStr">
        <is>
          <t>CP-9</t>
        </is>
      </c>
      <c r="G1218" s="20">
        <f>IFERROR('[Virtual_Desktop_Infrastructure.xlsx]CP-9'!B20,"Not Started")</f>
        <v/>
      </c>
      <c r="H1218" s="14">
        <f>IF(OR(G1218="Passed",G1218="Accepted Exception"),"GREEN",IF(OR(G1218="Not Started",G1218="Failed"),"RED","AMBER"))</f>
        <v/>
      </c>
      <c r="I1218" s="21">
        <f>IFERROR('[Virtual_Desktop_Infrastructure.xlsx]CP-9'!E20,"Non commencé")</f>
        <v/>
      </c>
      <c r="J1218" s="16">
        <f>IF(OR(I1218="Réussi",I1218="Exception acceptée"),"GREEN",IF(OR(I1218="Non commencé",I1218="Échec"),"RED","AMBER"))</f>
        <v/>
      </c>
      <c r="K1218" s="19" t="inlineStr"/>
      <c r="L1218" s="19" t="inlineStr"/>
      <c r="M1218" s="22" t="inlineStr"/>
    </row>
    <row r="1219" ht="18" customHeight="1">
      <c r="A1219" s="11" t="inlineStr">
        <is>
          <t>CP-9(1)</t>
        </is>
      </c>
      <c r="B1219" s="12" t="inlineStr">
        <is>
          <t>Information System Backup</t>
        </is>
      </c>
      <c r="C1219" s="12" t="inlineStr">
        <is>
          <t>Virtual Desktop Infrastructure</t>
        </is>
      </c>
      <c r="D1219" s="11" t="inlineStr">
        <is>
          <t>CP</t>
        </is>
      </c>
      <c r="E1219" s="12" t="inlineStr">
        <is>
          <t>Virtual Desktop Infrastructure</t>
        </is>
      </c>
      <c r="F1219" s="12" t="inlineStr">
        <is>
          <t>CP-9-1</t>
        </is>
      </c>
      <c r="G1219" s="13">
        <f>IFERROR('[Virtual_Desktop_Infrastructure.xlsx]CP-9-1'!B20,"Not Started")</f>
        <v/>
      </c>
      <c r="H1219" s="14">
        <f>IF(OR(G1219="Passed",G1219="Accepted Exception"),"GREEN",IF(OR(G1219="Not Started",G1219="Failed"),"RED","AMBER"))</f>
        <v/>
      </c>
      <c r="I1219" s="15">
        <f>IFERROR('[Virtual_Desktop_Infrastructure.xlsx]CP-9-1'!E20,"Non commencé")</f>
        <v/>
      </c>
      <c r="J1219" s="16">
        <f>IF(OR(I1219="Réussi",I1219="Exception acceptée"),"GREEN",IF(OR(I1219="Non commencé",I1219="Échec"),"RED","AMBER"))</f>
        <v/>
      </c>
      <c r="K1219" s="12" t="inlineStr"/>
      <c r="L1219" s="12" t="inlineStr"/>
      <c r="M1219" s="17" t="inlineStr"/>
    </row>
    <row r="1220" ht="18" customHeight="1">
      <c r="A1220" s="18" t="inlineStr">
        <is>
          <t>CP-9(2)</t>
        </is>
      </c>
      <c r="B1220" s="19" t="inlineStr">
        <is>
          <t>Information System Backup</t>
        </is>
      </c>
      <c r="C1220" s="19" t="inlineStr">
        <is>
          <t>Virtual Desktop Infrastructure</t>
        </is>
      </c>
      <c r="D1220" s="18" t="inlineStr">
        <is>
          <t>CP</t>
        </is>
      </c>
      <c r="E1220" s="19" t="inlineStr">
        <is>
          <t>Virtual Desktop Infrastructure</t>
        </is>
      </c>
      <c r="F1220" s="19" t="inlineStr">
        <is>
          <t>CP-9-2</t>
        </is>
      </c>
      <c r="G1220" s="20">
        <f>IFERROR('[Virtual_Desktop_Infrastructure.xlsx]CP-9-2'!B20,"Not Started")</f>
        <v/>
      </c>
      <c r="H1220" s="14">
        <f>IF(OR(G1220="Passed",G1220="Accepted Exception"),"GREEN",IF(OR(G1220="Not Started",G1220="Failed"),"RED","AMBER"))</f>
        <v/>
      </c>
      <c r="I1220" s="21">
        <f>IFERROR('[Virtual_Desktop_Infrastructure.xlsx]CP-9-2'!E20,"Non commencé")</f>
        <v/>
      </c>
      <c r="J1220" s="16">
        <f>IF(OR(I1220="Réussi",I1220="Exception acceptée"),"GREEN",IF(OR(I1220="Non commencé",I1220="Échec"),"RED","AMBER"))</f>
        <v/>
      </c>
      <c r="K1220" s="19" t="inlineStr"/>
      <c r="L1220" s="19" t="inlineStr"/>
      <c r="M1220" s="22" t="inlineStr"/>
    </row>
    <row r="1221" ht="18" customHeight="1">
      <c r="A1221" s="11" t="inlineStr">
        <is>
          <t>CP-9(3)</t>
        </is>
      </c>
      <c r="B1221" s="12" t="inlineStr">
        <is>
          <t>Information System Backup</t>
        </is>
      </c>
      <c r="C1221" s="12" t="inlineStr">
        <is>
          <t>Virtual Desktop Infrastructure</t>
        </is>
      </c>
      <c r="D1221" s="11" t="inlineStr">
        <is>
          <t>CP</t>
        </is>
      </c>
      <c r="E1221" s="12" t="inlineStr">
        <is>
          <t>Virtual Desktop Infrastructure</t>
        </is>
      </c>
      <c r="F1221" s="12" t="inlineStr">
        <is>
          <t>CP-9-3</t>
        </is>
      </c>
      <c r="G1221" s="13">
        <f>IFERROR('[Virtual_Desktop_Infrastructure.xlsx]CP-9-3'!B20,"Not Started")</f>
        <v/>
      </c>
      <c r="H1221" s="14">
        <f>IF(OR(G1221="Passed",G1221="Accepted Exception"),"GREEN",IF(OR(G1221="Not Started",G1221="Failed"),"RED","AMBER"))</f>
        <v/>
      </c>
      <c r="I1221" s="15">
        <f>IFERROR('[Virtual_Desktop_Infrastructure.xlsx]CP-9-3'!E20,"Non commencé")</f>
        <v/>
      </c>
      <c r="J1221" s="16">
        <f>IF(OR(I1221="Réussi",I1221="Exception acceptée"),"GREEN",IF(OR(I1221="Non commencé",I1221="Échec"),"RED","AMBER"))</f>
        <v/>
      </c>
      <c r="K1221" s="12" t="inlineStr"/>
      <c r="L1221" s="12" t="inlineStr"/>
      <c r="M1221" s="17" t="inlineStr"/>
    </row>
    <row r="1222" ht="18" customHeight="1">
      <c r="A1222" s="18" t="inlineStr">
        <is>
          <t>CP-9(5)</t>
        </is>
      </c>
      <c r="B1222" s="19" t="inlineStr">
        <is>
          <t>Information System Backup</t>
        </is>
      </c>
      <c r="C1222" s="19" t="inlineStr">
        <is>
          <t>Virtual Desktop Infrastructure</t>
        </is>
      </c>
      <c r="D1222" s="18" t="inlineStr">
        <is>
          <t>CP</t>
        </is>
      </c>
      <c r="E1222" s="19" t="inlineStr">
        <is>
          <t>Virtual Desktop Infrastructure</t>
        </is>
      </c>
      <c r="F1222" s="19" t="inlineStr">
        <is>
          <t>CP-9-5</t>
        </is>
      </c>
      <c r="G1222" s="20">
        <f>IFERROR('[Virtual_Desktop_Infrastructure.xlsx]CP-9-5'!B20,"Not Started")</f>
        <v/>
      </c>
      <c r="H1222" s="14">
        <f>IF(OR(G1222="Passed",G1222="Accepted Exception"),"GREEN",IF(OR(G1222="Not Started",G1222="Failed"),"RED","AMBER"))</f>
        <v/>
      </c>
      <c r="I1222" s="21">
        <f>IFERROR('[Virtual_Desktop_Infrastructure.xlsx]CP-9-5'!E20,"Non commencé")</f>
        <v/>
      </c>
      <c r="J1222" s="16">
        <f>IF(OR(I1222="Réussi",I1222="Exception acceptée"),"GREEN",IF(OR(I1222="Non commencé",I1222="Échec"),"RED","AMBER"))</f>
        <v/>
      </c>
      <c r="K1222" s="19" t="inlineStr"/>
      <c r="L1222" s="19" t="inlineStr"/>
      <c r="M1222" s="22" t="inlineStr"/>
    </row>
    <row r="1223" ht="18" customHeight="1">
      <c r="A1223" s="11" t="inlineStr">
        <is>
          <t>CP-9(7)</t>
        </is>
      </c>
      <c r="B1223" s="12" t="inlineStr">
        <is>
          <t>Information System Backup</t>
        </is>
      </c>
      <c r="C1223" s="12" t="inlineStr">
        <is>
          <t>Virtual Desktop Infrastructure</t>
        </is>
      </c>
      <c r="D1223" s="11" t="inlineStr">
        <is>
          <t>CP</t>
        </is>
      </c>
      <c r="E1223" s="12" t="inlineStr">
        <is>
          <t>Virtual Desktop Infrastructure</t>
        </is>
      </c>
      <c r="F1223" s="12" t="inlineStr">
        <is>
          <t>CP-9-7</t>
        </is>
      </c>
      <c r="G1223" s="13">
        <f>IFERROR('[Virtual_Desktop_Infrastructure.xlsx]CP-9-7'!B20,"Not Started")</f>
        <v/>
      </c>
      <c r="H1223" s="14">
        <f>IF(OR(G1223="Passed",G1223="Accepted Exception"),"GREEN",IF(OR(G1223="Not Started",G1223="Failed"),"RED","AMBER"))</f>
        <v/>
      </c>
      <c r="I1223" s="15">
        <f>IFERROR('[Virtual_Desktop_Infrastructure.xlsx]CP-9-7'!E20,"Non commencé")</f>
        <v/>
      </c>
      <c r="J1223" s="16">
        <f>IF(OR(I1223="Réussi",I1223="Exception acceptée"),"GREEN",IF(OR(I1223="Non commencé",I1223="Échec"),"RED","AMBER"))</f>
        <v/>
      </c>
      <c r="K1223" s="12" t="inlineStr"/>
      <c r="L1223" s="12" t="inlineStr"/>
      <c r="M1223" s="17" t="inlineStr"/>
    </row>
    <row r="1224" ht="18" customHeight="1">
      <c r="A1224" s="18" t="inlineStr">
        <is>
          <t>CP-10</t>
        </is>
      </c>
      <c r="B1224" s="19" t="inlineStr">
        <is>
          <t>Information System Recovery and Reconstitution</t>
        </is>
      </c>
      <c r="C1224" s="19" t="inlineStr">
        <is>
          <t>Virtual Desktop Infrastructure</t>
        </is>
      </c>
      <c r="D1224" s="18" t="inlineStr">
        <is>
          <t>CP</t>
        </is>
      </c>
      <c r="E1224" s="19" t="inlineStr">
        <is>
          <t>Virtual Desktop Infrastructure</t>
        </is>
      </c>
      <c r="F1224" s="19" t="inlineStr">
        <is>
          <t>CP-10</t>
        </is>
      </c>
      <c r="G1224" s="20">
        <f>IFERROR('[Virtual_Desktop_Infrastructure.xlsx]CP-10'!B20,"Not Started")</f>
        <v/>
      </c>
      <c r="H1224" s="14">
        <f>IF(OR(G1224="Passed",G1224="Accepted Exception"),"GREEN",IF(OR(G1224="Not Started",G1224="Failed"),"RED","AMBER"))</f>
        <v/>
      </c>
      <c r="I1224" s="21">
        <f>IFERROR('[Virtual_Desktop_Infrastructure.xlsx]CP-10'!E20,"Non commencé")</f>
        <v/>
      </c>
      <c r="J1224" s="16">
        <f>IF(OR(I1224="Réussi",I1224="Exception acceptée"),"GREEN",IF(OR(I1224="Non commencé",I1224="Échec"),"RED","AMBER"))</f>
        <v/>
      </c>
      <c r="K1224" s="19" t="inlineStr"/>
      <c r="L1224" s="19" t="inlineStr"/>
      <c r="M1224" s="22" t="inlineStr"/>
    </row>
    <row r="1225" ht="18" customHeight="1">
      <c r="A1225" s="11" t="inlineStr">
        <is>
          <t>CP-10(4)</t>
        </is>
      </c>
      <c r="B1225" s="12" t="inlineStr">
        <is>
          <t>Information System Recovery and Reconstitution</t>
        </is>
      </c>
      <c r="C1225" s="12" t="inlineStr">
        <is>
          <t>Virtual Desktop Infrastructure</t>
        </is>
      </c>
      <c r="D1225" s="11" t="inlineStr">
        <is>
          <t>CP</t>
        </is>
      </c>
      <c r="E1225" s="12" t="inlineStr">
        <is>
          <t>Virtual Desktop Infrastructure</t>
        </is>
      </c>
      <c r="F1225" s="12" t="inlineStr">
        <is>
          <t>CP-10-4</t>
        </is>
      </c>
      <c r="G1225" s="13">
        <f>IFERROR('[Virtual_Desktop_Infrastructure.xlsx]CP-10-4'!B20,"Not Started")</f>
        <v/>
      </c>
      <c r="H1225" s="14">
        <f>IF(OR(G1225="Passed",G1225="Accepted Exception"),"GREEN",IF(OR(G1225="Not Started",G1225="Failed"),"RED","AMBER"))</f>
        <v/>
      </c>
      <c r="I1225" s="15">
        <f>IFERROR('[Virtual_Desktop_Infrastructure.xlsx]CP-10-4'!E20,"Non commencé")</f>
        <v/>
      </c>
      <c r="J1225" s="16">
        <f>IF(OR(I1225="Réussi",I1225="Exception acceptée"),"GREEN",IF(OR(I1225="Non commencé",I1225="Échec"),"RED","AMBER"))</f>
        <v/>
      </c>
      <c r="K1225" s="12" t="inlineStr"/>
      <c r="L1225" s="12" t="inlineStr"/>
      <c r="M1225" s="17" t="inlineStr"/>
    </row>
    <row r="1226" ht="18" customHeight="1">
      <c r="A1226" s="18" t="inlineStr">
        <is>
          <t>IA-5(6)</t>
        </is>
      </c>
      <c r="B1226" s="19" t="inlineStr">
        <is>
          <t>Authenticator Management</t>
        </is>
      </c>
      <c r="C1226" s="19" t="inlineStr">
        <is>
          <t>Virtual Desktop Infrastructure</t>
        </is>
      </c>
      <c r="D1226" s="18" t="inlineStr">
        <is>
          <t>IA</t>
        </is>
      </c>
      <c r="E1226" s="19" t="inlineStr">
        <is>
          <t>Virtual Desktop Infrastructure</t>
        </is>
      </c>
      <c r="F1226" s="19" t="inlineStr">
        <is>
          <t>IA-5-6</t>
        </is>
      </c>
      <c r="G1226" s="20">
        <f>IFERROR('[Virtual_Desktop_Infrastructure.xlsx]IA-5-6'!B20,"Not Started")</f>
        <v/>
      </c>
      <c r="H1226" s="14">
        <f>IF(OR(G1226="Passed",G1226="Accepted Exception"),"GREEN",IF(OR(G1226="Not Started",G1226="Failed"),"RED","AMBER"))</f>
        <v/>
      </c>
      <c r="I1226" s="21">
        <f>IFERROR('[Virtual_Desktop_Infrastructure.xlsx]IA-5-6'!E20,"Non commencé")</f>
        <v/>
      </c>
      <c r="J1226" s="16">
        <f>IF(OR(I1226="Réussi",I1226="Exception acceptée"),"GREEN",IF(OR(I1226="Non commencé",I1226="Échec"),"RED","AMBER"))</f>
        <v/>
      </c>
      <c r="K1226" s="19" t="inlineStr"/>
      <c r="L1226" s="19" t="inlineStr"/>
      <c r="M1226" s="22" t="inlineStr"/>
    </row>
    <row r="1227" ht="18" customHeight="1">
      <c r="A1227" s="11" t="inlineStr">
        <is>
          <t>SA-9(5)</t>
        </is>
      </c>
      <c r="B1227" s="12" t="inlineStr">
        <is>
          <t>External Information System Services</t>
        </is>
      </c>
      <c r="C1227" s="12" t="inlineStr">
        <is>
          <t>Virtual Desktop Infrastructure</t>
        </is>
      </c>
      <c r="D1227" s="11" t="inlineStr">
        <is>
          <t>SA</t>
        </is>
      </c>
      <c r="E1227" s="12" t="inlineStr">
        <is>
          <t>Virtual Desktop Infrastructure</t>
        </is>
      </c>
      <c r="F1227" s="12" t="inlineStr">
        <is>
          <t>SA-9-5</t>
        </is>
      </c>
      <c r="G1227" s="13">
        <f>IFERROR('[Virtual_Desktop_Infrastructure.xlsx]SA-9-5'!B20,"Not Started")</f>
        <v/>
      </c>
      <c r="H1227" s="14">
        <f>IF(OR(G1227="Passed",G1227="Accepted Exception"),"GREEN",IF(OR(G1227="Not Started",G1227="Failed"),"RED","AMBER"))</f>
        <v/>
      </c>
      <c r="I1227" s="15">
        <f>IFERROR('[Virtual_Desktop_Infrastructure.xlsx]SA-9-5'!E20,"Non commencé")</f>
        <v/>
      </c>
      <c r="J1227" s="16">
        <f>IF(OR(I1227="Réussi",I1227="Exception acceptée"),"GREEN",IF(OR(I1227="Non commencé",I1227="Échec"),"RED","AMBER"))</f>
        <v/>
      </c>
      <c r="K1227" s="12" t="inlineStr"/>
      <c r="L1227" s="12" t="inlineStr"/>
      <c r="M1227" s="17" t="inlineStr"/>
    </row>
    <row r="1228" ht="18" customHeight="1">
      <c r="A1228" s="18" t="inlineStr">
        <is>
          <t>SA-10(1)</t>
        </is>
      </c>
      <c r="B1228" s="19" t="inlineStr">
        <is>
          <t>Developer Configuration Management</t>
        </is>
      </c>
      <c r="C1228" s="19" t="inlineStr">
        <is>
          <t>Virtual Desktop Infrastructure</t>
        </is>
      </c>
      <c r="D1228" s="18" t="inlineStr">
        <is>
          <t>SA</t>
        </is>
      </c>
      <c r="E1228" s="19" t="inlineStr">
        <is>
          <t>Virtual Desktop Infrastructure</t>
        </is>
      </c>
      <c r="F1228" s="19" t="inlineStr">
        <is>
          <t>SA-10-1</t>
        </is>
      </c>
      <c r="G1228" s="20">
        <f>IFERROR('[Virtual_Desktop_Infrastructure.xlsx]SA-10-1'!B20,"Not Started")</f>
        <v/>
      </c>
      <c r="H1228" s="14">
        <f>IF(OR(G1228="Passed",G1228="Accepted Exception"),"GREEN",IF(OR(G1228="Not Started",G1228="Failed"),"RED","AMBER"))</f>
        <v/>
      </c>
      <c r="I1228" s="21">
        <f>IFERROR('[Virtual_Desktop_Infrastructure.xlsx]SA-10-1'!E20,"Non commencé")</f>
        <v/>
      </c>
      <c r="J1228" s="16">
        <f>IF(OR(I1228="Réussi",I1228="Exception acceptée"),"GREEN",IF(OR(I1228="Non commencé",I1228="Échec"),"RED","AMBER"))</f>
        <v/>
      </c>
      <c r="K1228" s="19" t="inlineStr"/>
      <c r="L1228" s="19" t="inlineStr"/>
      <c r="M1228" s="22" t="inlineStr"/>
    </row>
    <row r="1229" ht="18" customHeight="1">
      <c r="A1229" s="11" t="inlineStr">
        <is>
          <t>SC-4</t>
        </is>
      </c>
      <c r="B1229" s="12" t="inlineStr">
        <is>
          <t>Information in Shared Resources</t>
        </is>
      </c>
      <c r="C1229" s="12" t="inlineStr">
        <is>
          <t>Virtual Desktop Infrastructure</t>
        </is>
      </c>
      <c r="D1229" s="11" t="inlineStr">
        <is>
          <t>SC</t>
        </is>
      </c>
      <c r="E1229" s="12" t="inlineStr">
        <is>
          <t>Virtual Desktop Infrastructure</t>
        </is>
      </c>
      <c r="F1229" s="12" t="inlineStr">
        <is>
          <t>SC-4</t>
        </is>
      </c>
      <c r="G1229" s="13">
        <f>IFERROR('[Virtual_Desktop_Infrastructure.xlsx]SC-4'!B20,"Not Started")</f>
        <v/>
      </c>
      <c r="H1229" s="14">
        <f>IF(OR(G1229="Passed",G1229="Accepted Exception"),"GREEN",IF(OR(G1229="Not Started",G1229="Failed"),"RED","AMBER"))</f>
        <v/>
      </c>
      <c r="I1229" s="15">
        <f>IFERROR('[Virtual_Desktop_Infrastructure.xlsx]SC-4'!E20,"Non commencé")</f>
        <v/>
      </c>
      <c r="J1229" s="16">
        <f>IF(OR(I1229="Réussi",I1229="Exception acceptée"),"GREEN",IF(OR(I1229="Non commencé",I1229="Échec"),"RED","AMBER"))</f>
        <v/>
      </c>
      <c r="K1229" s="12" t="inlineStr"/>
      <c r="L1229" s="12" t="inlineStr"/>
      <c r="M1229" s="17" t="inlineStr"/>
    </row>
    <row r="1230" ht="18" customHeight="1">
      <c r="A1230" s="18" t="inlineStr">
        <is>
          <t>SC-6</t>
        </is>
      </c>
      <c r="B1230" s="19" t="inlineStr">
        <is>
          <t>Resource Availability</t>
        </is>
      </c>
      <c r="C1230" s="19" t="inlineStr">
        <is>
          <t>Virtual Desktop Infrastructure</t>
        </is>
      </c>
      <c r="D1230" s="18" t="inlineStr">
        <is>
          <t>SC</t>
        </is>
      </c>
      <c r="E1230" s="19" t="inlineStr">
        <is>
          <t>Virtual Desktop Infrastructure</t>
        </is>
      </c>
      <c r="F1230" s="19" t="inlineStr">
        <is>
          <t>SC-6</t>
        </is>
      </c>
      <c r="G1230" s="20">
        <f>IFERROR('[Virtual_Desktop_Infrastructure.xlsx]SC-6'!B20,"Not Started")</f>
        <v/>
      </c>
      <c r="H1230" s="14">
        <f>IF(OR(G1230="Passed",G1230="Accepted Exception"),"GREEN",IF(OR(G1230="Not Started",G1230="Failed"),"RED","AMBER"))</f>
        <v/>
      </c>
      <c r="I1230" s="21">
        <f>IFERROR('[Virtual_Desktop_Infrastructure.xlsx]SC-6'!E20,"Non commencé")</f>
        <v/>
      </c>
      <c r="J1230" s="16">
        <f>IF(OR(I1230="Réussi",I1230="Exception acceptée"),"GREEN",IF(OR(I1230="Non commencé",I1230="Échec"),"RED","AMBER"))</f>
        <v/>
      </c>
      <c r="K1230" s="19" t="inlineStr"/>
      <c r="L1230" s="19" t="inlineStr"/>
      <c r="M1230" s="22" t="inlineStr"/>
    </row>
    <row r="1231" ht="18" customHeight="1">
      <c r="A1231" s="11" t="inlineStr">
        <is>
          <t>SC-7(7)</t>
        </is>
      </c>
      <c r="B1231" s="12" t="inlineStr">
        <is>
          <t>Boundary Protection</t>
        </is>
      </c>
      <c r="C1231" s="12" t="inlineStr">
        <is>
          <t>Virtual Desktop Infrastructure</t>
        </is>
      </c>
      <c r="D1231" s="11" t="inlineStr">
        <is>
          <t>SC</t>
        </is>
      </c>
      <c r="E1231" s="12" t="inlineStr">
        <is>
          <t>Virtual Desktop Infrastructure</t>
        </is>
      </c>
      <c r="F1231" s="12" t="inlineStr">
        <is>
          <t>SC-7-7</t>
        </is>
      </c>
      <c r="G1231" s="13">
        <f>IFERROR('[Virtual_Desktop_Infrastructure.xlsx]SC-7-7'!B20,"Not Started")</f>
        <v/>
      </c>
      <c r="H1231" s="14">
        <f>IF(OR(G1231="Passed",G1231="Accepted Exception"),"GREEN",IF(OR(G1231="Not Started",G1231="Failed"),"RED","AMBER"))</f>
        <v/>
      </c>
      <c r="I1231" s="15">
        <f>IFERROR('[Virtual_Desktop_Infrastructure.xlsx]SC-7-7'!E20,"Non commencé")</f>
        <v/>
      </c>
      <c r="J1231" s="16">
        <f>IF(OR(I1231="Réussi",I1231="Exception acceptée"),"GREEN",IF(OR(I1231="Non commencé",I1231="Échec"),"RED","AMBER"))</f>
        <v/>
      </c>
      <c r="K1231" s="12" t="inlineStr"/>
      <c r="L1231" s="12" t="inlineStr"/>
      <c r="M1231" s="17" t="inlineStr"/>
    </row>
    <row r="1232" ht="18" customHeight="1">
      <c r="A1232" s="18" t="inlineStr">
        <is>
          <t>SC-7(12)</t>
        </is>
      </c>
      <c r="B1232" s="19" t="inlineStr">
        <is>
          <t>Boundary Protection</t>
        </is>
      </c>
      <c r="C1232" s="19" t="inlineStr">
        <is>
          <t>Virtual Desktop Infrastructure</t>
        </is>
      </c>
      <c r="D1232" s="18" t="inlineStr">
        <is>
          <t>SC</t>
        </is>
      </c>
      <c r="E1232" s="19" t="inlineStr">
        <is>
          <t>Virtual Desktop Infrastructure</t>
        </is>
      </c>
      <c r="F1232" s="19" t="inlineStr">
        <is>
          <t>SC-7-12</t>
        </is>
      </c>
      <c r="G1232" s="20">
        <f>IFERROR('[Virtual_Desktop_Infrastructure.xlsx]SC-7-12'!B20,"Not Started")</f>
        <v/>
      </c>
      <c r="H1232" s="14">
        <f>IF(OR(G1232="Passed",G1232="Accepted Exception"),"GREEN",IF(OR(G1232="Not Started",G1232="Failed"),"RED","AMBER"))</f>
        <v/>
      </c>
      <c r="I1232" s="21">
        <f>IFERROR('[Virtual_Desktop_Infrastructure.xlsx]SC-7-12'!E20,"Non commencé")</f>
        <v/>
      </c>
      <c r="J1232" s="16">
        <f>IF(OR(I1232="Réussi",I1232="Exception acceptée"),"GREEN",IF(OR(I1232="Non commencé",I1232="Échec"),"RED","AMBER"))</f>
        <v/>
      </c>
      <c r="K1232" s="19" t="inlineStr"/>
      <c r="L1232" s="19" t="inlineStr"/>
      <c r="M1232" s="22" t="inlineStr"/>
    </row>
    <row r="1233" ht="18" customHeight="1">
      <c r="A1233" s="11" t="inlineStr">
        <is>
          <t>SC-8</t>
        </is>
      </c>
      <c r="B1233" s="12" t="inlineStr">
        <is>
          <t>Transmission Confidentiality and Integrity</t>
        </is>
      </c>
      <c r="C1233" s="12" t="inlineStr">
        <is>
          <t>Virtual Desktop Infrastructure</t>
        </is>
      </c>
      <c r="D1233" s="11" t="inlineStr">
        <is>
          <t>SC</t>
        </is>
      </c>
      <c r="E1233" s="12" t="inlineStr">
        <is>
          <t>Virtual Desktop Infrastructure</t>
        </is>
      </c>
      <c r="F1233" s="12" t="inlineStr">
        <is>
          <t>SC-8</t>
        </is>
      </c>
      <c r="G1233" s="13">
        <f>IFERROR('[Virtual_Desktop_Infrastructure.xlsx]SC-8'!B20,"Not Started")</f>
        <v/>
      </c>
      <c r="H1233" s="14">
        <f>IF(OR(G1233="Passed",G1233="Accepted Exception"),"GREEN",IF(OR(G1233="Not Started",G1233="Failed"),"RED","AMBER"))</f>
        <v/>
      </c>
      <c r="I1233" s="15">
        <f>IFERROR('[Virtual_Desktop_Infrastructure.xlsx]SC-8'!E20,"Non commencé")</f>
        <v/>
      </c>
      <c r="J1233" s="16">
        <f>IF(OR(I1233="Réussi",I1233="Exception acceptée"),"GREEN",IF(OR(I1233="Non commencé",I1233="Échec"),"RED","AMBER"))</f>
        <v/>
      </c>
      <c r="K1233" s="12" t="inlineStr"/>
      <c r="L1233" s="12" t="inlineStr"/>
      <c r="M1233" s="17" t="inlineStr"/>
    </row>
    <row r="1234" ht="18" customHeight="1">
      <c r="A1234" s="18" t="inlineStr">
        <is>
          <t>SC-8(1)</t>
        </is>
      </c>
      <c r="B1234" s="19" t="inlineStr">
        <is>
          <t>Transmission Confidentiality and Integrity</t>
        </is>
      </c>
      <c r="C1234" s="19" t="inlineStr">
        <is>
          <t>Virtual Desktop Infrastructure</t>
        </is>
      </c>
      <c r="D1234" s="18" t="inlineStr">
        <is>
          <t>SC</t>
        </is>
      </c>
      <c r="E1234" s="19" t="inlineStr">
        <is>
          <t>Virtual Desktop Infrastructure</t>
        </is>
      </c>
      <c r="F1234" s="19" t="inlineStr">
        <is>
          <t>SC-8-1</t>
        </is>
      </c>
      <c r="G1234" s="20">
        <f>IFERROR('[Virtual_Desktop_Infrastructure.xlsx]SC-8-1'!B20,"Not Started")</f>
        <v/>
      </c>
      <c r="H1234" s="14">
        <f>IF(OR(G1234="Passed",G1234="Accepted Exception"),"GREEN",IF(OR(G1234="Not Started",G1234="Failed"),"RED","AMBER"))</f>
        <v/>
      </c>
      <c r="I1234" s="21">
        <f>IFERROR('[Virtual_Desktop_Infrastructure.xlsx]SC-8-1'!E20,"Non commencé")</f>
        <v/>
      </c>
      <c r="J1234" s="16">
        <f>IF(OR(I1234="Réussi",I1234="Exception acceptée"),"GREEN",IF(OR(I1234="Non commencé",I1234="Échec"),"RED","AMBER"))</f>
        <v/>
      </c>
      <c r="K1234" s="19" t="inlineStr"/>
      <c r="L1234" s="19" t="inlineStr"/>
      <c r="M1234" s="22" t="inlineStr"/>
    </row>
    <row r="1235" ht="18" customHeight="1">
      <c r="A1235" s="11" t="inlineStr">
        <is>
          <t>SC-10</t>
        </is>
      </c>
      <c r="B1235" s="12" t="inlineStr">
        <is>
          <t>Network Disconnect</t>
        </is>
      </c>
      <c r="C1235" s="12" t="inlineStr">
        <is>
          <t>Virtual Desktop Infrastructure</t>
        </is>
      </c>
      <c r="D1235" s="11" t="inlineStr">
        <is>
          <t>SC</t>
        </is>
      </c>
      <c r="E1235" s="12" t="inlineStr">
        <is>
          <t>Virtual Desktop Infrastructure</t>
        </is>
      </c>
      <c r="F1235" s="12" t="inlineStr">
        <is>
          <t>SC-10</t>
        </is>
      </c>
      <c r="G1235" s="13">
        <f>IFERROR('[Virtual_Desktop_Infrastructure.xlsx]SC-10'!B20,"Not Started")</f>
        <v/>
      </c>
      <c r="H1235" s="14">
        <f>IF(OR(G1235="Passed",G1235="Accepted Exception"),"GREEN",IF(OR(G1235="Not Started",G1235="Failed"),"RED","AMBER"))</f>
        <v/>
      </c>
      <c r="I1235" s="15">
        <f>IFERROR('[Virtual_Desktop_Infrastructure.xlsx]SC-10'!E20,"Non commencé")</f>
        <v/>
      </c>
      <c r="J1235" s="16">
        <f>IF(OR(I1235="Réussi",I1235="Exception acceptée"),"GREEN",IF(OR(I1235="Non commencé",I1235="Échec"),"RED","AMBER"))</f>
        <v/>
      </c>
      <c r="K1235" s="12" t="inlineStr"/>
      <c r="L1235" s="12" t="inlineStr"/>
      <c r="M1235" s="17" t="inlineStr"/>
    </row>
    <row r="1236" ht="18" customHeight="1">
      <c r="A1236" s="18" t="inlineStr">
        <is>
          <t>SC-13</t>
        </is>
      </c>
      <c r="B1236" s="19" t="inlineStr">
        <is>
          <t>Cryptographic Protection</t>
        </is>
      </c>
      <c r="C1236" s="19" t="inlineStr">
        <is>
          <t>Virtual Desktop Infrastructure</t>
        </is>
      </c>
      <c r="D1236" s="18" t="inlineStr">
        <is>
          <t>SC</t>
        </is>
      </c>
      <c r="E1236" s="19" t="inlineStr">
        <is>
          <t>Virtual Desktop Infrastructure</t>
        </is>
      </c>
      <c r="F1236" s="19" t="inlineStr">
        <is>
          <t>SC-13</t>
        </is>
      </c>
      <c r="G1236" s="20">
        <f>IFERROR('[Virtual_Desktop_Infrastructure.xlsx]SC-13'!B20,"Not Started")</f>
        <v/>
      </c>
      <c r="H1236" s="14">
        <f>IF(OR(G1236="Passed",G1236="Accepted Exception"),"GREEN",IF(OR(G1236="Not Started",G1236="Failed"),"RED","AMBER"))</f>
        <v/>
      </c>
      <c r="I1236" s="21">
        <f>IFERROR('[Virtual_Desktop_Infrastructure.xlsx]SC-13'!E20,"Non commencé")</f>
        <v/>
      </c>
      <c r="J1236" s="16">
        <f>IF(OR(I1236="Réussi",I1236="Exception acceptée"),"GREEN",IF(OR(I1236="Non commencé",I1236="Échec"),"RED","AMBER"))</f>
        <v/>
      </c>
      <c r="K1236" s="19" t="inlineStr"/>
      <c r="L1236" s="19" t="inlineStr"/>
      <c r="M1236" s="22" t="inlineStr"/>
    </row>
    <row r="1237" ht="18" customHeight="1">
      <c r="A1237" s="11" t="inlineStr">
        <is>
          <t>SC-18</t>
        </is>
      </c>
      <c r="B1237" s="12" t="inlineStr">
        <is>
          <t>Mobile Code</t>
        </is>
      </c>
      <c r="C1237" s="12" t="inlineStr">
        <is>
          <t>Virtual Desktop Infrastructure</t>
        </is>
      </c>
      <c r="D1237" s="11" t="inlineStr">
        <is>
          <t>SC</t>
        </is>
      </c>
      <c r="E1237" s="12" t="inlineStr">
        <is>
          <t>Virtual Desktop Infrastructure</t>
        </is>
      </c>
      <c r="F1237" s="12" t="inlineStr">
        <is>
          <t>SC-18</t>
        </is>
      </c>
      <c r="G1237" s="13">
        <f>IFERROR('[Virtual_Desktop_Infrastructure.xlsx]SC-18'!B20,"Not Started")</f>
        <v/>
      </c>
      <c r="H1237" s="14">
        <f>IF(OR(G1237="Passed",G1237="Accepted Exception"),"GREEN",IF(OR(G1237="Not Started",G1237="Failed"),"RED","AMBER"))</f>
        <v/>
      </c>
      <c r="I1237" s="15">
        <f>IFERROR('[Virtual_Desktop_Infrastructure.xlsx]SC-18'!E20,"Non commencé")</f>
        <v/>
      </c>
      <c r="J1237" s="16">
        <f>IF(OR(I1237="Réussi",I1237="Exception acceptée"),"GREEN",IF(OR(I1237="Non commencé",I1237="Échec"),"RED","AMBER"))</f>
        <v/>
      </c>
      <c r="K1237" s="12" t="inlineStr"/>
      <c r="L1237" s="12" t="inlineStr"/>
      <c r="M1237" s="17" t="inlineStr"/>
    </row>
    <row r="1238" ht="18" customHeight="1">
      <c r="A1238" s="18" t="inlineStr">
        <is>
          <t>SC-18(3)</t>
        </is>
      </c>
      <c r="B1238" s="19" t="inlineStr">
        <is>
          <t>Mobile Code</t>
        </is>
      </c>
      <c r="C1238" s="19" t="inlineStr">
        <is>
          <t>Virtual Desktop Infrastructure</t>
        </is>
      </c>
      <c r="D1238" s="18" t="inlineStr">
        <is>
          <t>SC</t>
        </is>
      </c>
      <c r="E1238" s="19" t="inlineStr">
        <is>
          <t>Virtual Desktop Infrastructure</t>
        </is>
      </c>
      <c r="F1238" s="19" t="inlineStr">
        <is>
          <t>SC-18-3</t>
        </is>
      </c>
      <c r="G1238" s="20">
        <f>IFERROR('[Virtual_Desktop_Infrastructure.xlsx]SC-18-3'!B20,"Not Started")</f>
        <v/>
      </c>
      <c r="H1238" s="14">
        <f>IF(OR(G1238="Passed",G1238="Accepted Exception"),"GREEN",IF(OR(G1238="Not Started",G1238="Failed"),"RED","AMBER"))</f>
        <v/>
      </c>
      <c r="I1238" s="21">
        <f>IFERROR('[Virtual_Desktop_Infrastructure.xlsx]SC-18-3'!E20,"Non commencé")</f>
        <v/>
      </c>
      <c r="J1238" s="16">
        <f>IF(OR(I1238="Réussi",I1238="Exception acceptée"),"GREEN",IF(OR(I1238="Non commencé",I1238="Échec"),"RED","AMBER"))</f>
        <v/>
      </c>
      <c r="K1238" s="19" t="inlineStr"/>
      <c r="L1238" s="19" t="inlineStr"/>
      <c r="M1238" s="22" t="inlineStr"/>
    </row>
    <row r="1239" ht="18" customHeight="1">
      <c r="A1239" s="11" t="inlineStr">
        <is>
          <t>SC-18(4)</t>
        </is>
      </c>
      <c r="B1239" s="12" t="inlineStr">
        <is>
          <t>Mobile Code</t>
        </is>
      </c>
      <c r="C1239" s="12" t="inlineStr">
        <is>
          <t>Virtual Desktop Infrastructure</t>
        </is>
      </c>
      <c r="D1239" s="11" t="inlineStr">
        <is>
          <t>SC</t>
        </is>
      </c>
      <c r="E1239" s="12" t="inlineStr">
        <is>
          <t>Virtual Desktop Infrastructure</t>
        </is>
      </c>
      <c r="F1239" s="12" t="inlineStr">
        <is>
          <t>SC-18-4</t>
        </is>
      </c>
      <c r="G1239" s="13">
        <f>IFERROR('[Virtual_Desktop_Infrastructure.xlsx]SC-18-4'!B20,"Not Started")</f>
        <v/>
      </c>
      <c r="H1239" s="14">
        <f>IF(OR(G1239="Passed",G1239="Accepted Exception"),"GREEN",IF(OR(G1239="Not Started",G1239="Failed"),"RED","AMBER"))</f>
        <v/>
      </c>
      <c r="I1239" s="15">
        <f>IFERROR('[Virtual_Desktop_Infrastructure.xlsx]SC-18-4'!E20,"Non commencé")</f>
        <v/>
      </c>
      <c r="J1239" s="16">
        <f>IF(OR(I1239="Réussi",I1239="Exception acceptée"),"GREEN",IF(OR(I1239="Non commencé",I1239="Échec"),"RED","AMBER"))</f>
        <v/>
      </c>
      <c r="K1239" s="12" t="inlineStr"/>
      <c r="L1239" s="12" t="inlineStr"/>
      <c r="M1239" s="17" t="inlineStr"/>
    </row>
    <row r="1240" ht="18" customHeight="1">
      <c r="A1240" s="18" t="inlineStr">
        <is>
          <t>SC-23</t>
        </is>
      </c>
      <c r="B1240" s="19" t="inlineStr">
        <is>
          <t>Session Authenticity</t>
        </is>
      </c>
      <c r="C1240" s="19" t="inlineStr">
        <is>
          <t>Virtual Desktop Infrastructure</t>
        </is>
      </c>
      <c r="D1240" s="18" t="inlineStr">
        <is>
          <t>SC</t>
        </is>
      </c>
      <c r="E1240" s="19" t="inlineStr">
        <is>
          <t>Virtual Desktop Infrastructure</t>
        </is>
      </c>
      <c r="F1240" s="19" t="inlineStr">
        <is>
          <t>SC-23</t>
        </is>
      </c>
      <c r="G1240" s="20">
        <f>IFERROR('[Virtual_Desktop_Infrastructure.xlsx]SC-23'!B20,"Not Started")</f>
        <v/>
      </c>
      <c r="H1240" s="14">
        <f>IF(OR(G1240="Passed",G1240="Accepted Exception"),"GREEN",IF(OR(G1240="Not Started",G1240="Failed"),"RED","AMBER"))</f>
        <v/>
      </c>
      <c r="I1240" s="21">
        <f>IFERROR('[Virtual_Desktop_Infrastructure.xlsx]SC-23'!E20,"Non commencé")</f>
        <v/>
      </c>
      <c r="J1240" s="16">
        <f>IF(OR(I1240="Réussi",I1240="Exception acceptée"),"GREEN",IF(OR(I1240="Non commencé",I1240="Échec"),"RED","AMBER"))</f>
        <v/>
      </c>
      <c r="K1240" s="19" t="inlineStr"/>
      <c r="L1240" s="19" t="inlineStr"/>
      <c r="M1240" s="22" t="inlineStr"/>
    </row>
    <row r="1241" ht="18" customHeight="1">
      <c r="A1241" s="11" t="inlineStr">
        <is>
          <t>SC-23(1)</t>
        </is>
      </c>
      <c r="B1241" s="12" t="inlineStr">
        <is>
          <t>Session Authenticity</t>
        </is>
      </c>
      <c r="C1241" s="12" t="inlineStr">
        <is>
          <t>Virtual Desktop Infrastructure</t>
        </is>
      </c>
      <c r="D1241" s="11" t="inlineStr">
        <is>
          <t>SC</t>
        </is>
      </c>
      <c r="E1241" s="12" t="inlineStr">
        <is>
          <t>Virtual Desktop Infrastructure</t>
        </is>
      </c>
      <c r="F1241" s="12" t="inlineStr">
        <is>
          <t>SC-23-1</t>
        </is>
      </c>
      <c r="G1241" s="13">
        <f>IFERROR('[Virtual_Desktop_Infrastructure.xlsx]SC-23-1'!B20,"Not Started")</f>
        <v/>
      </c>
      <c r="H1241" s="14">
        <f>IF(OR(G1241="Passed",G1241="Accepted Exception"),"GREEN",IF(OR(G1241="Not Started",G1241="Failed"),"RED","AMBER"))</f>
        <v/>
      </c>
      <c r="I1241" s="15">
        <f>IFERROR('[Virtual_Desktop_Infrastructure.xlsx]SC-23-1'!E20,"Non commencé")</f>
        <v/>
      </c>
      <c r="J1241" s="16">
        <f>IF(OR(I1241="Réussi",I1241="Exception acceptée"),"GREEN",IF(OR(I1241="Non commencé",I1241="Échec"),"RED","AMBER"))</f>
        <v/>
      </c>
      <c r="K1241" s="12" t="inlineStr"/>
      <c r="L1241" s="12" t="inlineStr"/>
      <c r="M1241" s="17" t="inlineStr"/>
    </row>
    <row r="1242" ht="18" customHeight="1">
      <c r="A1242" s="18" t="inlineStr">
        <is>
          <t>SC-28</t>
        </is>
      </c>
      <c r="B1242" s="19" t="inlineStr">
        <is>
          <t>Protection of Information At Rest</t>
        </is>
      </c>
      <c r="C1242" s="19" t="inlineStr">
        <is>
          <t>Virtual Desktop Infrastructure</t>
        </is>
      </c>
      <c r="D1242" s="18" t="inlineStr">
        <is>
          <t>SC</t>
        </is>
      </c>
      <c r="E1242" s="19" t="inlineStr">
        <is>
          <t>Virtual Desktop Infrastructure</t>
        </is>
      </c>
      <c r="F1242" s="19" t="inlineStr">
        <is>
          <t>SC-28</t>
        </is>
      </c>
      <c r="G1242" s="20">
        <f>IFERROR('[Virtual_Desktop_Infrastructure.xlsx]SC-28'!B20,"Not Started")</f>
        <v/>
      </c>
      <c r="H1242" s="14">
        <f>IF(OR(G1242="Passed",G1242="Accepted Exception"),"GREEN",IF(OR(G1242="Not Started",G1242="Failed"),"RED","AMBER"))</f>
        <v/>
      </c>
      <c r="I1242" s="21">
        <f>IFERROR('[Virtual_Desktop_Infrastructure.xlsx]SC-28'!E20,"Non commencé")</f>
        <v/>
      </c>
      <c r="J1242" s="16">
        <f>IF(OR(I1242="Réussi",I1242="Exception acceptée"),"GREEN",IF(OR(I1242="Non commencé",I1242="Échec"),"RED","AMBER"))</f>
        <v/>
      </c>
      <c r="K1242" s="19" t="inlineStr"/>
      <c r="L1242" s="19" t="inlineStr"/>
      <c r="M1242" s="22" t="inlineStr"/>
    </row>
    <row r="1243" ht="18" customHeight="1">
      <c r="A1243" s="11" t="inlineStr">
        <is>
          <t>SC-28(1)</t>
        </is>
      </c>
      <c r="B1243" s="12" t="inlineStr">
        <is>
          <t>Protection of Information At Rest</t>
        </is>
      </c>
      <c r="C1243" s="12" t="inlineStr">
        <is>
          <t>Virtual Desktop Infrastructure</t>
        </is>
      </c>
      <c r="D1243" s="11" t="inlineStr">
        <is>
          <t>SC</t>
        </is>
      </c>
      <c r="E1243" s="12" t="inlineStr">
        <is>
          <t>Virtual Desktop Infrastructure</t>
        </is>
      </c>
      <c r="F1243" s="12" t="inlineStr">
        <is>
          <t>SC-28-1</t>
        </is>
      </c>
      <c r="G1243" s="13">
        <f>IFERROR('[Virtual_Desktop_Infrastructure.xlsx]SC-28-1'!B20,"Not Started")</f>
        <v/>
      </c>
      <c r="H1243" s="14">
        <f>IF(OR(G1243="Passed",G1243="Accepted Exception"),"GREEN",IF(OR(G1243="Not Started",G1243="Failed"),"RED","AMBER"))</f>
        <v/>
      </c>
      <c r="I1243" s="15">
        <f>IFERROR('[Virtual_Desktop_Infrastructure.xlsx]SC-28-1'!E20,"Non commencé")</f>
        <v/>
      </c>
      <c r="J1243" s="16">
        <f>IF(OR(I1243="Réussi",I1243="Exception acceptée"),"GREEN",IF(OR(I1243="Non commencé",I1243="Échec"),"RED","AMBER"))</f>
        <v/>
      </c>
      <c r="K1243" s="12" t="inlineStr"/>
      <c r="L1243" s="12" t="inlineStr"/>
      <c r="M1243" s="17" t="inlineStr"/>
    </row>
    <row r="1244" ht="18" customHeight="1">
      <c r="A1244" s="18" t="inlineStr">
        <is>
          <t>SC-39</t>
        </is>
      </c>
      <c r="B1244" s="19" t="inlineStr">
        <is>
          <t>Process Isolation</t>
        </is>
      </c>
      <c r="C1244" s="19" t="inlineStr">
        <is>
          <t>Virtual Desktop Infrastructure</t>
        </is>
      </c>
      <c r="D1244" s="18" t="inlineStr">
        <is>
          <t>SC</t>
        </is>
      </c>
      <c r="E1244" s="19" t="inlineStr">
        <is>
          <t>Virtual Desktop Infrastructure</t>
        </is>
      </c>
      <c r="F1244" s="19" t="inlineStr">
        <is>
          <t>SC-39</t>
        </is>
      </c>
      <c r="G1244" s="20">
        <f>IFERROR('[Virtual_Desktop_Infrastructure.xlsx]SC-39'!B20,"Not Started")</f>
        <v/>
      </c>
      <c r="H1244" s="14">
        <f>IF(OR(G1244="Passed",G1244="Accepted Exception"),"GREEN",IF(OR(G1244="Not Started",G1244="Failed"),"RED","AMBER"))</f>
        <v/>
      </c>
      <c r="I1244" s="21">
        <f>IFERROR('[Virtual_Desktop_Infrastructure.xlsx]SC-39'!E20,"Non commencé")</f>
        <v/>
      </c>
      <c r="J1244" s="16">
        <f>IF(OR(I1244="Réussi",I1244="Exception acceptée"),"GREEN",IF(OR(I1244="Non commencé",I1244="Échec"),"RED","AMBER"))</f>
        <v/>
      </c>
      <c r="K1244" s="19" t="inlineStr"/>
      <c r="L1244" s="19" t="inlineStr"/>
      <c r="M1244" s="22" t="inlineStr"/>
    </row>
    <row r="1245" ht="18" customHeight="1">
      <c r="A1245" s="11" t="inlineStr">
        <is>
          <t>SI-4(2)</t>
        </is>
      </c>
      <c r="B1245" s="12" t="inlineStr">
        <is>
          <t>Information System Monitoring</t>
        </is>
      </c>
      <c r="C1245" s="12" t="inlineStr">
        <is>
          <t>Virtual Desktop Infrastructure</t>
        </is>
      </c>
      <c r="D1245" s="11" t="inlineStr">
        <is>
          <t>SI</t>
        </is>
      </c>
      <c r="E1245" s="12" t="inlineStr">
        <is>
          <t>Virtual Desktop Infrastructure</t>
        </is>
      </c>
      <c r="F1245" s="12" t="inlineStr">
        <is>
          <t>SI-4-2</t>
        </is>
      </c>
      <c r="G1245" s="13">
        <f>IFERROR('[Virtual_Desktop_Infrastructure.xlsx]SI-4-2'!B20,"Not Started")</f>
        <v/>
      </c>
      <c r="H1245" s="14">
        <f>IF(OR(G1245="Passed",G1245="Accepted Exception"),"GREEN",IF(OR(G1245="Not Started",G1245="Failed"),"RED","AMBER"))</f>
        <v/>
      </c>
      <c r="I1245" s="15">
        <f>IFERROR('[Virtual_Desktop_Infrastructure.xlsx]SI-4-2'!E20,"Non commencé")</f>
        <v/>
      </c>
      <c r="J1245" s="16">
        <f>IF(OR(I1245="Réussi",I1245="Exception acceptée"),"GREEN",IF(OR(I1245="Non commencé",I1245="Échec"),"RED","AMBER"))</f>
        <v/>
      </c>
      <c r="K1245" s="12" t="inlineStr"/>
      <c r="L1245" s="12" t="inlineStr"/>
      <c r="M1245" s="17" t="inlineStr"/>
    </row>
    <row r="1246" ht="18" customHeight="1">
      <c r="A1246" s="18" t="inlineStr">
        <is>
          <t>SI-4(4)</t>
        </is>
      </c>
      <c r="B1246" s="19" t="inlineStr">
        <is>
          <t>Information System Monitoring</t>
        </is>
      </c>
      <c r="C1246" s="19" t="inlineStr">
        <is>
          <t>Virtual Desktop Infrastructure</t>
        </is>
      </c>
      <c r="D1246" s="18" t="inlineStr">
        <is>
          <t>SI</t>
        </is>
      </c>
      <c r="E1246" s="19" t="inlineStr">
        <is>
          <t>Virtual Desktop Infrastructure</t>
        </is>
      </c>
      <c r="F1246" s="19" t="inlineStr">
        <is>
          <t>SI-4-4</t>
        </is>
      </c>
      <c r="G1246" s="20">
        <f>IFERROR('[Virtual_Desktop_Infrastructure.xlsx]SI-4-4'!B20,"Not Started")</f>
        <v/>
      </c>
      <c r="H1246" s="14">
        <f>IF(OR(G1246="Passed",G1246="Accepted Exception"),"GREEN",IF(OR(G1246="Not Started",G1246="Failed"),"RED","AMBER"))</f>
        <v/>
      </c>
      <c r="I1246" s="21">
        <f>IFERROR('[Virtual_Desktop_Infrastructure.xlsx]SI-4-4'!E20,"Non commencé")</f>
        <v/>
      </c>
      <c r="J1246" s="16">
        <f>IF(OR(I1246="Réussi",I1246="Exception acceptée"),"GREEN",IF(OR(I1246="Non commencé",I1246="Échec"),"RED","AMBER"))</f>
        <v/>
      </c>
      <c r="K1246" s="19" t="inlineStr"/>
      <c r="L1246" s="19" t="inlineStr"/>
      <c r="M1246" s="22" t="inlineStr"/>
    </row>
    <row r="1247" ht="18" customHeight="1">
      <c r="A1247" s="11" t="inlineStr">
        <is>
          <t>SI-4(23)</t>
        </is>
      </c>
      <c r="B1247" s="12" t="inlineStr">
        <is>
          <t>Information System Monitoring</t>
        </is>
      </c>
      <c r="C1247" s="12" t="inlineStr">
        <is>
          <t>Virtual Desktop Infrastructure</t>
        </is>
      </c>
      <c r="D1247" s="11" t="inlineStr">
        <is>
          <t>SI</t>
        </is>
      </c>
      <c r="E1247" s="12" t="inlineStr">
        <is>
          <t>Virtual Desktop Infrastructure</t>
        </is>
      </c>
      <c r="F1247" s="12" t="inlineStr">
        <is>
          <t>SI-4-23</t>
        </is>
      </c>
      <c r="G1247" s="13">
        <f>IFERROR('[Virtual_Desktop_Infrastructure.xlsx]SI-4-23'!B20,"Not Started")</f>
        <v/>
      </c>
      <c r="H1247" s="14">
        <f>IF(OR(G1247="Passed",G1247="Accepted Exception"),"GREEN",IF(OR(G1247="Not Started",G1247="Failed"),"RED","AMBER"))</f>
        <v/>
      </c>
      <c r="I1247" s="15">
        <f>IFERROR('[Virtual_Desktop_Infrastructure.xlsx]SI-4-23'!E20,"Non commencé")</f>
        <v/>
      </c>
      <c r="J1247" s="16">
        <f>IF(OR(I1247="Réussi",I1247="Exception acceptée"),"GREEN",IF(OR(I1247="Non commencé",I1247="Échec"),"RED","AMBER"))</f>
        <v/>
      </c>
      <c r="K1247" s="12" t="inlineStr"/>
      <c r="L1247" s="12" t="inlineStr"/>
      <c r="M1247" s="17" t="inlineStr"/>
    </row>
    <row r="1248" ht="18" customHeight="1">
      <c r="A1248" s="18" t="inlineStr">
        <is>
          <t>SI-6</t>
        </is>
      </c>
      <c r="B1248" s="19" t="inlineStr">
        <is>
          <t>Security Functional Verification</t>
        </is>
      </c>
      <c r="C1248" s="19" t="inlineStr">
        <is>
          <t>Virtual Desktop Infrastructure</t>
        </is>
      </c>
      <c r="D1248" s="18" t="inlineStr">
        <is>
          <t>SI</t>
        </is>
      </c>
      <c r="E1248" s="19" t="inlineStr">
        <is>
          <t>Virtual Desktop Infrastructure</t>
        </is>
      </c>
      <c r="F1248" s="19" t="inlineStr">
        <is>
          <t>SI-6</t>
        </is>
      </c>
      <c r="G1248" s="20">
        <f>IFERROR('[Virtual_Desktop_Infrastructure.xlsx]SI-6'!B20,"Not Started")</f>
        <v/>
      </c>
      <c r="H1248" s="14">
        <f>IF(OR(G1248="Passed",G1248="Accepted Exception"),"GREEN",IF(OR(G1248="Not Started",G1248="Failed"),"RED","AMBER"))</f>
        <v/>
      </c>
      <c r="I1248" s="21">
        <f>IFERROR('[Virtual_Desktop_Infrastructure.xlsx]SI-6'!E20,"Non commencé")</f>
        <v/>
      </c>
      <c r="J1248" s="16">
        <f>IF(OR(I1248="Réussi",I1248="Exception acceptée"),"GREEN",IF(OR(I1248="Non commencé",I1248="Échec"),"RED","AMBER"))</f>
        <v/>
      </c>
      <c r="K1248" s="19" t="inlineStr"/>
      <c r="L1248" s="19" t="inlineStr"/>
      <c r="M1248" s="22" t="inlineStr"/>
    </row>
    <row r="1249" ht="18" customHeight="1">
      <c r="A1249" s="11" t="inlineStr">
        <is>
          <t>SI-7</t>
        </is>
      </c>
      <c r="B1249" s="12" t="inlineStr">
        <is>
          <t>Software, Firmware, and Information Integrity</t>
        </is>
      </c>
      <c r="C1249" s="12" t="inlineStr">
        <is>
          <t>Virtual Desktop Infrastructure</t>
        </is>
      </c>
      <c r="D1249" s="11" t="inlineStr">
        <is>
          <t>SI</t>
        </is>
      </c>
      <c r="E1249" s="12" t="inlineStr">
        <is>
          <t>Virtual Desktop Infrastructure</t>
        </is>
      </c>
      <c r="F1249" s="12" t="inlineStr">
        <is>
          <t>SI-7</t>
        </is>
      </c>
      <c r="G1249" s="13">
        <f>IFERROR('[Virtual_Desktop_Infrastructure.xlsx]SI-7'!B20,"Not Started")</f>
        <v/>
      </c>
      <c r="H1249" s="14">
        <f>IF(OR(G1249="Passed",G1249="Accepted Exception"),"GREEN",IF(OR(G1249="Not Started",G1249="Failed"),"RED","AMBER"))</f>
        <v/>
      </c>
      <c r="I1249" s="15">
        <f>IFERROR('[Virtual_Desktop_Infrastructure.xlsx]SI-7'!E20,"Non commencé")</f>
        <v/>
      </c>
      <c r="J1249" s="16">
        <f>IF(OR(I1249="Réussi",I1249="Exception acceptée"),"GREEN",IF(OR(I1249="Non commencé",I1249="Échec"),"RED","AMBER"))</f>
        <v/>
      </c>
      <c r="K1249" s="12" t="inlineStr"/>
      <c r="L1249" s="12" t="inlineStr"/>
      <c r="M1249" s="17" t="inlineStr"/>
    </row>
    <row r="1250" ht="18" customHeight="1">
      <c r="A1250" s="18" t="inlineStr">
        <is>
          <t>SI-7(1)</t>
        </is>
      </c>
      <c r="B1250" s="19" t="inlineStr">
        <is>
          <t>Software, Firmware, and Information Integrity</t>
        </is>
      </c>
      <c r="C1250" s="19" t="inlineStr">
        <is>
          <t>Virtual Desktop Infrastructure</t>
        </is>
      </c>
      <c r="D1250" s="18" t="inlineStr">
        <is>
          <t>SI</t>
        </is>
      </c>
      <c r="E1250" s="19" t="inlineStr">
        <is>
          <t>Virtual Desktop Infrastructure</t>
        </is>
      </c>
      <c r="F1250" s="19" t="inlineStr">
        <is>
          <t>SI-7-1</t>
        </is>
      </c>
      <c r="G1250" s="20">
        <f>IFERROR('[Virtual_Desktop_Infrastructure.xlsx]SI-7-1'!B20,"Not Started")</f>
        <v/>
      </c>
      <c r="H1250" s="14">
        <f>IF(OR(G1250="Passed",G1250="Accepted Exception"),"GREEN",IF(OR(G1250="Not Started",G1250="Failed"),"RED","AMBER"))</f>
        <v/>
      </c>
      <c r="I1250" s="21">
        <f>IFERROR('[Virtual_Desktop_Infrastructure.xlsx]SI-7-1'!E20,"Non commencé")</f>
        <v/>
      </c>
      <c r="J1250" s="16">
        <f>IF(OR(I1250="Réussi",I1250="Exception acceptée"),"GREEN",IF(OR(I1250="Non commencé",I1250="Échec"),"RED","AMBER"))</f>
        <v/>
      </c>
      <c r="K1250" s="19" t="inlineStr"/>
      <c r="L1250" s="19" t="inlineStr"/>
      <c r="M1250" s="22" t="inlineStr"/>
    </row>
    <row r="1251" ht="18" customHeight="1">
      <c r="A1251" s="11" t="inlineStr">
        <is>
          <t>AU-2</t>
        </is>
      </c>
      <c r="B1251" s="12" t="inlineStr">
        <is>
          <t>Auditable Events</t>
        </is>
      </c>
      <c r="C1251" s="12" t="inlineStr">
        <is>
          <t>Web</t>
        </is>
      </c>
      <c r="D1251" s="11" t="inlineStr">
        <is>
          <t>AU</t>
        </is>
      </c>
      <c r="E1251" s="12" t="inlineStr">
        <is>
          <t>Web</t>
        </is>
      </c>
      <c r="F1251" s="12" t="inlineStr">
        <is>
          <t>AU-2</t>
        </is>
      </c>
      <c r="G1251" s="13">
        <f>IFERROR('[Web.xlsx]AU-2'!B20,"Not Started")</f>
        <v/>
      </c>
      <c r="H1251" s="14">
        <f>IF(OR(G1251="Passed",G1251="Accepted Exception"),"GREEN",IF(OR(G1251="Not Started",G1251="Failed"),"RED","AMBER"))</f>
        <v/>
      </c>
      <c r="I1251" s="15">
        <f>IFERROR('[Web.xlsx]AU-2'!E20,"Non commencé")</f>
        <v/>
      </c>
      <c r="J1251" s="16">
        <f>IF(OR(I1251="Réussi",I1251="Exception acceptée"),"GREEN",IF(OR(I1251="Non commencé",I1251="Échec"),"RED","AMBER"))</f>
        <v/>
      </c>
      <c r="K1251" s="12" t="inlineStr"/>
      <c r="L1251" s="12" t="inlineStr"/>
      <c r="M1251" s="17" t="inlineStr"/>
    </row>
    <row r="1252" ht="18" customHeight="1">
      <c r="A1252" s="18" t="inlineStr">
        <is>
          <t>AU-3</t>
        </is>
      </c>
      <c r="B1252" s="19" t="inlineStr">
        <is>
          <t>Content of Audit Records</t>
        </is>
      </c>
      <c r="C1252" s="19" t="inlineStr">
        <is>
          <t>Web</t>
        </is>
      </c>
      <c r="D1252" s="18" t="inlineStr">
        <is>
          <t>AU</t>
        </is>
      </c>
      <c r="E1252" s="19" t="inlineStr">
        <is>
          <t>Web</t>
        </is>
      </c>
      <c r="F1252" s="19" t="inlineStr">
        <is>
          <t>AU-3</t>
        </is>
      </c>
      <c r="G1252" s="20">
        <f>IFERROR('[Web.xlsx]AU-3'!B20,"Not Started")</f>
        <v/>
      </c>
      <c r="H1252" s="14">
        <f>IF(OR(G1252="Passed",G1252="Accepted Exception"),"GREEN",IF(OR(G1252="Not Started",G1252="Failed"),"RED","AMBER"))</f>
        <v/>
      </c>
      <c r="I1252" s="21">
        <f>IFERROR('[Web.xlsx]AU-3'!E20,"Non commencé")</f>
        <v/>
      </c>
      <c r="J1252" s="16">
        <f>IF(OR(I1252="Réussi",I1252="Exception acceptée"),"GREEN",IF(OR(I1252="Non commencé",I1252="Échec"),"RED","AMBER"))</f>
        <v/>
      </c>
      <c r="K1252" s="19" t="inlineStr"/>
      <c r="L1252" s="19" t="inlineStr"/>
      <c r="M1252" s="22" t="inlineStr"/>
    </row>
    <row r="1253" ht="18" customHeight="1">
      <c r="A1253" s="11" t="inlineStr">
        <is>
          <t>AU-3(1)</t>
        </is>
      </c>
      <c r="B1253" s="12" t="inlineStr">
        <is>
          <t>Content of Audit Records</t>
        </is>
      </c>
      <c r="C1253" s="12" t="inlineStr">
        <is>
          <t>Web</t>
        </is>
      </c>
      <c r="D1253" s="11" t="inlineStr">
        <is>
          <t>AU</t>
        </is>
      </c>
      <c r="E1253" s="12" t="inlineStr">
        <is>
          <t>Web</t>
        </is>
      </c>
      <c r="F1253" s="12" t="inlineStr">
        <is>
          <t>AU-3-1</t>
        </is>
      </c>
      <c r="G1253" s="13">
        <f>IFERROR('[Web.xlsx]AU-3-1'!B20,"Not Started")</f>
        <v/>
      </c>
      <c r="H1253" s="14">
        <f>IF(OR(G1253="Passed",G1253="Accepted Exception"),"GREEN",IF(OR(G1253="Not Started",G1253="Failed"),"RED","AMBER"))</f>
        <v/>
      </c>
      <c r="I1253" s="15">
        <f>IFERROR('[Web.xlsx]AU-3-1'!E20,"Non commencé")</f>
        <v/>
      </c>
      <c r="J1253" s="16">
        <f>IF(OR(I1253="Réussi",I1253="Exception acceptée"),"GREEN",IF(OR(I1253="Non commencé",I1253="Échec"),"RED","AMBER"))</f>
        <v/>
      </c>
      <c r="K1253" s="12" t="inlineStr"/>
      <c r="L1253" s="12" t="inlineStr"/>
      <c r="M1253" s="17" t="inlineStr"/>
    </row>
    <row r="1254" ht="18" customHeight="1">
      <c r="A1254" s="18" t="inlineStr">
        <is>
          <t>AU-9(2)</t>
        </is>
      </c>
      <c r="B1254" s="19" t="inlineStr">
        <is>
          <t>Protection of Audit Information</t>
        </is>
      </c>
      <c r="C1254" s="19" t="inlineStr">
        <is>
          <t>Web</t>
        </is>
      </c>
      <c r="D1254" s="18" t="inlineStr">
        <is>
          <t>AU</t>
        </is>
      </c>
      <c r="E1254" s="19" t="inlineStr">
        <is>
          <t>Web</t>
        </is>
      </c>
      <c r="F1254" s="19" t="inlineStr">
        <is>
          <t>AU-9-2</t>
        </is>
      </c>
      <c r="G1254" s="20">
        <f>IFERROR('[Web.xlsx]AU-9-2'!B20,"Not Started")</f>
        <v/>
      </c>
      <c r="H1254" s="14">
        <f>IF(OR(G1254="Passed",G1254="Accepted Exception"),"GREEN",IF(OR(G1254="Not Started",G1254="Failed"),"RED","AMBER"))</f>
        <v/>
      </c>
      <c r="I1254" s="21">
        <f>IFERROR('[Web.xlsx]AU-9-2'!E20,"Non commencé")</f>
        <v/>
      </c>
      <c r="J1254" s="16">
        <f>IF(OR(I1254="Réussi",I1254="Exception acceptée"),"GREEN",IF(OR(I1254="Non commencé",I1254="Échec"),"RED","AMBER"))</f>
        <v/>
      </c>
      <c r="K1254" s="19" t="inlineStr"/>
      <c r="L1254" s="19" t="inlineStr"/>
      <c r="M1254" s="22" t="inlineStr"/>
    </row>
    <row r="1255" ht="18" customHeight="1">
      <c r="A1255" s="11" t="inlineStr">
        <is>
          <t>AU-12</t>
        </is>
      </c>
      <c r="B1255" s="12" t="inlineStr">
        <is>
          <t>Audit Generation</t>
        </is>
      </c>
      <c r="C1255" s="12" t="inlineStr">
        <is>
          <t>Web</t>
        </is>
      </c>
      <c r="D1255" s="11" t="inlineStr">
        <is>
          <t>AU</t>
        </is>
      </c>
      <c r="E1255" s="12" t="inlineStr">
        <is>
          <t>Web</t>
        </is>
      </c>
      <c r="F1255" s="12" t="inlineStr">
        <is>
          <t>AU-12</t>
        </is>
      </c>
      <c r="G1255" s="13">
        <f>IFERROR('[Web.xlsx]AU-12'!B20,"Not Started")</f>
        <v/>
      </c>
      <c r="H1255" s="14">
        <f>IF(OR(G1255="Passed",G1255="Accepted Exception"),"GREEN",IF(OR(G1255="Not Started",G1255="Failed"),"RED","AMBER"))</f>
        <v/>
      </c>
      <c r="I1255" s="15">
        <f>IFERROR('[Web.xlsx]AU-12'!E20,"Non commencé")</f>
        <v/>
      </c>
      <c r="J1255" s="16">
        <f>IF(OR(I1255="Réussi",I1255="Exception acceptée"),"GREEN",IF(OR(I1255="Non commencé",I1255="Échec"),"RED","AMBER"))</f>
        <v/>
      </c>
      <c r="K1255" s="12" t="inlineStr"/>
      <c r="L1255" s="12" t="inlineStr"/>
      <c r="M1255" s="17" t="inlineStr"/>
    </row>
    <row r="1256" ht="18" customHeight="1">
      <c r="A1256" s="18" t="inlineStr">
        <is>
          <t>CA-3(5)</t>
        </is>
      </c>
      <c r="B1256" s="19" t="inlineStr">
        <is>
          <t>Information System Connections</t>
        </is>
      </c>
      <c r="C1256" s="19" t="inlineStr">
        <is>
          <t>Web</t>
        </is>
      </c>
      <c r="D1256" s="18" t="inlineStr">
        <is>
          <t>CA</t>
        </is>
      </c>
      <c r="E1256" s="19" t="inlineStr">
        <is>
          <t>Web</t>
        </is>
      </c>
      <c r="F1256" s="19" t="inlineStr">
        <is>
          <t>CA-3-5</t>
        </is>
      </c>
      <c r="G1256" s="20">
        <f>IFERROR('[Web.xlsx]CA-3-5'!B20,"Not Started")</f>
        <v/>
      </c>
      <c r="H1256" s="14">
        <f>IF(OR(G1256="Passed",G1256="Accepted Exception"),"GREEN",IF(OR(G1256="Not Started",G1256="Failed"),"RED","AMBER"))</f>
        <v/>
      </c>
      <c r="I1256" s="21">
        <f>IFERROR('[Web.xlsx]CA-3-5'!E20,"Non commencé")</f>
        <v/>
      </c>
      <c r="J1256" s="16">
        <f>IF(OR(I1256="Réussi",I1256="Exception acceptée"),"GREEN",IF(OR(I1256="Non commencé",I1256="Échec"),"RED","AMBER"))</f>
        <v/>
      </c>
      <c r="K1256" s="19" t="inlineStr"/>
      <c r="L1256" s="19" t="inlineStr"/>
      <c r="M1256" s="22" t="inlineStr"/>
    </row>
    <row r="1257" ht="18" customHeight="1">
      <c r="A1257" s="11" t="inlineStr">
        <is>
          <t>CA-9</t>
        </is>
      </c>
      <c r="B1257" s="12" t="inlineStr">
        <is>
          <t>Internal System Connections</t>
        </is>
      </c>
      <c r="C1257" s="12" t="inlineStr">
        <is>
          <t>Web</t>
        </is>
      </c>
      <c r="D1257" s="11" t="inlineStr">
        <is>
          <t>CA</t>
        </is>
      </c>
      <c r="E1257" s="12" t="inlineStr">
        <is>
          <t>Web</t>
        </is>
      </c>
      <c r="F1257" s="12" t="inlineStr">
        <is>
          <t>CA-9</t>
        </is>
      </c>
      <c r="G1257" s="13">
        <f>IFERROR('[Web.xlsx]CA-9'!B20,"Not Started")</f>
        <v/>
      </c>
      <c r="H1257" s="14">
        <f>IF(OR(G1257="Passed",G1257="Accepted Exception"),"GREEN",IF(OR(G1257="Not Started",G1257="Failed"),"RED","AMBER"))</f>
        <v/>
      </c>
      <c r="I1257" s="15">
        <f>IFERROR('[Web.xlsx]CA-9'!E20,"Non commencé")</f>
        <v/>
      </c>
      <c r="J1257" s="16">
        <f>IF(OR(I1257="Réussi",I1257="Exception acceptée"),"GREEN",IF(OR(I1257="Non commencé",I1257="Échec"),"RED","AMBER"))</f>
        <v/>
      </c>
      <c r="K1257" s="12" t="inlineStr"/>
      <c r="L1257" s="12" t="inlineStr"/>
      <c r="M1257" s="17" t="inlineStr"/>
    </row>
    <row r="1258" ht="18" customHeight="1">
      <c r="A1258" s="18" t="inlineStr">
        <is>
          <t>CM-6</t>
        </is>
      </c>
      <c r="B1258" s="19" t="inlineStr">
        <is>
          <t>Configuration Settings</t>
        </is>
      </c>
      <c r="C1258" s="19" t="inlineStr">
        <is>
          <t>Web</t>
        </is>
      </c>
      <c r="D1258" s="18" t="inlineStr">
        <is>
          <t>CM</t>
        </is>
      </c>
      <c r="E1258" s="19" t="inlineStr">
        <is>
          <t>Web</t>
        </is>
      </c>
      <c r="F1258" s="19" t="inlineStr">
        <is>
          <t>CM-6</t>
        </is>
      </c>
      <c r="G1258" s="20">
        <f>IFERROR('[Web.xlsx]CM-6'!B20,"Not Started")</f>
        <v/>
      </c>
      <c r="H1258" s="14">
        <f>IF(OR(G1258="Passed",G1258="Accepted Exception"),"GREEN",IF(OR(G1258="Not Started",G1258="Failed"),"RED","AMBER"))</f>
        <v/>
      </c>
      <c r="I1258" s="21">
        <f>IFERROR('[Web.xlsx]CM-6'!E20,"Non commencé")</f>
        <v/>
      </c>
      <c r="J1258" s="16">
        <f>IF(OR(I1258="Réussi",I1258="Exception acceptée"),"GREEN",IF(OR(I1258="Non commencé",I1258="Échec"),"RED","AMBER"))</f>
        <v/>
      </c>
      <c r="K1258" s="19" t="inlineStr"/>
      <c r="L1258" s="19" t="inlineStr"/>
      <c r="M1258" s="22" t="inlineStr"/>
    </row>
    <row r="1259" ht="18" customHeight="1">
      <c r="A1259" s="11" t="inlineStr">
        <is>
          <t>CM-7</t>
        </is>
      </c>
      <c r="B1259" s="12" t="inlineStr">
        <is>
          <t>Least Functionality</t>
        </is>
      </c>
      <c r="C1259" s="12" t="inlineStr">
        <is>
          <t>Web</t>
        </is>
      </c>
      <c r="D1259" s="11" t="inlineStr">
        <is>
          <t>CM</t>
        </is>
      </c>
      <c r="E1259" s="12" t="inlineStr">
        <is>
          <t>Web</t>
        </is>
      </c>
      <c r="F1259" s="12" t="inlineStr">
        <is>
          <t>CM-7</t>
        </is>
      </c>
      <c r="G1259" s="13">
        <f>IFERROR('[Web.xlsx]CM-7'!B20,"Not Started")</f>
        <v/>
      </c>
      <c r="H1259" s="14">
        <f>IF(OR(G1259="Passed",G1259="Accepted Exception"),"GREEN",IF(OR(G1259="Not Started",G1259="Failed"),"RED","AMBER"))</f>
        <v/>
      </c>
      <c r="I1259" s="15">
        <f>IFERROR('[Web.xlsx]CM-7'!E20,"Non commencé")</f>
        <v/>
      </c>
      <c r="J1259" s="16">
        <f>IF(OR(I1259="Réussi",I1259="Exception acceptée"),"GREEN",IF(OR(I1259="Non commencé",I1259="Échec"),"RED","AMBER"))</f>
        <v/>
      </c>
      <c r="K1259" s="12" t="inlineStr"/>
      <c r="L1259" s="12" t="inlineStr"/>
      <c r="M1259" s="17" t="inlineStr"/>
    </row>
    <row r="1260" ht="18" customHeight="1">
      <c r="A1260" s="18" t="inlineStr">
        <is>
          <t>CM-7(1)</t>
        </is>
      </c>
      <c r="B1260" s="19" t="inlineStr">
        <is>
          <t>Least Functionality</t>
        </is>
      </c>
      <c r="C1260" s="19" t="inlineStr">
        <is>
          <t>Web</t>
        </is>
      </c>
      <c r="D1260" s="18" t="inlineStr">
        <is>
          <t>CM</t>
        </is>
      </c>
      <c r="E1260" s="19" t="inlineStr">
        <is>
          <t>Web</t>
        </is>
      </c>
      <c r="F1260" s="19" t="inlineStr">
        <is>
          <t>CM-7-1</t>
        </is>
      </c>
      <c r="G1260" s="20">
        <f>IFERROR('[Web.xlsx]CM-7-1'!B20,"Not Started")</f>
        <v/>
      </c>
      <c r="H1260" s="14">
        <f>IF(OR(G1260="Passed",G1260="Accepted Exception"),"GREEN",IF(OR(G1260="Not Started",G1260="Failed"),"RED","AMBER"))</f>
        <v/>
      </c>
      <c r="I1260" s="21">
        <f>IFERROR('[Web.xlsx]CM-7-1'!E20,"Non commencé")</f>
        <v/>
      </c>
      <c r="J1260" s="16">
        <f>IF(OR(I1260="Réussi",I1260="Exception acceptée"),"GREEN",IF(OR(I1260="Non commencé",I1260="Échec"),"RED","AMBER"))</f>
        <v/>
      </c>
      <c r="K1260" s="19" t="inlineStr"/>
      <c r="L1260" s="19" t="inlineStr"/>
      <c r="M1260" s="22" t="inlineStr"/>
    </row>
    <row r="1261" ht="18" customHeight="1">
      <c r="A1261" s="11" t="inlineStr">
        <is>
          <t>CP-7</t>
        </is>
      </c>
      <c r="B1261" s="12" t="inlineStr">
        <is>
          <t>Alternate Processing Site</t>
        </is>
      </c>
      <c r="C1261" s="12" t="inlineStr">
        <is>
          <t>Web</t>
        </is>
      </c>
      <c r="D1261" s="11" t="inlineStr">
        <is>
          <t>CP</t>
        </is>
      </c>
      <c r="E1261" s="12" t="inlineStr">
        <is>
          <t>Web</t>
        </is>
      </c>
      <c r="F1261" s="12" t="inlineStr">
        <is>
          <t>CP-7</t>
        </is>
      </c>
      <c r="G1261" s="13">
        <f>IFERROR('[Web.xlsx]CP-7'!B20,"Not Started")</f>
        <v/>
      </c>
      <c r="H1261" s="14">
        <f>IF(OR(G1261="Passed",G1261="Accepted Exception"),"GREEN",IF(OR(G1261="Not Started",G1261="Failed"),"RED","AMBER"))</f>
        <v/>
      </c>
      <c r="I1261" s="15">
        <f>IFERROR('[Web.xlsx]CP-7'!E20,"Non commencé")</f>
        <v/>
      </c>
      <c r="J1261" s="16">
        <f>IF(OR(I1261="Réussi",I1261="Exception acceptée"),"GREEN",IF(OR(I1261="Non commencé",I1261="Échec"),"RED","AMBER"))</f>
        <v/>
      </c>
      <c r="K1261" s="12" t="inlineStr"/>
      <c r="L1261" s="12" t="inlineStr"/>
      <c r="M1261" s="17" t="inlineStr"/>
    </row>
    <row r="1262" ht="18" customHeight="1">
      <c r="A1262" s="18" t="inlineStr">
        <is>
          <t>CP-7(4)</t>
        </is>
      </c>
      <c r="B1262" s="19" t="inlineStr">
        <is>
          <t>Alternate Processing Site</t>
        </is>
      </c>
      <c r="C1262" s="19" t="inlineStr">
        <is>
          <t>Web</t>
        </is>
      </c>
      <c r="D1262" s="18" t="inlineStr">
        <is>
          <t>CP</t>
        </is>
      </c>
      <c r="E1262" s="19" t="inlineStr">
        <is>
          <t>Web</t>
        </is>
      </c>
      <c r="F1262" s="19" t="inlineStr">
        <is>
          <t>CP-7-4</t>
        </is>
      </c>
      <c r="G1262" s="20">
        <f>IFERROR('[Web.xlsx]CP-7-4'!B20,"Not Started")</f>
        <v/>
      </c>
      <c r="H1262" s="14">
        <f>IF(OR(G1262="Passed",G1262="Accepted Exception"),"GREEN",IF(OR(G1262="Not Started",G1262="Failed"),"RED","AMBER"))</f>
        <v/>
      </c>
      <c r="I1262" s="21">
        <f>IFERROR('[Web.xlsx]CP-7-4'!E20,"Non commencé")</f>
        <v/>
      </c>
      <c r="J1262" s="16">
        <f>IF(OR(I1262="Réussi",I1262="Exception acceptée"),"GREEN",IF(OR(I1262="Non commencé",I1262="Échec"),"RED","AMBER"))</f>
        <v/>
      </c>
      <c r="K1262" s="19" t="inlineStr"/>
      <c r="L1262" s="19" t="inlineStr"/>
      <c r="M1262" s="22" t="inlineStr"/>
    </row>
    <row r="1263" ht="18" customHeight="1">
      <c r="A1263" s="11" t="inlineStr">
        <is>
          <t>CP-10</t>
        </is>
      </c>
      <c r="B1263" s="12" t="inlineStr">
        <is>
          <t>Information System Recovery and Reconstitution</t>
        </is>
      </c>
      <c r="C1263" s="12" t="inlineStr">
        <is>
          <t>Web</t>
        </is>
      </c>
      <c r="D1263" s="11" t="inlineStr">
        <is>
          <t>CP</t>
        </is>
      </c>
      <c r="E1263" s="12" t="inlineStr">
        <is>
          <t>Web</t>
        </is>
      </c>
      <c r="F1263" s="12" t="inlineStr">
        <is>
          <t>CP-10</t>
        </is>
      </c>
      <c r="G1263" s="13">
        <f>IFERROR('[Web.xlsx]CP-10'!B20,"Not Started")</f>
        <v/>
      </c>
      <c r="H1263" s="14">
        <f>IF(OR(G1263="Passed",G1263="Accepted Exception"),"GREEN",IF(OR(G1263="Not Started",G1263="Failed"),"RED","AMBER"))</f>
        <v/>
      </c>
      <c r="I1263" s="15">
        <f>IFERROR('[Web.xlsx]CP-10'!E20,"Non commencé")</f>
        <v/>
      </c>
      <c r="J1263" s="16">
        <f>IF(OR(I1263="Réussi",I1263="Exception acceptée"),"GREEN",IF(OR(I1263="Non commencé",I1263="Échec"),"RED","AMBER"))</f>
        <v/>
      </c>
      <c r="K1263" s="12" t="inlineStr"/>
      <c r="L1263" s="12" t="inlineStr"/>
      <c r="M1263" s="17" t="inlineStr"/>
    </row>
    <row r="1264" ht="18" customHeight="1">
      <c r="A1264" s="18" t="inlineStr">
        <is>
          <t>CP-10(4)</t>
        </is>
      </c>
      <c r="B1264" s="19" t="inlineStr">
        <is>
          <t>Information System Recovery and Reconstitution</t>
        </is>
      </c>
      <c r="C1264" s="19" t="inlineStr">
        <is>
          <t>Web</t>
        </is>
      </c>
      <c r="D1264" s="18" t="inlineStr">
        <is>
          <t>CP</t>
        </is>
      </c>
      <c r="E1264" s="19" t="inlineStr">
        <is>
          <t>Web</t>
        </is>
      </c>
      <c r="F1264" s="19" t="inlineStr">
        <is>
          <t>CP-10-4</t>
        </is>
      </c>
      <c r="G1264" s="20">
        <f>IFERROR('[Web.xlsx]CP-10-4'!B20,"Not Started")</f>
        <v/>
      </c>
      <c r="H1264" s="14">
        <f>IF(OR(G1264="Passed",G1264="Accepted Exception"),"GREEN",IF(OR(G1264="Not Started",G1264="Failed"),"RED","AMBER"))</f>
        <v/>
      </c>
      <c r="I1264" s="21">
        <f>IFERROR('[Web.xlsx]CP-10-4'!E20,"Non commencé")</f>
        <v/>
      </c>
      <c r="J1264" s="16">
        <f>IF(OR(I1264="Réussi",I1264="Exception acceptée"),"GREEN",IF(OR(I1264="Non commencé",I1264="Échec"),"RED","AMBER"))</f>
        <v/>
      </c>
      <c r="K1264" s="19" t="inlineStr"/>
      <c r="L1264" s="19" t="inlineStr"/>
      <c r="M1264" s="22" t="inlineStr"/>
    </row>
    <row r="1265" ht="18" customHeight="1">
      <c r="A1265" s="11" t="inlineStr">
        <is>
          <t>IA-5(7)</t>
        </is>
      </c>
      <c r="B1265" s="12" t="inlineStr">
        <is>
          <t>Authenticator Management</t>
        </is>
      </c>
      <c r="C1265" s="12" t="inlineStr">
        <is>
          <t>Web</t>
        </is>
      </c>
      <c r="D1265" s="11" t="inlineStr">
        <is>
          <t>IA</t>
        </is>
      </c>
      <c r="E1265" s="12" t="inlineStr">
        <is>
          <t>Web</t>
        </is>
      </c>
      <c r="F1265" s="12" t="inlineStr">
        <is>
          <t>IA-5-7</t>
        </is>
      </c>
      <c r="G1265" s="13">
        <f>IFERROR('[Web.xlsx]IA-5-7'!B20,"Not Started")</f>
        <v/>
      </c>
      <c r="H1265" s="14">
        <f>IF(OR(G1265="Passed",G1265="Accepted Exception"),"GREEN",IF(OR(G1265="Not Started",G1265="Failed"),"RED","AMBER"))</f>
        <v/>
      </c>
      <c r="I1265" s="15">
        <f>IFERROR('[Web.xlsx]IA-5-7'!E20,"Non commencé")</f>
        <v/>
      </c>
      <c r="J1265" s="16">
        <f>IF(OR(I1265="Réussi",I1265="Exception acceptée"),"GREEN",IF(OR(I1265="Non commencé",I1265="Échec"),"RED","AMBER"))</f>
        <v/>
      </c>
      <c r="K1265" s="12" t="inlineStr"/>
      <c r="L1265" s="12" t="inlineStr"/>
      <c r="M1265" s="17" t="inlineStr"/>
    </row>
    <row r="1266" ht="18" customHeight="1">
      <c r="A1266" s="18" t="inlineStr">
        <is>
          <t>SA-9(5)</t>
        </is>
      </c>
      <c r="B1266" s="19" t="inlineStr">
        <is>
          <t>External Information System Services</t>
        </is>
      </c>
      <c r="C1266" s="19" t="inlineStr">
        <is>
          <t>Web</t>
        </is>
      </c>
      <c r="D1266" s="18" t="inlineStr">
        <is>
          <t>SA</t>
        </is>
      </c>
      <c r="E1266" s="19" t="inlineStr">
        <is>
          <t>Web</t>
        </is>
      </c>
      <c r="F1266" s="19" t="inlineStr">
        <is>
          <t>SA-9-5</t>
        </is>
      </c>
      <c r="G1266" s="20">
        <f>IFERROR('[Web.xlsx]SA-9-5'!B20,"Not Started")</f>
        <v/>
      </c>
      <c r="H1266" s="14">
        <f>IF(OR(G1266="Passed",G1266="Accepted Exception"),"GREEN",IF(OR(G1266="Not Started",G1266="Failed"),"RED","AMBER"))</f>
        <v/>
      </c>
      <c r="I1266" s="21">
        <f>IFERROR('[Web.xlsx]SA-9-5'!E20,"Non commencé")</f>
        <v/>
      </c>
      <c r="J1266" s="16">
        <f>IF(OR(I1266="Réussi",I1266="Exception acceptée"),"GREEN",IF(OR(I1266="Non commencé",I1266="Échec"),"RED","AMBER"))</f>
        <v/>
      </c>
      <c r="K1266" s="19" t="inlineStr"/>
      <c r="L1266" s="19" t="inlineStr"/>
      <c r="M1266" s="22" t="inlineStr"/>
    </row>
    <row r="1267" ht="18" customHeight="1">
      <c r="A1267" s="11" t="inlineStr">
        <is>
          <t>SC-8</t>
        </is>
      </c>
      <c r="B1267" s="12" t="inlineStr">
        <is>
          <t>Transmission Confidentiality and Integrity</t>
        </is>
      </c>
      <c r="C1267" s="12" t="inlineStr">
        <is>
          <t>Web</t>
        </is>
      </c>
      <c r="D1267" s="11" t="inlineStr">
        <is>
          <t>SC</t>
        </is>
      </c>
      <c r="E1267" s="12" t="inlineStr">
        <is>
          <t>Web</t>
        </is>
      </c>
      <c r="F1267" s="12" t="inlineStr">
        <is>
          <t>SC-8</t>
        </is>
      </c>
      <c r="G1267" s="13">
        <f>IFERROR('[Web.xlsx]SC-8'!B20,"Not Started")</f>
        <v/>
      </c>
      <c r="H1267" s="14">
        <f>IF(OR(G1267="Passed",G1267="Accepted Exception"),"GREEN",IF(OR(G1267="Not Started",G1267="Failed"),"RED","AMBER"))</f>
        <v/>
      </c>
      <c r="I1267" s="15">
        <f>IFERROR('[Web.xlsx]SC-8'!E20,"Non commencé")</f>
        <v/>
      </c>
      <c r="J1267" s="16">
        <f>IF(OR(I1267="Réussi",I1267="Exception acceptée"),"GREEN",IF(OR(I1267="Non commencé",I1267="Échec"),"RED","AMBER"))</f>
        <v/>
      </c>
      <c r="K1267" s="12" t="inlineStr"/>
      <c r="L1267" s="12" t="inlineStr"/>
      <c r="M1267" s="17" t="inlineStr"/>
    </row>
    <row r="1268" ht="18" customHeight="1">
      <c r="A1268" s="18" t="inlineStr">
        <is>
          <t>SC-8(1)</t>
        </is>
      </c>
      <c r="B1268" s="19" t="inlineStr">
        <is>
          <t>Transmission Confidentiality and Integrity</t>
        </is>
      </c>
      <c r="C1268" s="19" t="inlineStr">
        <is>
          <t>Web</t>
        </is>
      </c>
      <c r="D1268" s="18" t="inlineStr">
        <is>
          <t>SC</t>
        </is>
      </c>
      <c r="E1268" s="19" t="inlineStr">
        <is>
          <t>Web</t>
        </is>
      </c>
      <c r="F1268" s="19" t="inlineStr">
        <is>
          <t>SC-8-1</t>
        </is>
      </c>
      <c r="G1268" s="20">
        <f>IFERROR('[Web.xlsx]SC-8-1'!B20,"Not Started")</f>
        <v/>
      </c>
      <c r="H1268" s="14">
        <f>IF(OR(G1268="Passed",G1268="Accepted Exception"),"GREEN",IF(OR(G1268="Not Started",G1268="Failed"),"RED","AMBER"))</f>
        <v/>
      </c>
      <c r="I1268" s="21">
        <f>IFERROR('[Web.xlsx]SC-8-1'!E20,"Non commencé")</f>
        <v/>
      </c>
      <c r="J1268" s="16">
        <f>IF(OR(I1268="Réussi",I1268="Exception acceptée"),"GREEN",IF(OR(I1268="Non commencé",I1268="Échec"),"RED","AMBER"))</f>
        <v/>
      </c>
      <c r="K1268" s="19" t="inlineStr"/>
      <c r="L1268" s="19" t="inlineStr"/>
      <c r="M1268" s="22" t="inlineStr"/>
    </row>
    <row r="1269" ht="18" customHeight="1">
      <c r="A1269" s="11" t="inlineStr">
        <is>
          <t>SC-10</t>
        </is>
      </c>
      <c r="B1269" s="12" t="inlineStr">
        <is>
          <t>Network Disconnect</t>
        </is>
      </c>
      <c r="C1269" s="12" t="inlineStr">
        <is>
          <t>Web</t>
        </is>
      </c>
      <c r="D1269" s="11" t="inlineStr">
        <is>
          <t>SC</t>
        </is>
      </c>
      <c r="E1269" s="12" t="inlineStr">
        <is>
          <t>Web</t>
        </is>
      </c>
      <c r="F1269" s="12" t="inlineStr">
        <is>
          <t>SC-10</t>
        </is>
      </c>
      <c r="G1269" s="13">
        <f>IFERROR('[Web.xlsx]SC-10'!B20,"Not Started")</f>
        <v/>
      </c>
      <c r="H1269" s="14">
        <f>IF(OR(G1269="Passed",G1269="Accepted Exception"),"GREEN",IF(OR(G1269="Not Started",G1269="Failed"),"RED","AMBER"))</f>
        <v/>
      </c>
      <c r="I1269" s="15">
        <f>IFERROR('[Web.xlsx]SC-10'!E20,"Non commencé")</f>
        <v/>
      </c>
      <c r="J1269" s="16">
        <f>IF(OR(I1269="Réussi",I1269="Exception acceptée"),"GREEN",IF(OR(I1269="Non commencé",I1269="Échec"),"RED","AMBER"))</f>
        <v/>
      </c>
      <c r="K1269" s="12" t="inlineStr"/>
      <c r="L1269" s="12" t="inlineStr"/>
      <c r="M1269" s="17" t="inlineStr"/>
    </row>
    <row r="1270" ht="18" customHeight="1">
      <c r="A1270" s="18" t="inlineStr">
        <is>
          <t>SC-13</t>
        </is>
      </c>
      <c r="B1270" s="19" t="inlineStr">
        <is>
          <t>Cryptographic Protection</t>
        </is>
      </c>
      <c r="C1270" s="19" t="inlineStr">
        <is>
          <t>Web</t>
        </is>
      </c>
      <c r="D1270" s="18" t="inlineStr">
        <is>
          <t>SC</t>
        </is>
      </c>
      <c r="E1270" s="19" t="inlineStr">
        <is>
          <t>Web</t>
        </is>
      </c>
      <c r="F1270" s="19" t="inlineStr">
        <is>
          <t>SC-13</t>
        </is>
      </c>
      <c r="G1270" s="20">
        <f>IFERROR('[Web.xlsx]SC-13'!B20,"Not Started")</f>
        <v/>
      </c>
      <c r="H1270" s="14">
        <f>IF(OR(G1270="Passed",G1270="Accepted Exception"),"GREEN",IF(OR(G1270="Not Started",G1270="Failed"),"RED","AMBER"))</f>
        <v/>
      </c>
      <c r="I1270" s="21">
        <f>IFERROR('[Web.xlsx]SC-13'!E20,"Non commencé")</f>
        <v/>
      </c>
      <c r="J1270" s="16">
        <f>IF(OR(I1270="Réussi",I1270="Exception acceptée"),"GREEN",IF(OR(I1270="Non commencé",I1270="Échec"),"RED","AMBER"))</f>
        <v/>
      </c>
      <c r="K1270" s="19" t="inlineStr"/>
      <c r="L1270" s="19" t="inlineStr"/>
      <c r="M1270" s="22" t="inlineStr"/>
    </row>
    <row r="1271" ht="18" customHeight="1">
      <c r="A1271" s="11" t="inlineStr">
        <is>
          <t>SC-18</t>
        </is>
      </c>
      <c r="B1271" s="12" t="inlineStr">
        <is>
          <t>Mobile Code</t>
        </is>
      </c>
      <c r="C1271" s="12" t="inlineStr">
        <is>
          <t>Web</t>
        </is>
      </c>
      <c r="D1271" s="11" t="inlineStr">
        <is>
          <t>SC</t>
        </is>
      </c>
      <c r="E1271" s="12" t="inlineStr">
        <is>
          <t>Web</t>
        </is>
      </c>
      <c r="F1271" s="12" t="inlineStr">
        <is>
          <t>SC-18</t>
        </is>
      </c>
      <c r="G1271" s="13">
        <f>IFERROR('[Web.xlsx]SC-18'!B20,"Not Started")</f>
        <v/>
      </c>
      <c r="H1271" s="14">
        <f>IF(OR(G1271="Passed",G1271="Accepted Exception"),"GREEN",IF(OR(G1271="Not Started",G1271="Failed"),"RED","AMBER"))</f>
        <v/>
      </c>
      <c r="I1271" s="15">
        <f>IFERROR('[Web.xlsx]SC-18'!E20,"Non commencé")</f>
        <v/>
      </c>
      <c r="J1271" s="16">
        <f>IF(OR(I1271="Réussi",I1271="Exception acceptée"),"GREEN",IF(OR(I1271="Non commencé",I1271="Échec"),"RED","AMBER"))</f>
        <v/>
      </c>
      <c r="K1271" s="12" t="inlineStr"/>
      <c r="L1271" s="12" t="inlineStr"/>
      <c r="M1271" s="17" t="inlineStr"/>
    </row>
    <row r="1272" ht="18" customHeight="1">
      <c r="A1272" s="18" t="inlineStr">
        <is>
          <t>SC-23</t>
        </is>
      </c>
      <c r="B1272" s="19" t="inlineStr">
        <is>
          <t>Session Authenticity</t>
        </is>
      </c>
      <c r="C1272" s="19" t="inlineStr">
        <is>
          <t>Web</t>
        </is>
      </c>
      <c r="D1272" s="18" t="inlineStr">
        <is>
          <t>SC</t>
        </is>
      </c>
      <c r="E1272" s="19" t="inlineStr">
        <is>
          <t>Web</t>
        </is>
      </c>
      <c r="F1272" s="19" t="inlineStr">
        <is>
          <t>SC-23</t>
        </is>
      </c>
      <c r="G1272" s="20">
        <f>IFERROR('[Web.xlsx]SC-23'!B20,"Not Started")</f>
        <v/>
      </c>
      <c r="H1272" s="14">
        <f>IF(OR(G1272="Passed",G1272="Accepted Exception"),"GREEN",IF(OR(G1272="Not Started",G1272="Failed"),"RED","AMBER"))</f>
        <v/>
      </c>
      <c r="I1272" s="21">
        <f>IFERROR('[Web.xlsx]SC-23'!E20,"Non commencé")</f>
        <v/>
      </c>
      <c r="J1272" s="16">
        <f>IF(OR(I1272="Réussi",I1272="Exception acceptée"),"GREEN",IF(OR(I1272="Non commencé",I1272="Échec"),"RED","AMBER"))</f>
        <v/>
      </c>
      <c r="K1272" s="19" t="inlineStr"/>
      <c r="L1272" s="19" t="inlineStr"/>
      <c r="M1272" s="22" t="inlineStr"/>
    </row>
    <row r="1273" ht="18" customHeight="1">
      <c r="A1273" s="11" t="inlineStr">
        <is>
          <t>SC-23(1)</t>
        </is>
      </c>
      <c r="B1273" s="12" t="inlineStr">
        <is>
          <t>Session Authenticity</t>
        </is>
      </c>
      <c r="C1273" s="12" t="inlineStr">
        <is>
          <t>Web</t>
        </is>
      </c>
      <c r="D1273" s="11" t="inlineStr">
        <is>
          <t>SC</t>
        </is>
      </c>
      <c r="E1273" s="12" t="inlineStr">
        <is>
          <t>Web</t>
        </is>
      </c>
      <c r="F1273" s="12" t="inlineStr">
        <is>
          <t>SC-23-1</t>
        </is>
      </c>
      <c r="G1273" s="13">
        <f>IFERROR('[Web.xlsx]SC-23-1'!B20,"Not Started")</f>
        <v/>
      </c>
      <c r="H1273" s="14">
        <f>IF(OR(G1273="Passed",G1273="Accepted Exception"),"GREEN",IF(OR(G1273="Not Started",G1273="Failed"),"RED","AMBER"))</f>
        <v/>
      </c>
      <c r="I1273" s="15">
        <f>IFERROR('[Web.xlsx]SC-23-1'!E20,"Non commencé")</f>
        <v/>
      </c>
      <c r="J1273" s="16">
        <f>IF(OR(I1273="Réussi",I1273="Exception acceptée"),"GREEN",IF(OR(I1273="Non commencé",I1273="Échec"),"RED","AMBER"))</f>
        <v/>
      </c>
      <c r="K1273" s="12" t="inlineStr"/>
      <c r="L1273" s="12" t="inlineStr"/>
      <c r="M1273" s="17" t="inlineStr"/>
    </row>
    <row r="1274" ht="18" customHeight="1">
      <c r="A1274" s="18" t="inlineStr">
        <is>
          <t>SI-4(2)</t>
        </is>
      </c>
      <c r="B1274" s="19" t="inlineStr">
        <is>
          <t>Information System Monitoring</t>
        </is>
      </c>
      <c r="C1274" s="19" t="inlineStr">
        <is>
          <t>Web</t>
        </is>
      </c>
      <c r="D1274" s="18" t="inlineStr">
        <is>
          <t>SI</t>
        </is>
      </c>
      <c r="E1274" s="19" t="inlineStr">
        <is>
          <t>Web</t>
        </is>
      </c>
      <c r="F1274" s="19" t="inlineStr">
        <is>
          <t>SI-4-2</t>
        </is>
      </c>
      <c r="G1274" s="20">
        <f>IFERROR('[Web.xlsx]SI-4-2'!B20,"Not Started")</f>
        <v/>
      </c>
      <c r="H1274" s="14">
        <f>IF(OR(G1274="Passed",G1274="Accepted Exception"),"GREEN",IF(OR(G1274="Not Started",G1274="Failed"),"RED","AMBER"))</f>
        <v/>
      </c>
      <c r="I1274" s="21">
        <f>IFERROR('[Web.xlsx]SI-4-2'!E20,"Non commencé")</f>
        <v/>
      </c>
      <c r="J1274" s="16">
        <f>IF(OR(I1274="Réussi",I1274="Exception acceptée"),"GREEN",IF(OR(I1274="Non commencé",I1274="Échec"),"RED","AMBER"))</f>
        <v/>
      </c>
      <c r="K1274" s="19" t="inlineStr"/>
      <c r="L1274" s="19" t="inlineStr"/>
      <c r="M1274" s="22" t="inlineStr"/>
    </row>
    <row r="1275" ht="18" customHeight="1">
      <c r="A1275" s="11" t="inlineStr">
        <is>
          <t>SI-6</t>
        </is>
      </c>
      <c r="B1275" s="12" t="inlineStr">
        <is>
          <t>Security Functional Verification</t>
        </is>
      </c>
      <c r="C1275" s="12" t="inlineStr">
        <is>
          <t>Web</t>
        </is>
      </c>
      <c r="D1275" s="11" t="inlineStr">
        <is>
          <t>SI</t>
        </is>
      </c>
      <c r="E1275" s="12" t="inlineStr">
        <is>
          <t>Web</t>
        </is>
      </c>
      <c r="F1275" s="12" t="inlineStr">
        <is>
          <t>SI-6</t>
        </is>
      </c>
      <c r="G1275" s="13">
        <f>IFERROR('[Web.xlsx]SI-6'!B20,"Not Started")</f>
        <v/>
      </c>
      <c r="H1275" s="14">
        <f>IF(OR(G1275="Passed",G1275="Accepted Exception"),"GREEN",IF(OR(G1275="Not Started",G1275="Failed"),"RED","AMBER"))</f>
        <v/>
      </c>
      <c r="I1275" s="15">
        <f>IFERROR('[Web.xlsx]SI-6'!E20,"Non commencé")</f>
        <v/>
      </c>
      <c r="J1275" s="16">
        <f>IF(OR(I1275="Réussi",I1275="Exception acceptée"),"GREEN",IF(OR(I1275="Non commencé",I1275="Échec"),"RED","AMBER"))</f>
        <v/>
      </c>
      <c r="K1275" s="12" t="inlineStr"/>
      <c r="L1275" s="12" t="inlineStr"/>
      <c r="M1275" s="17" t="inlineStr"/>
    </row>
  </sheetData>
  <autoFilter ref="A2:M2"/>
  <mergeCells count="1">
    <mergeCell ref="A1:L1"/>
  </mergeCells>
  <conditionalFormatting sqref="H3:H1275">
    <cfRule type="expression" priority="1" dxfId="0">
      <formula>H3="GREEN"</formula>
    </cfRule>
    <cfRule type="expression" priority="2" dxfId="1">
      <formula>H3="AMBER"</formula>
    </cfRule>
    <cfRule type="expression" priority="3" dxfId="2">
      <formula>H3="RED"</formula>
    </cfRule>
  </conditionalFormatting>
  <conditionalFormatting sqref="J3:J1275">
    <cfRule type="expression" priority="4" dxfId="0">
      <formula>J3="GREEN"</formula>
    </cfRule>
    <cfRule type="expression" priority="5" dxfId="1">
      <formula>J3="AMBER"</formula>
    </cfRule>
    <cfRule type="expression" priority="6" dxfId="2">
      <formula>J3="RED"</formula>
    </cfRule>
  </conditionalFormatting>
  <conditionalFormatting sqref="G3:G1275">
    <cfRule type="expression" priority="7" dxfId="0">
      <formula>OR(G3="Passed",G3="Accepted Exception")</formula>
    </cfRule>
    <cfRule type="expression" priority="8" dxfId="2">
      <formula>G3="Failed"</formula>
    </cfRule>
    <cfRule type="expression" priority="9" dxfId="1">
      <formula>OR(G3="In Progress",G3="Evidence Provided",G3="Under Review")</formula>
    </cfRule>
  </conditionalFormatting>
  <conditionalFormatting sqref="I3:I1275">
    <cfRule type="expression" priority="10" dxfId="0">
      <formula>OR(I3="Réussi",I3="Exception acceptée")</formula>
    </cfRule>
    <cfRule type="expression" priority="11" dxfId="2">
      <formula>I3="Échec"</formula>
    </cfRule>
    <cfRule type="expression" priority="12" dxfId="1">
      <formula>OR(I3="En cours",I3="Preuve fournie",I3="En révision")</formula>
    </cfRule>
  </conditionalFormatting>
  <pageMargins left="0.75" right="0.75" top="1" bottom="1" header="0.5" footer="0.5"/>
</worksheet>
</file>

<file path=xl/worksheets/sheet3.xml><?xml version="1.0" encoding="utf-8"?>
<worksheet xmlns="http://schemas.openxmlformats.org/spreadsheetml/2006/main">
  <sheetPr>
    <tabColor rgb="002E7D32"/>
    <outlinePr summaryBelow="1" summaryRight="1"/>
    <pageSetUpPr/>
  </sheetPr>
  <dimension ref="A1:E34"/>
  <sheetViews>
    <sheetView workbookViewId="0">
      <pane ySplit="2" topLeftCell="A3" activePane="bottomLeft" state="frozen"/>
      <selection pane="bottomLeft" activeCell="A1" sqref="A1"/>
    </sheetView>
  </sheetViews>
  <sheetFormatPr baseColWidth="8" defaultRowHeight="15"/>
  <cols>
    <col width="36" customWidth="1" min="1" max="1"/>
    <col width="14" customWidth="1" min="2" max="2"/>
    <col width="10" customWidth="1" min="3" max="3"/>
    <col width="14" customWidth="1" min="4" max="4"/>
    <col width="10" customWidth="1" min="5" max="5"/>
  </cols>
  <sheetData>
    <row r="1" ht="28" customHeight="1">
      <c r="A1" s="5" t="inlineStr">
        <is>
          <t>PBMM Evidence — LIVE Progress Summary — 21 Workbooks</t>
        </is>
      </c>
      <c r="B1" s="6" t="n"/>
      <c r="C1" s="6" t="n"/>
      <c r="D1" s="6" t="n"/>
      <c r="E1" s="2" t="n"/>
    </row>
    <row r="2" ht="30" customHeight="1">
      <c r="A2" s="8" t="inlineStr">
        <is>
          <t>Metric</t>
        </is>
      </c>
      <c r="B2" s="23" t="inlineStr">
        <is>
          <t>EN Count</t>
        </is>
      </c>
      <c r="C2" s="23" t="inlineStr">
        <is>
          <t>EN %</t>
        </is>
      </c>
      <c r="D2" s="24" t="inlineStr">
        <is>
          <t>FR Count</t>
        </is>
      </c>
      <c r="E2" s="24" t="inlineStr">
        <is>
          <t>FR %</t>
        </is>
      </c>
    </row>
    <row r="3" ht="22" customHeight="1">
      <c r="A3" s="25" t="inlineStr">
        <is>
          <t>Overall Status (LIVE)</t>
        </is>
      </c>
      <c r="B3" s="6" t="n"/>
      <c r="C3" s="6" t="n"/>
      <c r="D3" s="6" t="n"/>
      <c r="E3" s="2" t="n"/>
    </row>
    <row r="4" ht="20" customHeight="1">
      <c r="A4" s="26" t="inlineStr">
        <is>
          <t>Total</t>
        </is>
      </c>
      <c r="B4" s="27">
        <f>1273</f>
        <v/>
      </c>
      <c r="C4" s="28">
        <f>""</f>
        <v/>
      </c>
      <c r="D4" s="27">
        <f>1273</f>
        <v/>
      </c>
      <c r="E4" s="28">
        <f>""</f>
        <v/>
      </c>
    </row>
    <row r="5" ht="20" customHeight="1">
      <c r="A5" s="26" t="inlineStr">
        <is>
          <t>Not Started</t>
        </is>
      </c>
      <c r="B5" s="27">
        <f>COUNTIF(TRACKER!G3:G1275,"Not Started")</f>
        <v/>
      </c>
      <c r="C5" s="28">
        <f>IFERROR(COUNTIF(TRACKER!G3:G1275,"Not Started")/1273,0)</f>
        <v/>
      </c>
      <c r="D5" s="27">
        <f>COUNTIF(TRACKER!I3:I1275,"Non commencé")</f>
        <v/>
      </c>
      <c r="E5" s="28">
        <f>IFERROR(COUNTIF(TRACKER!I3:I1275,"Non commencé")/1273,0)</f>
        <v/>
      </c>
    </row>
    <row r="6" ht="20" customHeight="1">
      <c r="A6" s="26" t="inlineStr">
        <is>
          <t>In Progress</t>
        </is>
      </c>
      <c r="B6" s="27">
        <f>COUNTIF(TRACKER!G3:G1275,"In Progress")</f>
        <v/>
      </c>
      <c r="C6" s="28">
        <f>IFERROR(COUNTIF(TRACKER!G3:G1275,"In Progress")/1273,0)</f>
        <v/>
      </c>
      <c r="D6" s="27">
        <f>COUNTIF(TRACKER!I3:I1275,"En cours")</f>
        <v/>
      </c>
      <c r="E6" s="28">
        <f>IFERROR(COUNTIF(TRACKER!I3:I1275,"En cours")/1273,0)</f>
        <v/>
      </c>
    </row>
    <row r="7" ht="20" customHeight="1">
      <c r="A7" s="26" t="inlineStr">
        <is>
          <t>Evidence Provided</t>
        </is>
      </c>
      <c r="B7" s="27">
        <f>COUNTIF(TRACKER!G3:G1275,"Evidence Provided")</f>
        <v/>
      </c>
      <c r="C7" s="28">
        <f>IFERROR(COUNTIF(TRACKER!G3:G1275,"Evidence Provided")/1273,0)</f>
        <v/>
      </c>
      <c r="D7" s="27">
        <f>COUNTIF(TRACKER!I3:I1275,"Preuve fournie")</f>
        <v/>
      </c>
      <c r="E7" s="28">
        <f>IFERROR(COUNTIF(TRACKER!I3:I1275,"Preuve fournie")/1273,0)</f>
        <v/>
      </c>
    </row>
    <row r="8" ht="20" customHeight="1">
      <c r="A8" s="26" t="inlineStr">
        <is>
          <t>Under Review</t>
        </is>
      </c>
      <c r="B8" s="27">
        <f>COUNTIF(TRACKER!G3:G1275,"Under Review")</f>
        <v/>
      </c>
      <c r="C8" s="28">
        <f>IFERROR(COUNTIF(TRACKER!G3:G1275,"Under Review")/1273,0)</f>
        <v/>
      </c>
      <c r="D8" s="27">
        <f>COUNTIF(TRACKER!I3:I1275,"En révision")</f>
        <v/>
      </c>
      <c r="E8" s="28">
        <f>IFERROR(COUNTIF(TRACKER!I3:I1275,"En révision")/1273,0)</f>
        <v/>
      </c>
    </row>
    <row r="9" ht="20" customHeight="1">
      <c r="A9" s="26" t="inlineStr">
        <is>
          <t>Passed</t>
        </is>
      </c>
      <c r="B9" s="27">
        <f>COUNTIF(TRACKER!G3:G1275,"Passed")</f>
        <v/>
      </c>
      <c r="C9" s="28">
        <f>IFERROR(COUNTIF(TRACKER!G3:G1275,"Passed")/1273,0)</f>
        <v/>
      </c>
      <c r="D9" s="27">
        <f>COUNTIF(TRACKER!I3:I1275,"Réussi")</f>
        <v/>
      </c>
      <c r="E9" s="28">
        <f>IFERROR(COUNTIF(TRACKER!I3:I1275,"Réussi")/1273,0)</f>
        <v/>
      </c>
    </row>
    <row r="10" ht="20" customHeight="1">
      <c r="A10" s="26" t="inlineStr">
        <is>
          <t>Failed</t>
        </is>
      </c>
      <c r="B10" s="27">
        <f>COUNTIF(TRACKER!G3:G1275,"Failed")</f>
        <v/>
      </c>
      <c r="C10" s="28">
        <f>IFERROR(COUNTIF(TRACKER!G3:G1275,"Failed")/1273,0)</f>
        <v/>
      </c>
      <c r="D10" s="27">
        <f>COUNTIF(TRACKER!I3:I1275,"Échec")</f>
        <v/>
      </c>
      <c r="E10" s="28">
        <f>IFERROR(COUNTIF(TRACKER!I3:I1275,"Échec")/1273,0)</f>
        <v/>
      </c>
    </row>
    <row r="11" ht="20" customHeight="1">
      <c r="A11" s="26" t="inlineStr">
        <is>
          <t>Accepted Exception</t>
        </is>
      </c>
      <c r="B11" s="27">
        <f>COUNTIF(TRACKER!G3:G1275,"Accepted Exception")</f>
        <v/>
      </c>
      <c r="C11" s="28">
        <f>IFERROR(COUNTIF(TRACKER!G3:G1275,"Accepted Exception")/1273,0)</f>
        <v/>
      </c>
      <c r="D11" s="27">
        <f>COUNTIF(TRACKER!I3:I1275,"Exception acceptée")</f>
        <v/>
      </c>
      <c r="E11" s="28">
        <f>IFERROR(COUNTIF(TRACKER!I3:I1275,"Exception acceptée")/1273,0)</f>
        <v/>
      </c>
    </row>
    <row r="13" ht="22" customHeight="1">
      <c r="A13" s="25" t="inlineStr">
        <is>
          <t>By Technology (21 Workbooks)</t>
        </is>
      </c>
      <c r="B13" s="6" t="n"/>
      <c r="C13" s="6" t="n"/>
      <c r="D13" s="6" t="n"/>
      <c r="E13" s="2" t="n"/>
    </row>
    <row r="14" ht="20" customHeight="1">
      <c r="A14" s="26" t="inlineStr">
        <is>
          <t>Analytics</t>
        </is>
      </c>
      <c r="B14" s="27">
        <f>COUNTIF(TRACKER!C3:C1275,"Analytics")</f>
        <v/>
      </c>
      <c r="C14" s="28">
        <f>IFERROR(COUNTIF(TRACKER!C3:C1275,"Analytics")/1273,0)</f>
        <v/>
      </c>
      <c r="D14" s="27">
        <f>COUNTIF(TRACKER!C3:C1275,"Analytics")</f>
        <v/>
      </c>
      <c r="E14" s="28">
        <f>IFERROR(COUNTIF(TRACKER!C3:C1275,"Analytics")/1273,0)</f>
        <v/>
      </c>
    </row>
    <row r="15" ht="20" customHeight="1">
      <c r="A15" s="26" t="inlineStr">
        <is>
          <t>Compute</t>
        </is>
      </c>
      <c r="B15" s="27">
        <f>COUNTIF(TRACKER!C3:C1275,"Compute")</f>
        <v/>
      </c>
      <c r="C15" s="28">
        <f>IFERROR(COUNTIF(TRACKER!C3:C1275,"Compute")/1273,0)</f>
        <v/>
      </c>
      <c r="D15" s="27">
        <f>COUNTIF(TRACKER!C3:C1275,"Compute")</f>
        <v/>
      </c>
      <c r="E15" s="28">
        <f>IFERROR(COUNTIF(TRACKER!C3:C1275,"Compute")/1273,0)</f>
        <v/>
      </c>
    </row>
    <row r="16" ht="20" customHeight="1">
      <c r="A16" s="26" t="inlineStr">
        <is>
          <t>Containers</t>
        </is>
      </c>
      <c r="B16" s="27">
        <f>COUNTIF(TRACKER!C3:C1275,"Containers")</f>
        <v/>
      </c>
      <c r="C16" s="28">
        <f>IFERROR(COUNTIF(TRACKER!C3:C1275,"Containers")/1273,0)</f>
        <v/>
      </c>
      <c r="D16" s="27">
        <f>COUNTIF(TRACKER!C3:C1275,"Containers")</f>
        <v/>
      </c>
      <c r="E16" s="28">
        <f>IFERROR(COUNTIF(TRACKER!C3:C1275,"Containers")/1273,0)</f>
        <v/>
      </c>
    </row>
    <row r="17" ht="20" customHeight="1">
      <c r="A17" s="26" t="inlineStr">
        <is>
          <t>Database</t>
        </is>
      </c>
      <c r="B17" s="27">
        <f>COUNTIF(TRACKER!C3:C1275,"Database")</f>
        <v/>
      </c>
      <c r="C17" s="28">
        <f>IFERROR(COUNTIF(TRACKER!C3:C1275,"Database")/1273,0)</f>
        <v/>
      </c>
      <c r="D17" s="27">
        <f>COUNTIF(TRACKER!C3:C1275,"Database")</f>
        <v/>
      </c>
      <c r="E17" s="28">
        <f>IFERROR(COUNTIF(TRACKER!C3:C1275,"Database")/1273,0)</f>
        <v/>
      </c>
    </row>
    <row r="18" ht="20" customHeight="1">
      <c r="A18" s="26" t="inlineStr">
        <is>
          <t>DevOps</t>
        </is>
      </c>
      <c r="B18" s="27">
        <f>COUNTIF(TRACKER!C3:C1275,"DevOps")</f>
        <v/>
      </c>
      <c r="C18" s="28">
        <f>IFERROR(COUNTIF(TRACKER!C3:C1275,"DevOps")/1273,0)</f>
        <v/>
      </c>
      <c r="D18" s="27">
        <f>COUNTIF(TRACKER!C3:C1275,"DevOps")</f>
        <v/>
      </c>
      <c r="E18" s="28">
        <f>IFERROR(COUNTIF(TRACKER!C3:C1275,"DevOps")/1273,0)</f>
        <v/>
      </c>
    </row>
    <row r="19" ht="20" customHeight="1">
      <c r="A19" s="26" t="inlineStr">
        <is>
          <t>Developer Tools</t>
        </is>
      </c>
      <c r="B19" s="27">
        <f>COUNTIF(TRACKER!C3:C1275,"Developer Tools")</f>
        <v/>
      </c>
      <c r="C19" s="28">
        <f>IFERROR(COUNTIF(TRACKER!C3:C1275,"Developer Tools")/1273,0)</f>
        <v/>
      </c>
      <c r="D19" s="27">
        <f>COUNTIF(TRACKER!C3:C1275,"Developer Tools")</f>
        <v/>
      </c>
      <c r="E19" s="28">
        <f>IFERROR(COUNTIF(TRACKER!C3:C1275,"Developer Tools")/1273,0)</f>
        <v/>
      </c>
    </row>
    <row r="20" ht="20" customHeight="1">
      <c r="A20" s="26" t="inlineStr">
        <is>
          <t>Documentation</t>
        </is>
      </c>
      <c r="B20" s="27">
        <f>COUNTIF(TRACKER!C3:C1275,"Documentation")</f>
        <v/>
      </c>
      <c r="C20" s="28">
        <f>IFERROR(COUNTIF(TRACKER!C3:C1275,"Documentation")/1273,0)</f>
        <v/>
      </c>
      <c r="D20" s="27">
        <f>COUNTIF(TRACKER!C3:C1275,"Documentation")</f>
        <v/>
      </c>
      <c r="E20" s="28">
        <f>IFERROR(COUNTIF(TRACKER!C3:C1275,"Documentation")/1273,0)</f>
        <v/>
      </c>
    </row>
    <row r="21" ht="20" customHeight="1">
      <c r="A21" s="26" t="inlineStr">
        <is>
          <t>Hybrid + Multicloud</t>
        </is>
      </c>
      <c r="B21" s="27">
        <f>COUNTIF(TRACKER!C3:C1275,"Hybrid + Multicloud")</f>
        <v/>
      </c>
      <c r="C21" s="28">
        <f>IFERROR(COUNTIF(TRACKER!C3:C1275,"Hybrid + Multicloud")/1273,0)</f>
        <v/>
      </c>
      <c r="D21" s="27">
        <f>COUNTIF(TRACKER!C3:C1275,"Hybrid + Multicloud")</f>
        <v/>
      </c>
      <c r="E21" s="28">
        <f>IFERROR(COUNTIF(TRACKER!C3:C1275,"Hybrid + Multicloud")/1273,0)</f>
        <v/>
      </c>
    </row>
    <row r="22" ht="20" customHeight="1">
      <c r="A22" s="26" t="inlineStr">
        <is>
          <t>Identity</t>
        </is>
      </c>
      <c r="B22" s="27">
        <f>COUNTIF(TRACKER!C3:C1275,"Identity")</f>
        <v/>
      </c>
      <c r="C22" s="28">
        <f>IFERROR(COUNTIF(TRACKER!C3:C1275,"Identity")/1273,0)</f>
        <v/>
      </c>
      <c r="D22" s="27">
        <f>COUNTIF(TRACKER!C3:C1275,"Identity")</f>
        <v/>
      </c>
      <c r="E22" s="28">
        <f>IFERROR(COUNTIF(TRACKER!C3:C1275,"Identity")/1273,0)</f>
        <v/>
      </c>
    </row>
    <row r="23" ht="20" customHeight="1">
      <c r="A23" s="26" t="inlineStr">
        <is>
          <t>Management and Governance</t>
        </is>
      </c>
      <c r="B23" s="27">
        <f>COUNTIF(TRACKER!C3:C1275,"Management and Governance")</f>
        <v/>
      </c>
      <c r="C23" s="28">
        <f>IFERROR(COUNTIF(TRACKER!C3:C1275,"Management and Governance")/1273,0)</f>
        <v/>
      </c>
      <c r="D23" s="27">
        <f>COUNTIF(TRACKER!C3:C1275,"Management and Governance")</f>
        <v/>
      </c>
      <c r="E23" s="28">
        <f>IFERROR(COUNTIF(TRACKER!C3:C1275,"Management and Governance")/1273,0)</f>
        <v/>
      </c>
    </row>
    <row r="24" ht="20" customHeight="1">
      <c r="A24" s="26" t="inlineStr">
        <is>
          <t>Microsoft-Descoped</t>
        </is>
      </c>
      <c r="B24" s="27">
        <f>COUNTIF(TRACKER!C3:C1275,"Microsoft-Descoped")</f>
        <v/>
      </c>
      <c r="C24" s="28">
        <f>IFERROR(COUNTIF(TRACKER!C3:C1275,"Microsoft-Descoped")/1273,0)</f>
        <v/>
      </c>
      <c r="D24" s="27">
        <f>COUNTIF(TRACKER!C3:C1275,"Microsoft-Descoped")</f>
        <v/>
      </c>
      <c r="E24" s="28">
        <f>IFERROR(COUNTIF(TRACKER!C3:C1275,"Microsoft-Descoped")/1273,0)</f>
        <v/>
      </c>
    </row>
    <row r="25" ht="20" customHeight="1">
      <c r="A25" s="26" t="inlineStr">
        <is>
          <t>Networking</t>
        </is>
      </c>
      <c r="B25" s="27">
        <f>COUNTIF(TRACKER!C3:C1275,"Networking")</f>
        <v/>
      </c>
      <c r="C25" s="28">
        <f>IFERROR(COUNTIF(TRACKER!C3:C1275,"Networking")/1273,0)</f>
        <v/>
      </c>
      <c r="D25" s="27">
        <f>COUNTIF(TRACKER!C3:C1275,"Networking")</f>
        <v/>
      </c>
      <c r="E25" s="28">
        <f>IFERROR(COUNTIF(TRACKER!C3:C1275,"Networking")/1273,0)</f>
        <v/>
      </c>
    </row>
    <row r="26" ht="20" customHeight="1">
      <c r="A26" s="26" t="inlineStr">
        <is>
          <t>Palo Alto Firewalls</t>
        </is>
      </c>
      <c r="B26" s="27">
        <f>COUNTIF(TRACKER!C3:C1275,"Palo Alto Firewalls")</f>
        <v/>
      </c>
      <c r="C26" s="28">
        <f>IFERROR(COUNTIF(TRACKER!C3:C1275,"Palo Alto Firewalls")/1273,0)</f>
        <v/>
      </c>
      <c r="D26" s="27">
        <f>COUNTIF(TRACKER!C3:C1275,"Palo Alto Firewalls")</f>
        <v/>
      </c>
      <c r="E26" s="28">
        <f>IFERROR(COUNTIF(TRACKER!C3:C1275,"Palo Alto Firewalls")/1273,0)</f>
        <v/>
      </c>
    </row>
    <row r="27" ht="20" customHeight="1">
      <c r="A27" s="26" t="inlineStr">
        <is>
          <t>Panorama</t>
        </is>
      </c>
      <c r="B27" s="27">
        <f>COUNTIF(TRACKER!C3:C1275,"Panorama")</f>
        <v/>
      </c>
      <c r="C27" s="28">
        <f>IFERROR(COUNTIF(TRACKER!C3:C1275,"Panorama")/1273,0)</f>
        <v/>
      </c>
      <c r="D27" s="27">
        <f>COUNTIF(TRACKER!C3:C1275,"Panorama")</f>
        <v/>
      </c>
      <c r="E27" s="28">
        <f>IFERROR(COUNTIF(TRACKER!C3:C1275,"Panorama")/1273,0)</f>
        <v/>
      </c>
    </row>
    <row r="28" ht="20" customHeight="1">
      <c r="A28" s="26" t="inlineStr">
        <is>
          <t>Security</t>
        </is>
      </c>
      <c r="B28" s="27">
        <f>COUNTIF(TRACKER!C3:C1275,"Security")</f>
        <v/>
      </c>
      <c r="C28" s="28">
        <f>IFERROR(COUNTIF(TRACKER!C3:C1275,"Security")/1273,0)</f>
        <v/>
      </c>
      <c r="D28" s="27">
        <f>COUNTIF(TRACKER!C3:C1275,"Security")</f>
        <v/>
      </c>
      <c r="E28" s="28">
        <f>IFERROR(COUNTIF(TRACKER!C3:C1275,"Security")/1273,0)</f>
        <v/>
      </c>
    </row>
    <row r="29" ht="20" customHeight="1">
      <c r="A29" s="26" t="inlineStr">
        <is>
          <t>ServiceNow</t>
        </is>
      </c>
      <c r="B29" s="27">
        <f>COUNTIF(TRACKER!C3:C1275,"ServiceNow")</f>
        <v/>
      </c>
      <c r="C29" s="28">
        <f>IFERROR(COUNTIF(TRACKER!C3:C1275,"ServiceNow")/1273,0)</f>
        <v/>
      </c>
      <c r="D29" s="27">
        <f>COUNTIF(TRACKER!C3:C1275,"ServiceNow")</f>
        <v/>
      </c>
      <c r="E29" s="28">
        <f>IFERROR(COUNTIF(TRACKER!C3:C1275,"ServiceNow")/1273,0)</f>
        <v/>
      </c>
    </row>
    <row r="30" ht="20" customHeight="1">
      <c r="A30" s="26" t="inlineStr">
        <is>
          <t>Storage</t>
        </is>
      </c>
      <c r="B30" s="27">
        <f>COUNTIF(TRACKER!C3:C1275,"Storage")</f>
        <v/>
      </c>
      <c r="C30" s="28">
        <f>IFERROR(COUNTIF(TRACKER!C3:C1275,"Storage")/1273,0)</f>
        <v/>
      </c>
      <c r="D30" s="27">
        <f>COUNTIF(TRACKER!C3:C1275,"Storage")</f>
        <v/>
      </c>
      <c r="E30" s="28">
        <f>IFERROR(COUNTIF(TRACKER!C3:C1275,"Storage")/1273,0)</f>
        <v/>
      </c>
    </row>
    <row r="31" ht="20" customHeight="1">
      <c r="A31" s="26" t="inlineStr">
        <is>
          <t>Tenable Nessus</t>
        </is>
      </c>
      <c r="B31" s="27">
        <f>COUNTIF(TRACKER!C3:C1275,"Tenable Nessus")</f>
        <v/>
      </c>
      <c r="C31" s="28">
        <f>IFERROR(COUNTIF(TRACKER!C3:C1275,"Tenable Nessus")/1273,0)</f>
        <v/>
      </c>
      <c r="D31" s="27">
        <f>COUNTIF(TRACKER!C3:C1275,"Tenable Nessus")</f>
        <v/>
      </c>
      <c r="E31" s="28">
        <f>IFERROR(COUNTIF(TRACKER!C3:C1275,"Tenable Nessus")/1273,0)</f>
        <v/>
      </c>
    </row>
    <row r="32" ht="20" customHeight="1">
      <c r="A32" s="26" t="inlineStr">
        <is>
          <t>Tenable Security Centre+</t>
        </is>
      </c>
      <c r="B32" s="27">
        <f>COUNTIF(TRACKER!C3:C1275,"Tenable Security Centre+")</f>
        <v/>
      </c>
      <c r="C32" s="28">
        <f>IFERROR(COUNTIF(TRACKER!C3:C1275,"Tenable Security Centre+")/1273,0)</f>
        <v/>
      </c>
      <c r="D32" s="27">
        <f>COUNTIF(TRACKER!C3:C1275,"Tenable Security Centre+")</f>
        <v/>
      </c>
      <c r="E32" s="28">
        <f>IFERROR(COUNTIF(TRACKER!C3:C1275,"Tenable Security Centre+")/1273,0)</f>
        <v/>
      </c>
    </row>
    <row r="33" ht="20" customHeight="1">
      <c r="A33" s="26" t="inlineStr">
        <is>
          <t>Virtual Desktop Infrastructure</t>
        </is>
      </c>
      <c r="B33" s="27">
        <f>COUNTIF(TRACKER!C3:C1275,"Virtual Desktop Infrastructure")</f>
        <v/>
      </c>
      <c r="C33" s="28">
        <f>IFERROR(COUNTIF(TRACKER!C3:C1275,"Virtual Desktop Infrastructure")/1273,0)</f>
        <v/>
      </c>
      <c r="D33" s="27">
        <f>COUNTIF(TRACKER!C3:C1275,"Virtual Desktop Infrastructure")</f>
        <v/>
      </c>
      <c r="E33" s="28">
        <f>IFERROR(COUNTIF(TRACKER!C3:C1275,"Virtual Desktop Infrastructure")/1273,0)</f>
        <v/>
      </c>
    </row>
    <row r="34" ht="20" customHeight="1">
      <c r="A34" s="26" t="inlineStr">
        <is>
          <t>Web</t>
        </is>
      </c>
      <c r="B34" s="27">
        <f>COUNTIF(TRACKER!C3:C1275,"Web")</f>
        <v/>
      </c>
      <c r="C34" s="28">
        <f>IFERROR(COUNTIF(TRACKER!C3:C1275,"Web")/1273,0)</f>
        <v/>
      </c>
      <c r="D34" s="27">
        <f>COUNTIF(TRACKER!C3:C1275,"Web")</f>
        <v/>
      </c>
      <c r="E34" s="28">
        <f>IFERROR(COUNTIF(TRACKER!C3:C1275,"Web")/1273,0)</f>
        <v/>
      </c>
    </row>
  </sheetData>
  <mergeCells count="3">
    <mergeCell ref="A1:E1"/>
    <mergeCell ref="A13:E13"/>
    <mergeCell ref="A3:E3"/>
  </mergeCells>
  <pageMargins left="0.75" right="0.75" top="1" bottom="1" header="0.5" footer="0.5"/>
</worksheet>
</file>

<file path=xl/worksheets/sheet4.xml><?xml version="1.0" encoding="utf-8"?>
<worksheet xmlns="http://schemas.openxmlformats.org/spreadsheetml/2006/main">
  <sheetPr>
    <tabColor rgb="001F3864"/>
    <outlinePr summaryBelow="1" summaryRight="1"/>
    <pageSetUpPr/>
  </sheetPr>
  <dimension ref="A1:H29"/>
  <sheetViews>
    <sheetView workbookViewId="0">
      <pane ySplit="2" topLeftCell="A3" activePane="bottomLeft" state="frozen"/>
      <selection pane="bottomLeft" activeCell="A1" sqref="A1"/>
    </sheetView>
  </sheetViews>
  <sheetFormatPr baseColWidth="8" defaultRowHeight="15"/>
  <cols>
    <col width="34"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ht="32" customHeight="1">
      <c r="A1" s="1" t="inlineStr">
        <is>
          <t>PBMM Gap Analysis — Executive Dashboard</t>
        </is>
      </c>
      <c r="B1" s="6" t="n"/>
      <c r="C1" s="6" t="n"/>
      <c r="D1" s="6" t="n"/>
      <c r="E1" s="6" t="n"/>
      <c r="F1" s="6" t="n"/>
      <c r="G1" s="6" t="n"/>
      <c r="H1" s="2" t="n"/>
    </row>
    <row r="2" ht="40" customHeight="1">
      <c r="A2" s="8" t="inlineStr">
        <is>
          <t>Technology</t>
        </is>
      </c>
      <c r="B2" s="8" t="inlineStr">
        <is>
          <t>Total</t>
        </is>
      </c>
      <c r="C2" s="8" t="inlineStr">
        <is>
          <t>Passed</t>
        </is>
      </c>
      <c r="D2" s="8" t="inlineStr">
        <is>
          <t>In Progress</t>
        </is>
      </c>
      <c r="E2" s="8" t="inlineStr">
        <is>
          <t>Failed</t>
        </is>
      </c>
      <c r="F2" s="8" t="inlineStr">
        <is>
          <t>Not Started</t>
        </is>
      </c>
      <c r="G2" s="8" t="inlineStr">
        <is>
          <t>% Complete</t>
        </is>
      </c>
      <c r="H2" s="8" t="inlineStr">
        <is>
          <t>RAG</t>
        </is>
      </c>
    </row>
    <row r="3" ht="22" customHeight="1">
      <c r="A3" s="29" t="inlineStr">
        <is>
          <t>Analytics</t>
        </is>
      </c>
      <c r="B3" s="30">
        <f>COUNTIF(TRACKER!$C$3:$C$1275,A3)</f>
        <v/>
      </c>
      <c r="C3" s="30">
        <f>COUNTIFS(TRACKER!$C$3:$C$1275,A3,TRACKER!$G$3:$G$1275,"Passed")+COUNTIFS(TRACKER!$C$3:$C$1275,A3,TRACKER!$G$3:$G$1275,"Accepted Exception")</f>
        <v/>
      </c>
      <c r="D3" s="30">
        <f>COUNTIFS(TRACKER!$C$3:$C$1275,A3,TRACKER!$G$3:$G$1275,"In Progress")+COUNTIFS(TRACKER!$C$3:$C$1275,A3,TRACKER!$G$3:$G$1275,"Evidence Provided")+COUNTIFS(TRACKER!$C$3:$C$1275,A3,TRACKER!$G$3:$G$1275,"Under Review")</f>
        <v/>
      </c>
      <c r="E3" s="30">
        <f>COUNTIFS(TRACKER!$C$3:$C$1275,A3,TRACKER!$G$3:$G$1275,"Failed")</f>
        <v/>
      </c>
      <c r="F3" s="30">
        <f>COUNTIFS(TRACKER!$C$3:$C$1275,A3,TRACKER!$G$3:$G$1275,"Not Started")</f>
        <v/>
      </c>
      <c r="G3" s="31">
        <f>IFERROR(C3/B3,0)</f>
        <v/>
      </c>
      <c r="H3" s="32">
        <f>IF(G3&gt;=0.9,"GREEN",IF(G3&gt;=0.5,"AMBER","RED"))</f>
        <v/>
      </c>
    </row>
    <row r="4" ht="22" customHeight="1">
      <c r="A4" s="33" t="inlineStr">
        <is>
          <t>Compute</t>
        </is>
      </c>
      <c r="B4" s="34">
        <f>COUNTIF(TRACKER!$C$3:$C$1275,A4)</f>
        <v/>
      </c>
      <c r="C4" s="34">
        <f>COUNTIFS(TRACKER!$C$3:$C$1275,A4,TRACKER!$G$3:$G$1275,"Passed")+COUNTIFS(TRACKER!$C$3:$C$1275,A4,TRACKER!$G$3:$G$1275,"Accepted Exception")</f>
        <v/>
      </c>
      <c r="D4" s="34">
        <f>COUNTIFS(TRACKER!$C$3:$C$1275,A4,TRACKER!$G$3:$G$1275,"In Progress")+COUNTIFS(TRACKER!$C$3:$C$1275,A4,TRACKER!$G$3:$G$1275,"Evidence Provided")+COUNTIFS(TRACKER!$C$3:$C$1275,A4,TRACKER!$G$3:$G$1275,"Under Review")</f>
        <v/>
      </c>
      <c r="E4" s="34">
        <f>COUNTIFS(TRACKER!$C$3:$C$1275,A4,TRACKER!$G$3:$G$1275,"Failed")</f>
        <v/>
      </c>
      <c r="F4" s="34">
        <f>COUNTIFS(TRACKER!$C$3:$C$1275,A4,TRACKER!$G$3:$G$1275,"Not Started")</f>
        <v/>
      </c>
      <c r="G4" s="35">
        <f>IFERROR(C4/B4,0)</f>
        <v/>
      </c>
      <c r="H4" s="36">
        <f>IF(G4&gt;=0.9,"GREEN",IF(G4&gt;=0.5,"AMBER","RED"))</f>
        <v/>
      </c>
    </row>
    <row r="5" ht="22" customHeight="1">
      <c r="A5" s="29" t="inlineStr">
        <is>
          <t>Containers</t>
        </is>
      </c>
      <c r="B5" s="30">
        <f>COUNTIF(TRACKER!$C$3:$C$1275,A5)</f>
        <v/>
      </c>
      <c r="C5" s="30">
        <f>COUNTIFS(TRACKER!$C$3:$C$1275,A5,TRACKER!$G$3:$G$1275,"Passed")+COUNTIFS(TRACKER!$C$3:$C$1275,A5,TRACKER!$G$3:$G$1275,"Accepted Exception")</f>
        <v/>
      </c>
      <c r="D5" s="30">
        <f>COUNTIFS(TRACKER!$C$3:$C$1275,A5,TRACKER!$G$3:$G$1275,"In Progress")+COUNTIFS(TRACKER!$C$3:$C$1275,A5,TRACKER!$G$3:$G$1275,"Evidence Provided")+COUNTIFS(TRACKER!$C$3:$C$1275,A5,TRACKER!$G$3:$G$1275,"Under Review")</f>
        <v/>
      </c>
      <c r="E5" s="30">
        <f>COUNTIFS(TRACKER!$C$3:$C$1275,A5,TRACKER!$G$3:$G$1275,"Failed")</f>
        <v/>
      </c>
      <c r="F5" s="30">
        <f>COUNTIFS(TRACKER!$C$3:$C$1275,A5,TRACKER!$G$3:$G$1275,"Not Started")</f>
        <v/>
      </c>
      <c r="G5" s="31">
        <f>IFERROR(C5/B5,0)</f>
        <v/>
      </c>
      <c r="H5" s="32">
        <f>IF(G5&gt;=0.9,"GREEN",IF(G5&gt;=0.5,"AMBER","RED"))</f>
        <v/>
      </c>
    </row>
    <row r="6" ht="22" customHeight="1">
      <c r="A6" s="33" t="inlineStr">
        <is>
          <t>Database</t>
        </is>
      </c>
      <c r="B6" s="34">
        <f>COUNTIF(TRACKER!$C$3:$C$1275,A6)</f>
        <v/>
      </c>
      <c r="C6" s="34">
        <f>COUNTIFS(TRACKER!$C$3:$C$1275,A6,TRACKER!$G$3:$G$1275,"Passed")+COUNTIFS(TRACKER!$C$3:$C$1275,A6,TRACKER!$G$3:$G$1275,"Accepted Exception")</f>
        <v/>
      </c>
      <c r="D6" s="34">
        <f>COUNTIFS(TRACKER!$C$3:$C$1275,A6,TRACKER!$G$3:$G$1275,"In Progress")+COUNTIFS(TRACKER!$C$3:$C$1275,A6,TRACKER!$G$3:$G$1275,"Evidence Provided")+COUNTIFS(TRACKER!$C$3:$C$1275,A6,TRACKER!$G$3:$G$1275,"Under Review")</f>
        <v/>
      </c>
      <c r="E6" s="34">
        <f>COUNTIFS(TRACKER!$C$3:$C$1275,A6,TRACKER!$G$3:$G$1275,"Failed")</f>
        <v/>
      </c>
      <c r="F6" s="34">
        <f>COUNTIFS(TRACKER!$C$3:$C$1275,A6,TRACKER!$G$3:$G$1275,"Not Started")</f>
        <v/>
      </c>
      <c r="G6" s="35">
        <f>IFERROR(C6/B6,0)</f>
        <v/>
      </c>
      <c r="H6" s="36">
        <f>IF(G6&gt;=0.9,"GREEN",IF(G6&gt;=0.5,"AMBER","RED"))</f>
        <v/>
      </c>
    </row>
    <row r="7" ht="22" customHeight="1">
      <c r="A7" s="29" t="inlineStr">
        <is>
          <t>DevOps</t>
        </is>
      </c>
      <c r="B7" s="30">
        <f>COUNTIF(TRACKER!$C$3:$C$1275,A7)</f>
        <v/>
      </c>
      <c r="C7" s="30">
        <f>COUNTIFS(TRACKER!$C$3:$C$1275,A7,TRACKER!$G$3:$G$1275,"Passed")+COUNTIFS(TRACKER!$C$3:$C$1275,A7,TRACKER!$G$3:$G$1275,"Accepted Exception")</f>
        <v/>
      </c>
      <c r="D7" s="30">
        <f>COUNTIFS(TRACKER!$C$3:$C$1275,A7,TRACKER!$G$3:$G$1275,"In Progress")+COUNTIFS(TRACKER!$C$3:$C$1275,A7,TRACKER!$G$3:$G$1275,"Evidence Provided")+COUNTIFS(TRACKER!$C$3:$C$1275,A7,TRACKER!$G$3:$G$1275,"Under Review")</f>
        <v/>
      </c>
      <c r="E7" s="30">
        <f>COUNTIFS(TRACKER!$C$3:$C$1275,A7,TRACKER!$G$3:$G$1275,"Failed")</f>
        <v/>
      </c>
      <c r="F7" s="30">
        <f>COUNTIFS(TRACKER!$C$3:$C$1275,A7,TRACKER!$G$3:$G$1275,"Not Started")</f>
        <v/>
      </c>
      <c r="G7" s="31">
        <f>IFERROR(C7/B7,0)</f>
        <v/>
      </c>
      <c r="H7" s="32">
        <f>IF(G7&gt;=0.9,"GREEN",IF(G7&gt;=0.5,"AMBER","RED"))</f>
        <v/>
      </c>
    </row>
    <row r="8" ht="22" customHeight="1">
      <c r="A8" s="33" t="inlineStr">
        <is>
          <t>Developer Tools</t>
        </is>
      </c>
      <c r="B8" s="34">
        <f>COUNTIF(TRACKER!$C$3:$C$1275,A8)</f>
        <v/>
      </c>
      <c r="C8" s="34">
        <f>COUNTIFS(TRACKER!$C$3:$C$1275,A8,TRACKER!$G$3:$G$1275,"Passed")+COUNTIFS(TRACKER!$C$3:$C$1275,A8,TRACKER!$G$3:$G$1275,"Accepted Exception")</f>
        <v/>
      </c>
      <c r="D8" s="34">
        <f>COUNTIFS(TRACKER!$C$3:$C$1275,A8,TRACKER!$G$3:$G$1275,"In Progress")+COUNTIFS(TRACKER!$C$3:$C$1275,A8,TRACKER!$G$3:$G$1275,"Evidence Provided")+COUNTIFS(TRACKER!$C$3:$C$1275,A8,TRACKER!$G$3:$G$1275,"Under Review")</f>
        <v/>
      </c>
      <c r="E8" s="34">
        <f>COUNTIFS(TRACKER!$C$3:$C$1275,A8,TRACKER!$G$3:$G$1275,"Failed")</f>
        <v/>
      </c>
      <c r="F8" s="34">
        <f>COUNTIFS(TRACKER!$C$3:$C$1275,A8,TRACKER!$G$3:$G$1275,"Not Started")</f>
        <v/>
      </c>
      <c r="G8" s="35">
        <f>IFERROR(C8/B8,0)</f>
        <v/>
      </c>
      <c r="H8" s="36">
        <f>IF(G8&gt;=0.9,"GREEN",IF(G8&gt;=0.5,"AMBER","RED"))</f>
        <v/>
      </c>
    </row>
    <row r="9" ht="22" customHeight="1">
      <c r="A9" s="29" t="inlineStr">
        <is>
          <t>Documentation</t>
        </is>
      </c>
      <c r="B9" s="30">
        <f>COUNTIF(TRACKER!$C$3:$C$1275,A9)</f>
        <v/>
      </c>
      <c r="C9" s="30">
        <f>COUNTIFS(TRACKER!$C$3:$C$1275,A9,TRACKER!$G$3:$G$1275,"Passed")+COUNTIFS(TRACKER!$C$3:$C$1275,A9,TRACKER!$G$3:$G$1275,"Accepted Exception")</f>
        <v/>
      </c>
      <c r="D9" s="30">
        <f>COUNTIFS(TRACKER!$C$3:$C$1275,A9,TRACKER!$G$3:$G$1275,"In Progress")+COUNTIFS(TRACKER!$C$3:$C$1275,A9,TRACKER!$G$3:$G$1275,"Evidence Provided")+COUNTIFS(TRACKER!$C$3:$C$1275,A9,TRACKER!$G$3:$G$1275,"Under Review")</f>
        <v/>
      </c>
      <c r="E9" s="30">
        <f>COUNTIFS(TRACKER!$C$3:$C$1275,A9,TRACKER!$G$3:$G$1275,"Failed")</f>
        <v/>
      </c>
      <c r="F9" s="30">
        <f>COUNTIFS(TRACKER!$C$3:$C$1275,A9,TRACKER!$G$3:$G$1275,"Not Started")</f>
        <v/>
      </c>
      <c r="G9" s="31">
        <f>IFERROR(C9/B9,0)</f>
        <v/>
      </c>
      <c r="H9" s="32">
        <f>IF(G9&gt;=0.9,"GREEN",IF(G9&gt;=0.5,"AMBER","RED"))</f>
        <v/>
      </c>
    </row>
    <row r="10" ht="22" customHeight="1">
      <c r="A10" s="33" t="inlineStr">
        <is>
          <t>Hybrid + Multicloud</t>
        </is>
      </c>
      <c r="B10" s="34">
        <f>COUNTIF(TRACKER!$C$3:$C$1275,A10)</f>
        <v/>
      </c>
      <c r="C10" s="34">
        <f>COUNTIFS(TRACKER!$C$3:$C$1275,A10,TRACKER!$G$3:$G$1275,"Passed")+COUNTIFS(TRACKER!$C$3:$C$1275,A10,TRACKER!$G$3:$G$1275,"Accepted Exception")</f>
        <v/>
      </c>
      <c r="D10" s="34">
        <f>COUNTIFS(TRACKER!$C$3:$C$1275,A10,TRACKER!$G$3:$G$1275,"In Progress")+COUNTIFS(TRACKER!$C$3:$C$1275,A10,TRACKER!$G$3:$G$1275,"Evidence Provided")+COUNTIFS(TRACKER!$C$3:$C$1275,A10,TRACKER!$G$3:$G$1275,"Under Review")</f>
        <v/>
      </c>
      <c r="E10" s="34">
        <f>COUNTIFS(TRACKER!$C$3:$C$1275,A10,TRACKER!$G$3:$G$1275,"Failed")</f>
        <v/>
      </c>
      <c r="F10" s="34">
        <f>COUNTIFS(TRACKER!$C$3:$C$1275,A10,TRACKER!$G$3:$G$1275,"Not Started")</f>
        <v/>
      </c>
      <c r="G10" s="35">
        <f>IFERROR(C10/B10,0)</f>
        <v/>
      </c>
      <c r="H10" s="36">
        <f>IF(G10&gt;=0.9,"GREEN",IF(G10&gt;=0.5,"AMBER","RED"))</f>
        <v/>
      </c>
    </row>
    <row r="11" ht="22" customHeight="1">
      <c r="A11" s="29" t="inlineStr">
        <is>
          <t>Identity</t>
        </is>
      </c>
      <c r="B11" s="30">
        <f>COUNTIF(TRACKER!$C$3:$C$1275,A11)</f>
        <v/>
      </c>
      <c r="C11" s="30">
        <f>COUNTIFS(TRACKER!$C$3:$C$1275,A11,TRACKER!$G$3:$G$1275,"Passed")+COUNTIFS(TRACKER!$C$3:$C$1275,A11,TRACKER!$G$3:$G$1275,"Accepted Exception")</f>
        <v/>
      </c>
      <c r="D11" s="30">
        <f>COUNTIFS(TRACKER!$C$3:$C$1275,A11,TRACKER!$G$3:$G$1275,"In Progress")+COUNTIFS(TRACKER!$C$3:$C$1275,A11,TRACKER!$G$3:$G$1275,"Evidence Provided")+COUNTIFS(TRACKER!$C$3:$C$1275,A11,TRACKER!$G$3:$G$1275,"Under Review")</f>
        <v/>
      </c>
      <c r="E11" s="30">
        <f>COUNTIFS(TRACKER!$C$3:$C$1275,A11,TRACKER!$G$3:$G$1275,"Failed")</f>
        <v/>
      </c>
      <c r="F11" s="30">
        <f>COUNTIFS(TRACKER!$C$3:$C$1275,A11,TRACKER!$G$3:$G$1275,"Not Started")</f>
        <v/>
      </c>
      <c r="G11" s="31">
        <f>IFERROR(C11/B11,0)</f>
        <v/>
      </c>
      <c r="H11" s="32">
        <f>IF(G11&gt;=0.9,"GREEN",IF(G11&gt;=0.5,"AMBER","RED"))</f>
        <v/>
      </c>
    </row>
    <row r="12" ht="22" customHeight="1">
      <c r="A12" s="33" t="inlineStr">
        <is>
          <t>Management and Governance</t>
        </is>
      </c>
      <c r="B12" s="34">
        <f>COUNTIF(TRACKER!$C$3:$C$1275,A12)</f>
        <v/>
      </c>
      <c r="C12" s="34">
        <f>COUNTIFS(TRACKER!$C$3:$C$1275,A12,TRACKER!$G$3:$G$1275,"Passed")+COUNTIFS(TRACKER!$C$3:$C$1275,A12,TRACKER!$G$3:$G$1275,"Accepted Exception")</f>
        <v/>
      </c>
      <c r="D12" s="34">
        <f>COUNTIFS(TRACKER!$C$3:$C$1275,A12,TRACKER!$G$3:$G$1275,"In Progress")+COUNTIFS(TRACKER!$C$3:$C$1275,A12,TRACKER!$G$3:$G$1275,"Evidence Provided")+COUNTIFS(TRACKER!$C$3:$C$1275,A12,TRACKER!$G$3:$G$1275,"Under Review")</f>
        <v/>
      </c>
      <c r="E12" s="34">
        <f>COUNTIFS(TRACKER!$C$3:$C$1275,A12,TRACKER!$G$3:$G$1275,"Failed")</f>
        <v/>
      </c>
      <c r="F12" s="34">
        <f>COUNTIFS(TRACKER!$C$3:$C$1275,A12,TRACKER!$G$3:$G$1275,"Not Started")</f>
        <v/>
      </c>
      <c r="G12" s="35">
        <f>IFERROR(C12/B12,0)</f>
        <v/>
      </c>
      <c r="H12" s="36">
        <f>IF(G12&gt;=0.9,"GREEN",IF(G12&gt;=0.5,"AMBER","RED"))</f>
        <v/>
      </c>
    </row>
    <row r="13" ht="22" customHeight="1">
      <c r="A13" s="29" t="inlineStr">
        <is>
          <t>Microsoft-Descoped</t>
        </is>
      </c>
      <c r="B13" s="30">
        <f>COUNTIF(TRACKER!$C$3:$C$1275,A13)</f>
        <v/>
      </c>
      <c r="C13" s="30">
        <f>COUNTIFS(TRACKER!$C$3:$C$1275,A13,TRACKER!$G$3:$G$1275,"Passed")+COUNTIFS(TRACKER!$C$3:$C$1275,A13,TRACKER!$G$3:$G$1275,"Accepted Exception")</f>
        <v/>
      </c>
      <c r="D13" s="30">
        <f>COUNTIFS(TRACKER!$C$3:$C$1275,A13,TRACKER!$G$3:$G$1275,"In Progress")+COUNTIFS(TRACKER!$C$3:$C$1275,A13,TRACKER!$G$3:$G$1275,"Evidence Provided")+COUNTIFS(TRACKER!$C$3:$C$1275,A13,TRACKER!$G$3:$G$1275,"Under Review")</f>
        <v/>
      </c>
      <c r="E13" s="30">
        <f>COUNTIFS(TRACKER!$C$3:$C$1275,A13,TRACKER!$G$3:$G$1275,"Failed")</f>
        <v/>
      </c>
      <c r="F13" s="30">
        <f>COUNTIFS(TRACKER!$C$3:$C$1275,A13,TRACKER!$G$3:$G$1275,"Not Started")</f>
        <v/>
      </c>
      <c r="G13" s="31">
        <f>IFERROR(C13/B13,0)</f>
        <v/>
      </c>
      <c r="H13" s="32">
        <f>IF(G13&gt;=0.9,"GREEN",IF(G13&gt;=0.5,"AMBER","RED"))</f>
        <v/>
      </c>
    </row>
    <row r="14" ht="22" customHeight="1">
      <c r="A14" s="33" t="inlineStr">
        <is>
          <t>Networking</t>
        </is>
      </c>
      <c r="B14" s="34">
        <f>COUNTIF(TRACKER!$C$3:$C$1275,A14)</f>
        <v/>
      </c>
      <c r="C14" s="34">
        <f>COUNTIFS(TRACKER!$C$3:$C$1275,A14,TRACKER!$G$3:$G$1275,"Passed")+COUNTIFS(TRACKER!$C$3:$C$1275,A14,TRACKER!$G$3:$G$1275,"Accepted Exception")</f>
        <v/>
      </c>
      <c r="D14" s="34">
        <f>COUNTIFS(TRACKER!$C$3:$C$1275,A14,TRACKER!$G$3:$G$1275,"In Progress")+COUNTIFS(TRACKER!$C$3:$C$1275,A14,TRACKER!$G$3:$G$1275,"Evidence Provided")+COUNTIFS(TRACKER!$C$3:$C$1275,A14,TRACKER!$G$3:$G$1275,"Under Review")</f>
        <v/>
      </c>
      <c r="E14" s="34">
        <f>COUNTIFS(TRACKER!$C$3:$C$1275,A14,TRACKER!$G$3:$G$1275,"Failed")</f>
        <v/>
      </c>
      <c r="F14" s="34">
        <f>COUNTIFS(TRACKER!$C$3:$C$1275,A14,TRACKER!$G$3:$G$1275,"Not Started")</f>
        <v/>
      </c>
      <c r="G14" s="35">
        <f>IFERROR(C14/B14,0)</f>
        <v/>
      </c>
      <c r="H14" s="36">
        <f>IF(G14&gt;=0.9,"GREEN",IF(G14&gt;=0.5,"AMBER","RED"))</f>
        <v/>
      </c>
    </row>
    <row r="15" ht="22" customHeight="1">
      <c r="A15" s="29" t="inlineStr">
        <is>
          <t>Palo Alto Firewalls</t>
        </is>
      </c>
      <c r="B15" s="30">
        <f>COUNTIF(TRACKER!$C$3:$C$1275,A15)</f>
        <v/>
      </c>
      <c r="C15" s="30">
        <f>COUNTIFS(TRACKER!$C$3:$C$1275,A15,TRACKER!$G$3:$G$1275,"Passed")+COUNTIFS(TRACKER!$C$3:$C$1275,A15,TRACKER!$G$3:$G$1275,"Accepted Exception")</f>
        <v/>
      </c>
      <c r="D15" s="30">
        <f>COUNTIFS(TRACKER!$C$3:$C$1275,A15,TRACKER!$G$3:$G$1275,"In Progress")+COUNTIFS(TRACKER!$C$3:$C$1275,A15,TRACKER!$G$3:$G$1275,"Evidence Provided")+COUNTIFS(TRACKER!$C$3:$C$1275,A15,TRACKER!$G$3:$G$1275,"Under Review")</f>
        <v/>
      </c>
      <c r="E15" s="30">
        <f>COUNTIFS(TRACKER!$C$3:$C$1275,A15,TRACKER!$G$3:$G$1275,"Failed")</f>
        <v/>
      </c>
      <c r="F15" s="30">
        <f>COUNTIFS(TRACKER!$C$3:$C$1275,A15,TRACKER!$G$3:$G$1275,"Not Started")</f>
        <v/>
      </c>
      <c r="G15" s="31">
        <f>IFERROR(C15/B15,0)</f>
        <v/>
      </c>
      <c r="H15" s="32">
        <f>IF(G15&gt;=0.9,"GREEN",IF(G15&gt;=0.5,"AMBER","RED"))</f>
        <v/>
      </c>
    </row>
    <row r="16" ht="22" customHeight="1">
      <c r="A16" s="33" t="inlineStr">
        <is>
          <t>Panorama</t>
        </is>
      </c>
      <c r="B16" s="34">
        <f>COUNTIF(TRACKER!$C$3:$C$1275,A16)</f>
        <v/>
      </c>
      <c r="C16" s="34">
        <f>COUNTIFS(TRACKER!$C$3:$C$1275,A16,TRACKER!$G$3:$G$1275,"Passed")+COUNTIFS(TRACKER!$C$3:$C$1275,A16,TRACKER!$G$3:$G$1275,"Accepted Exception")</f>
        <v/>
      </c>
      <c r="D16" s="34">
        <f>COUNTIFS(TRACKER!$C$3:$C$1275,A16,TRACKER!$G$3:$G$1275,"In Progress")+COUNTIFS(TRACKER!$C$3:$C$1275,A16,TRACKER!$G$3:$G$1275,"Evidence Provided")+COUNTIFS(TRACKER!$C$3:$C$1275,A16,TRACKER!$G$3:$G$1275,"Under Review")</f>
        <v/>
      </c>
      <c r="E16" s="34">
        <f>COUNTIFS(TRACKER!$C$3:$C$1275,A16,TRACKER!$G$3:$G$1275,"Failed")</f>
        <v/>
      </c>
      <c r="F16" s="34">
        <f>COUNTIFS(TRACKER!$C$3:$C$1275,A16,TRACKER!$G$3:$G$1275,"Not Started")</f>
        <v/>
      </c>
      <c r="G16" s="35">
        <f>IFERROR(C16/B16,0)</f>
        <v/>
      </c>
      <c r="H16" s="36">
        <f>IF(G16&gt;=0.9,"GREEN",IF(G16&gt;=0.5,"AMBER","RED"))</f>
        <v/>
      </c>
    </row>
    <row r="17" ht="22" customHeight="1">
      <c r="A17" s="29" t="inlineStr">
        <is>
          <t>Security</t>
        </is>
      </c>
      <c r="B17" s="30">
        <f>COUNTIF(TRACKER!$C$3:$C$1275,A17)</f>
        <v/>
      </c>
      <c r="C17" s="30">
        <f>COUNTIFS(TRACKER!$C$3:$C$1275,A17,TRACKER!$G$3:$G$1275,"Passed")+COUNTIFS(TRACKER!$C$3:$C$1275,A17,TRACKER!$G$3:$G$1275,"Accepted Exception")</f>
        <v/>
      </c>
      <c r="D17" s="30">
        <f>COUNTIFS(TRACKER!$C$3:$C$1275,A17,TRACKER!$G$3:$G$1275,"In Progress")+COUNTIFS(TRACKER!$C$3:$C$1275,A17,TRACKER!$G$3:$G$1275,"Evidence Provided")+COUNTIFS(TRACKER!$C$3:$C$1275,A17,TRACKER!$G$3:$G$1275,"Under Review")</f>
        <v/>
      </c>
      <c r="E17" s="30">
        <f>COUNTIFS(TRACKER!$C$3:$C$1275,A17,TRACKER!$G$3:$G$1275,"Failed")</f>
        <v/>
      </c>
      <c r="F17" s="30">
        <f>COUNTIFS(TRACKER!$C$3:$C$1275,A17,TRACKER!$G$3:$G$1275,"Not Started")</f>
        <v/>
      </c>
      <c r="G17" s="31">
        <f>IFERROR(C17/B17,0)</f>
        <v/>
      </c>
      <c r="H17" s="32">
        <f>IF(G17&gt;=0.9,"GREEN",IF(G17&gt;=0.5,"AMBER","RED"))</f>
        <v/>
      </c>
    </row>
    <row r="18" ht="22" customHeight="1">
      <c r="A18" s="33" t="inlineStr">
        <is>
          <t>ServiceNow</t>
        </is>
      </c>
      <c r="B18" s="34">
        <f>COUNTIF(TRACKER!$C$3:$C$1275,A18)</f>
        <v/>
      </c>
      <c r="C18" s="34">
        <f>COUNTIFS(TRACKER!$C$3:$C$1275,A18,TRACKER!$G$3:$G$1275,"Passed")+COUNTIFS(TRACKER!$C$3:$C$1275,A18,TRACKER!$G$3:$G$1275,"Accepted Exception")</f>
        <v/>
      </c>
      <c r="D18" s="34">
        <f>COUNTIFS(TRACKER!$C$3:$C$1275,A18,TRACKER!$G$3:$G$1275,"In Progress")+COUNTIFS(TRACKER!$C$3:$C$1275,A18,TRACKER!$G$3:$G$1275,"Evidence Provided")+COUNTIFS(TRACKER!$C$3:$C$1275,A18,TRACKER!$G$3:$G$1275,"Under Review")</f>
        <v/>
      </c>
      <c r="E18" s="34">
        <f>COUNTIFS(TRACKER!$C$3:$C$1275,A18,TRACKER!$G$3:$G$1275,"Failed")</f>
        <v/>
      </c>
      <c r="F18" s="34">
        <f>COUNTIFS(TRACKER!$C$3:$C$1275,A18,TRACKER!$G$3:$G$1275,"Not Started")</f>
        <v/>
      </c>
      <c r="G18" s="35">
        <f>IFERROR(C18/B18,0)</f>
        <v/>
      </c>
      <c r="H18" s="36">
        <f>IF(G18&gt;=0.9,"GREEN",IF(G18&gt;=0.5,"AMBER","RED"))</f>
        <v/>
      </c>
    </row>
    <row r="19" ht="22" customHeight="1">
      <c r="A19" s="29" t="inlineStr">
        <is>
          <t>Storage</t>
        </is>
      </c>
      <c r="B19" s="30">
        <f>COUNTIF(TRACKER!$C$3:$C$1275,A19)</f>
        <v/>
      </c>
      <c r="C19" s="30">
        <f>COUNTIFS(TRACKER!$C$3:$C$1275,A19,TRACKER!$G$3:$G$1275,"Passed")+COUNTIFS(TRACKER!$C$3:$C$1275,A19,TRACKER!$G$3:$G$1275,"Accepted Exception")</f>
        <v/>
      </c>
      <c r="D19" s="30">
        <f>COUNTIFS(TRACKER!$C$3:$C$1275,A19,TRACKER!$G$3:$G$1275,"In Progress")+COUNTIFS(TRACKER!$C$3:$C$1275,A19,TRACKER!$G$3:$G$1275,"Evidence Provided")+COUNTIFS(TRACKER!$C$3:$C$1275,A19,TRACKER!$G$3:$G$1275,"Under Review")</f>
        <v/>
      </c>
      <c r="E19" s="30">
        <f>COUNTIFS(TRACKER!$C$3:$C$1275,A19,TRACKER!$G$3:$G$1275,"Failed")</f>
        <v/>
      </c>
      <c r="F19" s="30">
        <f>COUNTIFS(TRACKER!$C$3:$C$1275,A19,TRACKER!$G$3:$G$1275,"Not Started")</f>
        <v/>
      </c>
      <c r="G19" s="31">
        <f>IFERROR(C19/B19,0)</f>
        <v/>
      </c>
      <c r="H19" s="32">
        <f>IF(G19&gt;=0.9,"GREEN",IF(G19&gt;=0.5,"AMBER","RED"))</f>
        <v/>
      </c>
    </row>
    <row r="20" ht="22" customHeight="1">
      <c r="A20" s="33" t="inlineStr">
        <is>
          <t>Tenable Nessus</t>
        </is>
      </c>
      <c r="B20" s="34">
        <f>COUNTIF(TRACKER!$C$3:$C$1275,A20)</f>
        <v/>
      </c>
      <c r="C20" s="34">
        <f>COUNTIFS(TRACKER!$C$3:$C$1275,A20,TRACKER!$G$3:$G$1275,"Passed")+COUNTIFS(TRACKER!$C$3:$C$1275,A20,TRACKER!$G$3:$G$1275,"Accepted Exception")</f>
        <v/>
      </c>
      <c r="D20" s="34">
        <f>COUNTIFS(TRACKER!$C$3:$C$1275,A20,TRACKER!$G$3:$G$1275,"In Progress")+COUNTIFS(TRACKER!$C$3:$C$1275,A20,TRACKER!$G$3:$G$1275,"Evidence Provided")+COUNTIFS(TRACKER!$C$3:$C$1275,A20,TRACKER!$G$3:$G$1275,"Under Review")</f>
        <v/>
      </c>
      <c r="E20" s="34">
        <f>COUNTIFS(TRACKER!$C$3:$C$1275,A20,TRACKER!$G$3:$G$1275,"Failed")</f>
        <v/>
      </c>
      <c r="F20" s="34">
        <f>COUNTIFS(TRACKER!$C$3:$C$1275,A20,TRACKER!$G$3:$G$1275,"Not Started")</f>
        <v/>
      </c>
      <c r="G20" s="35">
        <f>IFERROR(C20/B20,0)</f>
        <v/>
      </c>
      <c r="H20" s="36">
        <f>IF(G20&gt;=0.9,"GREEN",IF(G20&gt;=0.5,"AMBER","RED"))</f>
        <v/>
      </c>
    </row>
    <row r="21" ht="22" customHeight="1">
      <c r="A21" s="29" t="inlineStr">
        <is>
          <t>Tenable Security Centre+</t>
        </is>
      </c>
      <c r="B21" s="30">
        <f>COUNTIF(TRACKER!$C$3:$C$1275,A21)</f>
        <v/>
      </c>
      <c r="C21" s="30">
        <f>COUNTIFS(TRACKER!$C$3:$C$1275,A21,TRACKER!$G$3:$G$1275,"Passed")+COUNTIFS(TRACKER!$C$3:$C$1275,A21,TRACKER!$G$3:$G$1275,"Accepted Exception")</f>
        <v/>
      </c>
      <c r="D21" s="30">
        <f>COUNTIFS(TRACKER!$C$3:$C$1275,A21,TRACKER!$G$3:$G$1275,"In Progress")+COUNTIFS(TRACKER!$C$3:$C$1275,A21,TRACKER!$G$3:$G$1275,"Evidence Provided")+COUNTIFS(TRACKER!$C$3:$C$1275,A21,TRACKER!$G$3:$G$1275,"Under Review")</f>
        <v/>
      </c>
      <c r="E21" s="30">
        <f>COUNTIFS(TRACKER!$C$3:$C$1275,A21,TRACKER!$G$3:$G$1275,"Failed")</f>
        <v/>
      </c>
      <c r="F21" s="30">
        <f>COUNTIFS(TRACKER!$C$3:$C$1275,A21,TRACKER!$G$3:$G$1275,"Not Started")</f>
        <v/>
      </c>
      <c r="G21" s="31">
        <f>IFERROR(C21/B21,0)</f>
        <v/>
      </c>
      <c r="H21" s="32">
        <f>IF(G21&gt;=0.9,"GREEN",IF(G21&gt;=0.5,"AMBER","RED"))</f>
        <v/>
      </c>
    </row>
    <row r="22" ht="22" customHeight="1">
      <c r="A22" s="33" t="inlineStr">
        <is>
          <t>Virtual Desktop Infrastructure</t>
        </is>
      </c>
      <c r="B22" s="34">
        <f>COUNTIF(TRACKER!$C$3:$C$1275,A22)</f>
        <v/>
      </c>
      <c r="C22" s="34">
        <f>COUNTIFS(TRACKER!$C$3:$C$1275,A22,TRACKER!$G$3:$G$1275,"Passed")+COUNTIFS(TRACKER!$C$3:$C$1275,A22,TRACKER!$G$3:$G$1275,"Accepted Exception")</f>
        <v/>
      </c>
      <c r="D22" s="34">
        <f>COUNTIFS(TRACKER!$C$3:$C$1275,A22,TRACKER!$G$3:$G$1275,"In Progress")+COUNTIFS(TRACKER!$C$3:$C$1275,A22,TRACKER!$G$3:$G$1275,"Evidence Provided")+COUNTIFS(TRACKER!$C$3:$C$1275,A22,TRACKER!$G$3:$G$1275,"Under Review")</f>
        <v/>
      </c>
      <c r="E22" s="34">
        <f>COUNTIFS(TRACKER!$C$3:$C$1275,A22,TRACKER!$G$3:$G$1275,"Failed")</f>
        <v/>
      </c>
      <c r="F22" s="34">
        <f>COUNTIFS(TRACKER!$C$3:$C$1275,A22,TRACKER!$G$3:$G$1275,"Not Started")</f>
        <v/>
      </c>
      <c r="G22" s="35">
        <f>IFERROR(C22/B22,0)</f>
        <v/>
      </c>
      <c r="H22" s="36">
        <f>IF(G22&gt;=0.9,"GREEN",IF(G22&gt;=0.5,"AMBER","RED"))</f>
        <v/>
      </c>
    </row>
    <row r="23" ht="22" customHeight="1">
      <c r="A23" s="29" t="inlineStr">
        <is>
          <t>Web</t>
        </is>
      </c>
      <c r="B23" s="30">
        <f>COUNTIF(TRACKER!$C$3:$C$1275,A23)</f>
        <v/>
      </c>
      <c r="C23" s="30">
        <f>COUNTIFS(TRACKER!$C$3:$C$1275,A23,TRACKER!$G$3:$G$1275,"Passed")+COUNTIFS(TRACKER!$C$3:$C$1275,A23,TRACKER!$G$3:$G$1275,"Accepted Exception")</f>
        <v/>
      </c>
      <c r="D23" s="30">
        <f>COUNTIFS(TRACKER!$C$3:$C$1275,A23,TRACKER!$G$3:$G$1275,"In Progress")+COUNTIFS(TRACKER!$C$3:$C$1275,A23,TRACKER!$G$3:$G$1275,"Evidence Provided")+COUNTIFS(TRACKER!$C$3:$C$1275,A23,TRACKER!$G$3:$G$1275,"Under Review")</f>
        <v/>
      </c>
      <c r="E23" s="30">
        <f>COUNTIFS(TRACKER!$C$3:$C$1275,A23,TRACKER!$G$3:$G$1275,"Failed")</f>
        <v/>
      </c>
      <c r="F23" s="30">
        <f>COUNTIFS(TRACKER!$C$3:$C$1275,A23,TRACKER!$G$3:$G$1275,"Not Started")</f>
        <v/>
      </c>
      <c r="G23" s="31">
        <f>IFERROR(C23/B23,0)</f>
        <v/>
      </c>
      <c r="H23" s="32">
        <f>IF(G23&gt;=0.9,"GREEN",IF(G23&gt;=0.5,"AMBER","RED"))</f>
        <v/>
      </c>
    </row>
    <row r="25" ht="24" customHeight="1">
      <c r="A25" s="37" t="inlineStr">
        <is>
          <t>TOTALS</t>
        </is>
      </c>
      <c r="B25" s="38" t="inlineStr"/>
      <c r="C25" s="38" t="inlineStr"/>
      <c r="D25" s="38" t="inlineStr"/>
      <c r="E25" s="38" t="inlineStr"/>
      <c r="F25" s="38" t="inlineStr"/>
      <c r="G25" s="38" t="inlineStr"/>
      <c r="H25" s="38" t="inlineStr"/>
    </row>
    <row r="26">
      <c r="A26" s="39" t="inlineStr">
        <is>
          <t>Total Control Entries</t>
        </is>
      </c>
      <c r="B26" s="40">
        <f>SUM(B3:B23)</f>
        <v/>
      </c>
      <c r="C26" s="40">
        <f>SUM(C3:C23)</f>
        <v/>
      </c>
      <c r="D26" s="40">
        <f>SUM(D3:D23)</f>
        <v/>
      </c>
      <c r="E26" s="40">
        <f>SUM(E3:E23)</f>
        <v/>
      </c>
      <c r="F26" s="40">
        <f>SUM(F3:F23)</f>
        <v/>
      </c>
      <c r="G26" s="41">
        <f>IFERROR(C26/B26,0)</f>
        <v/>
      </c>
    </row>
    <row r="27">
      <c r="A27" s="39" t="inlineStr">
        <is>
          <t>Technologies at RED (&lt; 50%)</t>
        </is>
      </c>
      <c r="B27" s="42">
        <f>COUNTIF(H3:H23,"RED")</f>
        <v/>
      </c>
    </row>
    <row r="28">
      <c r="A28" s="39" t="inlineStr">
        <is>
          <t>Technologies at AMBER (50-89%)</t>
        </is>
      </c>
      <c r="B28" s="43">
        <f>COUNTIF(H3:H23,"AMBER")</f>
        <v/>
      </c>
    </row>
    <row r="29">
      <c r="A29" s="39" t="inlineStr">
        <is>
          <t>Technologies at GREEN (90%+)</t>
        </is>
      </c>
      <c r="B29" s="44">
        <f>COUNTIF(H3:H23,"GREEN")</f>
        <v/>
      </c>
    </row>
  </sheetData>
  <mergeCells count="1">
    <mergeCell ref="A1:H1"/>
  </mergeCells>
  <conditionalFormatting sqref="H3:H23">
    <cfRule type="expression" priority="1" dxfId="3">
      <formula>H3="GREEN"</formula>
    </cfRule>
    <cfRule type="expression" priority="2" dxfId="4">
      <formula>H3="AMBER"</formula>
    </cfRule>
    <cfRule type="expression" priority="3" dxfId="5">
      <formula>H3="RED"</formula>
    </cfRule>
  </conditionalFormatting>
  <conditionalFormatting sqref="G3:G23">
    <cfRule type="colorScale" priority="4">
      <colorScale>
        <cfvo type="num" val="0"/>
        <cfvo type="num" val="0.5"/>
        <cfvo type="num" val="1"/>
        <color rgb="00F4CCCC"/>
        <color rgb="00FFE599"/>
        <color rgb="00B6D7A8"/>
      </colorScale>
    </cfRule>
  </conditionalFormatting>
  <pageMargins left="0.75" right="0.75" top="1" bottom="1" header="0.5" footer="0.5"/>
</worksheet>
</file>

<file path=xl/worksheets/sheet5.xml><?xml version="1.0" encoding="utf-8"?>
<worksheet xmlns="http://schemas.openxmlformats.org/spreadsheetml/2006/main">
  <sheetPr>
    <tabColor rgb="001565C0"/>
    <outlinePr summaryBelow="1" summaryRight="1"/>
    <pageSetUpPr/>
  </sheetPr>
  <dimension ref="A1:R2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2"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s>
  <sheetData>
    <row r="1" ht="32" customHeight="1">
      <c r="A1" s="5" t="inlineStr">
        <is>
          <t>Gap Rate by Technology × Control Family (0% = no gaps, 100% = all gaps)</t>
        </is>
      </c>
      <c r="B1" s="6" t="n"/>
      <c r="C1" s="6" t="n"/>
      <c r="D1" s="6" t="n"/>
      <c r="E1" s="6" t="n"/>
      <c r="F1" s="6" t="n"/>
      <c r="G1" s="6" t="n"/>
      <c r="H1" s="6" t="n"/>
      <c r="I1" s="6" t="n"/>
      <c r="J1" s="6" t="n"/>
      <c r="K1" s="6" t="n"/>
      <c r="L1" s="6" t="n"/>
      <c r="M1" s="6" t="n"/>
      <c r="N1" s="6" t="n"/>
      <c r="O1" s="6" t="n"/>
      <c r="P1" s="6" t="n"/>
      <c r="Q1" s="6" t="n"/>
      <c r="R1" s="2" t="n"/>
    </row>
    <row r="2" ht="50" customHeight="1">
      <c r="A2" s="8" t="inlineStr">
        <is>
          <t>Technology</t>
        </is>
      </c>
      <c r="B2" s="45" t="inlineStr">
        <is>
          <t>AC</t>
        </is>
      </c>
      <c r="C2" s="45" t="inlineStr">
        <is>
          <t>AT</t>
        </is>
      </c>
      <c r="D2" s="45" t="inlineStr">
        <is>
          <t>AU</t>
        </is>
      </c>
      <c r="E2" s="45" t="inlineStr">
        <is>
          <t>CA</t>
        </is>
      </c>
      <c r="F2" s="45" t="inlineStr">
        <is>
          <t>CM</t>
        </is>
      </c>
      <c r="G2" s="45" t="inlineStr">
        <is>
          <t>CP</t>
        </is>
      </c>
      <c r="H2" s="45" t="inlineStr">
        <is>
          <t>IA</t>
        </is>
      </c>
      <c r="I2" s="45" t="inlineStr">
        <is>
          <t>IR</t>
        </is>
      </c>
      <c r="J2" s="45" t="inlineStr">
        <is>
          <t>MA</t>
        </is>
      </c>
      <c r="K2" s="45" t="inlineStr">
        <is>
          <t>MP</t>
        </is>
      </c>
      <c r="L2" s="45" t="inlineStr">
        <is>
          <t>PE</t>
        </is>
      </c>
      <c r="M2" s="45" t="inlineStr">
        <is>
          <t>PL</t>
        </is>
      </c>
      <c r="N2" s="45" t="inlineStr">
        <is>
          <t>PS</t>
        </is>
      </c>
      <c r="O2" s="45" t="inlineStr">
        <is>
          <t>RA</t>
        </is>
      </c>
      <c r="P2" s="45" t="inlineStr">
        <is>
          <t>SA</t>
        </is>
      </c>
      <c r="Q2" s="45" t="inlineStr">
        <is>
          <t>SC</t>
        </is>
      </c>
      <c r="R2" s="45" t="inlineStr">
        <is>
          <t>SI</t>
        </is>
      </c>
    </row>
    <row r="3" ht="20" customHeight="1">
      <c r="A3" s="46" t="inlineStr">
        <is>
          <t>Analytics</t>
        </is>
      </c>
      <c r="B3" s="47">
        <f>IFERROR(1-(COUNTIFS(TRACKER!$C$3:$C$1275,A3,TRACKER!$D$3:$D$1275,"AC",TRACKER!$G$3:$G$1275,"Passed")+COUNTIFS(TRACKER!$C$3:$C$1275,A3,TRACKER!$D$3:$D$1275,"AC",TRACKER!$G$3:$G$1275,"Accepted Exception"))/COUNTIFS(TRACKER!$C$3:$C$1275,A3,TRACKER!$D$3:$D$1275,"AC"),"")</f>
        <v/>
      </c>
      <c r="C3" s="47">
        <f>IFERROR(1-(COUNTIFS(TRACKER!$C$3:$C$1275,A3,TRACKER!$D$3:$D$1275,"AT",TRACKER!$G$3:$G$1275,"Passed")+COUNTIFS(TRACKER!$C$3:$C$1275,A3,TRACKER!$D$3:$D$1275,"AT",TRACKER!$G$3:$G$1275,"Accepted Exception"))/COUNTIFS(TRACKER!$C$3:$C$1275,A3,TRACKER!$D$3:$D$1275,"AT"),"")</f>
        <v/>
      </c>
      <c r="D3" s="47">
        <f>IFERROR(1-(COUNTIFS(TRACKER!$C$3:$C$1275,A3,TRACKER!$D$3:$D$1275,"AU",TRACKER!$G$3:$G$1275,"Passed")+COUNTIFS(TRACKER!$C$3:$C$1275,A3,TRACKER!$D$3:$D$1275,"AU",TRACKER!$G$3:$G$1275,"Accepted Exception"))/COUNTIFS(TRACKER!$C$3:$C$1275,A3,TRACKER!$D$3:$D$1275,"AU"),"")</f>
        <v/>
      </c>
      <c r="E3" s="47">
        <f>IFERROR(1-(COUNTIFS(TRACKER!$C$3:$C$1275,A3,TRACKER!$D$3:$D$1275,"CA",TRACKER!$G$3:$G$1275,"Passed")+COUNTIFS(TRACKER!$C$3:$C$1275,A3,TRACKER!$D$3:$D$1275,"CA",TRACKER!$G$3:$G$1275,"Accepted Exception"))/COUNTIFS(TRACKER!$C$3:$C$1275,A3,TRACKER!$D$3:$D$1275,"CA"),"")</f>
        <v/>
      </c>
      <c r="F3" s="47">
        <f>IFERROR(1-(COUNTIFS(TRACKER!$C$3:$C$1275,A3,TRACKER!$D$3:$D$1275,"CM",TRACKER!$G$3:$G$1275,"Passed")+COUNTIFS(TRACKER!$C$3:$C$1275,A3,TRACKER!$D$3:$D$1275,"CM",TRACKER!$G$3:$G$1275,"Accepted Exception"))/COUNTIFS(TRACKER!$C$3:$C$1275,A3,TRACKER!$D$3:$D$1275,"CM"),"")</f>
        <v/>
      </c>
      <c r="G3" s="47">
        <f>IFERROR(1-(COUNTIFS(TRACKER!$C$3:$C$1275,A3,TRACKER!$D$3:$D$1275,"CP",TRACKER!$G$3:$G$1275,"Passed")+COUNTIFS(TRACKER!$C$3:$C$1275,A3,TRACKER!$D$3:$D$1275,"CP",TRACKER!$G$3:$G$1275,"Accepted Exception"))/COUNTIFS(TRACKER!$C$3:$C$1275,A3,TRACKER!$D$3:$D$1275,"CP"),"")</f>
        <v/>
      </c>
      <c r="H3" s="47">
        <f>IFERROR(1-(COUNTIFS(TRACKER!$C$3:$C$1275,A3,TRACKER!$D$3:$D$1275,"IA",TRACKER!$G$3:$G$1275,"Passed")+COUNTIFS(TRACKER!$C$3:$C$1275,A3,TRACKER!$D$3:$D$1275,"IA",TRACKER!$G$3:$G$1275,"Accepted Exception"))/COUNTIFS(TRACKER!$C$3:$C$1275,A3,TRACKER!$D$3:$D$1275,"IA"),"")</f>
        <v/>
      </c>
      <c r="I3" s="47">
        <f>IFERROR(1-(COUNTIFS(TRACKER!$C$3:$C$1275,A3,TRACKER!$D$3:$D$1275,"IR",TRACKER!$G$3:$G$1275,"Passed")+COUNTIFS(TRACKER!$C$3:$C$1275,A3,TRACKER!$D$3:$D$1275,"IR",TRACKER!$G$3:$G$1275,"Accepted Exception"))/COUNTIFS(TRACKER!$C$3:$C$1275,A3,TRACKER!$D$3:$D$1275,"IR"),"")</f>
        <v/>
      </c>
      <c r="J3" s="47">
        <f>IFERROR(1-(COUNTIFS(TRACKER!$C$3:$C$1275,A3,TRACKER!$D$3:$D$1275,"MA",TRACKER!$G$3:$G$1275,"Passed")+COUNTIFS(TRACKER!$C$3:$C$1275,A3,TRACKER!$D$3:$D$1275,"MA",TRACKER!$G$3:$G$1275,"Accepted Exception"))/COUNTIFS(TRACKER!$C$3:$C$1275,A3,TRACKER!$D$3:$D$1275,"MA"),"")</f>
        <v/>
      </c>
      <c r="K3" s="47">
        <f>IFERROR(1-(COUNTIFS(TRACKER!$C$3:$C$1275,A3,TRACKER!$D$3:$D$1275,"MP",TRACKER!$G$3:$G$1275,"Passed")+COUNTIFS(TRACKER!$C$3:$C$1275,A3,TRACKER!$D$3:$D$1275,"MP",TRACKER!$G$3:$G$1275,"Accepted Exception"))/COUNTIFS(TRACKER!$C$3:$C$1275,A3,TRACKER!$D$3:$D$1275,"MP"),"")</f>
        <v/>
      </c>
      <c r="L3" s="47">
        <f>IFERROR(1-(COUNTIFS(TRACKER!$C$3:$C$1275,A3,TRACKER!$D$3:$D$1275,"PE",TRACKER!$G$3:$G$1275,"Passed")+COUNTIFS(TRACKER!$C$3:$C$1275,A3,TRACKER!$D$3:$D$1275,"PE",TRACKER!$G$3:$G$1275,"Accepted Exception"))/COUNTIFS(TRACKER!$C$3:$C$1275,A3,TRACKER!$D$3:$D$1275,"PE"),"")</f>
        <v/>
      </c>
      <c r="M3" s="47">
        <f>IFERROR(1-(COUNTIFS(TRACKER!$C$3:$C$1275,A3,TRACKER!$D$3:$D$1275,"PL",TRACKER!$G$3:$G$1275,"Passed")+COUNTIFS(TRACKER!$C$3:$C$1275,A3,TRACKER!$D$3:$D$1275,"PL",TRACKER!$G$3:$G$1275,"Accepted Exception"))/COUNTIFS(TRACKER!$C$3:$C$1275,A3,TRACKER!$D$3:$D$1275,"PL"),"")</f>
        <v/>
      </c>
      <c r="N3" s="47">
        <f>IFERROR(1-(COUNTIFS(TRACKER!$C$3:$C$1275,A3,TRACKER!$D$3:$D$1275,"PS",TRACKER!$G$3:$G$1275,"Passed")+COUNTIFS(TRACKER!$C$3:$C$1275,A3,TRACKER!$D$3:$D$1275,"PS",TRACKER!$G$3:$G$1275,"Accepted Exception"))/COUNTIFS(TRACKER!$C$3:$C$1275,A3,TRACKER!$D$3:$D$1275,"PS"),"")</f>
        <v/>
      </c>
      <c r="O3" s="47">
        <f>IFERROR(1-(COUNTIFS(TRACKER!$C$3:$C$1275,A3,TRACKER!$D$3:$D$1275,"RA",TRACKER!$G$3:$G$1275,"Passed")+COUNTIFS(TRACKER!$C$3:$C$1275,A3,TRACKER!$D$3:$D$1275,"RA",TRACKER!$G$3:$G$1275,"Accepted Exception"))/COUNTIFS(TRACKER!$C$3:$C$1275,A3,TRACKER!$D$3:$D$1275,"RA"),"")</f>
        <v/>
      </c>
      <c r="P3" s="47">
        <f>IFERROR(1-(COUNTIFS(TRACKER!$C$3:$C$1275,A3,TRACKER!$D$3:$D$1275,"SA",TRACKER!$G$3:$G$1275,"Passed")+COUNTIFS(TRACKER!$C$3:$C$1275,A3,TRACKER!$D$3:$D$1275,"SA",TRACKER!$G$3:$G$1275,"Accepted Exception"))/COUNTIFS(TRACKER!$C$3:$C$1275,A3,TRACKER!$D$3:$D$1275,"SA"),"")</f>
        <v/>
      </c>
      <c r="Q3" s="47">
        <f>IFERROR(1-(COUNTIFS(TRACKER!$C$3:$C$1275,A3,TRACKER!$D$3:$D$1275,"SC",TRACKER!$G$3:$G$1275,"Passed")+COUNTIFS(TRACKER!$C$3:$C$1275,A3,TRACKER!$D$3:$D$1275,"SC",TRACKER!$G$3:$G$1275,"Accepted Exception"))/COUNTIFS(TRACKER!$C$3:$C$1275,A3,TRACKER!$D$3:$D$1275,"SC"),"")</f>
        <v/>
      </c>
      <c r="R3" s="47">
        <f>IFERROR(1-(COUNTIFS(TRACKER!$C$3:$C$1275,A3,TRACKER!$D$3:$D$1275,"SI",TRACKER!$G$3:$G$1275,"Passed")+COUNTIFS(TRACKER!$C$3:$C$1275,A3,TRACKER!$D$3:$D$1275,"SI",TRACKER!$G$3:$G$1275,"Accepted Exception"))/COUNTIFS(TRACKER!$C$3:$C$1275,A3,TRACKER!$D$3:$D$1275,"SI"),"")</f>
        <v/>
      </c>
    </row>
    <row r="4" ht="20" customHeight="1">
      <c r="A4" s="48" t="inlineStr">
        <is>
          <t>Compute</t>
        </is>
      </c>
      <c r="B4" s="49">
        <f>IFERROR(1-(COUNTIFS(TRACKER!$C$3:$C$1275,A4,TRACKER!$D$3:$D$1275,"AC",TRACKER!$G$3:$G$1275,"Passed")+COUNTIFS(TRACKER!$C$3:$C$1275,A4,TRACKER!$D$3:$D$1275,"AC",TRACKER!$G$3:$G$1275,"Accepted Exception"))/COUNTIFS(TRACKER!$C$3:$C$1275,A4,TRACKER!$D$3:$D$1275,"AC"),"")</f>
        <v/>
      </c>
      <c r="C4" s="49">
        <f>IFERROR(1-(COUNTIFS(TRACKER!$C$3:$C$1275,A4,TRACKER!$D$3:$D$1275,"AT",TRACKER!$G$3:$G$1275,"Passed")+COUNTIFS(TRACKER!$C$3:$C$1275,A4,TRACKER!$D$3:$D$1275,"AT",TRACKER!$G$3:$G$1275,"Accepted Exception"))/COUNTIFS(TRACKER!$C$3:$C$1275,A4,TRACKER!$D$3:$D$1275,"AT"),"")</f>
        <v/>
      </c>
      <c r="D4" s="49">
        <f>IFERROR(1-(COUNTIFS(TRACKER!$C$3:$C$1275,A4,TRACKER!$D$3:$D$1275,"AU",TRACKER!$G$3:$G$1275,"Passed")+COUNTIFS(TRACKER!$C$3:$C$1275,A4,TRACKER!$D$3:$D$1275,"AU",TRACKER!$G$3:$G$1275,"Accepted Exception"))/COUNTIFS(TRACKER!$C$3:$C$1275,A4,TRACKER!$D$3:$D$1275,"AU"),"")</f>
        <v/>
      </c>
      <c r="E4" s="49">
        <f>IFERROR(1-(COUNTIFS(TRACKER!$C$3:$C$1275,A4,TRACKER!$D$3:$D$1275,"CA",TRACKER!$G$3:$G$1275,"Passed")+COUNTIFS(TRACKER!$C$3:$C$1275,A4,TRACKER!$D$3:$D$1275,"CA",TRACKER!$G$3:$G$1275,"Accepted Exception"))/COUNTIFS(TRACKER!$C$3:$C$1275,A4,TRACKER!$D$3:$D$1275,"CA"),"")</f>
        <v/>
      </c>
      <c r="F4" s="49">
        <f>IFERROR(1-(COUNTIFS(TRACKER!$C$3:$C$1275,A4,TRACKER!$D$3:$D$1275,"CM",TRACKER!$G$3:$G$1275,"Passed")+COUNTIFS(TRACKER!$C$3:$C$1275,A4,TRACKER!$D$3:$D$1275,"CM",TRACKER!$G$3:$G$1275,"Accepted Exception"))/COUNTIFS(TRACKER!$C$3:$C$1275,A4,TRACKER!$D$3:$D$1275,"CM"),"")</f>
        <v/>
      </c>
      <c r="G4" s="49">
        <f>IFERROR(1-(COUNTIFS(TRACKER!$C$3:$C$1275,A4,TRACKER!$D$3:$D$1275,"CP",TRACKER!$G$3:$G$1275,"Passed")+COUNTIFS(TRACKER!$C$3:$C$1275,A4,TRACKER!$D$3:$D$1275,"CP",TRACKER!$G$3:$G$1275,"Accepted Exception"))/COUNTIFS(TRACKER!$C$3:$C$1275,A4,TRACKER!$D$3:$D$1275,"CP"),"")</f>
        <v/>
      </c>
      <c r="H4" s="49">
        <f>IFERROR(1-(COUNTIFS(TRACKER!$C$3:$C$1275,A4,TRACKER!$D$3:$D$1275,"IA",TRACKER!$G$3:$G$1275,"Passed")+COUNTIFS(TRACKER!$C$3:$C$1275,A4,TRACKER!$D$3:$D$1275,"IA",TRACKER!$G$3:$G$1275,"Accepted Exception"))/COUNTIFS(TRACKER!$C$3:$C$1275,A4,TRACKER!$D$3:$D$1275,"IA"),"")</f>
        <v/>
      </c>
      <c r="I4" s="49">
        <f>IFERROR(1-(COUNTIFS(TRACKER!$C$3:$C$1275,A4,TRACKER!$D$3:$D$1275,"IR",TRACKER!$G$3:$G$1275,"Passed")+COUNTIFS(TRACKER!$C$3:$C$1275,A4,TRACKER!$D$3:$D$1275,"IR",TRACKER!$G$3:$G$1275,"Accepted Exception"))/COUNTIFS(TRACKER!$C$3:$C$1275,A4,TRACKER!$D$3:$D$1275,"IR"),"")</f>
        <v/>
      </c>
      <c r="J4" s="49">
        <f>IFERROR(1-(COUNTIFS(TRACKER!$C$3:$C$1275,A4,TRACKER!$D$3:$D$1275,"MA",TRACKER!$G$3:$G$1275,"Passed")+COUNTIFS(TRACKER!$C$3:$C$1275,A4,TRACKER!$D$3:$D$1275,"MA",TRACKER!$G$3:$G$1275,"Accepted Exception"))/COUNTIFS(TRACKER!$C$3:$C$1275,A4,TRACKER!$D$3:$D$1275,"MA"),"")</f>
        <v/>
      </c>
      <c r="K4" s="49">
        <f>IFERROR(1-(COUNTIFS(TRACKER!$C$3:$C$1275,A4,TRACKER!$D$3:$D$1275,"MP",TRACKER!$G$3:$G$1275,"Passed")+COUNTIFS(TRACKER!$C$3:$C$1275,A4,TRACKER!$D$3:$D$1275,"MP",TRACKER!$G$3:$G$1275,"Accepted Exception"))/COUNTIFS(TRACKER!$C$3:$C$1275,A4,TRACKER!$D$3:$D$1275,"MP"),"")</f>
        <v/>
      </c>
      <c r="L4" s="49">
        <f>IFERROR(1-(COUNTIFS(TRACKER!$C$3:$C$1275,A4,TRACKER!$D$3:$D$1275,"PE",TRACKER!$G$3:$G$1275,"Passed")+COUNTIFS(TRACKER!$C$3:$C$1275,A4,TRACKER!$D$3:$D$1275,"PE",TRACKER!$G$3:$G$1275,"Accepted Exception"))/COUNTIFS(TRACKER!$C$3:$C$1275,A4,TRACKER!$D$3:$D$1275,"PE"),"")</f>
        <v/>
      </c>
      <c r="M4" s="49">
        <f>IFERROR(1-(COUNTIFS(TRACKER!$C$3:$C$1275,A4,TRACKER!$D$3:$D$1275,"PL",TRACKER!$G$3:$G$1275,"Passed")+COUNTIFS(TRACKER!$C$3:$C$1275,A4,TRACKER!$D$3:$D$1275,"PL",TRACKER!$G$3:$G$1275,"Accepted Exception"))/COUNTIFS(TRACKER!$C$3:$C$1275,A4,TRACKER!$D$3:$D$1275,"PL"),"")</f>
        <v/>
      </c>
      <c r="N4" s="49">
        <f>IFERROR(1-(COUNTIFS(TRACKER!$C$3:$C$1275,A4,TRACKER!$D$3:$D$1275,"PS",TRACKER!$G$3:$G$1275,"Passed")+COUNTIFS(TRACKER!$C$3:$C$1275,A4,TRACKER!$D$3:$D$1275,"PS",TRACKER!$G$3:$G$1275,"Accepted Exception"))/COUNTIFS(TRACKER!$C$3:$C$1275,A4,TRACKER!$D$3:$D$1275,"PS"),"")</f>
        <v/>
      </c>
      <c r="O4" s="49">
        <f>IFERROR(1-(COUNTIFS(TRACKER!$C$3:$C$1275,A4,TRACKER!$D$3:$D$1275,"RA",TRACKER!$G$3:$G$1275,"Passed")+COUNTIFS(TRACKER!$C$3:$C$1275,A4,TRACKER!$D$3:$D$1275,"RA",TRACKER!$G$3:$G$1275,"Accepted Exception"))/COUNTIFS(TRACKER!$C$3:$C$1275,A4,TRACKER!$D$3:$D$1275,"RA"),"")</f>
        <v/>
      </c>
      <c r="P4" s="49">
        <f>IFERROR(1-(COUNTIFS(TRACKER!$C$3:$C$1275,A4,TRACKER!$D$3:$D$1275,"SA",TRACKER!$G$3:$G$1275,"Passed")+COUNTIFS(TRACKER!$C$3:$C$1275,A4,TRACKER!$D$3:$D$1275,"SA",TRACKER!$G$3:$G$1275,"Accepted Exception"))/COUNTIFS(TRACKER!$C$3:$C$1275,A4,TRACKER!$D$3:$D$1275,"SA"),"")</f>
        <v/>
      </c>
      <c r="Q4" s="49">
        <f>IFERROR(1-(COUNTIFS(TRACKER!$C$3:$C$1275,A4,TRACKER!$D$3:$D$1275,"SC",TRACKER!$G$3:$G$1275,"Passed")+COUNTIFS(TRACKER!$C$3:$C$1275,A4,TRACKER!$D$3:$D$1275,"SC",TRACKER!$G$3:$G$1275,"Accepted Exception"))/COUNTIFS(TRACKER!$C$3:$C$1275,A4,TRACKER!$D$3:$D$1275,"SC"),"")</f>
        <v/>
      </c>
      <c r="R4" s="49">
        <f>IFERROR(1-(COUNTIFS(TRACKER!$C$3:$C$1275,A4,TRACKER!$D$3:$D$1275,"SI",TRACKER!$G$3:$G$1275,"Passed")+COUNTIFS(TRACKER!$C$3:$C$1275,A4,TRACKER!$D$3:$D$1275,"SI",TRACKER!$G$3:$G$1275,"Accepted Exception"))/COUNTIFS(TRACKER!$C$3:$C$1275,A4,TRACKER!$D$3:$D$1275,"SI"),"")</f>
        <v/>
      </c>
    </row>
    <row r="5" ht="20" customHeight="1">
      <c r="A5" s="46" t="inlineStr">
        <is>
          <t>Containers</t>
        </is>
      </c>
      <c r="B5" s="47">
        <f>IFERROR(1-(COUNTIFS(TRACKER!$C$3:$C$1275,A5,TRACKER!$D$3:$D$1275,"AC",TRACKER!$G$3:$G$1275,"Passed")+COUNTIFS(TRACKER!$C$3:$C$1275,A5,TRACKER!$D$3:$D$1275,"AC",TRACKER!$G$3:$G$1275,"Accepted Exception"))/COUNTIFS(TRACKER!$C$3:$C$1275,A5,TRACKER!$D$3:$D$1275,"AC"),"")</f>
        <v/>
      </c>
      <c r="C5" s="47">
        <f>IFERROR(1-(COUNTIFS(TRACKER!$C$3:$C$1275,A5,TRACKER!$D$3:$D$1275,"AT",TRACKER!$G$3:$G$1275,"Passed")+COUNTIFS(TRACKER!$C$3:$C$1275,A5,TRACKER!$D$3:$D$1275,"AT",TRACKER!$G$3:$G$1275,"Accepted Exception"))/COUNTIFS(TRACKER!$C$3:$C$1275,A5,TRACKER!$D$3:$D$1275,"AT"),"")</f>
        <v/>
      </c>
      <c r="D5" s="47">
        <f>IFERROR(1-(COUNTIFS(TRACKER!$C$3:$C$1275,A5,TRACKER!$D$3:$D$1275,"AU",TRACKER!$G$3:$G$1275,"Passed")+COUNTIFS(TRACKER!$C$3:$C$1275,A5,TRACKER!$D$3:$D$1275,"AU",TRACKER!$G$3:$G$1275,"Accepted Exception"))/COUNTIFS(TRACKER!$C$3:$C$1275,A5,TRACKER!$D$3:$D$1275,"AU"),"")</f>
        <v/>
      </c>
      <c r="E5" s="47">
        <f>IFERROR(1-(COUNTIFS(TRACKER!$C$3:$C$1275,A5,TRACKER!$D$3:$D$1275,"CA",TRACKER!$G$3:$G$1275,"Passed")+COUNTIFS(TRACKER!$C$3:$C$1275,A5,TRACKER!$D$3:$D$1275,"CA",TRACKER!$G$3:$G$1275,"Accepted Exception"))/COUNTIFS(TRACKER!$C$3:$C$1275,A5,TRACKER!$D$3:$D$1275,"CA"),"")</f>
        <v/>
      </c>
      <c r="F5" s="47">
        <f>IFERROR(1-(COUNTIFS(TRACKER!$C$3:$C$1275,A5,TRACKER!$D$3:$D$1275,"CM",TRACKER!$G$3:$G$1275,"Passed")+COUNTIFS(TRACKER!$C$3:$C$1275,A5,TRACKER!$D$3:$D$1275,"CM",TRACKER!$G$3:$G$1275,"Accepted Exception"))/COUNTIFS(TRACKER!$C$3:$C$1275,A5,TRACKER!$D$3:$D$1275,"CM"),"")</f>
        <v/>
      </c>
      <c r="G5" s="47">
        <f>IFERROR(1-(COUNTIFS(TRACKER!$C$3:$C$1275,A5,TRACKER!$D$3:$D$1275,"CP",TRACKER!$G$3:$G$1275,"Passed")+COUNTIFS(TRACKER!$C$3:$C$1275,A5,TRACKER!$D$3:$D$1275,"CP",TRACKER!$G$3:$G$1275,"Accepted Exception"))/COUNTIFS(TRACKER!$C$3:$C$1275,A5,TRACKER!$D$3:$D$1275,"CP"),"")</f>
        <v/>
      </c>
      <c r="H5" s="47">
        <f>IFERROR(1-(COUNTIFS(TRACKER!$C$3:$C$1275,A5,TRACKER!$D$3:$D$1275,"IA",TRACKER!$G$3:$G$1275,"Passed")+COUNTIFS(TRACKER!$C$3:$C$1275,A5,TRACKER!$D$3:$D$1275,"IA",TRACKER!$G$3:$G$1275,"Accepted Exception"))/COUNTIFS(TRACKER!$C$3:$C$1275,A5,TRACKER!$D$3:$D$1275,"IA"),"")</f>
        <v/>
      </c>
      <c r="I5" s="47">
        <f>IFERROR(1-(COUNTIFS(TRACKER!$C$3:$C$1275,A5,TRACKER!$D$3:$D$1275,"IR",TRACKER!$G$3:$G$1275,"Passed")+COUNTIFS(TRACKER!$C$3:$C$1275,A5,TRACKER!$D$3:$D$1275,"IR",TRACKER!$G$3:$G$1275,"Accepted Exception"))/COUNTIFS(TRACKER!$C$3:$C$1275,A5,TRACKER!$D$3:$D$1275,"IR"),"")</f>
        <v/>
      </c>
      <c r="J5" s="47">
        <f>IFERROR(1-(COUNTIFS(TRACKER!$C$3:$C$1275,A5,TRACKER!$D$3:$D$1275,"MA",TRACKER!$G$3:$G$1275,"Passed")+COUNTIFS(TRACKER!$C$3:$C$1275,A5,TRACKER!$D$3:$D$1275,"MA",TRACKER!$G$3:$G$1275,"Accepted Exception"))/COUNTIFS(TRACKER!$C$3:$C$1275,A5,TRACKER!$D$3:$D$1275,"MA"),"")</f>
        <v/>
      </c>
      <c r="K5" s="47">
        <f>IFERROR(1-(COUNTIFS(TRACKER!$C$3:$C$1275,A5,TRACKER!$D$3:$D$1275,"MP",TRACKER!$G$3:$G$1275,"Passed")+COUNTIFS(TRACKER!$C$3:$C$1275,A5,TRACKER!$D$3:$D$1275,"MP",TRACKER!$G$3:$G$1275,"Accepted Exception"))/COUNTIFS(TRACKER!$C$3:$C$1275,A5,TRACKER!$D$3:$D$1275,"MP"),"")</f>
        <v/>
      </c>
      <c r="L5" s="47">
        <f>IFERROR(1-(COUNTIFS(TRACKER!$C$3:$C$1275,A5,TRACKER!$D$3:$D$1275,"PE",TRACKER!$G$3:$G$1275,"Passed")+COUNTIFS(TRACKER!$C$3:$C$1275,A5,TRACKER!$D$3:$D$1275,"PE",TRACKER!$G$3:$G$1275,"Accepted Exception"))/COUNTIFS(TRACKER!$C$3:$C$1275,A5,TRACKER!$D$3:$D$1275,"PE"),"")</f>
        <v/>
      </c>
      <c r="M5" s="47">
        <f>IFERROR(1-(COUNTIFS(TRACKER!$C$3:$C$1275,A5,TRACKER!$D$3:$D$1275,"PL",TRACKER!$G$3:$G$1275,"Passed")+COUNTIFS(TRACKER!$C$3:$C$1275,A5,TRACKER!$D$3:$D$1275,"PL",TRACKER!$G$3:$G$1275,"Accepted Exception"))/COUNTIFS(TRACKER!$C$3:$C$1275,A5,TRACKER!$D$3:$D$1275,"PL"),"")</f>
        <v/>
      </c>
      <c r="N5" s="47">
        <f>IFERROR(1-(COUNTIFS(TRACKER!$C$3:$C$1275,A5,TRACKER!$D$3:$D$1275,"PS",TRACKER!$G$3:$G$1275,"Passed")+COUNTIFS(TRACKER!$C$3:$C$1275,A5,TRACKER!$D$3:$D$1275,"PS",TRACKER!$G$3:$G$1275,"Accepted Exception"))/COUNTIFS(TRACKER!$C$3:$C$1275,A5,TRACKER!$D$3:$D$1275,"PS"),"")</f>
        <v/>
      </c>
      <c r="O5" s="47">
        <f>IFERROR(1-(COUNTIFS(TRACKER!$C$3:$C$1275,A5,TRACKER!$D$3:$D$1275,"RA",TRACKER!$G$3:$G$1275,"Passed")+COUNTIFS(TRACKER!$C$3:$C$1275,A5,TRACKER!$D$3:$D$1275,"RA",TRACKER!$G$3:$G$1275,"Accepted Exception"))/COUNTIFS(TRACKER!$C$3:$C$1275,A5,TRACKER!$D$3:$D$1275,"RA"),"")</f>
        <v/>
      </c>
      <c r="P5" s="47">
        <f>IFERROR(1-(COUNTIFS(TRACKER!$C$3:$C$1275,A5,TRACKER!$D$3:$D$1275,"SA",TRACKER!$G$3:$G$1275,"Passed")+COUNTIFS(TRACKER!$C$3:$C$1275,A5,TRACKER!$D$3:$D$1275,"SA",TRACKER!$G$3:$G$1275,"Accepted Exception"))/COUNTIFS(TRACKER!$C$3:$C$1275,A5,TRACKER!$D$3:$D$1275,"SA"),"")</f>
        <v/>
      </c>
      <c r="Q5" s="47">
        <f>IFERROR(1-(COUNTIFS(TRACKER!$C$3:$C$1275,A5,TRACKER!$D$3:$D$1275,"SC",TRACKER!$G$3:$G$1275,"Passed")+COUNTIFS(TRACKER!$C$3:$C$1275,A5,TRACKER!$D$3:$D$1275,"SC",TRACKER!$G$3:$G$1275,"Accepted Exception"))/COUNTIFS(TRACKER!$C$3:$C$1275,A5,TRACKER!$D$3:$D$1275,"SC"),"")</f>
        <v/>
      </c>
      <c r="R5" s="47">
        <f>IFERROR(1-(COUNTIFS(TRACKER!$C$3:$C$1275,A5,TRACKER!$D$3:$D$1275,"SI",TRACKER!$G$3:$G$1275,"Passed")+COUNTIFS(TRACKER!$C$3:$C$1275,A5,TRACKER!$D$3:$D$1275,"SI",TRACKER!$G$3:$G$1275,"Accepted Exception"))/COUNTIFS(TRACKER!$C$3:$C$1275,A5,TRACKER!$D$3:$D$1275,"SI"),"")</f>
        <v/>
      </c>
    </row>
    <row r="6" ht="20" customHeight="1">
      <c r="A6" s="48" t="inlineStr">
        <is>
          <t>Database</t>
        </is>
      </c>
      <c r="B6" s="49">
        <f>IFERROR(1-(COUNTIFS(TRACKER!$C$3:$C$1275,A6,TRACKER!$D$3:$D$1275,"AC",TRACKER!$G$3:$G$1275,"Passed")+COUNTIFS(TRACKER!$C$3:$C$1275,A6,TRACKER!$D$3:$D$1275,"AC",TRACKER!$G$3:$G$1275,"Accepted Exception"))/COUNTIFS(TRACKER!$C$3:$C$1275,A6,TRACKER!$D$3:$D$1275,"AC"),"")</f>
        <v/>
      </c>
      <c r="C6" s="49">
        <f>IFERROR(1-(COUNTIFS(TRACKER!$C$3:$C$1275,A6,TRACKER!$D$3:$D$1275,"AT",TRACKER!$G$3:$G$1275,"Passed")+COUNTIFS(TRACKER!$C$3:$C$1275,A6,TRACKER!$D$3:$D$1275,"AT",TRACKER!$G$3:$G$1275,"Accepted Exception"))/COUNTIFS(TRACKER!$C$3:$C$1275,A6,TRACKER!$D$3:$D$1275,"AT"),"")</f>
        <v/>
      </c>
      <c r="D6" s="49">
        <f>IFERROR(1-(COUNTIFS(TRACKER!$C$3:$C$1275,A6,TRACKER!$D$3:$D$1275,"AU",TRACKER!$G$3:$G$1275,"Passed")+COUNTIFS(TRACKER!$C$3:$C$1275,A6,TRACKER!$D$3:$D$1275,"AU",TRACKER!$G$3:$G$1275,"Accepted Exception"))/COUNTIFS(TRACKER!$C$3:$C$1275,A6,TRACKER!$D$3:$D$1275,"AU"),"")</f>
        <v/>
      </c>
      <c r="E6" s="49">
        <f>IFERROR(1-(COUNTIFS(TRACKER!$C$3:$C$1275,A6,TRACKER!$D$3:$D$1275,"CA",TRACKER!$G$3:$G$1275,"Passed")+COUNTIFS(TRACKER!$C$3:$C$1275,A6,TRACKER!$D$3:$D$1275,"CA",TRACKER!$G$3:$G$1275,"Accepted Exception"))/COUNTIFS(TRACKER!$C$3:$C$1275,A6,TRACKER!$D$3:$D$1275,"CA"),"")</f>
        <v/>
      </c>
      <c r="F6" s="49">
        <f>IFERROR(1-(COUNTIFS(TRACKER!$C$3:$C$1275,A6,TRACKER!$D$3:$D$1275,"CM",TRACKER!$G$3:$G$1275,"Passed")+COUNTIFS(TRACKER!$C$3:$C$1275,A6,TRACKER!$D$3:$D$1275,"CM",TRACKER!$G$3:$G$1275,"Accepted Exception"))/COUNTIFS(TRACKER!$C$3:$C$1275,A6,TRACKER!$D$3:$D$1275,"CM"),"")</f>
        <v/>
      </c>
      <c r="G6" s="49">
        <f>IFERROR(1-(COUNTIFS(TRACKER!$C$3:$C$1275,A6,TRACKER!$D$3:$D$1275,"CP",TRACKER!$G$3:$G$1275,"Passed")+COUNTIFS(TRACKER!$C$3:$C$1275,A6,TRACKER!$D$3:$D$1275,"CP",TRACKER!$G$3:$G$1275,"Accepted Exception"))/COUNTIFS(TRACKER!$C$3:$C$1275,A6,TRACKER!$D$3:$D$1275,"CP"),"")</f>
        <v/>
      </c>
      <c r="H6" s="49">
        <f>IFERROR(1-(COUNTIFS(TRACKER!$C$3:$C$1275,A6,TRACKER!$D$3:$D$1275,"IA",TRACKER!$G$3:$G$1275,"Passed")+COUNTIFS(TRACKER!$C$3:$C$1275,A6,TRACKER!$D$3:$D$1275,"IA",TRACKER!$G$3:$G$1275,"Accepted Exception"))/COUNTIFS(TRACKER!$C$3:$C$1275,A6,TRACKER!$D$3:$D$1275,"IA"),"")</f>
        <v/>
      </c>
      <c r="I6" s="49">
        <f>IFERROR(1-(COUNTIFS(TRACKER!$C$3:$C$1275,A6,TRACKER!$D$3:$D$1275,"IR",TRACKER!$G$3:$G$1275,"Passed")+COUNTIFS(TRACKER!$C$3:$C$1275,A6,TRACKER!$D$3:$D$1275,"IR",TRACKER!$G$3:$G$1275,"Accepted Exception"))/COUNTIFS(TRACKER!$C$3:$C$1275,A6,TRACKER!$D$3:$D$1275,"IR"),"")</f>
        <v/>
      </c>
      <c r="J6" s="49">
        <f>IFERROR(1-(COUNTIFS(TRACKER!$C$3:$C$1275,A6,TRACKER!$D$3:$D$1275,"MA",TRACKER!$G$3:$G$1275,"Passed")+COUNTIFS(TRACKER!$C$3:$C$1275,A6,TRACKER!$D$3:$D$1275,"MA",TRACKER!$G$3:$G$1275,"Accepted Exception"))/COUNTIFS(TRACKER!$C$3:$C$1275,A6,TRACKER!$D$3:$D$1275,"MA"),"")</f>
        <v/>
      </c>
      <c r="K6" s="49">
        <f>IFERROR(1-(COUNTIFS(TRACKER!$C$3:$C$1275,A6,TRACKER!$D$3:$D$1275,"MP",TRACKER!$G$3:$G$1275,"Passed")+COUNTIFS(TRACKER!$C$3:$C$1275,A6,TRACKER!$D$3:$D$1275,"MP",TRACKER!$G$3:$G$1275,"Accepted Exception"))/COUNTIFS(TRACKER!$C$3:$C$1275,A6,TRACKER!$D$3:$D$1275,"MP"),"")</f>
        <v/>
      </c>
      <c r="L6" s="49">
        <f>IFERROR(1-(COUNTIFS(TRACKER!$C$3:$C$1275,A6,TRACKER!$D$3:$D$1275,"PE",TRACKER!$G$3:$G$1275,"Passed")+COUNTIFS(TRACKER!$C$3:$C$1275,A6,TRACKER!$D$3:$D$1275,"PE",TRACKER!$G$3:$G$1275,"Accepted Exception"))/COUNTIFS(TRACKER!$C$3:$C$1275,A6,TRACKER!$D$3:$D$1275,"PE"),"")</f>
        <v/>
      </c>
      <c r="M6" s="49">
        <f>IFERROR(1-(COUNTIFS(TRACKER!$C$3:$C$1275,A6,TRACKER!$D$3:$D$1275,"PL",TRACKER!$G$3:$G$1275,"Passed")+COUNTIFS(TRACKER!$C$3:$C$1275,A6,TRACKER!$D$3:$D$1275,"PL",TRACKER!$G$3:$G$1275,"Accepted Exception"))/COUNTIFS(TRACKER!$C$3:$C$1275,A6,TRACKER!$D$3:$D$1275,"PL"),"")</f>
        <v/>
      </c>
      <c r="N6" s="49">
        <f>IFERROR(1-(COUNTIFS(TRACKER!$C$3:$C$1275,A6,TRACKER!$D$3:$D$1275,"PS",TRACKER!$G$3:$G$1275,"Passed")+COUNTIFS(TRACKER!$C$3:$C$1275,A6,TRACKER!$D$3:$D$1275,"PS",TRACKER!$G$3:$G$1275,"Accepted Exception"))/COUNTIFS(TRACKER!$C$3:$C$1275,A6,TRACKER!$D$3:$D$1275,"PS"),"")</f>
        <v/>
      </c>
      <c r="O6" s="49">
        <f>IFERROR(1-(COUNTIFS(TRACKER!$C$3:$C$1275,A6,TRACKER!$D$3:$D$1275,"RA",TRACKER!$G$3:$G$1275,"Passed")+COUNTIFS(TRACKER!$C$3:$C$1275,A6,TRACKER!$D$3:$D$1275,"RA",TRACKER!$G$3:$G$1275,"Accepted Exception"))/COUNTIFS(TRACKER!$C$3:$C$1275,A6,TRACKER!$D$3:$D$1275,"RA"),"")</f>
        <v/>
      </c>
      <c r="P6" s="49">
        <f>IFERROR(1-(COUNTIFS(TRACKER!$C$3:$C$1275,A6,TRACKER!$D$3:$D$1275,"SA",TRACKER!$G$3:$G$1275,"Passed")+COUNTIFS(TRACKER!$C$3:$C$1275,A6,TRACKER!$D$3:$D$1275,"SA",TRACKER!$G$3:$G$1275,"Accepted Exception"))/COUNTIFS(TRACKER!$C$3:$C$1275,A6,TRACKER!$D$3:$D$1275,"SA"),"")</f>
        <v/>
      </c>
      <c r="Q6" s="49">
        <f>IFERROR(1-(COUNTIFS(TRACKER!$C$3:$C$1275,A6,TRACKER!$D$3:$D$1275,"SC",TRACKER!$G$3:$G$1275,"Passed")+COUNTIFS(TRACKER!$C$3:$C$1275,A6,TRACKER!$D$3:$D$1275,"SC",TRACKER!$G$3:$G$1275,"Accepted Exception"))/COUNTIFS(TRACKER!$C$3:$C$1275,A6,TRACKER!$D$3:$D$1275,"SC"),"")</f>
        <v/>
      </c>
      <c r="R6" s="49">
        <f>IFERROR(1-(COUNTIFS(TRACKER!$C$3:$C$1275,A6,TRACKER!$D$3:$D$1275,"SI",TRACKER!$G$3:$G$1275,"Passed")+COUNTIFS(TRACKER!$C$3:$C$1275,A6,TRACKER!$D$3:$D$1275,"SI",TRACKER!$G$3:$G$1275,"Accepted Exception"))/COUNTIFS(TRACKER!$C$3:$C$1275,A6,TRACKER!$D$3:$D$1275,"SI"),"")</f>
        <v/>
      </c>
    </row>
    <row r="7" ht="20" customHeight="1">
      <c r="A7" s="46" t="inlineStr">
        <is>
          <t>DevOps</t>
        </is>
      </c>
      <c r="B7" s="47">
        <f>IFERROR(1-(COUNTIFS(TRACKER!$C$3:$C$1275,A7,TRACKER!$D$3:$D$1275,"AC",TRACKER!$G$3:$G$1275,"Passed")+COUNTIFS(TRACKER!$C$3:$C$1275,A7,TRACKER!$D$3:$D$1275,"AC",TRACKER!$G$3:$G$1275,"Accepted Exception"))/COUNTIFS(TRACKER!$C$3:$C$1275,A7,TRACKER!$D$3:$D$1275,"AC"),"")</f>
        <v/>
      </c>
      <c r="C7" s="47">
        <f>IFERROR(1-(COUNTIFS(TRACKER!$C$3:$C$1275,A7,TRACKER!$D$3:$D$1275,"AT",TRACKER!$G$3:$G$1275,"Passed")+COUNTIFS(TRACKER!$C$3:$C$1275,A7,TRACKER!$D$3:$D$1275,"AT",TRACKER!$G$3:$G$1275,"Accepted Exception"))/COUNTIFS(TRACKER!$C$3:$C$1275,A7,TRACKER!$D$3:$D$1275,"AT"),"")</f>
        <v/>
      </c>
      <c r="D7" s="47">
        <f>IFERROR(1-(COUNTIFS(TRACKER!$C$3:$C$1275,A7,TRACKER!$D$3:$D$1275,"AU",TRACKER!$G$3:$G$1275,"Passed")+COUNTIFS(TRACKER!$C$3:$C$1275,A7,TRACKER!$D$3:$D$1275,"AU",TRACKER!$G$3:$G$1275,"Accepted Exception"))/COUNTIFS(TRACKER!$C$3:$C$1275,A7,TRACKER!$D$3:$D$1275,"AU"),"")</f>
        <v/>
      </c>
      <c r="E7" s="47">
        <f>IFERROR(1-(COUNTIFS(TRACKER!$C$3:$C$1275,A7,TRACKER!$D$3:$D$1275,"CA",TRACKER!$G$3:$G$1275,"Passed")+COUNTIFS(TRACKER!$C$3:$C$1275,A7,TRACKER!$D$3:$D$1275,"CA",TRACKER!$G$3:$G$1275,"Accepted Exception"))/COUNTIFS(TRACKER!$C$3:$C$1275,A7,TRACKER!$D$3:$D$1275,"CA"),"")</f>
        <v/>
      </c>
      <c r="F7" s="47">
        <f>IFERROR(1-(COUNTIFS(TRACKER!$C$3:$C$1275,A7,TRACKER!$D$3:$D$1275,"CM",TRACKER!$G$3:$G$1275,"Passed")+COUNTIFS(TRACKER!$C$3:$C$1275,A7,TRACKER!$D$3:$D$1275,"CM",TRACKER!$G$3:$G$1275,"Accepted Exception"))/COUNTIFS(TRACKER!$C$3:$C$1275,A7,TRACKER!$D$3:$D$1275,"CM"),"")</f>
        <v/>
      </c>
      <c r="G7" s="47">
        <f>IFERROR(1-(COUNTIFS(TRACKER!$C$3:$C$1275,A7,TRACKER!$D$3:$D$1275,"CP",TRACKER!$G$3:$G$1275,"Passed")+COUNTIFS(TRACKER!$C$3:$C$1275,A7,TRACKER!$D$3:$D$1275,"CP",TRACKER!$G$3:$G$1275,"Accepted Exception"))/COUNTIFS(TRACKER!$C$3:$C$1275,A7,TRACKER!$D$3:$D$1275,"CP"),"")</f>
        <v/>
      </c>
      <c r="H7" s="47">
        <f>IFERROR(1-(COUNTIFS(TRACKER!$C$3:$C$1275,A7,TRACKER!$D$3:$D$1275,"IA",TRACKER!$G$3:$G$1275,"Passed")+COUNTIFS(TRACKER!$C$3:$C$1275,A7,TRACKER!$D$3:$D$1275,"IA",TRACKER!$G$3:$G$1275,"Accepted Exception"))/COUNTIFS(TRACKER!$C$3:$C$1275,A7,TRACKER!$D$3:$D$1275,"IA"),"")</f>
        <v/>
      </c>
      <c r="I7" s="47">
        <f>IFERROR(1-(COUNTIFS(TRACKER!$C$3:$C$1275,A7,TRACKER!$D$3:$D$1275,"IR",TRACKER!$G$3:$G$1275,"Passed")+COUNTIFS(TRACKER!$C$3:$C$1275,A7,TRACKER!$D$3:$D$1275,"IR",TRACKER!$G$3:$G$1275,"Accepted Exception"))/COUNTIFS(TRACKER!$C$3:$C$1275,A7,TRACKER!$D$3:$D$1275,"IR"),"")</f>
        <v/>
      </c>
      <c r="J7" s="47">
        <f>IFERROR(1-(COUNTIFS(TRACKER!$C$3:$C$1275,A7,TRACKER!$D$3:$D$1275,"MA",TRACKER!$G$3:$G$1275,"Passed")+COUNTIFS(TRACKER!$C$3:$C$1275,A7,TRACKER!$D$3:$D$1275,"MA",TRACKER!$G$3:$G$1275,"Accepted Exception"))/COUNTIFS(TRACKER!$C$3:$C$1275,A7,TRACKER!$D$3:$D$1275,"MA"),"")</f>
        <v/>
      </c>
      <c r="K7" s="47">
        <f>IFERROR(1-(COUNTIFS(TRACKER!$C$3:$C$1275,A7,TRACKER!$D$3:$D$1275,"MP",TRACKER!$G$3:$G$1275,"Passed")+COUNTIFS(TRACKER!$C$3:$C$1275,A7,TRACKER!$D$3:$D$1275,"MP",TRACKER!$G$3:$G$1275,"Accepted Exception"))/COUNTIFS(TRACKER!$C$3:$C$1275,A7,TRACKER!$D$3:$D$1275,"MP"),"")</f>
        <v/>
      </c>
      <c r="L7" s="47">
        <f>IFERROR(1-(COUNTIFS(TRACKER!$C$3:$C$1275,A7,TRACKER!$D$3:$D$1275,"PE",TRACKER!$G$3:$G$1275,"Passed")+COUNTIFS(TRACKER!$C$3:$C$1275,A7,TRACKER!$D$3:$D$1275,"PE",TRACKER!$G$3:$G$1275,"Accepted Exception"))/COUNTIFS(TRACKER!$C$3:$C$1275,A7,TRACKER!$D$3:$D$1275,"PE"),"")</f>
        <v/>
      </c>
      <c r="M7" s="47">
        <f>IFERROR(1-(COUNTIFS(TRACKER!$C$3:$C$1275,A7,TRACKER!$D$3:$D$1275,"PL",TRACKER!$G$3:$G$1275,"Passed")+COUNTIFS(TRACKER!$C$3:$C$1275,A7,TRACKER!$D$3:$D$1275,"PL",TRACKER!$G$3:$G$1275,"Accepted Exception"))/COUNTIFS(TRACKER!$C$3:$C$1275,A7,TRACKER!$D$3:$D$1275,"PL"),"")</f>
        <v/>
      </c>
      <c r="N7" s="47">
        <f>IFERROR(1-(COUNTIFS(TRACKER!$C$3:$C$1275,A7,TRACKER!$D$3:$D$1275,"PS",TRACKER!$G$3:$G$1275,"Passed")+COUNTIFS(TRACKER!$C$3:$C$1275,A7,TRACKER!$D$3:$D$1275,"PS",TRACKER!$G$3:$G$1275,"Accepted Exception"))/COUNTIFS(TRACKER!$C$3:$C$1275,A7,TRACKER!$D$3:$D$1275,"PS"),"")</f>
        <v/>
      </c>
      <c r="O7" s="47">
        <f>IFERROR(1-(COUNTIFS(TRACKER!$C$3:$C$1275,A7,TRACKER!$D$3:$D$1275,"RA",TRACKER!$G$3:$G$1275,"Passed")+COUNTIFS(TRACKER!$C$3:$C$1275,A7,TRACKER!$D$3:$D$1275,"RA",TRACKER!$G$3:$G$1275,"Accepted Exception"))/COUNTIFS(TRACKER!$C$3:$C$1275,A7,TRACKER!$D$3:$D$1275,"RA"),"")</f>
        <v/>
      </c>
      <c r="P7" s="47">
        <f>IFERROR(1-(COUNTIFS(TRACKER!$C$3:$C$1275,A7,TRACKER!$D$3:$D$1275,"SA",TRACKER!$G$3:$G$1275,"Passed")+COUNTIFS(TRACKER!$C$3:$C$1275,A7,TRACKER!$D$3:$D$1275,"SA",TRACKER!$G$3:$G$1275,"Accepted Exception"))/COUNTIFS(TRACKER!$C$3:$C$1275,A7,TRACKER!$D$3:$D$1275,"SA"),"")</f>
        <v/>
      </c>
      <c r="Q7" s="47">
        <f>IFERROR(1-(COUNTIFS(TRACKER!$C$3:$C$1275,A7,TRACKER!$D$3:$D$1275,"SC",TRACKER!$G$3:$G$1275,"Passed")+COUNTIFS(TRACKER!$C$3:$C$1275,A7,TRACKER!$D$3:$D$1275,"SC",TRACKER!$G$3:$G$1275,"Accepted Exception"))/COUNTIFS(TRACKER!$C$3:$C$1275,A7,TRACKER!$D$3:$D$1275,"SC"),"")</f>
        <v/>
      </c>
      <c r="R7" s="47">
        <f>IFERROR(1-(COUNTIFS(TRACKER!$C$3:$C$1275,A7,TRACKER!$D$3:$D$1275,"SI",TRACKER!$G$3:$G$1275,"Passed")+COUNTIFS(TRACKER!$C$3:$C$1275,A7,TRACKER!$D$3:$D$1275,"SI",TRACKER!$G$3:$G$1275,"Accepted Exception"))/COUNTIFS(TRACKER!$C$3:$C$1275,A7,TRACKER!$D$3:$D$1275,"SI"),"")</f>
        <v/>
      </c>
    </row>
    <row r="8" ht="20" customHeight="1">
      <c r="A8" s="48" t="inlineStr">
        <is>
          <t>Developer Tools</t>
        </is>
      </c>
      <c r="B8" s="49">
        <f>IFERROR(1-(COUNTIFS(TRACKER!$C$3:$C$1275,A8,TRACKER!$D$3:$D$1275,"AC",TRACKER!$G$3:$G$1275,"Passed")+COUNTIFS(TRACKER!$C$3:$C$1275,A8,TRACKER!$D$3:$D$1275,"AC",TRACKER!$G$3:$G$1275,"Accepted Exception"))/COUNTIFS(TRACKER!$C$3:$C$1275,A8,TRACKER!$D$3:$D$1275,"AC"),"")</f>
        <v/>
      </c>
      <c r="C8" s="49">
        <f>IFERROR(1-(COUNTIFS(TRACKER!$C$3:$C$1275,A8,TRACKER!$D$3:$D$1275,"AT",TRACKER!$G$3:$G$1275,"Passed")+COUNTIFS(TRACKER!$C$3:$C$1275,A8,TRACKER!$D$3:$D$1275,"AT",TRACKER!$G$3:$G$1275,"Accepted Exception"))/COUNTIFS(TRACKER!$C$3:$C$1275,A8,TRACKER!$D$3:$D$1275,"AT"),"")</f>
        <v/>
      </c>
      <c r="D8" s="49">
        <f>IFERROR(1-(COUNTIFS(TRACKER!$C$3:$C$1275,A8,TRACKER!$D$3:$D$1275,"AU",TRACKER!$G$3:$G$1275,"Passed")+COUNTIFS(TRACKER!$C$3:$C$1275,A8,TRACKER!$D$3:$D$1275,"AU",TRACKER!$G$3:$G$1275,"Accepted Exception"))/COUNTIFS(TRACKER!$C$3:$C$1275,A8,TRACKER!$D$3:$D$1275,"AU"),"")</f>
        <v/>
      </c>
      <c r="E8" s="49">
        <f>IFERROR(1-(COUNTIFS(TRACKER!$C$3:$C$1275,A8,TRACKER!$D$3:$D$1275,"CA",TRACKER!$G$3:$G$1275,"Passed")+COUNTIFS(TRACKER!$C$3:$C$1275,A8,TRACKER!$D$3:$D$1275,"CA",TRACKER!$G$3:$G$1275,"Accepted Exception"))/COUNTIFS(TRACKER!$C$3:$C$1275,A8,TRACKER!$D$3:$D$1275,"CA"),"")</f>
        <v/>
      </c>
      <c r="F8" s="49">
        <f>IFERROR(1-(COUNTIFS(TRACKER!$C$3:$C$1275,A8,TRACKER!$D$3:$D$1275,"CM",TRACKER!$G$3:$G$1275,"Passed")+COUNTIFS(TRACKER!$C$3:$C$1275,A8,TRACKER!$D$3:$D$1275,"CM",TRACKER!$G$3:$G$1275,"Accepted Exception"))/COUNTIFS(TRACKER!$C$3:$C$1275,A8,TRACKER!$D$3:$D$1275,"CM"),"")</f>
        <v/>
      </c>
      <c r="G8" s="49">
        <f>IFERROR(1-(COUNTIFS(TRACKER!$C$3:$C$1275,A8,TRACKER!$D$3:$D$1275,"CP",TRACKER!$G$3:$G$1275,"Passed")+COUNTIFS(TRACKER!$C$3:$C$1275,A8,TRACKER!$D$3:$D$1275,"CP",TRACKER!$G$3:$G$1275,"Accepted Exception"))/COUNTIFS(TRACKER!$C$3:$C$1275,A8,TRACKER!$D$3:$D$1275,"CP"),"")</f>
        <v/>
      </c>
      <c r="H8" s="49">
        <f>IFERROR(1-(COUNTIFS(TRACKER!$C$3:$C$1275,A8,TRACKER!$D$3:$D$1275,"IA",TRACKER!$G$3:$G$1275,"Passed")+COUNTIFS(TRACKER!$C$3:$C$1275,A8,TRACKER!$D$3:$D$1275,"IA",TRACKER!$G$3:$G$1275,"Accepted Exception"))/COUNTIFS(TRACKER!$C$3:$C$1275,A8,TRACKER!$D$3:$D$1275,"IA"),"")</f>
        <v/>
      </c>
      <c r="I8" s="49">
        <f>IFERROR(1-(COUNTIFS(TRACKER!$C$3:$C$1275,A8,TRACKER!$D$3:$D$1275,"IR",TRACKER!$G$3:$G$1275,"Passed")+COUNTIFS(TRACKER!$C$3:$C$1275,A8,TRACKER!$D$3:$D$1275,"IR",TRACKER!$G$3:$G$1275,"Accepted Exception"))/COUNTIFS(TRACKER!$C$3:$C$1275,A8,TRACKER!$D$3:$D$1275,"IR"),"")</f>
        <v/>
      </c>
      <c r="J8" s="49">
        <f>IFERROR(1-(COUNTIFS(TRACKER!$C$3:$C$1275,A8,TRACKER!$D$3:$D$1275,"MA",TRACKER!$G$3:$G$1275,"Passed")+COUNTIFS(TRACKER!$C$3:$C$1275,A8,TRACKER!$D$3:$D$1275,"MA",TRACKER!$G$3:$G$1275,"Accepted Exception"))/COUNTIFS(TRACKER!$C$3:$C$1275,A8,TRACKER!$D$3:$D$1275,"MA"),"")</f>
        <v/>
      </c>
      <c r="K8" s="49">
        <f>IFERROR(1-(COUNTIFS(TRACKER!$C$3:$C$1275,A8,TRACKER!$D$3:$D$1275,"MP",TRACKER!$G$3:$G$1275,"Passed")+COUNTIFS(TRACKER!$C$3:$C$1275,A8,TRACKER!$D$3:$D$1275,"MP",TRACKER!$G$3:$G$1275,"Accepted Exception"))/COUNTIFS(TRACKER!$C$3:$C$1275,A8,TRACKER!$D$3:$D$1275,"MP"),"")</f>
        <v/>
      </c>
      <c r="L8" s="49">
        <f>IFERROR(1-(COUNTIFS(TRACKER!$C$3:$C$1275,A8,TRACKER!$D$3:$D$1275,"PE",TRACKER!$G$3:$G$1275,"Passed")+COUNTIFS(TRACKER!$C$3:$C$1275,A8,TRACKER!$D$3:$D$1275,"PE",TRACKER!$G$3:$G$1275,"Accepted Exception"))/COUNTIFS(TRACKER!$C$3:$C$1275,A8,TRACKER!$D$3:$D$1275,"PE"),"")</f>
        <v/>
      </c>
      <c r="M8" s="49">
        <f>IFERROR(1-(COUNTIFS(TRACKER!$C$3:$C$1275,A8,TRACKER!$D$3:$D$1275,"PL",TRACKER!$G$3:$G$1275,"Passed")+COUNTIFS(TRACKER!$C$3:$C$1275,A8,TRACKER!$D$3:$D$1275,"PL",TRACKER!$G$3:$G$1275,"Accepted Exception"))/COUNTIFS(TRACKER!$C$3:$C$1275,A8,TRACKER!$D$3:$D$1275,"PL"),"")</f>
        <v/>
      </c>
      <c r="N8" s="49">
        <f>IFERROR(1-(COUNTIFS(TRACKER!$C$3:$C$1275,A8,TRACKER!$D$3:$D$1275,"PS",TRACKER!$G$3:$G$1275,"Passed")+COUNTIFS(TRACKER!$C$3:$C$1275,A8,TRACKER!$D$3:$D$1275,"PS",TRACKER!$G$3:$G$1275,"Accepted Exception"))/COUNTIFS(TRACKER!$C$3:$C$1275,A8,TRACKER!$D$3:$D$1275,"PS"),"")</f>
        <v/>
      </c>
      <c r="O8" s="49">
        <f>IFERROR(1-(COUNTIFS(TRACKER!$C$3:$C$1275,A8,TRACKER!$D$3:$D$1275,"RA",TRACKER!$G$3:$G$1275,"Passed")+COUNTIFS(TRACKER!$C$3:$C$1275,A8,TRACKER!$D$3:$D$1275,"RA",TRACKER!$G$3:$G$1275,"Accepted Exception"))/COUNTIFS(TRACKER!$C$3:$C$1275,A8,TRACKER!$D$3:$D$1275,"RA"),"")</f>
        <v/>
      </c>
      <c r="P8" s="49">
        <f>IFERROR(1-(COUNTIFS(TRACKER!$C$3:$C$1275,A8,TRACKER!$D$3:$D$1275,"SA",TRACKER!$G$3:$G$1275,"Passed")+COUNTIFS(TRACKER!$C$3:$C$1275,A8,TRACKER!$D$3:$D$1275,"SA",TRACKER!$G$3:$G$1275,"Accepted Exception"))/COUNTIFS(TRACKER!$C$3:$C$1275,A8,TRACKER!$D$3:$D$1275,"SA"),"")</f>
        <v/>
      </c>
      <c r="Q8" s="49">
        <f>IFERROR(1-(COUNTIFS(TRACKER!$C$3:$C$1275,A8,TRACKER!$D$3:$D$1275,"SC",TRACKER!$G$3:$G$1275,"Passed")+COUNTIFS(TRACKER!$C$3:$C$1275,A8,TRACKER!$D$3:$D$1275,"SC",TRACKER!$G$3:$G$1275,"Accepted Exception"))/COUNTIFS(TRACKER!$C$3:$C$1275,A8,TRACKER!$D$3:$D$1275,"SC"),"")</f>
        <v/>
      </c>
      <c r="R8" s="49">
        <f>IFERROR(1-(COUNTIFS(TRACKER!$C$3:$C$1275,A8,TRACKER!$D$3:$D$1275,"SI",TRACKER!$G$3:$G$1275,"Passed")+COUNTIFS(TRACKER!$C$3:$C$1275,A8,TRACKER!$D$3:$D$1275,"SI",TRACKER!$G$3:$G$1275,"Accepted Exception"))/COUNTIFS(TRACKER!$C$3:$C$1275,A8,TRACKER!$D$3:$D$1275,"SI"),"")</f>
        <v/>
      </c>
    </row>
    <row r="9" ht="20" customHeight="1">
      <c r="A9" s="46" t="inlineStr">
        <is>
          <t>Documentation</t>
        </is>
      </c>
      <c r="B9" s="47">
        <f>IFERROR(1-(COUNTIFS(TRACKER!$C$3:$C$1275,A9,TRACKER!$D$3:$D$1275,"AC",TRACKER!$G$3:$G$1275,"Passed")+COUNTIFS(TRACKER!$C$3:$C$1275,A9,TRACKER!$D$3:$D$1275,"AC",TRACKER!$G$3:$G$1275,"Accepted Exception"))/COUNTIFS(TRACKER!$C$3:$C$1275,A9,TRACKER!$D$3:$D$1275,"AC"),"")</f>
        <v/>
      </c>
      <c r="C9" s="47">
        <f>IFERROR(1-(COUNTIFS(TRACKER!$C$3:$C$1275,A9,TRACKER!$D$3:$D$1275,"AT",TRACKER!$G$3:$G$1275,"Passed")+COUNTIFS(TRACKER!$C$3:$C$1275,A9,TRACKER!$D$3:$D$1275,"AT",TRACKER!$G$3:$G$1275,"Accepted Exception"))/COUNTIFS(TRACKER!$C$3:$C$1275,A9,TRACKER!$D$3:$D$1275,"AT"),"")</f>
        <v/>
      </c>
      <c r="D9" s="47">
        <f>IFERROR(1-(COUNTIFS(TRACKER!$C$3:$C$1275,A9,TRACKER!$D$3:$D$1275,"AU",TRACKER!$G$3:$G$1275,"Passed")+COUNTIFS(TRACKER!$C$3:$C$1275,A9,TRACKER!$D$3:$D$1275,"AU",TRACKER!$G$3:$G$1275,"Accepted Exception"))/COUNTIFS(TRACKER!$C$3:$C$1275,A9,TRACKER!$D$3:$D$1275,"AU"),"")</f>
        <v/>
      </c>
      <c r="E9" s="47">
        <f>IFERROR(1-(COUNTIFS(TRACKER!$C$3:$C$1275,A9,TRACKER!$D$3:$D$1275,"CA",TRACKER!$G$3:$G$1275,"Passed")+COUNTIFS(TRACKER!$C$3:$C$1275,A9,TRACKER!$D$3:$D$1275,"CA",TRACKER!$G$3:$G$1275,"Accepted Exception"))/COUNTIFS(TRACKER!$C$3:$C$1275,A9,TRACKER!$D$3:$D$1275,"CA"),"")</f>
        <v/>
      </c>
      <c r="F9" s="47">
        <f>IFERROR(1-(COUNTIFS(TRACKER!$C$3:$C$1275,A9,TRACKER!$D$3:$D$1275,"CM",TRACKER!$G$3:$G$1275,"Passed")+COUNTIFS(TRACKER!$C$3:$C$1275,A9,TRACKER!$D$3:$D$1275,"CM",TRACKER!$G$3:$G$1275,"Accepted Exception"))/COUNTIFS(TRACKER!$C$3:$C$1275,A9,TRACKER!$D$3:$D$1275,"CM"),"")</f>
        <v/>
      </c>
      <c r="G9" s="47">
        <f>IFERROR(1-(COUNTIFS(TRACKER!$C$3:$C$1275,A9,TRACKER!$D$3:$D$1275,"CP",TRACKER!$G$3:$G$1275,"Passed")+COUNTIFS(TRACKER!$C$3:$C$1275,A9,TRACKER!$D$3:$D$1275,"CP",TRACKER!$G$3:$G$1275,"Accepted Exception"))/COUNTIFS(TRACKER!$C$3:$C$1275,A9,TRACKER!$D$3:$D$1275,"CP"),"")</f>
        <v/>
      </c>
      <c r="H9" s="47">
        <f>IFERROR(1-(COUNTIFS(TRACKER!$C$3:$C$1275,A9,TRACKER!$D$3:$D$1275,"IA",TRACKER!$G$3:$G$1275,"Passed")+COUNTIFS(TRACKER!$C$3:$C$1275,A9,TRACKER!$D$3:$D$1275,"IA",TRACKER!$G$3:$G$1275,"Accepted Exception"))/COUNTIFS(TRACKER!$C$3:$C$1275,A9,TRACKER!$D$3:$D$1275,"IA"),"")</f>
        <v/>
      </c>
      <c r="I9" s="47">
        <f>IFERROR(1-(COUNTIFS(TRACKER!$C$3:$C$1275,A9,TRACKER!$D$3:$D$1275,"IR",TRACKER!$G$3:$G$1275,"Passed")+COUNTIFS(TRACKER!$C$3:$C$1275,A9,TRACKER!$D$3:$D$1275,"IR",TRACKER!$G$3:$G$1275,"Accepted Exception"))/COUNTIFS(TRACKER!$C$3:$C$1275,A9,TRACKER!$D$3:$D$1275,"IR"),"")</f>
        <v/>
      </c>
      <c r="J9" s="47">
        <f>IFERROR(1-(COUNTIFS(TRACKER!$C$3:$C$1275,A9,TRACKER!$D$3:$D$1275,"MA",TRACKER!$G$3:$G$1275,"Passed")+COUNTIFS(TRACKER!$C$3:$C$1275,A9,TRACKER!$D$3:$D$1275,"MA",TRACKER!$G$3:$G$1275,"Accepted Exception"))/COUNTIFS(TRACKER!$C$3:$C$1275,A9,TRACKER!$D$3:$D$1275,"MA"),"")</f>
        <v/>
      </c>
      <c r="K9" s="47">
        <f>IFERROR(1-(COUNTIFS(TRACKER!$C$3:$C$1275,A9,TRACKER!$D$3:$D$1275,"MP",TRACKER!$G$3:$G$1275,"Passed")+COUNTIFS(TRACKER!$C$3:$C$1275,A9,TRACKER!$D$3:$D$1275,"MP",TRACKER!$G$3:$G$1275,"Accepted Exception"))/COUNTIFS(TRACKER!$C$3:$C$1275,A9,TRACKER!$D$3:$D$1275,"MP"),"")</f>
        <v/>
      </c>
      <c r="L9" s="47">
        <f>IFERROR(1-(COUNTIFS(TRACKER!$C$3:$C$1275,A9,TRACKER!$D$3:$D$1275,"PE",TRACKER!$G$3:$G$1275,"Passed")+COUNTIFS(TRACKER!$C$3:$C$1275,A9,TRACKER!$D$3:$D$1275,"PE",TRACKER!$G$3:$G$1275,"Accepted Exception"))/COUNTIFS(TRACKER!$C$3:$C$1275,A9,TRACKER!$D$3:$D$1275,"PE"),"")</f>
        <v/>
      </c>
      <c r="M9" s="47">
        <f>IFERROR(1-(COUNTIFS(TRACKER!$C$3:$C$1275,A9,TRACKER!$D$3:$D$1275,"PL",TRACKER!$G$3:$G$1275,"Passed")+COUNTIFS(TRACKER!$C$3:$C$1275,A9,TRACKER!$D$3:$D$1275,"PL",TRACKER!$G$3:$G$1275,"Accepted Exception"))/COUNTIFS(TRACKER!$C$3:$C$1275,A9,TRACKER!$D$3:$D$1275,"PL"),"")</f>
        <v/>
      </c>
      <c r="N9" s="47">
        <f>IFERROR(1-(COUNTIFS(TRACKER!$C$3:$C$1275,A9,TRACKER!$D$3:$D$1275,"PS",TRACKER!$G$3:$G$1275,"Passed")+COUNTIFS(TRACKER!$C$3:$C$1275,A9,TRACKER!$D$3:$D$1275,"PS",TRACKER!$G$3:$G$1275,"Accepted Exception"))/COUNTIFS(TRACKER!$C$3:$C$1275,A9,TRACKER!$D$3:$D$1275,"PS"),"")</f>
        <v/>
      </c>
      <c r="O9" s="47">
        <f>IFERROR(1-(COUNTIFS(TRACKER!$C$3:$C$1275,A9,TRACKER!$D$3:$D$1275,"RA",TRACKER!$G$3:$G$1275,"Passed")+COUNTIFS(TRACKER!$C$3:$C$1275,A9,TRACKER!$D$3:$D$1275,"RA",TRACKER!$G$3:$G$1275,"Accepted Exception"))/COUNTIFS(TRACKER!$C$3:$C$1275,A9,TRACKER!$D$3:$D$1275,"RA"),"")</f>
        <v/>
      </c>
      <c r="P9" s="47">
        <f>IFERROR(1-(COUNTIFS(TRACKER!$C$3:$C$1275,A9,TRACKER!$D$3:$D$1275,"SA",TRACKER!$G$3:$G$1275,"Passed")+COUNTIFS(TRACKER!$C$3:$C$1275,A9,TRACKER!$D$3:$D$1275,"SA",TRACKER!$G$3:$G$1275,"Accepted Exception"))/COUNTIFS(TRACKER!$C$3:$C$1275,A9,TRACKER!$D$3:$D$1275,"SA"),"")</f>
        <v/>
      </c>
      <c r="Q9" s="47">
        <f>IFERROR(1-(COUNTIFS(TRACKER!$C$3:$C$1275,A9,TRACKER!$D$3:$D$1275,"SC",TRACKER!$G$3:$G$1275,"Passed")+COUNTIFS(TRACKER!$C$3:$C$1275,A9,TRACKER!$D$3:$D$1275,"SC",TRACKER!$G$3:$G$1275,"Accepted Exception"))/COUNTIFS(TRACKER!$C$3:$C$1275,A9,TRACKER!$D$3:$D$1275,"SC"),"")</f>
        <v/>
      </c>
      <c r="R9" s="47">
        <f>IFERROR(1-(COUNTIFS(TRACKER!$C$3:$C$1275,A9,TRACKER!$D$3:$D$1275,"SI",TRACKER!$G$3:$G$1275,"Passed")+COUNTIFS(TRACKER!$C$3:$C$1275,A9,TRACKER!$D$3:$D$1275,"SI",TRACKER!$G$3:$G$1275,"Accepted Exception"))/COUNTIFS(TRACKER!$C$3:$C$1275,A9,TRACKER!$D$3:$D$1275,"SI"),"")</f>
        <v/>
      </c>
    </row>
    <row r="10" ht="20" customHeight="1">
      <c r="A10" s="48" t="inlineStr">
        <is>
          <t>Hybrid + Multicloud</t>
        </is>
      </c>
      <c r="B10" s="49">
        <f>IFERROR(1-(COUNTIFS(TRACKER!$C$3:$C$1275,A10,TRACKER!$D$3:$D$1275,"AC",TRACKER!$G$3:$G$1275,"Passed")+COUNTIFS(TRACKER!$C$3:$C$1275,A10,TRACKER!$D$3:$D$1275,"AC",TRACKER!$G$3:$G$1275,"Accepted Exception"))/COUNTIFS(TRACKER!$C$3:$C$1275,A10,TRACKER!$D$3:$D$1275,"AC"),"")</f>
        <v/>
      </c>
      <c r="C10" s="49">
        <f>IFERROR(1-(COUNTIFS(TRACKER!$C$3:$C$1275,A10,TRACKER!$D$3:$D$1275,"AT",TRACKER!$G$3:$G$1275,"Passed")+COUNTIFS(TRACKER!$C$3:$C$1275,A10,TRACKER!$D$3:$D$1275,"AT",TRACKER!$G$3:$G$1275,"Accepted Exception"))/COUNTIFS(TRACKER!$C$3:$C$1275,A10,TRACKER!$D$3:$D$1275,"AT"),"")</f>
        <v/>
      </c>
      <c r="D10" s="49">
        <f>IFERROR(1-(COUNTIFS(TRACKER!$C$3:$C$1275,A10,TRACKER!$D$3:$D$1275,"AU",TRACKER!$G$3:$G$1275,"Passed")+COUNTIFS(TRACKER!$C$3:$C$1275,A10,TRACKER!$D$3:$D$1275,"AU",TRACKER!$G$3:$G$1275,"Accepted Exception"))/COUNTIFS(TRACKER!$C$3:$C$1275,A10,TRACKER!$D$3:$D$1275,"AU"),"")</f>
        <v/>
      </c>
      <c r="E10" s="49">
        <f>IFERROR(1-(COUNTIFS(TRACKER!$C$3:$C$1275,A10,TRACKER!$D$3:$D$1275,"CA",TRACKER!$G$3:$G$1275,"Passed")+COUNTIFS(TRACKER!$C$3:$C$1275,A10,TRACKER!$D$3:$D$1275,"CA",TRACKER!$G$3:$G$1275,"Accepted Exception"))/COUNTIFS(TRACKER!$C$3:$C$1275,A10,TRACKER!$D$3:$D$1275,"CA"),"")</f>
        <v/>
      </c>
      <c r="F10" s="49">
        <f>IFERROR(1-(COUNTIFS(TRACKER!$C$3:$C$1275,A10,TRACKER!$D$3:$D$1275,"CM",TRACKER!$G$3:$G$1275,"Passed")+COUNTIFS(TRACKER!$C$3:$C$1275,A10,TRACKER!$D$3:$D$1275,"CM",TRACKER!$G$3:$G$1275,"Accepted Exception"))/COUNTIFS(TRACKER!$C$3:$C$1275,A10,TRACKER!$D$3:$D$1275,"CM"),"")</f>
        <v/>
      </c>
      <c r="G10" s="49">
        <f>IFERROR(1-(COUNTIFS(TRACKER!$C$3:$C$1275,A10,TRACKER!$D$3:$D$1275,"CP",TRACKER!$G$3:$G$1275,"Passed")+COUNTIFS(TRACKER!$C$3:$C$1275,A10,TRACKER!$D$3:$D$1275,"CP",TRACKER!$G$3:$G$1275,"Accepted Exception"))/COUNTIFS(TRACKER!$C$3:$C$1275,A10,TRACKER!$D$3:$D$1275,"CP"),"")</f>
        <v/>
      </c>
      <c r="H10" s="49">
        <f>IFERROR(1-(COUNTIFS(TRACKER!$C$3:$C$1275,A10,TRACKER!$D$3:$D$1275,"IA",TRACKER!$G$3:$G$1275,"Passed")+COUNTIFS(TRACKER!$C$3:$C$1275,A10,TRACKER!$D$3:$D$1275,"IA",TRACKER!$G$3:$G$1275,"Accepted Exception"))/COUNTIFS(TRACKER!$C$3:$C$1275,A10,TRACKER!$D$3:$D$1275,"IA"),"")</f>
        <v/>
      </c>
      <c r="I10" s="49">
        <f>IFERROR(1-(COUNTIFS(TRACKER!$C$3:$C$1275,A10,TRACKER!$D$3:$D$1275,"IR",TRACKER!$G$3:$G$1275,"Passed")+COUNTIFS(TRACKER!$C$3:$C$1275,A10,TRACKER!$D$3:$D$1275,"IR",TRACKER!$G$3:$G$1275,"Accepted Exception"))/COUNTIFS(TRACKER!$C$3:$C$1275,A10,TRACKER!$D$3:$D$1275,"IR"),"")</f>
        <v/>
      </c>
      <c r="J10" s="49">
        <f>IFERROR(1-(COUNTIFS(TRACKER!$C$3:$C$1275,A10,TRACKER!$D$3:$D$1275,"MA",TRACKER!$G$3:$G$1275,"Passed")+COUNTIFS(TRACKER!$C$3:$C$1275,A10,TRACKER!$D$3:$D$1275,"MA",TRACKER!$G$3:$G$1275,"Accepted Exception"))/COUNTIFS(TRACKER!$C$3:$C$1275,A10,TRACKER!$D$3:$D$1275,"MA"),"")</f>
        <v/>
      </c>
      <c r="K10" s="49">
        <f>IFERROR(1-(COUNTIFS(TRACKER!$C$3:$C$1275,A10,TRACKER!$D$3:$D$1275,"MP",TRACKER!$G$3:$G$1275,"Passed")+COUNTIFS(TRACKER!$C$3:$C$1275,A10,TRACKER!$D$3:$D$1275,"MP",TRACKER!$G$3:$G$1275,"Accepted Exception"))/COUNTIFS(TRACKER!$C$3:$C$1275,A10,TRACKER!$D$3:$D$1275,"MP"),"")</f>
        <v/>
      </c>
      <c r="L10" s="49">
        <f>IFERROR(1-(COUNTIFS(TRACKER!$C$3:$C$1275,A10,TRACKER!$D$3:$D$1275,"PE",TRACKER!$G$3:$G$1275,"Passed")+COUNTIFS(TRACKER!$C$3:$C$1275,A10,TRACKER!$D$3:$D$1275,"PE",TRACKER!$G$3:$G$1275,"Accepted Exception"))/COUNTIFS(TRACKER!$C$3:$C$1275,A10,TRACKER!$D$3:$D$1275,"PE"),"")</f>
        <v/>
      </c>
      <c r="M10" s="49">
        <f>IFERROR(1-(COUNTIFS(TRACKER!$C$3:$C$1275,A10,TRACKER!$D$3:$D$1275,"PL",TRACKER!$G$3:$G$1275,"Passed")+COUNTIFS(TRACKER!$C$3:$C$1275,A10,TRACKER!$D$3:$D$1275,"PL",TRACKER!$G$3:$G$1275,"Accepted Exception"))/COUNTIFS(TRACKER!$C$3:$C$1275,A10,TRACKER!$D$3:$D$1275,"PL"),"")</f>
        <v/>
      </c>
      <c r="N10" s="49">
        <f>IFERROR(1-(COUNTIFS(TRACKER!$C$3:$C$1275,A10,TRACKER!$D$3:$D$1275,"PS",TRACKER!$G$3:$G$1275,"Passed")+COUNTIFS(TRACKER!$C$3:$C$1275,A10,TRACKER!$D$3:$D$1275,"PS",TRACKER!$G$3:$G$1275,"Accepted Exception"))/COUNTIFS(TRACKER!$C$3:$C$1275,A10,TRACKER!$D$3:$D$1275,"PS"),"")</f>
        <v/>
      </c>
      <c r="O10" s="49">
        <f>IFERROR(1-(COUNTIFS(TRACKER!$C$3:$C$1275,A10,TRACKER!$D$3:$D$1275,"RA",TRACKER!$G$3:$G$1275,"Passed")+COUNTIFS(TRACKER!$C$3:$C$1275,A10,TRACKER!$D$3:$D$1275,"RA",TRACKER!$G$3:$G$1275,"Accepted Exception"))/COUNTIFS(TRACKER!$C$3:$C$1275,A10,TRACKER!$D$3:$D$1275,"RA"),"")</f>
        <v/>
      </c>
      <c r="P10" s="49">
        <f>IFERROR(1-(COUNTIFS(TRACKER!$C$3:$C$1275,A10,TRACKER!$D$3:$D$1275,"SA",TRACKER!$G$3:$G$1275,"Passed")+COUNTIFS(TRACKER!$C$3:$C$1275,A10,TRACKER!$D$3:$D$1275,"SA",TRACKER!$G$3:$G$1275,"Accepted Exception"))/COUNTIFS(TRACKER!$C$3:$C$1275,A10,TRACKER!$D$3:$D$1275,"SA"),"")</f>
        <v/>
      </c>
      <c r="Q10" s="49">
        <f>IFERROR(1-(COUNTIFS(TRACKER!$C$3:$C$1275,A10,TRACKER!$D$3:$D$1275,"SC",TRACKER!$G$3:$G$1275,"Passed")+COUNTIFS(TRACKER!$C$3:$C$1275,A10,TRACKER!$D$3:$D$1275,"SC",TRACKER!$G$3:$G$1275,"Accepted Exception"))/COUNTIFS(TRACKER!$C$3:$C$1275,A10,TRACKER!$D$3:$D$1275,"SC"),"")</f>
        <v/>
      </c>
      <c r="R10" s="49">
        <f>IFERROR(1-(COUNTIFS(TRACKER!$C$3:$C$1275,A10,TRACKER!$D$3:$D$1275,"SI",TRACKER!$G$3:$G$1275,"Passed")+COUNTIFS(TRACKER!$C$3:$C$1275,A10,TRACKER!$D$3:$D$1275,"SI",TRACKER!$G$3:$G$1275,"Accepted Exception"))/COUNTIFS(TRACKER!$C$3:$C$1275,A10,TRACKER!$D$3:$D$1275,"SI"),"")</f>
        <v/>
      </c>
    </row>
    <row r="11" ht="20" customHeight="1">
      <c r="A11" s="46" t="inlineStr">
        <is>
          <t>Identity</t>
        </is>
      </c>
      <c r="B11" s="47">
        <f>IFERROR(1-(COUNTIFS(TRACKER!$C$3:$C$1275,A11,TRACKER!$D$3:$D$1275,"AC",TRACKER!$G$3:$G$1275,"Passed")+COUNTIFS(TRACKER!$C$3:$C$1275,A11,TRACKER!$D$3:$D$1275,"AC",TRACKER!$G$3:$G$1275,"Accepted Exception"))/COUNTIFS(TRACKER!$C$3:$C$1275,A11,TRACKER!$D$3:$D$1275,"AC"),"")</f>
        <v/>
      </c>
      <c r="C11" s="47">
        <f>IFERROR(1-(COUNTIFS(TRACKER!$C$3:$C$1275,A11,TRACKER!$D$3:$D$1275,"AT",TRACKER!$G$3:$G$1275,"Passed")+COUNTIFS(TRACKER!$C$3:$C$1275,A11,TRACKER!$D$3:$D$1275,"AT",TRACKER!$G$3:$G$1275,"Accepted Exception"))/COUNTIFS(TRACKER!$C$3:$C$1275,A11,TRACKER!$D$3:$D$1275,"AT"),"")</f>
        <v/>
      </c>
      <c r="D11" s="47">
        <f>IFERROR(1-(COUNTIFS(TRACKER!$C$3:$C$1275,A11,TRACKER!$D$3:$D$1275,"AU",TRACKER!$G$3:$G$1275,"Passed")+COUNTIFS(TRACKER!$C$3:$C$1275,A11,TRACKER!$D$3:$D$1275,"AU",TRACKER!$G$3:$G$1275,"Accepted Exception"))/COUNTIFS(TRACKER!$C$3:$C$1275,A11,TRACKER!$D$3:$D$1275,"AU"),"")</f>
        <v/>
      </c>
      <c r="E11" s="47">
        <f>IFERROR(1-(COUNTIFS(TRACKER!$C$3:$C$1275,A11,TRACKER!$D$3:$D$1275,"CA",TRACKER!$G$3:$G$1275,"Passed")+COUNTIFS(TRACKER!$C$3:$C$1275,A11,TRACKER!$D$3:$D$1275,"CA",TRACKER!$G$3:$G$1275,"Accepted Exception"))/COUNTIFS(TRACKER!$C$3:$C$1275,A11,TRACKER!$D$3:$D$1275,"CA"),"")</f>
        <v/>
      </c>
      <c r="F11" s="47">
        <f>IFERROR(1-(COUNTIFS(TRACKER!$C$3:$C$1275,A11,TRACKER!$D$3:$D$1275,"CM",TRACKER!$G$3:$G$1275,"Passed")+COUNTIFS(TRACKER!$C$3:$C$1275,A11,TRACKER!$D$3:$D$1275,"CM",TRACKER!$G$3:$G$1275,"Accepted Exception"))/COUNTIFS(TRACKER!$C$3:$C$1275,A11,TRACKER!$D$3:$D$1275,"CM"),"")</f>
        <v/>
      </c>
      <c r="G11" s="47">
        <f>IFERROR(1-(COUNTIFS(TRACKER!$C$3:$C$1275,A11,TRACKER!$D$3:$D$1275,"CP",TRACKER!$G$3:$G$1275,"Passed")+COUNTIFS(TRACKER!$C$3:$C$1275,A11,TRACKER!$D$3:$D$1275,"CP",TRACKER!$G$3:$G$1275,"Accepted Exception"))/COUNTIFS(TRACKER!$C$3:$C$1275,A11,TRACKER!$D$3:$D$1275,"CP"),"")</f>
        <v/>
      </c>
      <c r="H11" s="47">
        <f>IFERROR(1-(COUNTIFS(TRACKER!$C$3:$C$1275,A11,TRACKER!$D$3:$D$1275,"IA",TRACKER!$G$3:$G$1275,"Passed")+COUNTIFS(TRACKER!$C$3:$C$1275,A11,TRACKER!$D$3:$D$1275,"IA",TRACKER!$G$3:$G$1275,"Accepted Exception"))/COUNTIFS(TRACKER!$C$3:$C$1275,A11,TRACKER!$D$3:$D$1275,"IA"),"")</f>
        <v/>
      </c>
      <c r="I11" s="47">
        <f>IFERROR(1-(COUNTIFS(TRACKER!$C$3:$C$1275,A11,TRACKER!$D$3:$D$1275,"IR",TRACKER!$G$3:$G$1275,"Passed")+COUNTIFS(TRACKER!$C$3:$C$1275,A11,TRACKER!$D$3:$D$1275,"IR",TRACKER!$G$3:$G$1275,"Accepted Exception"))/COUNTIFS(TRACKER!$C$3:$C$1275,A11,TRACKER!$D$3:$D$1275,"IR"),"")</f>
        <v/>
      </c>
      <c r="J11" s="47">
        <f>IFERROR(1-(COUNTIFS(TRACKER!$C$3:$C$1275,A11,TRACKER!$D$3:$D$1275,"MA",TRACKER!$G$3:$G$1275,"Passed")+COUNTIFS(TRACKER!$C$3:$C$1275,A11,TRACKER!$D$3:$D$1275,"MA",TRACKER!$G$3:$G$1275,"Accepted Exception"))/COUNTIFS(TRACKER!$C$3:$C$1275,A11,TRACKER!$D$3:$D$1275,"MA"),"")</f>
        <v/>
      </c>
      <c r="K11" s="47">
        <f>IFERROR(1-(COUNTIFS(TRACKER!$C$3:$C$1275,A11,TRACKER!$D$3:$D$1275,"MP",TRACKER!$G$3:$G$1275,"Passed")+COUNTIFS(TRACKER!$C$3:$C$1275,A11,TRACKER!$D$3:$D$1275,"MP",TRACKER!$G$3:$G$1275,"Accepted Exception"))/COUNTIFS(TRACKER!$C$3:$C$1275,A11,TRACKER!$D$3:$D$1275,"MP"),"")</f>
        <v/>
      </c>
      <c r="L11" s="47">
        <f>IFERROR(1-(COUNTIFS(TRACKER!$C$3:$C$1275,A11,TRACKER!$D$3:$D$1275,"PE",TRACKER!$G$3:$G$1275,"Passed")+COUNTIFS(TRACKER!$C$3:$C$1275,A11,TRACKER!$D$3:$D$1275,"PE",TRACKER!$G$3:$G$1275,"Accepted Exception"))/COUNTIFS(TRACKER!$C$3:$C$1275,A11,TRACKER!$D$3:$D$1275,"PE"),"")</f>
        <v/>
      </c>
      <c r="M11" s="47">
        <f>IFERROR(1-(COUNTIFS(TRACKER!$C$3:$C$1275,A11,TRACKER!$D$3:$D$1275,"PL",TRACKER!$G$3:$G$1275,"Passed")+COUNTIFS(TRACKER!$C$3:$C$1275,A11,TRACKER!$D$3:$D$1275,"PL",TRACKER!$G$3:$G$1275,"Accepted Exception"))/COUNTIFS(TRACKER!$C$3:$C$1275,A11,TRACKER!$D$3:$D$1275,"PL"),"")</f>
        <v/>
      </c>
      <c r="N11" s="47">
        <f>IFERROR(1-(COUNTIFS(TRACKER!$C$3:$C$1275,A11,TRACKER!$D$3:$D$1275,"PS",TRACKER!$G$3:$G$1275,"Passed")+COUNTIFS(TRACKER!$C$3:$C$1275,A11,TRACKER!$D$3:$D$1275,"PS",TRACKER!$G$3:$G$1275,"Accepted Exception"))/COUNTIFS(TRACKER!$C$3:$C$1275,A11,TRACKER!$D$3:$D$1275,"PS"),"")</f>
        <v/>
      </c>
      <c r="O11" s="47">
        <f>IFERROR(1-(COUNTIFS(TRACKER!$C$3:$C$1275,A11,TRACKER!$D$3:$D$1275,"RA",TRACKER!$G$3:$G$1275,"Passed")+COUNTIFS(TRACKER!$C$3:$C$1275,A11,TRACKER!$D$3:$D$1275,"RA",TRACKER!$G$3:$G$1275,"Accepted Exception"))/COUNTIFS(TRACKER!$C$3:$C$1275,A11,TRACKER!$D$3:$D$1275,"RA"),"")</f>
        <v/>
      </c>
      <c r="P11" s="47">
        <f>IFERROR(1-(COUNTIFS(TRACKER!$C$3:$C$1275,A11,TRACKER!$D$3:$D$1275,"SA",TRACKER!$G$3:$G$1275,"Passed")+COUNTIFS(TRACKER!$C$3:$C$1275,A11,TRACKER!$D$3:$D$1275,"SA",TRACKER!$G$3:$G$1275,"Accepted Exception"))/COUNTIFS(TRACKER!$C$3:$C$1275,A11,TRACKER!$D$3:$D$1275,"SA"),"")</f>
        <v/>
      </c>
      <c r="Q11" s="47">
        <f>IFERROR(1-(COUNTIFS(TRACKER!$C$3:$C$1275,A11,TRACKER!$D$3:$D$1275,"SC",TRACKER!$G$3:$G$1275,"Passed")+COUNTIFS(TRACKER!$C$3:$C$1275,A11,TRACKER!$D$3:$D$1275,"SC",TRACKER!$G$3:$G$1275,"Accepted Exception"))/COUNTIFS(TRACKER!$C$3:$C$1275,A11,TRACKER!$D$3:$D$1275,"SC"),"")</f>
        <v/>
      </c>
      <c r="R11" s="47">
        <f>IFERROR(1-(COUNTIFS(TRACKER!$C$3:$C$1275,A11,TRACKER!$D$3:$D$1275,"SI",TRACKER!$G$3:$G$1275,"Passed")+COUNTIFS(TRACKER!$C$3:$C$1275,A11,TRACKER!$D$3:$D$1275,"SI",TRACKER!$G$3:$G$1275,"Accepted Exception"))/COUNTIFS(TRACKER!$C$3:$C$1275,A11,TRACKER!$D$3:$D$1275,"SI"),"")</f>
        <v/>
      </c>
    </row>
    <row r="12" ht="20" customHeight="1">
      <c r="A12" s="48" t="inlineStr">
        <is>
          <t>Management and Governance</t>
        </is>
      </c>
      <c r="B12" s="49">
        <f>IFERROR(1-(COUNTIFS(TRACKER!$C$3:$C$1275,A12,TRACKER!$D$3:$D$1275,"AC",TRACKER!$G$3:$G$1275,"Passed")+COUNTIFS(TRACKER!$C$3:$C$1275,A12,TRACKER!$D$3:$D$1275,"AC",TRACKER!$G$3:$G$1275,"Accepted Exception"))/COUNTIFS(TRACKER!$C$3:$C$1275,A12,TRACKER!$D$3:$D$1275,"AC"),"")</f>
        <v/>
      </c>
      <c r="C12" s="49">
        <f>IFERROR(1-(COUNTIFS(TRACKER!$C$3:$C$1275,A12,TRACKER!$D$3:$D$1275,"AT",TRACKER!$G$3:$G$1275,"Passed")+COUNTIFS(TRACKER!$C$3:$C$1275,A12,TRACKER!$D$3:$D$1275,"AT",TRACKER!$G$3:$G$1275,"Accepted Exception"))/COUNTIFS(TRACKER!$C$3:$C$1275,A12,TRACKER!$D$3:$D$1275,"AT"),"")</f>
        <v/>
      </c>
      <c r="D12" s="49">
        <f>IFERROR(1-(COUNTIFS(TRACKER!$C$3:$C$1275,A12,TRACKER!$D$3:$D$1275,"AU",TRACKER!$G$3:$G$1275,"Passed")+COUNTIFS(TRACKER!$C$3:$C$1275,A12,TRACKER!$D$3:$D$1275,"AU",TRACKER!$G$3:$G$1275,"Accepted Exception"))/COUNTIFS(TRACKER!$C$3:$C$1275,A12,TRACKER!$D$3:$D$1275,"AU"),"")</f>
        <v/>
      </c>
      <c r="E12" s="49">
        <f>IFERROR(1-(COUNTIFS(TRACKER!$C$3:$C$1275,A12,TRACKER!$D$3:$D$1275,"CA",TRACKER!$G$3:$G$1275,"Passed")+COUNTIFS(TRACKER!$C$3:$C$1275,A12,TRACKER!$D$3:$D$1275,"CA",TRACKER!$G$3:$G$1275,"Accepted Exception"))/COUNTIFS(TRACKER!$C$3:$C$1275,A12,TRACKER!$D$3:$D$1275,"CA"),"")</f>
        <v/>
      </c>
      <c r="F12" s="49">
        <f>IFERROR(1-(COUNTIFS(TRACKER!$C$3:$C$1275,A12,TRACKER!$D$3:$D$1275,"CM",TRACKER!$G$3:$G$1275,"Passed")+COUNTIFS(TRACKER!$C$3:$C$1275,A12,TRACKER!$D$3:$D$1275,"CM",TRACKER!$G$3:$G$1275,"Accepted Exception"))/COUNTIFS(TRACKER!$C$3:$C$1275,A12,TRACKER!$D$3:$D$1275,"CM"),"")</f>
        <v/>
      </c>
      <c r="G12" s="49">
        <f>IFERROR(1-(COUNTIFS(TRACKER!$C$3:$C$1275,A12,TRACKER!$D$3:$D$1275,"CP",TRACKER!$G$3:$G$1275,"Passed")+COUNTIFS(TRACKER!$C$3:$C$1275,A12,TRACKER!$D$3:$D$1275,"CP",TRACKER!$G$3:$G$1275,"Accepted Exception"))/COUNTIFS(TRACKER!$C$3:$C$1275,A12,TRACKER!$D$3:$D$1275,"CP"),"")</f>
        <v/>
      </c>
      <c r="H12" s="49">
        <f>IFERROR(1-(COUNTIFS(TRACKER!$C$3:$C$1275,A12,TRACKER!$D$3:$D$1275,"IA",TRACKER!$G$3:$G$1275,"Passed")+COUNTIFS(TRACKER!$C$3:$C$1275,A12,TRACKER!$D$3:$D$1275,"IA",TRACKER!$G$3:$G$1275,"Accepted Exception"))/COUNTIFS(TRACKER!$C$3:$C$1275,A12,TRACKER!$D$3:$D$1275,"IA"),"")</f>
        <v/>
      </c>
      <c r="I12" s="49">
        <f>IFERROR(1-(COUNTIFS(TRACKER!$C$3:$C$1275,A12,TRACKER!$D$3:$D$1275,"IR",TRACKER!$G$3:$G$1275,"Passed")+COUNTIFS(TRACKER!$C$3:$C$1275,A12,TRACKER!$D$3:$D$1275,"IR",TRACKER!$G$3:$G$1275,"Accepted Exception"))/COUNTIFS(TRACKER!$C$3:$C$1275,A12,TRACKER!$D$3:$D$1275,"IR"),"")</f>
        <v/>
      </c>
      <c r="J12" s="49">
        <f>IFERROR(1-(COUNTIFS(TRACKER!$C$3:$C$1275,A12,TRACKER!$D$3:$D$1275,"MA",TRACKER!$G$3:$G$1275,"Passed")+COUNTIFS(TRACKER!$C$3:$C$1275,A12,TRACKER!$D$3:$D$1275,"MA",TRACKER!$G$3:$G$1275,"Accepted Exception"))/COUNTIFS(TRACKER!$C$3:$C$1275,A12,TRACKER!$D$3:$D$1275,"MA"),"")</f>
        <v/>
      </c>
      <c r="K12" s="49">
        <f>IFERROR(1-(COUNTIFS(TRACKER!$C$3:$C$1275,A12,TRACKER!$D$3:$D$1275,"MP",TRACKER!$G$3:$G$1275,"Passed")+COUNTIFS(TRACKER!$C$3:$C$1275,A12,TRACKER!$D$3:$D$1275,"MP",TRACKER!$G$3:$G$1275,"Accepted Exception"))/COUNTIFS(TRACKER!$C$3:$C$1275,A12,TRACKER!$D$3:$D$1275,"MP"),"")</f>
        <v/>
      </c>
      <c r="L12" s="49">
        <f>IFERROR(1-(COUNTIFS(TRACKER!$C$3:$C$1275,A12,TRACKER!$D$3:$D$1275,"PE",TRACKER!$G$3:$G$1275,"Passed")+COUNTIFS(TRACKER!$C$3:$C$1275,A12,TRACKER!$D$3:$D$1275,"PE",TRACKER!$G$3:$G$1275,"Accepted Exception"))/COUNTIFS(TRACKER!$C$3:$C$1275,A12,TRACKER!$D$3:$D$1275,"PE"),"")</f>
        <v/>
      </c>
      <c r="M12" s="49">
        <f>IFERROR(1-(COUNTIFS(TRACKER!$C$3:$C$1275,A12,TRACKER!$D$3:$D$1275,"PL",TRACKER!$G$3:$G$1275,"Passed")+COUNTIFS(TRACKER!$C$3:$C$1275,A12,TRACKER!$D$3:$D$1275,"PL",TRACKER!$G$3:$G$1275,"Accepted Exception"))/COUNTIFS(TRACKER!$C$3:$C$1275,A12,TRACKER!$D$3:$D$1275,"PL"),"")</f>
        <v/>
      </c>
      <c r="N12" s="49">
        <f>IFERROR(1-(COUNTIFS(TRACKER!$C$3:$C$1275,A12,TRACKER!$D$3:$D$1275,"PS",TRACKER!$G$3:$G$1275,"Passed")+COUNTIFS(TRACKER!$C$3:$C$1275,A12,TRACKER!$D$3:$D$1275,"PS",TRACKER!$G$3:$G$1275,"Accepted Exception"))/COUNTIFS(TRACKER!$C$3:$C$1275,A12,TRACKER!$D$3:$D$1275,"PS"),"")</f>
        <v/>
      </c>
      <c r="O12" s="49">
        <f>IFERROR(1-(COUNTIFS(TRACKER!$C$3:$C$1275,A12,TRACKER!$D$3:$D$1275,"RA",TRACKER!$G$3:$G$1275,"Passed")+COUNTIFS(TRACKER!$C$3:$C$1275,A12,TRACKER!$D$3:$D$1275,"RA",TRACKER!$G$3:$G$1275,"Accepted Exception"))/COUNTIFS(TRACKER!$C$3:$C$1275,A12,TRACKER!$D$3:$D$1275,"RA"),"")</f>
        <v/>
      </c>
      <c r="P12" s="49">
        <f>IFERROR(1-(COUNTIFS(TRACKER!$C$3:$C$1275,A12,TRACKER!$D$3:$D$1275,"SA",TRACKER!$G$3:$G$1275,"Passed")+COUNTIFS(TRACKER!$C$3:$C$1275,A12,TRACKER!$D$3:$D$1275,"SA",TRACKER!$G$3:$G$1275,"Accepted Exception"))/COUNTIFS(TRACKER!$C$3:$C$1275,A12,TRACKER!$D$3:$D$1275,"SA"),"")</f>
        <v/>
      </c>
      <c r="Q12" s="49">
        <f>IFERROR(1-(COUNTIFS(TRACKER!$C$3:$C$1275,A12,TRACKER!$D$3:$D$1275,"SC",TRACKER!$G$3:$G$1275,"Passed")+COUNTIFS(TRACKER!$C$3:$C$1275,A12,TRACKER!$D$3:$D$1275,"SC",TRACKER!$G$3:$G$1275,"Accepted Exception"))/COUNTIFS(TRACKER!$C$3:$C$1275,A12,TRACKER!$D$3:$D$1275,"SC"),"")</f>
        <v/>
      </c>
      <c r="R12" s="49">
        <f>IFERROR(1-(COUNTIFS(TRACKER!$C$3:$C$1275,A12,TRACKER!$D$3:$D$1275,"SI",TRACKER!$G$3:$G$1275,"Passed")+COUNTIFS(TRACKER!$C$3:$C$1275,A12,TRACKER!$D$3:$D$1275,"SI",TRACKER!$G$3:$G$1275,"Accepted Exception"))/COUNTIFS(TRACKER!$C$3:$C$1275,A12,TRACKER!$D$3:$D$1275,"SI"),"")</f>
        <v/>
      </c>
    </row>
    <row r="13" ht="20" customHeight="1">
      <c r="A13" s="46" t="inlineStr">
        <is>
          <t>Microsoft-Descoped</t>
        </is>
      </c>
      <c r="B13" s="47">
        <f>IFERROR(1-(COUNTIFS(TRACKER!$C$3:$C$1275,A13,TRACKER!$D$3:$D$1275,"AC",TRACKER!$G$3:$G$1275,"Passed")+COUNTIFS(TRACKER!$C$3:$C$1275,A13,TRACKER!$D$3:$D$1275,"AC",TRACKER!$G$3:$G$1275,"Accepted Exception"))/COUNTIFS(TRACKER!$C$3:$C$1275,A13,TRACKER!$D$3:$D$1275,"AC"),"")</f>
        <v/>
      </c>
      <c r="C13" s="47">
        <f>IFERROR(1-(COUNTIFS(TRACKER!$C$3:$C$1275,A13,TRACKER!$D$3:$D$1275,"AT",TRACKER!$G$3:$G$1275,"Passed")+COUNTIFS(TRACKER!$C$3:$C$1275,A13,TRACKER!$D$3:$D$1275,"AT",TRACKER!$G$3:$G$1275,"Accepted Exception"))/COUNTIFS(TRACKER!$C$3:$C$1275,A13,TRACKER!$D$3:$D$1275,"AT"),"")</f>
        <v/>
      </c>
      <c r="D13" s="47">
        <f>IFERROR(1-(COUNTIFS(TRACKER!$C$3:$C$1275,A13,TRACKER!$D$3:$D$1275,"AU",TRACKER!$G$3:$G$1275,"Passed")+COUNTIFS(TRACKER!$C$3:$C$1275,A13,TRACKER!$D$3:$D$1275,"AU",TRACKER!$G$3:$G$1275,"Accepted Exception"))/COUNTIFS(TRACKER!$C$3:$C$1275,A13,TRACKER!$D$3:$D$1275,"AU"),"")</f>
        <v/>
      </c>
      <c r="E13" s="47">
        <f>IFERROR(1-(COUNTIFS(TRACKER!$C$3:$C$1275,A13,TRACKER!$D$3:$D$1275,"CA",TRACKER!$G$3:$G$1275,"Passed")+COUNTIFS(TRACKER!$C$3:$C$1275,A13,TRACKER!$D$3:$D$1275,"CA",TRACKER!$G$3:$G$1275,"Accepted Exception"))/COUNTIFS(TRACKER!$C$3:$C$1275,A13,TRACKER!$D$3:$D$1275,"CA"),"")</f>
        <v/>
      </c>
      <c r="F13" s="47">
        <f>IFERROR(1-(COUNTIFS(TRACKER!$C$3:$C$1275,A13,TRACKER!$D$3:$D$1275,"CM",TRACKER!$G$3:$G$1275,"Passed")+COUNTIFS(TRACKER!$C$3:$C$1275,A13,TRACKER!$D$3:$D$1275,"CM",TRACKER!$G$3:$G$1275,"Accepted Exception"))/COUNTIFS(TRACKER!$C$3:$C$1275,A13,TRACKER!$D$3:$D$1275,"CM"),"")</f>
        <v/>
      </c>
      <c r="G13" s="47">
        <f>IFERROR(1-(COUNTIFS(TRACKER!$C$3:$C$1275,A13,TRACKER!$D$3:$D$1275,"CP",TRACKER!$G$3:$G$1275,"Passed")+COUNTIFS(TRACKER!$C$3:$C$1275,A13,TRACKER!$D$3:$D$1275,"CP",TRACKER!$G$3:$G$1275,"Accepted Exception"))/COUNTIFS(TRACKER!$C$3:$C$1275,A13,TRACKER!$D$3:$D$1275,"CP"),"")</f>
        <v/>
      </c>
      <c r="H13" s="47">
        <f>IFERROR(1-(COUNTIFS(TRACKER!$C$3:$C$1275,A13,TRACKER!$D$3:$D$1275,"IA",TRACKER!$G$3:$G$1275,"Passed")+COUNTIFS(TRACKER!$C$3:$C$1275,A13,TRACKER!$D$3:$D$1275,"IA",TRACKER!$G$3:$G$1275,"Accepted Exception"))/COUNTIFS(TRACKER!$C$3:$C$1275,A13,TRACKER!$D$3:$D$1275,"IA"),"")</f>
        <v/>
      </c>
      <c r="I13" s="47">
        <f>IFERROR(1-(COUNTIFS(TRACKER!$C$3:$C$1275,A13,TRACKER!$D$3:$D$1275,"IR",TRACKER!$G$3:$G$1275,"Passed")+COUNTIFS(TRACKER!$C$3:$C$1275,A13,TRACKER!$D$3:$D$1275,"IR",TRACKER!$G$3:$G$1275,"Accepted Exception"))/COUNTIFS(TRACKER!$C$3:$C$1275,A13,TRACKER!$D$3:$D$1275,"IR"),"")</f>
        <v/>
      </c>
      <c r="J13" s="47">
        <f>IFERROR(1-(COUNTIFS(TRACKER!$C$3:$C$1275,A13,TRACKER!$D$3:$D$1275,"MA",TRACKER!$G$3:$G$1275,"Passed")+COUNTIFS(TRACKER!$C$3:$C$1275,A13,TRACKER!$D$3:$D$1275,"MA",TRACKER!$G$3:$G$1275,"Accepted Exception"))/COUNTIFS(TRACKER!$C$3:$C$1275,A13,TRACKER!$D$3:$D$1275,"MA"),"")</f>
        <v/>
      </c>
      <c r="K13" s="47">
        <f>IFERROR(1-(COUNTIFS(TRACKER!$C$3:$C$1275,A13,TRACKER!$D$3:$D$1275,"MP",TRACKER!$G$3:$G$1275,"Passed")+COUNTIFS(TRACKER!$C$3:$C$1275,A13,TRACKER!$D$3:$D$1275,"MP",TRACKER!$G$3:$G$1275,"Accepted Exception"))/COUNTIFS(TRACKER!$C$3:$C$1275,A13,TRACKER!$D$3:$D$1275,"MP"),"")</f>
        <v/>
      </c>
      <c r="L13" s="47">
        <f>IFERROR(1-(COUNTIFS(TRACKER!$C$3:$C$1275,A13,TRACKER!$D$3:$D$1275,"PE",TRACKER!$G$3:$G$1275,"Passed")+COUNTIFS(TRACKER!$C$3:$C$1275,A13,TRACKER!$D$3:$D$1275,"PE",TRACKER!$G$3:$G$1275,"Accepted Exception"))/COUNTIFS(TRACKER!$C$3:$C$1275,A13,TRACKER!$D$3:$D$1275,"PE"),"")</f>
        <v/>
      </c>
      <c r="M13" s="47">
        <f>IFERROR(1-(COUNTIFS(TRACKER!$C$3:$C$1275,A13,TRACKER!$D$3:$D$1275,"PL",TRACKER!$G$3:$G$1275,"Passed")+COUNTIFS(TRACKER!$C$3:$C$1275,A13,TRACKER!$D$3:$D$1275,"PL",TRACKER!$G$3:$G$1275,"Accepted Exception"))/COUNTIFS(TRACKER!$C$3:$C$1275,A13,TRACKER!$D$3:$D$1275,"PL"),"")</f>
        <v/>
      </c>
      <c r="N13" s="47">
        <f>IFERROR(1-(COUNTIFS(TRACKER!$C$3:$C$1275,A13,TRACKER!$D$3:$D$1275,"PS",TRACKER!$G$3:$G$1275,"Passed")+COUNTIFS(TRACKER!$C$3:$C$1275,A13,TRACKER!$D$3:$D$1275,"PS",TRACKER!$G$3:$G$1275,"Accepted Exception"))/COUNTIFS(TRACKER!$C$3:$C$1275,A13,TRACKER!$D$3:$D$1275,"PS"),"")</f>
        <v/>
      </c>
      <c r="O13" s="47">
        <f>IFERROR(1-(COUNTIFS(TRACKER!$C$3:$C$1275,A13,TRACKER!$D$3:$D$1275,"RA",TRACKER!$G$3:$G$1275,"Passed")+COUNTIFS(TRACKER!$C$3:$C$1275,A13,TRACKER!$D$3:$D$1275,"RA",TRACKER!$G$3:$G$1275,"Accepted Exception"))/COUNTIFS(TRACKER!$C$3:$C$1275,A13,TRACKER!$D$3:$D$1275,"RA"),"")</f>
        <v/>
      </c>
      <c r="P13" s="47">
        <f>IFERROR(1-(COUNTIFS(TRACKER!$C$3:$C$1275,A13,TRACKER!$D$3:$D$1275,"SA",TRACKER!$G$3:$G$1275,"Passed")+COUNTIFS(TRACKER!$C$3:$C$1275,A13,TRACKER!$D$3:$D$1275,"SA",TRACKER!$G$3:$G$1275,"Accepted Exception"))/COUNTIFS(TRACKER!$C$3:$C$1275,A13,TRACKER!$D$3:$D$1275,"SA"),"")</f>
        <v/>
      </c>
      <c r="Q13" s="47">
        <f>IFERROR(1-(COUNTIFS(TRACKER!$C$3:$C$1275,A13,TRACKER!$D$3:$D$1275,"SC",TRACKER!$G$3:$G$1275,"Passed")+COUNTIFS(TRACKER!$C$3:$C$1275,A13,TRACKER!$D$3:$D$1275,"SC",TRACKER!$G$3:$G$1275,"Accepted Exception"))/COUNTIFS(TRACKER!$C$3:$C$1275,A13,TRACKER!$D$3:$D$1275,"SC"),"")</f>
        <v/>
      </c>
      <c r="R13" s="47">
        <f>IFERROR(1-(COUNTIFS(TRACKER!$C$3:$C$1275,A13,TRACKER!$D$3:$D$1275,"SI",TRACKER!$G$3:$G$1275,"Passed")+COUNTIFS(TRACKER!$C$3:$C$1275,A13,TRACKER!$D$3:$D$1275,"SI",TRACKER!$G$3:$G$1275,"Accepted Exception"))/COUNTIFS(TRACKER!$C$3:$C$1275,A13,TRACKER!$D$3:$D$1275,"SI"),"")</f>
        <v/>
      </c>
    </row>
    <row r="14" ht="20" customHeight="1">
      <c r="A14" s="48" t="inlineStr">
        <is>
          <t>Networking</t>
        </is>
      </c>
      <c r="B14" s="49">
        <f>IFERROR(1-(COUNTIFS(TRACKER!$C$3:$C$1275,A14,TRACKER!$D$3:$D$1275,"AC",TRACKER!$G$3:$G$1275,"Passed")+COUNTIFS(TRACKER!$C$3:$C$1275,A14,TRACKER!$D$3:$D$1275,"AC",TRACKER!$G$3:$G$1275,"Accepted Exception"))/COUNTIFS(TRACKER!$C$3:$C$1275,A14,TRACKER!$D$3:$D$1275,"AC"),"")</f>
        <v/>
      </c>
      <c r="C14" s="49">
        <f>IFERROR(1-(COUNTIFS(TRACKER!$C$3:$C$1275,A14,TRACKER!$D$3:$D$1275,"AT",TRACKER!$G$3:$G$1275,"Passed")+COUNTIFS(TRACKER!$C$3:$C$1275,A14,TRACKER!$D$3:$D$1275,"AT",TRACKER!$G$3:$G$1275,"Accepted Exception"))/COUNTIFS(TRACKER!$C$3:$C$1275,A14,TRACKER!$D$3:$D$1275,"AT"),"")</f>
        <v/>
      </c>
      <c r="D14" s="49">
        <f>IFERROR(1-(COUNTIFS(TRACKER!$C$3:$C$1275,A14,TRACKER!$D$3:$D$1275,"AU",TRACKER!$G$3:$G$1275,"Passed")+COUNTIFS(TRACKER!$C$3:$C$1275,A14,TRACKER!$D$3:$D$1275,"AU",TRACKER!$G$3:$G$1275,"Accepted Exception"))/COUNTIFS(TRACKER!$C$3:$C$1275,A14,TRACKER!$D$3:$D$1275,"AU"),"")</f>
        <v/>
      </c>
      <c r="E14" s="49">
        <f>IFERROR(1-(COUNTIFS(TRACKER!$C$3:$C$1275,A14,TRACKER!$D$3:$D$1275,"CA",TRACKER!$G$3:$G$1275,"Passed")+COUNTIFS(TRACKER!$C$3:$C$1275,A14,TRACKER!$D$3:$D$1275,"CA",TRACKER!$G$3:$G$1275,"Accepted Exception"))/COUNTIFS(TRACKER!$C$3:$C$1275,A14,TRACKER!$D$3:$D$1275,"CA"),"")</f>
        <v/>
      </c>
      <c r="F14" s="49">
        <f>IFERROR(1-(COUNTIFS(TRACKER!$C$3:$C$1275,A14,TRACKER!$D$3:$D$1275,"CM",TRACKER!$G$3:$G$1275,"Passed")+COUNTIFS(TRACKER!$C$3:$C$1275,A14,TRACKER!$D$3:$D$1275,"CM",TRACKER!$G$3:$G$1275,"Accepted Exception"))/COUNTIFS(TRACKER!$C$3:$C$1275,A14,TRACKER!$D$3:$D$1275,"CM"),"")</f>
        <v/>
      </c>
      <c r="G14" s="49">
        <f>IFERROR(1-(COUNTIFS(TRACKER!$C$3:$C$1275,A14,TRACKER!$D$3:$D$1275,"CP",TRACKER!$G$3:$G$1275,"Passed")+COUNTIFS(TRACKER!$C$3:$C$1275,A14,TRACKER!$D$3:$D$1275,"CP",TRACKER!$G$3:$G$1275,"Accepted Exception"))/COUNTIFS(TRACKER!$C$3:$C$1275,A14,TRACKER!$D$3:$D$1275,"CP"),"")</f>
        <v/>
      </c>
      <c r="H14" s="49">
        <f>IFERROR(1-(COUNTIFS(TRACKER!$C$3:$C$1275,A14,TRACKER!$D$3:$D$1275,"IA",TRACKER!$G$3:$G$1275,"Passed")+COUNTIFS(TRACKER!$C$3:$C$1275,A14,TRACKER!$D$3:$D$1275,"IA",TRACKER!$G$3:$G$1275,"Accepted Exception"))/COUNTIFS(TRACKER!$C$3:$C$1275,A14,TRACKER!$D$3:$D$1275,"IA"),"")</f>
        <v/>
      </c>
      <c r="I14" s="49">
        <f>IFERROR(1-(COUNTIFS(TRACKER!$C$3:$C$1275,A14,TRACKER!$D$3:$D$1275,"IR",TRACKER!$G$3:$G$1275,"Passed")+COUNTIFS(TRACKER!$C$3:$C$1275,A14,TRACKER!$D$3:$D$1275,"IR",TRACKER!$G$3:$G$1275,"Accepted Exception"))/COUNTIFS(TRACKER!$C$3:$C$1275,A14,TRACKER!$D$3:$D$1275,"IR"),"")</f>
        <v/>
      </c>
      <c r="J14" s="49">
        <f>IFERROR(1-(COUNTIFS(TRACKER!$C$3:$C$1275,A14,TRACKER!$D$3:$D$1275,"MA",TRACKER!$G$3:$G$1275,"Passed")+COUNTIFS(TRACKER!$C$3:$C$1275,A14,TRACKER!$D$3:$D$1275,"MA",TRACKER!$G$3:$G$1275,"Accepted Exception"))/COUNTIFS(TRACKER!$C$3:$C$1275,A14,TRACKER!$D$3:$D$1275,"MA"),"")</f>
        <v/>
      </c>
      <c r="K14" s="49">
        <f>IFERROR(1-(COUNTIFS(TRACKER!$C$3:$C$1275,A14,TRACKER!$D$3:$D$1275,"MP",TRACKER!$G$3:$G$1275,"Passed")+COUNTIFS(TRACKER!$C$3:$C$1275,A14,TRACKER!$D$3:$D$1275,"MP",TRACKER!$G$3:$G$1275,"Accepted Exception"))/COUNTIFS(TRACKER!$C$3:$C$1275,A14,TRACKER!$D$3:$D$1275,"MP"),"")</f>
        <v/>
      </c>
      <c r="L14" s="49">
        <f>IFERROR(1-(COUNTIFS(TRACKER!$C$3:$C$1275,A14,TRACKER!$D$3:$D$1275,"PE",TRACKER!$G$3:$G$1275,"Passed")+COUNTIFS(TRACKER!$C$3:$C$1275,A14,TRACKER!$D$3:$D$1275,"PE",TRACKER!$G$3:$G$1275,"Accepted Exception"))/COUNTIFS(TRACKER!$C$3:$C$1275,A14,TRACKER!$D$3:$D$1275,"PE"),"")</f>
        <v/>
      </c>
      <c r="M14" s="49">
        <f>IFERROR(1-(COUNTIFS(TRACKER!$C$3:$C$1275,A14,TRACKER!$D$3:$D$1275,"PL",TRACKER!$G$3:$G$1275,"Passed")+COUNTIFS(TRACKER!$C$3:$C$1275,A14,TRACKER!$D$3:$D$1275,"PL",TRACKER!$G$3:$G$1275,"Accepted Exception"))/COUNTIFS(TRACKER!$C$3:$C$1275,A14,TRACKER!$D$3:$D$1275,"PL"),"")</f>
        <v/>
      </c>
      <c r="N14" s="49">
        <f>IFERROR(1-(COUNTIFS(TRACKER!$C$3:$C$1275,A14,TRACKER!$D$3:$D$1275,"PS",TRACKER!$G$3:$G$1275,"Passed")+COUNTIFS(TRACKER!$C$3:$C$1275,A14,TRACKER!$D$3:$D$1275,"PS",TRACKER!$G$3:$G$1275,"Accepted Exception"))/COUNTIFS(TRACKER!$C$3:$C$1275,A14,TRACKER!$D$3:$D$1275,"PS"),"")</f>
        <v/>
      </c>
      <c r="O14" s="49">
        <f>IFERROR(1-(COUNTIFS(TRACKER!$C$3:$C$1275,A14,TRACKER!$D$3:$D$1275,"RA",TRACKER!$G$3:$G$1275,"Passed")+COUNTIFS(TRACKER!$C$3:$C$1275,A14,TRACKER!$D$3:$D$1275,"RA",TRACKER!$G$3:$G$1275,"Accepted Exception"))/COUNTIFS(TRACKER!$C$3:$C$1275,A14,TRACKER!$D$3:$D$1275,"RA"),"")</f>
        <v/>
      </c>
      <c r="P14" s="49">
        <f>IFERROR(1-(COUNTIFS(TRACKER!$C$3:$C$1275,A14,TRACKER!$D$3:$D$1275,"SA",TRACKER!$G$3:$G$1275,"Passed")+COUNTIFS(TRACKER!$C$3:$C$1275,A14,TRACKER!$D$3:$D$1275,"SA",TRACKER!$G$3:$G$1275,"Accepted Exception"))/COUNTIFS(TRACKER!$C$3:$C$1275,A14,TRACKER!$D$3:$D$1275,"SA"),"")</f>
        <v/>
      </c>
      <c r="Q14" s="49">
        <f>IFERROR(1-(COUNTIFS(TRACKER!$C$3:$C$1275,A14,TRACKER!$D$3:$D$1275,"SC",TRACKER!$G$3:$G$1275,"Passed")+COUNTIFS(TRACKER!$C$3:$C$1275,A14,TRACKER!$D$3:$D$1275,"SC",TRACKER!$G$3:$G$1275,"Accepted Exception"))/COUNTIFS(TRACKER!$C$3:$C$1275,A14,TRACKER!$D$3:$D$1275,"SC"),"")</f>
        <v/>
      </c>
      <c r="R14" s="49">
        <f>IFERROR(1-(COUNTIFS(TRACKER!$C$3:$C$1275,A14,TRACKER!$D$3:$D$1275,"SI",TRACKER!$G$3:$G$1275,"Passed")+COUNTIFS(TRACKER!$C$3:$C$1275,A14,TRACKER!$D$3:$D$1275,"SI",TRACKER!$G$3:$G$1275,"Accepted Exception"))/COUNTIFS(TRACKER!$C$3:$C$1275,A14,TRACKER!$D$3:$D$1275,"SI"),"")</f>
        <v/>
      </c>
    </row>
    <row r="15" ht="20" customHeight="1">
      <c r="A15" s="46" t="inlineStr">
        <is>
          <t>Palo Alto Firewalls</t>
        </is>
      </c>
      <c r="B15" s="47">
        <f>IFERROR(1-(COUNTIFS(TRACKER!$C$3:$C$1275,A15,TRACKER!$D$3:$D$1275,"AC",TRACKER!$G$3:$G$1275,"Passed")+COUNTIFS(TRACKER!$C$3:$C$1275,A15,TRACKER!$D$3:$D$1275,"AC",TRACKER!$G$3:$G$1275,"Accepted Exception"))/COUNTIFS(TRACKER!$C$3:$C$1275,A15,TRACKER!$D$3:$D$1275,"AC"),"")</f>
        <v/>
      </c>
      <c r="C15" s="47">
        <f>IFERROR(1-(COUNTIFS(TRACKER!$C$3:$C$1275,A15,TRACKER!$D$3:$D$1275,"AT",TRACKER!$G$3:$G$1275,"Passed")+COUNTIFS(TRACKER!$C$3:$C$1275,A15,TRACKER!$D$3:$D$1275,"AT",TRACKER!$G$3:$G$1275,"Accepted Exception"))/COUNTIFS(TRACKER!$C$3:$C$1275,A15,TRACKER!$D$3:$D$1275,"AT"),"")</f>
        <v/>
      </c>
      <c r="D15" s="47">
        <f>IFERROR(1-(COUNTIFS(TRACKER!$C$3:$C$1275,A15,TRACKER!$D$3:$D$1275,"AU",TRACKER!$G$3:$G$1275,"Passed")+COUNTIFS(TRACKER!$C$3:$C$1275,A15,TRACKER!$D$3:$D$1275,"AU",TRACKER!$G$3:$G$1275,"Accepted Exception"))/COUNTIFS(TRACKER!$C$3:$C$1275,A15,TRACKER!$D$3:$D$1275,"AU"),"")</f>
        <v/>
      </c>
      <c r="E15" s="47">
        <f>IFERROR(1-(COUNTIFS(TRACKER!$C$3:$C$1275,A15,TRACKER!$D$3:$D$1275,"CA",TRACKER!$G$3:$G$1275,"Passed")+COUNTIFS(TRACKER!$C$3:$C$1275,A15,TRACKER!$D$3:$D$1275,"CA",TRACKER!$G$3:$G$1275,"Accepted Exception"))/COUNTIFS(TRACKER!$C$3:$C$1275,A15,TRACKER!$D$3:$D$1275,"CA"),"")</f>
        <v/>
      </c>
      <c r="F15" s="47">
        <f>IFERROR(1-(COUNTIFS(TRACKER!$C$3:$C$1275,A15,TRACKER!$D$3:$D$1275,"CM",TRACKER!$G$3:$G$1275,"Passed")+COUNTIFS(TRACKER!$C$3:$C$1275,A15,TRACKER!$D$3:$D$1275,"CM",TRACKER!$G$3:$G$1275,"Accepted Exception"))/COUNTIFS(TRACKER!$C$3:$C$1275,A15,TRACKER!$D$3:$D$1275,"CM"),"")</f>
        <v/>
      </c>
      <c r="G15" s="47">
        <f>IFERROR(1-(COUNTIFS(TRACKER!$C$3:$C$1275,A15,TRACKER!$D$3:$D$1275,"CP",TRACKER!$G$3:$G$1275,"Passed")+COUNTIFS(TRACKER!$C$3:$C$1275,A15,TRACKER!$D$3:$D$1275,"CP",TRACKER!$G$3:$G$1275,"Accepted Exception"))/COUNTIFS(TRACKER!$C$3:$C$1275,A15,TRACKER!$D$3:$D$1275,"CP"),"")</f>
        <v/>
      </c>
      <c r="H15" s="47">
        <f>IFERROR(1-(COUNTIFS(TRACKER!$C$3:$C$1275,A15,TRACKER!$D$3:$D$1275,"IA",TRACKER!$G$3:$G$1275,"Passed")+COUNTIFS(TRACKER!$C$3:$C$1275,A15,TRACKER!$D$3:$D$1275,"IA",TRACKER!$G$3:$G$1275,"Accepted Exception"))/COUNTIFS(TRACKER!$C$3:$C$1275,A15,TRACKER!$D$3:$D$1275,"IA"),"")</f>
        <v/>
      </c>
      <c r="I15" s="47">
        <f>IFERROR(1-(COUNTIFS(TRACKER!$C$3:$C$1275,A15,TRACKER!$D$3:$D$1275,"IR",TRACKER!$G$3:$G$1275,"Passed")+COUNTIFS(TRACKER!$C$3:$C$1275,A15,TRACKER!$D$3:$D$1275,"IR",TRACKER!$G$3:$G$1275,"Accepted Exception"))/COUNTIFS(TRACKER!$C$3:$C$1275,A15,TRACKER!$D$3:$D$1275,"IR"),"")</f>
        <v/>
      </c>
      <c r="J15" s="47">
        <f>IFERROR(1-(COUNTIFS(TRACKER!$C$3:$C$1275,A15,TRACKER!$D$3:$D$1275,"MA",TRACKER!$G$3:$G$1275,"Passed")+COUNTIFS(TRACKER!$C$3:$C$1275,A15,TRACKER!$D$3:$D$1275,"MA",TRACKER!$G$3:$G$1275,"Accepted Exception"))/COUNTIFS(TRACKER!$C$3:$C$1275,A15,TRACKER!$D$3:$D$1275,"MA"),"")</f>
        <v/>
      </c>
      <c r="K15" s="47">
        <f>IFERROR(1-(COUNTIFS(TRACKER!$C$3:$C$1275,A15,TRACKER!$D$3:$D$1275,"MP",TRACKER!$G$3:$G$1275,"Passed")+COUNTIFS(TRACKER!$C$3:$C$1275,A15,TRACKER!$D$3:$D$1275,"MP",TRACKER!$G$3:$G$1275,"Accepted Exception"))/COUNTIFS(TRACKER!$C$3:$C$1275,A15,TRACKER!$D$3:$D$1275,"MP"),"")</f>
        <v/>
      </c>
      <c r="L15" s="47">
        <f>IFERROR(1-(COUNTIFS(TRACKER!$C$3:$C$1275,A15,TRACKER!$D$3:$D$1275,"PE",TRACKER!$G$3:$G$1275,"Passed")+COUNTIFS(TRACKER!$C$3:$C$1275,A15,TRACKER!$D$3:$D$1275,"PE",TRACKER!$G$3:$G$1275,"Accepted Exception"))/COUNTIFS(TRACKER!$C$3:$C$1275,A15,TRACKER!$D$3:$D$1275,"PE"),"")</f>
        <v/>
      </c>
      <c r="M15" s="47">
        <f>IFERROR(1-(COUNTIFS(TRACKER!$C$3:$C$1275,A15,TRACKER!$D$3:$D$1275,"PL",TRACKER!$G$3:$G$1275,"Passed")+COUNTIFS(TRACKER!$C$3:$C$1275,A15,TRACKER!$D$3:$D$1275,"PL",TRACKER!$G$3:$G$1275,"Accepted Exception"))/COUNTIFS(TRACKER!$C$3:$C$1275,A15,TRACKER!$D$3:$D$1275,"PL"),"")</f>
        <v/>
      </c>
      <c r="N15" s="47">
        <f>IFERROR(1-(COUNTIFS(TRACKER!$C$3:$C$1275,A15,TRACKER!$D$3:$D$1275,"PS",TRACKER!$G$3:$G$1275,"Passed")+COUNTIFS(TRACKER!$C$3:$C$1275,A15,TRACKER!$D$3:$D$1275,"PS",TRACKER!$G$3:$G$1275,"Accepted Exception"))/COUNTIFS(TRACKER!$C$3:$C$1275,A15,TRACKER!$D$3:$D$1275,"PS"),"")</f>
        <v/>
      </c>
      <c r="O15" s="47">
        <f>IFERROR(1-(COUNTIFS(TRACKER!$C$3:$C$1275,A15,TRACKER!$D$3:$D$1275,"RA",TRACKER!$G$3:$G$1275,"Passed")+COUNTIFS(TRACKER!$C$3:$C$1275,A15,TRACKER!$D$3:$D$1275,"RA",TRACKER!$G$3:$G$1275,"Accepted Exception"))/COUNTIFS(TRACKER!$C$3:$C$1275,A15,TRACKER!$D$3:$D$1275,"RA"),"")</f>
        <v/>
      </c>
      <c r="P15" s="47">
        <f>IFERROR(1-(COUNTIFS(TRACKER!$C$3:$C$1275,A15,TRACKER!$D$3:$D$1275,"SA",TRACKER!$G$3:$G$1275,"Passed")+COUNTIFS(TRACKER!$C$3:$C$1275,A15,TRACKER!$D$3:$D$1275,"SA",TRACKER!$G$3:$G$1275,"Accepted Exception"))/COUNTIFS(TRACKER!$C$3:$C$1275,A15,TRACKER!$D$3:$D$1275,"SA"),"")</f>
        <v/>
      </c>
      <c r="Q15" s="47">
        <f>IFERROR(1-(COUNTIFS(TRACKER!$C$3:$C$1275,A15,TRACKER!$D$3:$D$1275,"SC",TRACKER!$G$3:$G$1275,"Passed")+COUNTIFS(TRACKER!$C$3:$C$1275,A15,TRACKER!$D$3:$D$1275,"SC",TRACKER!$G$3:$G$1275,"Accepted Exception"))/COUNTIFS(TRACKER!$C$3:$C$1275,A15,TRACKER!$D$3:$D$1275,"SC"),"")</f>
        <v/>
      </c>
      <c r="R15" s="47">
        <f>IFERROR(1-(COUNTIFS(TRACKER!$C$3:$C$1275,A15,TRACKER!$D$3:$D$1275,"SI",TRACKER!$G$3:$G$1275,"Passed")+COUNTIFS(TRACKER!$C$3:$C$1275,A15,TRACKER!$D$3:$D$1275,"SI",TRACKER!$G$3:$G$1275,"Accepted Exception"))/COUNTIFS(TRACKER!$C$3:$C$1275,A15,TRACKER!$D$3:$D$1275,"SI"),"")</f>
        <v/>
      </c>
    </row>
    <row r="16" ht="20" customHeight="1">
      <c r="A16" s="48" t="inlineStr">
        <is>
          <t>Panorama</t>
        </is>
      </c>
      <c r="B16" s="49">
        <f>IFERROR(1-(COUNTIFS(TRACKER!$C$3:$C$1275,A16,TRACKER!$D$3:$D$1275,"AC",TRACKER!$G$3:$G$1275,"Passed")+COUNTIFS(TRACKER!$C$3:$C$1275,A16,TRACKER!$D$3:$D$1275,"AC",TRACKER!$G$3:$G$1275,"Accepted Exception"))/COUNTIFS(TRACKER!$C$3:$C$1275,A16,TRACKER!$D$3:$D$1275,"AC"),"")</f>
        <v/>
      </c>
      <c r="C16" s="49">
        <f>IFERROR(1-(COUNTIFS(TRACKER!$C$3:$C$1275,A16,TRACKER!$D$3:$D$1275,"AT",TRACKER!$G$3:$G$1275,"Passed")+COUNTIFS(TRACKER!$C$3:$C$1275,A16,TRACKER!$D$3:$D$1275,"AT",TRACKER!$G$3:$G$1275,"Accepted Exception"))/COUNTIFS(TRACKER!$C$3:$C$1275,A16,TRACKER!$D$3:$D$1275,"AT"),"")</f>
        <v/>
      </c>
      <c r="D16" s="49">
        <f>IFERROR(1-(COUNTIFS(TRACKER!$C$3:$C$1275,A16,TRACKER!$D$3:$D$1275,"AU",TRACKER!$G$3:$G$1275,"Passed")+COUNTIFS(TRACKER!$C$3:$C$1275,A16,TRACKER!$D$3:$D$1275,"AU",TRACKER!$G$3:$G$1275,"Accepted Exception"))/COUNTIFS(TRACKER!$C$3:$C$1275,A16,TRACKER!$D$3:$D$1275,"AU"),"")</f>
        <v/>
      </c>
      <c r="E16" s="49">
        <f>IFERROR(1-(COUNTIFS(TRACKER!$C$3:$C$1275,A16,TRACKER!$D$3:$D$1275,"CA",TRACKER!$G$3:$G$1275,"Passed")+COUNTIFS(TRACKER!$C$3:$C$1275,A16,TRACKER!$D$3:$D$1275,"CA",TRACKER!$G$3:$G$1275,"Accepted Exception"))/COUNTIFS(TRACKER!$C$3:$C$1275,A16,TRACKER!$D$3:$D$1275,"CA"),"")</f>
        <v/>
      </c>
      <c r="F16" s="49">
        <f>IFERROR(1-(COUNTIFS(TRACKER!$C$3:$C$1275,A16,TRACKER!$D$3:$D$1275,"CM",TRACKER!$G$3:$G$1275,"Passed")+COUNTIFS(TRACKER!$C$3:$C$1275,A16,TRACKER!$D$3:$D$1275,"CM",TRACKER!$G$3:$G$1275,"Accepted Exception"))/COUNTIFS(TRACKER!$C$3:$C$1275,A16,TRACKER!$D$3:$D$1275,"CM"),"")</f>
        <v/>
      </c>
      <c r="G16" s="49">
        <f>IFERROR(1-(COUNTIFS(TRACKER!$C$3:$C$1275,A16,TRACKER!$D$3:$D$1275,"CP",TRACKER!$G$3:$G$1275,"Passed")+COUNTIFS(TRACKER!$C$3:$C$1275,A16,TRACKER!$D$3:$D$1275,"CP",TRACKER!$G$3:$G$1275,"Accepted Exception"))/COUNTIFS(TRACKER!$C$3:$C$1275,A16,TRACKER!$D$3:$D$1275,"CP"),"")</f>
        <v/>
      </c>
      <c r="H16" s="49">
        <f>IFERROR(1-(COUNTIFS(TRACKER!$C$3:$C$1275,A16,TRACKER!$D$3:$D$1275,"IA",TRACKER!$G$3:$G$1275,"Passed")+COUNTIFS(TRACKER!$C$3:$C$1275,A16,TRACKER!$D$3:$D$1275,"IA",TRACKER!$G$3:$G$1275,"Accepted Exception"))/COUNTIFS(TRACKER!$C$3:$C$1275,A16,TRACKER!$D$3:$D$1275,"IA"),"")</f>
        <v/>
      </c>
      <c r="I16" s="49">
        <f>IFERROR(1-(COUNTIFS(TRACKER!$C$3:$C$1275,A16,TRACKER!$D$3:$D$1275,"IR",TRACKER!$G$3:$G$1275,"Passed")+COUNTIFS(TRACKER!$C$3:$C$1275,A16,TRACKER!$D$3:$D$1275,"IR",TRACKER!$G$3:$G$1275,"Accepted Exception"))/COUNTIFS(TRACKER!$C$3:$C$1275,A16,TRACKER!$D$3:$D$1275,"IR"),"")</f>
        <v/>
      </c>
      <c r="J16" s="49">
        <f>IFERROR(1-(COUNTIFS(TRACKER!$C$3:$C$1275,A16,TRACKER!$D$3:$D$1275,"MA",TRACKER!$G$3:$G$1275,"Passed")+COUNTIFS(TRACKER!$C$3:$C$1275,A16,TRACKER!$D$3:$D$1275,"MA",TRACKER!$G$3:$G$1275,"Accepted Exception"))/COUNTIFS(TRACKER!$C$3:$C$1275,A16,TRACKER!$D$3:$D$1275,"MA"),"")</f>
        <v/>
      </c>
      <c r="K16" s="49">
        <f>IFERROR(1-(COUNTIFS(TRACKER!$C$3:$C$1275,A16,TRACKER!$D$3:$D$1275,"MP",TRACKER!$G$3:$G$1275,"Passed")+COUNTIFS(TRACKER!$C$3:$C$1275,A16,TRACKER!$D$3:$D$1275,"MP",TRACKER!$G$3:$G$1275,"Accepted Exception"))/COUNTIFS(TRACKER!$C$3:$C$1275,A16,TRACKER!$D$3:$D$1275,"MP"),"")</f>
        <v/>
      </c>
      <c r="L16" s="49">
        <f>IFERROR(1-(COUNTIFS(TRACKER!$C$3:$C$1275,A16,TRACKER!$D$3:$D$1275,"PE",TRACKER!$G$3:$G$1275,"Passed")+COUNTIFS(TRACKER!$C$3:$C$1275,A16,TRACKER!$D$3:$D$1275,"PE",TRACKER!$G$3:$G$1275,"Accepted Exception"))/COUNTIFS(TRACKER!$C$3:$C$1275,A16,TRACKER!$D$3:$D$1275,"PE"),"")</f>
        <v/>
      </c>
      <c r="M16" s="49">
        <f>IFERROR(1-(COUNTIFS(TRACKER!$C$3:$C$1275,A16,TRACKER!$D$3:$D$1275,"PL",TRACKER!$G$3:$G$1275,"Passed")+COUNTIFS(TRACKER!$C$3:$C$1275,A16,TRACKER!$D$3:$D$1275,"PL",TRACKER!$G$3:$G$1275,"Accepted Exception"))/COUNTIFS(TRACKER!$C$3:$C$1275,A16,TRACKER!$D$3:$D$1275,"PL"),"")</f>
        <v/>
      </c>
      <c r="N16" s="49">
        <f>IFERROR(1-(COUNTIFS(TRACKER!$C$3:$C$1275,A16,TRACKER!$D$3:$D$1275,"PS",TRACKER!$G$3:$G$1275,"Passed")+COUNTIFS(TRACKER!$C$3:$C$1275,A16,TRACKER!$D$3:$D$1275,"PS",TRACKER!$G$3:$G$1275,"Accepted Exception"))/COUNTIFS(TRACKER!$C$3:$C$1275,A16,TRACKER!$D$3:$D$1275,"PS"),"")</f>
        <v/>
      </c>
      <c r="O16" s="49">
        <f>IFERROR(1-(COUNTIFS(TRACKER!$C$3:$C$1275,A16,TRACKER!$D$3:$D$1275,"RA",TRACKER!$G$3:$G$1275,"Passed")+COUNTIFS(TRACKER!$C$3:$C$1275,A16,TRACKER!$D$3:$D$1275,"RA",TRACKER!$G$3:$G$1275,"Accepted Exception"))/COUNTIFS(TRACKER!$C$3:$C$1275,A16,TRACKER!$D$3:$D$1275,"RA"),"")</f>
        <v/>
      </c>
      <c r="P16" s="49">
        <f>IFERROR(1-(COUNTIFS(TRACKER!$C$3:$C$1275,A16,TRACKER!$D$3:$D$1275,"SA",TRACKER!$G$3:$G$1275,"Passed")+COUNTIFS(TRACKER!$C$3:$C$1275,A16,TRACKER!$D$3:$D$1275,"SA",TRACKER!$G$3:$G$1275,"Accepted Exception"))/COUNTIFS(TRACKER!$C$3:$C$1275,A16,TRACKER!$D$3:$D$1275,"SA"),"")</f>
        <v/>
      </c>
      <c r="Q16" s="49">
        <f>IFERROR(1-(COUNTIFS(TRACKER!$C$3:$C$1275,A16,TRACKER!$D$3:$D$1275,"SC",TRACKER!$G$3:$G$1275,"Passed")+COUNTIFS(TRACKER!$C$3:$C$1275,A16,TRACKER!$D$3:$D$1275,"SC",TRACKER!$G$3:$G$1275,"Accepted Exception"))/COUNTIFS(TRACKER!$C$3:$C$1275,A16,TRACKER!$D$3:$D$1275,"SC"),"")</f>
        <v/>
      </c>
      <c r="R16" s="49">
        <f>IFERROR(1-(COUNTIFS(TRACKER!$C$3:$C$1275,A16,TRACKER!$D$3:$D$1275,"SI",TRACKER!$G$3:$G$1275,"Passed")+COUNTIFS(TRACKER!$C$3:$C$1275,A16,TRACKER!$D$3:$D$1275,"SI",TRACKER!$G$3:$G$1275,"Accepted Exception"))/COUNTIFS(TRACKER!$C$3:$C$1275,A16,TRACKER!$D$3:$D$1275,"SI"),"")</f>
        <v/>
      </c>
    </row>
    <row r="17" ht="20" customHeight="1">
      <c r="A17" s="46" t="inlineStr">
        <is>
          <t>Security</t>
        </is>
      </c>
      <c r="B17" s="47">
        <f>IFERROR(1-(COUNTIFS(TRACKER!$C$3:$C$1275,A17,TRACKER!$D$3:$D$1275,"AC",TRACKER!$G$3:$G$1275,"Passed")+COUNTIFS(TRACKER!$C$3:$C$1275,A17,TRACKER!$D$3:$D$1275,"AC",TRACKER!$G$3:$G$1275,"Accepted Exception"))/COUNTIFS(TRACKER!$C$3:$C$1275,A17,TRACKER!$D$3:$D$1275,"AC"),"")</f>
        <v/>
      </c>
      <c r="C17" s="47">
        <f>IFERROR(1-(COUNTIFS(TRACKER!$C$3:$C$1275,A17,TRACKER!$D$3:$D$1275,"AT",TRACKER!$G$3:$G$1275,"Passed")+COUNTIFS(TRACKER!$C$3:$C$1275,A17,TRACKER!$D$3:$D$1275,"AT",TRACKER!$G$3:$G$1275,"Accepted Exception"))/COUNTIFS(TRACKER!$C$3:$C$1275,A17,TRACKER!$D$3:$D$1275,"AT"),"")</f>
        <v/>
      </c>
      <c r="D17" s="47">
        <f>IFERROR(1-(COUNTIFS(TRACKER!$C$3:$C$1275,A17,TRACKER!$D$3:$D$1275,"AU",TRACKER!$G$3:$G$1275,"Passed")+COUNTIFS(TRACKER!$C$3:$C$1275,A17,TRACKER!$D$3:$D$1275,"AU",TRACKER!$G$3:$G$1275,"Accepted Exception"))/COUNTIFS(TRACKER!$C$3:$C$1275,A17,TRACKER!$D$3:$D$1275,"AU"),"")</f>
        <v/>
      </c>
      <c r="E17" s="47">
        <f>IFERROR(1-(COUNTIFS(TRACKER!$C$3:$C$1275,A17,TRACKER!$D$3:$D$1275,"CA",TRACKER!$G$3:$G$1275,"Passed")+COUNTIFS(TRACKER!$C$3:$C$1275,A17,TRACKER!$D$3:$D$1275,"CA",TRACKER!$G$3:$G$1275,"Accepted Exception"))/COUNTIFS(TRACKER!$C$3:$C$1275,A17,TRACKER!$D$3:$D$1275,"CA"),"")</f>
        <v/>
      </c>
      <c r="F17" s="47">
        <f>IFERROR(1-(COUNTIFS(TRACKER!$C$3:$C$1275,A17,TRACKER!$D$3:$D$1275,"CM",TRACKER!$G$3:$G$1275,"Passed")+COUNTIFS(TRACKER!$C$3:$C$1275,A17,TRACKER!$D$3:$D$1275,"CM",TRACKER!$G$3:$G$1275,"Accepted Exception"))/COUNTIFS(TRACKER!$C$3:$C$1275,A17,TRACKER!$D$3:$D$1275,"CM"),"")</f>
        <v/>
      </c>
      <c r="G17" s="47">
        <f>IFERROR(1-(COUNTIFS(TRACKER!$C$3:$C$1275,A17,TRACKER!$D$3:$D$1275,"CP",TRACKER!$G$3:$G$1275,"Passed")+COUNTIFS(TRACKER!$C$3:$C$1275,A17,TRACKER!$D$3:$D$1275,"CP",TRACKER!$G$3:$G$1275,"Accepted Exception"))/COUNTIFS(TRACKER!$C$3:$C$1275,A17,TRACKER!$D$3:$D$1275,"CP"),"")</f>
        <v/>
      </c>
      <c r="H17" s="47">
        <f>IFERROR(1-(COUNTIFS(TRACKER!$C$3:$C$1275,A17,TRACKER!$D$3:$D$1275,"IA",TRACKER!$G$3:$G$1275,"Passed")+COUNTIFS(TRACKER!$C$3:$C$1275,A17,TRACKER!$D$3:$D$1275,"IA",TRACKER!$G$3:$G$1275,"Accepted Exception"))/COUNTIFS(TRACKER!$C$3:$C$1275,A17,TRACKER!$D$3:$D$1275,"IA"),"")</f>
        <v/>
      </c>
      <c r="I17" s="47">
        <f>IFERROR(1-(COUNTIFS(TRACKER!$C$3:$C$1275,A17,TRACKER!$D$3:$D$1275,"IR",TRACKER!$G$3:$G$1275,"Passed")+COUNTIFS(TRACKER!$C$3:$C$1275,A17,TRACKER!$D$3:$D$1275,"IR",TRACKER!$G$3:$G$1275,"Accepted Exception"))/COUNTIFS(TRACKER!$C$3:$C$1275,A17,TRACKER!$D$3:$D$1275,"IR"),"")</f>
        <v/>
      </c>
      <c r="J17" s="47">
        <f>IFERROR(1-(COUNTIFS(TRACKER!$C$3:$C$1275,A17,TRACKER!$D$3:$D$1275,"MA",TRACKER!$G$3:$G$1275,"Passed")+COUNTIFS(TRACKER!$C$3:$C$1275,A17,TRACKER!$D$3:$D$1275,"MA",TRACKER!$G$3:$G$1275,"Accepted Exception"))/COUNTIFS(TRACKER!$C$3:$C$1275,A17,TRACKER!$D$3:$D$1275,"MA"),"")</f>
        <v/>
      </c>
      <c r="K17" s="47">
        <f>IFERROR(1-(COUNTIFS(TRACKER!$C$3:$C$1275,A17,TRACKER!$D$3:$D$1275,"MP",TRACKER!$G$3:$G$1275,"Passed")+COUNTIFS(TRACKER!$C$3:$C$1275,A17,TRACKER!$D$3:$D$1275,"MP",TRACKER!$G$3:$G$1275,"Accepted Exception"))/COUNTIFS(TRACKER!$C$3:$C$1275,A17,TRACKER!$D$3:$D$1275,"MP"),"")</f>
        <v/>
      </c>
      <c r="L17" s="47">
        <f>IFERROR(1-(COUNTIFS(TRACKER!$C$3:$C$1275,A17,TRACKER!$D$3:$D$1275,"PE",TRACKER!$G$3:$G$1275,"Passed")+COUNTIFS(TRACKER!$C$3:$C$1275,A17,TRACKER!$D$3:$D$1275,"PE",TRACKER!$G$3:$G$1275,"Accepted Exception"))/COUNTIFS(TRACKER!$C$3:$C$1275,A17,TRACKER!$D$3:$D$1275,"PE"),"")</f>
        <v/>
      </c>
      <c r="M17" s="47">
        <f>IFERROR(1-(COUNTIFS(TRACKER!$C$3:$C$1275,A17,TRACKER!$D$3:$D$1275,"PL",TRACKER!$G$3:$G$1275,"Passed")+COUNTIFS(TRACKER!$C$3:$C$1275,A17,TRACKER!$D$3:$D$1275,"PL",TRACKER!$G$3:$G$1275,"Accepted Exception"))/COUNTIFS(TRACKER!$C$3:$C$1275,A17,TRACKER!$D$3:$D$1275,"PL"),"")</f>
        <v/>
      </c>
      <c r="N17" s="47">
        <f>IFERROR(1-(COUNTIFS(TRACKER!$C$3:$C$1275,A17,TRACKER!$D$3:$D$1275,"PS",TRACKER!$G$3:$G$1275,"Passed")+COUNTIFS(TRACKER!$C$3:$C$1275,A17,TRACKER!$D$3:$D$1275,"PS",TRACKER!$G$3:$G$1275,"Accepted Exception"))/COUNTIFS(TRACKER!$C$3:$C$1275,A17,TRACKER!$D$3:$D$1275,"PS"),"")</f>
        <v/>
      </c>
      <c r="O17" s="47">
        <f>IFERROR(1-(COUNTIFS(TRACKER!$C$3:$C$1275,A17,TRACKER!$D$3:$D$1275,"RA",TRACKER!$G$3:$G$1275,"Passed")+COUNTIFS(TRACKER!$C$3:$C$1275,A17,TRACKER!$D$3:$D$1275,"RA",TRACKER!$G$3:$G$1275,"Accepted Exception"))/COUNTIFS(TRACKER!$C$3:$C$1275,A17,TRACKER!$D$3:$D$1275,"RA"),"")</f>
        <v/>
      </c>
      <c r="P17" s="47">
        <f>IFERROR(1-(COUNTIFS(TRACKER!$C$3:$C$1275,A17,TRACKER!$D$3:$D$1275,"SA",TRACKER!$G$3:$G$1275,"Passed")+COUNTIFS(TRACKER!$C$3:$C$1275,A17,TRACKER!$D$3:$D$1275,"SA",TRACKER!$G$3:$G$1275,"Accepted Exception"))/COUNTIFS(TRACKER!$C$3:$C$1275,A17,TRACKER!$D$3:$D$1275,"SA"),"")</f>
        <v/>
      </c>
      <c r="Q17" s="47">
        <f>IFERROR(1-(COUNTIFS(TRACKER!$C$3:$C$1275,A17,TRACKER!$D$3:$D$1275,"SC",TRACKER!$G$3:$G$1275,"Passed")+COUNTIFS(TRACKER!$C$3:$C$1275,A17,TRACKER!$D$3:$D$1275,"SC",TRACKER!$G$3:$G$1275,"Accepted Exception"))/COUNTIFS(TRACKER!$C$3:$C$1275,A17,TRACKER!$D$3:$D$1275,"SC"),"")</f>
        <v/>
      </c>
      <c r="R17" s="47">
        <f>IFERROR(1-(COUNTIFS(TRACKER!$C$3:$C$1275,A17,TRACKER!$D$3:$D$1275,"SI",TRACKER!$G$3:$G$1275,"Passed")+COUNTIFS(TRACKER!$C$3:$C$1275,A17,TRACKER!$D$3:$D$1275,"SI",TRACKER!$G$3:$G$1275,"Accepted Exception"))/COUNTIFS(TRACKER!$C$3:$C$1275,A17,TRACKER!$D$3:$D$1275,"SI"),"")</f>
        <v/>
      </c>
    </row>
    <row r="18" ht="20" customHeight="1">
      <c r="A18" s="48" t="inlineStr">
        <is>
          <t>ServiceNow</t>
        </is>
      </c>
      <c r="B18" s="49">
        <f>IFERROR(1-(COUNTIFS(TRACKER!$C$3:$C$1275,A18,TRACKER!$D$3:$D$1275,"AC",TRACKER!$G$3:$G$1275,"Passed")+COUNTIFS(TRACKER!$C$3:$C$1275,A18,TRACKER!$D$3:$D$1275,"AC",TRACKER!$G$3:$G$1275,"Accepted Exception"))/COUNTIFS(TRACKER!$C$3:$C$1275,A18,TRACKER!$D$3:$D$1275,"AC"),"")</f>
        <v/>
      </c>
      <c r="C18" s="49">
        <f>IFERROR(1-(COUNTIFS(TRACKER!$C$3:$C$1275,A18,TRACKER!$D$3:$D$1275,"AT",TRACKER!$G$3:$G$1275,"Passed")+COUNTIFS(TRACKER!$C$3:$C$1275,A18,TRACKER!$D$3:$D$1275,"AT",TRACKER!$G$3:$G$1275,"Accepted Exception"))/COUNTIFS(TRACKER!$C$3:$C$1275,A18,TRACKER!$D$3:$D$1275,"AT"),"")</f>
        <v/>
      </c>
      <c r="D18" s="49">
        <f>IFERROR(1-(COUNTIFS(TRACKER!$C$3:$C$1275,A18,TRACKER!$D$3:$D$1275,"AU",TRACKER!$G$3:$G$1275,"Passed")+COUNTIFS(TRACKER!$C$3:$C$1275,A18,TRACKER!$D$3:$D$1275,"AU",TRACKER!$G$3:$G$1275,"Accepted Exception"))/COUNTIFS(TRACKER!$C$3:$C$1275,A18,TRACKER!$D$3:$D$1275,"AU"),"")</f>
        <v/>
      </c>
      <c r="E18" s="49">
        <f>IFERROR(1-(COUNTIFS(TRACKER!$C$3:$C$1275,A18,TRACKER!$D$3:$D$1275,"CA",TRACKER!$G$3:$G$1275,"Passed")+COUNTIFS(TRACKER!$C$3:$C$1275,A18,TRACKER!$D$3:$D$1275,"CA",TRACKER!$G$3:$G$1275,"Accepted Exception"))/COUNTIFS(TRACKER!$C$3:$C$1275,A18,TRACKER!$D$3:$D$1275,"CA"),"")</f>
        <v/>
      </c>
      <c r="F18" s="49">
        <f>IFERROR(1-(COUNTIFS(TRACKER!$C$3:$C$1275,A18,TRACKER!$D$3:$D$1275,"CM",TRACKER!$G$3:$G$1275,"Passed")+COUNTIFS(TRACKER!$C$3:$C$1275,A18,TRACKER!$D$3:$D$1275,"CM",TRACKER!$G$3:$G$1275,"Accepted Exception"))/COUNTIFS(TRACKER!$C$3:$C$1275,A18,TRACKER!$D$3:$D$1275,"CM"),"")</f>
        <v/>
      </c>
      <c r="G18" s="49">
        <f>IFERROR(1-(COUNTIFS(TRACKER!$C$3:$C$1275,A18,TRACKER!$D$3:$D$1275,"CP",TRACKER!$G$3:$G$1275,"Passed")+COUNTIFS(TRACKER!$C$3:$C$1275,A18,TRACKER!$D$3:$D$1275,"CP",TRACKER!$G$3:$G$1275,"Accepted Exception"))/COUNTIFS(TRACKER!$C$3:$C$1275,A18,TRACKER!$D$3:$D$1275,"CP"),"")</f>
        <v/>
      </c>
      <c r="H18" s="49">
        <f>IFERROR(1-(COUNTIFS(TRACKER!$C$3:$C$1275,A18,TRACKER!$D$3:$D$1275,"IA",TRACKER!$G$3:$G$1275,"Passed")+COUNTIFS(TRACKER!$C$3:$C$1275,A18,TRACKER!$D$3:$D$1275,"IA",TRACKER!$G$3:$G$1275,"Accepted Exception"))/COUNTIFS(TRACKER!$C$3:$C$1275,A18,TRACKER!$D$3:$D$1275,"IA"),"")</f>
        <v/>
      </c>
      <c r="I18" s="49">
        <f>IFERROR(1-(COUNTIFS(TRACKER!$C$3:$C$1275,A18,TRACKER!$D$3:$D$1275,"IR",TRACKER!$G$3:$G$1275,"Passed")+COUNTIFS(TRACKER!$C$3:$C$1275,A18,TRACKER!$D$3:$D$1275,"IR",TRACKER!$G$3:$G$1275,"Accepted Exception"))/COUNTIFS(TRACKER!$C$3:$C$1275,A18,TRACKER!$D$3:$D$1275,"IR"),"")</f>
        <v/>
      </c>
      <c r="J18" s="49">
        <f>IFERROR(1-(COUNTIFS(TRACKER!$C$3:$C$1275,A18,TRACKER!$D$3:$D$1275,"MA",TRACKER!$G$3:$G$1275,"Passed")+COUNTIFS(TRACKER!$C$3:$C$1275,A18,TRACKER!$D$3:$D$1275,"MA",TRACKER!$G$3:$G$1275,"Accepted Exception"))/COUNTIFS(TRACKER!$C$3:$C$1275,A18,TRACKER!$D$3:$D$1275,"MA"),"")</f>
        <v/>
      </c>
      <c r="K18" s="49">
        <f>IFERROR(1-(COUNTIFS(TRACKER!$C$3:$C$1275,A18,TRACKER!$D$3:$D$1275,"MP",TRACKER!$G$3:$G$1275,"Passed")+COUNTIFS(TRACKER!$C$3:$C$1275,A18,TRACKER!$D$3:$D$1275,"MP",TRACKER!$G$3:$G$1275,"Accepted Exception"))/COUNTIFS(TRACKER!$C$3:$C$1275,A18,TRACKER!$D$3:$D$1275,"MP"),"")</f>
        <v/>
      </c>
      <c r="L18" s="49">
        <f>IFERROR(1-(COUNTIFS(TRACKER!$C$3:$C$1275,A18,TRACKER!$D$3:$D$1275,"PE",TRACKER!$G$3:$G$1275,"Passed")+COUNTIFS(TRACKER!$C$3:$C$1275,A18,TRACKER!$D$3:$D$1275,"PE",TRACKER!$G$3:$G$1275,"Accepted Exception"))/COUNTIFS(TRACKER!$C$3:$C$1275,A18,TRACKER!$D$3:$D$1275,"PE"),"")</f>
        <v/>
      </c>
      <c r="M18" s="49">
        <f>IFERROR(1-(COUNTIFS(TRACKER!$C$3:$C$1275,A18,TRACKER!$D$3:$D$1275,"PL",TRACKER!$G$3:$G$1275,"Passed")+COUNTIFS(TRACKER!$C$3:$C$1275,A18,TRACKER!$D$3:$D$1275,"PL",TRACKER!$G$3:$G$1275,"Accepted Exception"))/COUNTIFS(TRACKER!$C$3:$C$1275,A18,TRACKER!$D$3:$D$1275,"PL"),"")</f>
        <v/>
      </c>
      <c r="N18" s="49">
        <f>IFERROR(1-(COUNTIFS(TRACKER!$C$3:$C$1275,A18,TRACKER!$D$3:$D$1275,"PS",TRACKER!$G$3:$G$1275,"Passed")+COUNTIFS(TRACKER!$C$3:$C$1275,A18,TRACKER!$D$3:$D$1275,"PS",TRACKER!$G$3:$G$1275,"Accepted Exception"))/COUNTIFS(TRACKER!$C$3:$C$1275,A18,TRACKER!$D$3:$D$1275,"PS"),"")</f>
        <v/>
      </c>
      <c r="O18" s="49">
        <f>IFERROR(1-(COUNTIFS(TRACKER!$C$3:$C$1275,A18,TRACKER!$D$3:$D$1275,"RA",TRACKER!$G$3:$G$1275,"Passed")+COUNTIFS(TRACKER!$C$3:$C$1275,A18,TRACKER!$D$3:$D$1275,"RA",TRACKER!$G$3:$G$1275,"Accepted Exception"))/COUNTIFS(TRACKER!$C$3:$C$1275,A18,TRACKER!$D$3:$D$1275,"RA"),"")</f>
        <v/>
      </c>
      <c r="P18" s="49">
        <f>IFERROR(1-(COUNTIFS(TRACKER!$C$3:$C$1275,A18,TRACKER!$D$3:$D$1275,"SA",TRACKER!$G$3:$G$1275,"Passed")+COUNTIFS(TRACKER!$C$3:$C$1275,A18,TRACKER!$D$3:$D$1275,"SA",TRACKER!$G$3:$G$1275,"Accepted Exception"))/COUNTIFS(TRACKER!$C$3:$C$1275,A18,TRACKER!$D$3:$D$1275,"SA"),"")</f>
        <v/>
      </c>
      <c r="Q18" s="49">
        <f>IFERROR(1-(COUNTIFS(TRACKER!$C$3:$C$1275,A18,TRACKER!$D$3:$D$1275,"SC",TRACKER!$G$3:$G$1275,"Passed")+COUNTIFS(TRACKER!$C$3:$C$1275,A18,TRACKER!$D$3:$D$1275,"SC",TRACKER!$G$3:$G$1275,"Accepted Exception"))/COUNTIFS(TRACKER!$C$3:$C$1275,A18,TRACKER!$D$3:$D$1275,"SC"),"")</f>
        <v/>
      </c>
      <c r="R18" s="49">
        <f>IFERROR(1-(COUNTIFS(TRACKER!$C$3:$C$1275,A18,TRACKER!$D$3:$D$1275,"SI",TRACKER!$G$3:$G$1275,"Passed")+COUNTIFS(TRACKER!$C$3:$C$1275,A18,TRACKER!$D$3:$D$1275,"SI",TRACKER!$G$3:$G$1275,"Accepted Exception"))/COUNTIFS(TRACKER!$C$3:$C$1275,A18,TRACKER!$D$3:$D$1275,"SI"),"")</f>
        <v/>
      </c>
    </row>
    <row r="19" ht="20" customHeight="1">
      <c r="A19" s="46" t="inlineStr">
        <is>
          <t>Storage</t>
        </is>
      </c>
      <c r="B19" s="47">
        <f>IFERROR(1-(COUNTIFS(TRACKER!$C$3:$C$1275,A19,TRACKER!$D$3:$D$1275,"AC",TRACKER!$G$3:$G$1275,"Passed")+COUNTIFS(TRACKER!$C$3:$C$1275,A19,TRACKER!$D$3:$D$1275,"AC",TRACKER!$G$3:$G$1275,"Accepted Exception"))/COUNTIFS(TRACKER!$C$3:$C$1275,A19,TRACKER!$D$3:$D$1275,"AC"),"")</f>
        <v/>
      </c>
      <c r="C19" s="47">
        <f>IFERROR(1-(COUNTIFS(TRACKER!$C$3:$C$1275,A19,TRACKER!$D$3:$D$1275,"AT",TRACKER!$G$3:$G$1275,"Passed")+COUNTIFS(TRACKER!$C$3:$C$1275,A19,TRACKER!$D$3:$D$1275,"AT",TRACKER!$G$3:$G$1275,"Accepted Exception"))/COUNTIFS(TRACKER!$C$3:$C$1275,A19,TRACKER!$D$3:$D$1275,"AT"),"")</f>
        <v/>
      </c>
      <c r="D19" s="47">
        <f>IFERROR(1-(COUNTIFS(TRACKER!$C$3:$C$1275,A19,TRACKER!$D$3:$D$1275,"AU",TRACKER!$G$3:$G$1275,"Passed")+COUNTIFS(TRACKER!$C$3:$C$1275,A19,TRACKER!$D$3:$D$1275,"AU",TRACKER!$G$3:$G$1275,"Accepted Exception"))/COUNTIFS(TRACKER!$C$3:$C$1275,A19,TRACKER!$D$3:$D$1275,"AU"),"")</f>
        <v/>
      </c>
      <c r="E19" s="47">
        <f>IFERROR(1-(COUNTIFS(TRACKER!$C$3:$C$1275,A19,TRACKER!$D$3:$D$1275,"CA",TRACKER!$G$3:$G$1275,"Passed")+COUNTIFS(TRACKER!$C$3:$C$1275,A19,TRACKER!$D$3:$D$1275,"CA",TRACKER!$G$3:$G$1275,"Accepted Exception"))/COUNTIFS(TRACKER!$C$3:$C$1275,A19,TRACKER!$D$3:$D$1275,"CA"),"")</f>
        <v/>
      </c>
      <c r="F19" s="47">
        <f>IFERROR(1-(COUNTIFS(TRACKER!$C$3:$C$1275,A19,TRACKER!$D$3:$D$1275,"CM",TRACKER!$G$3:$G$1275,"Passed")+COUNTIFS(TRACKER!$C$3:$C$1275,A19,TRACKER!$D$3:$D$1275,"CM",TRACKER!$G$3:$G$1275,"Accepted Exception"))/COUNTIFS(TRACKER!$C$3:$C$1275,A19,TRACKER!$D$3:$D$1275,"CM"),"")</f>
        <v/>
      </c>
      <c r="G19" s="47">
        <f>IFERROR(1-(COUNTIFS(TRACKER!$C$3:$C$1275,A19,TRACKER!$D$3:$D$1275,"CP",TRACKER!$G$3:$G$1275,"Passed")+COUNTIFS(TRACKER!$C$3:$C$1275,A19,TRACKER!$D$3:$D$1275,"CP",TRACKER!$G$3:$G$1275,"Accepted Exception"))/COUNTIFS(TRACKER!$C$3:$C$1275,A19,TRACKER!$D$3:$D$1275,"CP"),"")</f>
        <v/>
      </c>
      <c r="H19" s="47">
        <f>IFERROR(1-(COUNTIFS(TRACKER!$C$3:$C$1275,A19,TRACKER!$D$3:$D$1275,"IA",TRACKER!$G$3:$G$1275,"Passed")+COUNTIFS(TRACKER!$C$3:$C$1275,A19,TRACKER!$D$3:$D$1275,"IA",TRACKER!$G$3:$G$1275,"Accepted Exception"))/COUNTIFS(TRACKER!$C$3:$C$1275,A19,TRACKER!$D$3:$D$1275,"IA"),"")</f>
        <v/>
      </c>
      <c r="I19" s="47">
        <f>IFERROR(1-(COUNTIFS(TRACKER!$C$3:$C$1275,A19,TRACKER!$D$3:$D$1275,"IR",TRACKER!$G$3:$G$1275,"Passed")+COUNTIFS(TRACKER!$C$3:$C$1275,A19,TRACKER!$D$3:$D$1275,"IR",TRACKER!$G$3:$G$1275,"Accepted Exception"))/COUNTIFS(TRACKER!$C$3:$C$1275,A19,TRACKER!$D$3:$D$1275,"IR"),"")</f>
        <v/>
      </c>
      <c r="J19" s="47">
        <f>IFERROR(1-(COUNTIFS(TRACKER!$C$3:$C$1275,A19,TRACKER!$D$3:$D$1275,"MA",TRACKER!$G$3:$G$1275,"Passed")+COUNTIFS(TRACKER!$C$3:$C$1275,A19,TRACKER!$D$3:$D$1275,"MA",TRACKER!$G$3:$G$1275,"Accepted Exception"))/COUNTIFS(TRACKER!$C$3:$C$1275,A19,TRACKER!$D$3:$D$1275,"MA"),"")</f>
        <v/>
      </c>
      <c r="K19" s="47">
        <f>IFERROR(1-(COUNTIFS(TRACKER!$C$3:$C$1275,A19,TRACKER!$D$3:$D$1275,"MP",TRACKER!$G$3:$G$1275,"Passed")+COUNTIFS(TRACKER!$C$3:$C$1275,A19,TRACKER!$D$3:$D$1275,"MP",TRACKER!$G$3:$G$1275,"Accepted Exception"))/COUNTIFS(TRACKER!$C$3:$C$1275,A19,TRACKER!$D$3:$D$1275,"MP"),"")</f>
        <v/>
      </c>
      <c r="L19" s="47">
        <f>IFERROR(1-(COUNTIFS(TRACKER!$C$3:$C$1275,A19,TRACKER!$D$3:$D$1275,"PE",TRACKER!$G$3:$G$1275,"Passed")+COUNTIFS(TRACKER!$C$3:$C$1275,A19,TRACKER!$D$3:$D$1275,"PE",TRACKER!$G$3:$G$1275,"Accepted Exception"))/COUNTIFS(TRACKER!$C$3:$C$1275,A19,TRACKER!$D$3:$D$1275,"PE"),"")</f>
        <v/>
      </c>
      <c r="M19" s="47">
        <f>IFERROR(1-(COUNTIFS(TRACKER!$C$3:$C$1275,A19,TRACKER!$D$3:$D$1275,"PL",TRACKER!$G$3:$G$1275,"Passed")+COUNTIFS(TRACKER!$C$3:$C$1275,A19,TRACKER!$D$3:$D$1275,"PL",TRACKER!$G$3:$G$1275,"Accepted Exception"))/COUNTIFS(TRACKER!$C$3:$C$1275,A19,TRACKER!$D$3:$D$1275,"PL"),"")</f>
        <v/>
      </c>
      <c r="N19" s="47">
        <f>IFERROR(1-(COUNTIFS(TRACKER!$C$3:$C$1275,A19,TRACKER!$D$3:$D$1275,"PS",TRACKER!$G$3:$G$1275,"Passed")+COUNTIFS(TRACKER!$C$3:$C$1275,A19,TRACKER!$D$3:$D$1275,"PS",TRACKER!$G$3:$G$1275,"Accepted Exception"))/COUNTIFS(TRACKER!$C$3:$C$1275,A19,TRACKER!$D$3:$D$1275,"PS"),"")</f>
        <v/>
      </c>
      <c r="O19" s="47">
        <f>IFERROR(1-(COUNTIFS(TRACKER!$C$3:$C$1275,A19,TRACKER!$D$3:$D$1275,"RA",TRACKER!$G$3:$G$1275,"Passed")+COUNTIFS(TRACKER!$C$3:$C$1275,A19,TRACKER!$D$3:$D$1275,"RA",TRACKER!$G$3:$G$1275,"Accepted Exception"))/COUNTIFS(TRACKER!$C$3:$C$1275,A19,TRACKER!$D$3:$D$1275,"RA"),"")</f>
        <v/>
      </c>
      <c r="P19" s="47">
        <f>IFERROR(1-(COUNTIFS(TRACKER!$C$3:$C$1275,A19,TRACKER!$D$3:$D$1275,"SA",TRACKER!$G$3:$G$1275,"Passed")+COUNTIFS(TRACKER!$C$3:$C$1275,A19,TRACKER!$D$3:$D$1275,"SA",TRACKER!$G$3:$G$1275,"Accepted Exception"))/COUNTIFS(TRACKER!$C$3:$C$1275,A19,TRACKER!$D$3:$D$1275,"SA"),"")</f>
        <v/>
      </c>
      <c r="Q19" s="47">
        <f>IFERROR(1-(COUNTIFS(TRACKER!$C$3:$C$1275,A19,TRACKER!$D$3:$D$1275,"SC",TRACKER!$G$3:$G$1275,"Passed")+COUNTIFS(TRACKER!$C$3:$C$1275,A19,TRACKER!$D$3:$D$1275,"SC",TRACKER!$G$3:$G$1275,"Accepted Exception"))/COUNTIFS(TRACKER!$C$3:$C$1275,A19,TRACKER!$D$3:$D$1275,"SC"),"")</f>
        <v/>
      </c>
      <c r="R19" s="47">
        <f>IFERROR(1-(COUNTIFS(TRACKER!$C$3:$C$1275,A19,TRACKER!$D$3:$D$1275,"SI",TRACKER!$G$3:$G$1275,"Passed")+COUNTIFS(TRACKER!$C$3:$C$1275,A19,TRACKER!$D$3:$D$1275,"SI",TRACKER!$G$3:$G$1275,"Accepted Exception"))/COUNTIFS(TRACKER!$C$3:$C$1275,A19,TRACKER!$D$3:$D$1275,"SI"),"")</f>
        <v/>
      </c>
    </row>
    <row r="20" ht="20" customHeight="1">
      <c r="A20" s="48" t="inlineStr">
        <is>
          <t>Tenable Nessus</t>
        </is>
      </c>
      <c r="B20" s="49">
        <f>IFERROR(1-(COUNTIFS(TRACKER!$C$3:$C$1275,A20,TRACKER!$D$3:$D$1275,"AC",TRACKER!$G$3:$G$1275,"Passed")+COUNTIFS(TRACKER!$C$3:$C$1275,A20,TRACKER!$D$3:$D$1275,"AC",TRACKER!$G$3:$G$1275,"Accepted Exception"))/COUNTIFS(TRACKER!$C$3:$C$1275,A20,TRACKER!$D$3:$D$1275,"AC"),"")</f>
        <v/>
      </c>
      <c r="C20" s="49">
        <f>IFERROR(1-(COUNTIFS(TRACKER!$C$3:$C$1275,A20,TRACKER!$D$3:$D$1275,"AT",TRACKER!$G$3:$G$1275,"Passed")+COUNTIFS(TRACKER!$C$3:$C$1275,A20,TRACKER!$D$3:$D$1275,"AT",TRACKER!$G$3:$G$1275,"Accepted Exception"))/COUNTIFS(TRACKER!$C$3:$C$1275,A20,TRACKER!$D$3:$D$1275,"AT"),"")</f>
        <v/>
      </c>
      <c r="D20" s="49">
        <f>IFERROR(1-(COUNTIFS(TRACKER!$C$3:$C$1275,A20,TRACKER!$D$3:$D$1275,"AU",TRACKER!$G$3:$G$1275,"Passed")+COUNTIFS(TRACKER!$C$3:$C$1275,A20,TRACKER!$D$3:$D$1275,"AU",TRACKER!$G$3:$G$1275,"Accepted Exception"))/COUNTIFS(TRACKER!$C$3:$C$1275,A20,TRACKER!$D$3:$D$1275,"AU"),"")</f>
        <v/>
      </c>
      <c r="E20" s="49">
        <f>IFERROR(1-(COUNTIFS(TRACKER!$C$3:$C$1275,A20,TRACKER!$D$3:$D$1275,"CA",TRACKER!$G$3:$G$1275,"Passed")+COUNTIFS(TRACKER!$C$3:$C$1275,A20,TRACKER!$D$3:$D$1275,"CA",TRACKER!$G$3:$G$1275,"Accepted Exception"))/COUNTIFS(TRACKER!$C$3:$C$1275,A20,TRACKER!$D$3:$D$1275,"CA"),"")</f>
        <v/>
      </c>
      <c r="F20" s="49">
        <f>IFERROR(1-(COUNTIFS(TRACKER!$C$3:$C$1275,A20,TRACKER!$D$3:$D$1275,"CM",TRACKER!$G$3:$G$1275,"Passed")+COUNTIFS(TRACKER!$C$3:$C$1275,A20,TRACKER!$D$3:$D$1275,"CM",TRACKER!$G$3:$G$1275,"Accepted Exception"))/COUNTIFS(TRACKER!$C$3:$C$1275,A20,TRACKER!$D$3:$D$1275,"CM"),"")</f>
        <v/>
      </c>
      <c r="G20" s="49">
        <f>IFERROR(1-(COUNTIFS(TRACKER!$C$3:$C$1275,A20,TRACKER!$D$3:$D$1275,"CP",TRACKER!$G$3:$G$1275,"Passed")+COUNTIFS(TRACKER!$C$3:$C$1275,A20,TRACKER!$D$3:$D$1275,"CP",TRACKER!$G$3:$G$1275,"Accepted Exception"))/COUNTIFS(TRACKER!$C$3:$C$1275,A20,TRACKER!$D$3:$D$1275,"CP"),"")</f>
        <v/>
      </c>
      <c r="H20" s="49">
        <f>IFERROR(1-(COUNTIFS(TRACKER!$C$3:$C$1275,A20,TRACKER!$D$3:$D$1275,"IA",TRACKER!$G$3:$G$1275,"Passed")+COUNTIFS(TRACKER!$C$3:$C$1275,A20,TRACKER!$D$3:$D$1275,"IA",TRACKER!$G$3:$G$1275,"Accepted Exception"))/COUNTIFS(TRACKER!$C$3:$C$1275,A20,TRACKER!$D$3:$D$1275,"IA"),"")</f>
        <v/>
      </c>
      <c r="I20" s="49">
        <f>IFERROR(1-(COUNTIFS(TRACKER!$C$3:$C$1275,A20,TRACKER!$D$3:$D$1275,"IR",TRACKER!$G$3:$G$1275,"Passed")+COUNTIFS(TRACKER!$C$3:$C$1275,A20,TRACKER!$D$3:$D$1275,"IR",TRACKER!$G$3:$G$1275,"Accepted Exception"))/COUNTIFS(TRACKER!$C$3:$C$1275,A20,TRACKER!$D$3:$D$1275,"IR"),"")</f>
        <v/>
      </c>
      <c r="J20" s="49">
        <f>IFERROR(1-(COUNTIFS(TRACKER!$C$3:$C$1275,A20,TRACKER!$D$3:$D$1275,"MA",TRACKER!$G$3:$G$1275,"Passed")+COUNTIFS(TRACKER!$C$3:$C$1275,A20,TRACKER!$D$3:$D$1275,"MA",TRACKER!$G$3:$G$1275,"Accepted Exception"))/COUNTIFS(TRACKER!$C$3:$C$1275,A20,TRACKER!$D$3:$D$1275,"MA"),"")</f>
        <v/>
      </c>
      <c r="K20" s="49">
        <f>IFERROR(1-(COUNTIFS(TRACKER!$C$3:$C$1275,A20,TRACKER!$D$3:$D$1275,"MP",TRACKER!$G$3:$G$1275,"Passed")+COUNTIFS(TRACKER!$C$3:$C$1275,A20,TRACKER!$D$3:$D$1275,"MP",TRACKER!$G$3:$G$1275,"Accepted Exception"))/COUNTIFS(TRACKER!$C$3:$C$1275,A20,TRACKER!$D$3:$D$1275,"MP"),"")</f>
        <v/>
      </c>
      <c r="L20" s="49">
        <f>IFERROR(1-(COUNTIFS(TRACKER!$C$3:$C$1275,A20,TRACKER!$D$3:$D$1275,"PE",TRACKER!$G$3:$G$1275,"Passed")+COUNTIFS(TRACKER!$C$3:$C$1275,A20,TRACKER!$D$3:$D$1275,"PE",TRACKER!$G$3:$G$1275,"Accepted Exception"))/COUNTIFS(TRACKER!$C$3:$C$1275,A20,TRACKER!$D$3:$D$1275,"PE"),"")</f>
        <v/>
      </c>
      <c r="M20" s="49">
        <f>IFERROR(1-(COUNTIFS(TRACKER!$C$3:$C$1275,A20,TRACKER!$D$3:$D$1275,"PL",TRACKER!$G$3:$G$1275,"Passed")+COUNTIFS(TRACKER!$C$3:$C$1275,A20,TRACKER!$D$3:$D$1275,"PL",TRACKER!$G$3:$G$1275,"Accepted Exception"))/COUNTIFS(TRACKER!$C$3:$C$1275,A20,TRACKER!$D$3:$D$1275,"PL"),"")</f>
        <v/>
      </c>
      <c r="N20" s="49">
        <f>IFERROR(1-(COUNTIFS(TRACKER!$C$3:$C$1275,A20,TRACKER!$D$3:$D$1275,"PS",TRACKER!$G$3:$G$1275,"Passed")+COUNTIFS(TRACKER!$C$3:$C$1275,A20,TRACKER!$D$3:$D$1275,"PS",TRACKER!$G$3:$G$1275,"Accepted Exception"))/COUNTIFS(TRACKER!$C$3:$C$1275,A20,TRACKER!$D$3:$D$1275,"PS"),"")</f>
        <v/>
      </c>
      <c r="O20" s="49">
        <f>IFERROR(1-(COUNTIFS(TRACKER!$C$3:$C$1275,A20,TRACKER!$D$3:$D$1275,"RA",TRACKER!$G$3:$G$1275,"Passed")+COUNTIFS(TRACKER!$C$3:$C$1275,A20,TRACKER!$D$3:$D$1275,"RA",TRACKER!$G$3:$G$1275,"Accepted Exception"))/COUNTIFS(TRACKER!$C$3:$C$1275,A20,TRACKER!$D$3:$D$1275,"RA"),"")</f>
        <v/>
      </c>
      <c r="P20" s="49">
        <f>IFERROR(1-(COUNTIFS(TRACKER!$C$3:$C$1275,A20,TRACKER!$D$3:$D$1275,"SA",TRACKER!$G$3:$G$1275,"Passed")+COUNTIFS(TRACKER!$C$3:$C$1275,A20,TRACKER!$D$3:$D$1275,"SA",TRACKER!$G$3:$G$1275,"Accepted Exception"))/COUNTIFS(TRACKER!$C$3:$C$1275,A20,TRACKER!$D$3:$D$1275,"SA"),"")</f>
        <v/>
      </c>
      <c r="Q20" s="49">
        <f>IFERROR(1-(COUNTIFS(TRACKER!$C$3:$C$1275,A20,TRACKER!$D$3:$D$1275,"SC",TRACKER!$G$3:$G$1275,"Passed")+COUNTIFS(TRACKER!$C$3:$C$1275,A20,TRACKER!$D$3:$D$1275,"SC",TRACKER!$G$3:$G$1275,"Accepted Exception"))/COUNTIFS(TRACKER!$C$3:$C$1275,A20,TRACKER!$D$3:$D$1275,"SC"),"")</f>
        <v/>
      </c>
      <c r="R20" s="49">
        <f>IFERROR(1-(COUNTIFS(TRACKER!$C$3:$C$1275,A20,TRACKER!$D$3:$D$1275,"SI",TRACKER!$G$3:$G$1275,"Passed")+COUNTIFS(TRACKER!$C$3:$C$1275,A20,TRACKER!$D$3:$D$1275,"SI",TRACKER!$G$3:$G$1275,"Accepted Exception"))/COUNTIFS(TRACKER!$C$3:$C$1275,A20,TRACKER!$D$3:$D$1275,"SI"),"")</f>
        <v/>
      </c>
    </row>
    <row r="21" ht="20" customHeight="1">
      <c r="A21" s="46" t="inlineStr">
        <is>
          <t>Tenable Security Centre+</t>
        </is>
      </c>
      <c r="B21" s="47">
        <f>IFERROR(1-(COUNTIFS(TRACKER!$C$3:$C$1275,A21,TRACKER!$D$3:$D$1275,"AC",TRACKER!$G$3:$G$1275,"Passed")+COUNTIFS(TRACKER!$C$3:$C$1275,A21,TRACKER!$D$3:$D$1275,"AC",TRACKER!$G$3:$G$1275,"Accepted Exception"))/COUNTIFS(TRACKER!$C$3:$C$1275,A21,TRACKER!$D$3:$D$1275,"AC"),"")</f>
        <v/>
      </c>
      <c r="C21" s="47">
        <f>IFERROR(1-(COUNTIFS(TRACKER!$C$3:$C$1275,A21,TRACKER!$D$3:$D$1275,"AT",TRACKER!$G$3:$G$1275,"Passed")+COUNTIFS(TRACKER!$C$3:$C$1275,A21,TRACKER!$D$3:$D$1275,"AT",TRACKER!$G$3:$G$1275,"Accepted Exception"))/COUNTIFS(TRACKER!$C$3:$C$1275,A21,TRACKER!$D$3:$D$1275,"AT"),"")</f>
        <v/>
      </c>
      <c r="D21" s="47">
        <f>IFERROR(1-(COUNTIFS(TRACKER!$C$3:$C$1275,A21,TRACKER!$D$3:$D$1275,"AU",TRACKER!$G$3:$G$1275,"Passed")+COUNTIFS(TRACKER!$C$3:$C$1275,A21,TRACKER!$D$3:$D$1275,"AU",TRACKER!$G$3:$G$1275,"Accepted Exception"))/COUNTIFS(TRACKER!$C$3:$C$1275,A21,TRACKER!$D$3:$D$1275,"AU"),"")</f>
        <v/>
      </c>
      <c r="E21" s="47">
        <f>IFERROR(1-(COUNTIFS(TRACKER!$C$3:$C$1275,A21,TRACKER!$D$3:$D$1275,"CA",TRACKER!$G$3:$G$1275,"Passed")+COUNTIFS(TRACKER!$C$3:$C$1275,A21,TRACKER!$D$3:$D$1275,"CA",TRACKER!$G$3:$G$1275,"Accepted Exception"))/COUNTIFS(TRACKER!$C$3:$C$1275,A21,TRACKER!$D$3:$D$1275,"CA"),"")</f>
        <v/>
      </c>
      <c r="F21" s="47">
        <f>IFERROR(1-(COUNTIFS(TRACKER!$C$3:$C$1275,A21,TRACKER!$D$3:$D$1275,"CM",TRACKER!$G$3:$G$1275,"Passed")+COUNTIFS(TRACKER!$C$3:$C$1275,A21,TRACKER!$D$3:$D$1275,"CM",TRACKER!$G$3:$G$1275,"Accepted Exception"))/COUNTIFS(TRACKER!$C$3:$C$1275,A21,TRACKER!$D$3:$D$1275,"CM"),"")</f>
        <v/>
      </c>
      <c r="G21" s="47">
        <f>IFERROR(1-(COUNTIFS(TRACKER!$C$3:$C$1275,A21,TRACKER!$D$3:$D$1275,"CP",TRACKER!$G$3:$G$1275,"Passed")+COUNTIFS(TRACKER!$C$3:$C$1275,A21,TRACKER!$D$3:$D$1275,"CP",TRACKER!$G$3:$G$1275,"Accepted Exception"))/COUNTIFS(TRACKER!$C$3:$C$1275,A21,TRACKER!$D$3:$D$1275,"CP"),"")</f>
        <v/>
      </c>
      <c r="H21" s="47">
        <f>IFERROR(1-(COUNTIFS(TRACKER!$C$3:$C$1275,A21,TRACKER!$D$3:$D$1275,"IA",TRACKER!$G$3:$G$1275,"Passed")+COUNTIFS(TRACKER!$C$3:$C$1275,A21,TRACKER!$D$3:$D$1275,"IA",TRACKER!$G$3:$G$1275,"Accepted Exception"))/COUNTIFS(TRACKER!$C$3:$C$1275,A21,TRACKER!$D$3:$D$1275,"IA"),"")</f>
        <v/>
      </c>
      <c r="I21" s="47">
        <f>IFERROR(1-(COUNTIFS(TRACKER!$C$3:$C$1275,A21,TRACKER!$D$3:$D$1275,"IR",TRACKER!$G$3:$G$1275,"Passed")+COUNTIFS(TRACKER!$C$3:$C$1275,A21,TRACKER!$D$3:$D$1275,"IR",TRACKER!$G$3:$G$1275,"Accepted Exception"))/COUNTIFS(TRACKER!$C$3:$C$1275,A21,TRACKER!$D$3:$D$1275,"IR"),"")</f>
        <v/>
      </c>
      <c r="J21" s="47">
        <f>IFERROR(1-(COUNTIFS(TRACKER!$C$3:$C$1275,A21,TRACKER!$D$3:$D$1275,"MA",TRACKER!$G$3:$G$1275,"Passed")+COUNTIFS(TRACKER!$C$3:$C$1275,A21,TRACKER!$D$3:$D$1275,"MA",TRACKER!$G$3:$G$1275,"Accepted Exception"))/COUNTIFS(TRACKER!$C$3:$C$1275,A21,TRACKER!$D$3:$D$1275,"MA"),"")</f>
        <v/>
      </c>
      <c r="K21" s="47">
        <f>IFERROR(1-(COUNTIFS(TRACKER!$C$3:$C$1275,A21,TRACKER!$D$3:$D$1275,"MP",TRACKER!$G$3:$G$1275,"Passed")+COUNTIFS(TRACKER!$C$3:$C$1275,A21,TRACKER!$D$3:$D$1275,"MP",TRACKER!$G$3:$G$1275,"Accepted Exception"))/COUNTIFS(TRACKER!$C$3:$C$1275,A21,TRACKER!$D$3:$D$1275,"MP"),"")</f>
        <v/>
      </c>
      <c r="L21" s="47">
        <f>IFERROR(1-(COUNTIFS(TRACKER!$C$3:$C$1275,A21,TRACKER!$D$3:$D$1275,"PE",TRACKER!$G$3:$G$1275,"Passed")+COUNTIFS(TRACKER!$C$3:$C$1275,A21,TRACKER!$D$3:$D$1275,"PE",TRACKER!$G$3:$G$1275,"Accepted Exception"))/COUNTIFS(TRACKER!$C$3:$C$1275,A21,TRACKER!$D$3:$D$1275,"PE"),"")</f>
        <v/>
      </c>
      <c r="M21" s="47">
        <f>IFERROR(1-(COUNTIFS(TRACKER!$C$3:$C$1275,A21,TRACKER!$D$3:$D$1275,"PL",TRACKER!$G$3:$G$1275,"Passed")+COUNTIFS(TRACKER!$C$3:$C$1275,A21,TRACKER!$D$3:$D$1275,"PL",TRACKER!$G$3:$G$1275,"Accepted Exception"))/COUNTIFS(TRACKER!$C$3:$C$1275,A21,TRACKER!$D$3:$D$1275,"PL"),"")</f>
        <v/>
      </c>
      <c r="N21" s="47">
        <f>IFERROR(1-(COUNTIFS(TRACKER!$C$3:$C$1275,A21,TRACKER!$D$3:$D$1275,"PS",TRACKER!$G$3:$G$1275,"Passed")+COUNTIFS(TRACKER!$C$3:$C$1275,A21,TRACKER!$D$3:$D$1275,"PS",TRACKER!$G$3:$G$1275,"Accepted Exception"))/COUNTIFS(TRACKER!$C$3:$C$1275,A21,TRACKER!$D$3:$D$1275,"PS"),"")</f>
        <v/>
      </c>
      <c r="O21" s="47">
        <f>IFERROR(1-(COUNTIFS(TRACKER!$C$3:$C$1275,A21,TRACKER!$D$3:$D$1275,"RA",TRACKER!$G$3:$G$1275,"Passed")+COUNTIFS(TRACKER!$C$3:$C$1275,A21,TRACKER!$D$3:$D$1275,"RA",TRACKER!$G$3:$G$1275,"Accepted Exception"))/COUNTIFS(TRACKER!$C$3:$C$1275,A21,TRACKER!$D$3:$D$1275,"RA"),"")</f>
        <v/>
      </c>
      <c r="P21" s="47">
        <f>IFERROR(1-(COUNTIFS(TRACKER!$C$3:$C$1275,A21,TRACKER!$D$3:$D$1275,"SA",TRACKER!$G$3:$G$1275,"Passed")+COUNTIFS(TRACKER!$C$3:$C$1275,A21,TRACKER!$D$3:$D$1275,"SA",TRACKER!$G$3:$G$1275,"Accepted Exception"))/COUNTIFS(TRACKER!$C$3:$C$1275,A21,TRACKER!$D$3:$D$1275,"SA"),"")</f>
        <v/>
      </c>
      <c r="Q21" s="47">
        <f>IFERROR(1-(COUNTIFS(TRACKER!$C$3:$C$1275,A21,TRACKER!$D$3:$D$1275,"SC",TRACKER!$G$3:$G$1275,"Passed")+COUNTIFS(TRACKER!$C$3:$C$1275,A21,TRACKER!$D$3:$D$1275,"SC",TRACKER!$G$3:$G$1275,"Accepted Exception"))/COUNTIFS(TRACKER!$C$3:$C$1275,A21,TRACKER!$D$3:$D$1275,"SC"),"")</f>
        <v/>
      </c>
      <c r="R21" s="47">
        <f>IFERROR(1-(COUNTIFS(TRACKER!$C$3:$C$1275,A21,TRACKER!$D$3:$D$1275,"SI",TRACKER!$G$3:$G$1275,"Passed")+COUNTIFS(TRACKER!$C$3:$C$1275,A21,TRACKER!$D$3:$D$1275,"SI",TRACKER!$G$3:$G$1275,"Accepted Exception"))/COUNTIFS(TRACKER!$C$3:$C$1275,A21,TRACKER!$D$3:$D$1275,"SI"),"")</f>
        <v/>
      </c>
    </row>
    <row r="22" ht="20" customHeight="1">
      <c r="A22" s="48" t="inlineStr">
        <is>
          <t>Virtual Desktop Infrastructure</t>
        </is>
      </c>
      <c r="B22" s="49">
        <f>IFERROR(1-(COUNTIFS(TRACKER!$C$3:$C$1275,A22,TRACKER!$D$3:$D$1275,"AC",TRACKER!$G$3:$G$1275,"Passed")+COUNTIFS(TRACKER!$C$3:$C$1275,A22,TRACKER!$D$3:$D$1275,"AC",TRACKER!$G$3:$G$1275,"Accepted Exception"))/COUNTIFS(TRACKER!$C$3:$C$1275,A22,TRACKER!$D$3:$D$1275,"AC"),"")</f>
        <v/>
      </c>
      <c r="C22" s="49">
        <f>IFERROR(1-(COUNTIFS(TRACKER!$C$3:$C$1275,A22,TRACKER!$D$3:$D$1275,"AT",TRACKER!$G$3:$G$1275,"Passed")+COUNTIFS(TRACKER!$C$3:$C$1275,A22,TRACKER!$D$3:$D$1275,"AT",TRACKER!$G$3:$G$1275,"Accepted Exception"))/COUNTIFS(TRACKER!$C$3:$C$1275,A22,TRACKER!$D$3:$D$1275,"AT"),"")</f>
        <v/>
      </c>
      <c r="D22" s="49">
        <f>IFERROR(1-(COUNTIFS(TRACKER!$C$3:$C$1275,A22,TRACKER!$D$3:$D$1275,"AU",TRACKER!$G$3:$G$1275,"Passed")+COUNTIFS(TRACKER!$C$3:$C$1275,A22,TRACKER!$D$3:$D$1275,"AU",TRACKER!$G$3:$G$1275,"Accepted Exception"))/COUNTIFS(TRACKER!$C$3:$C$1275,A22,TRACKER!$D$3:$D$1275,"AU"),"")</f>
        <v/>
      </c>
      <c r="E22" s="49">
        <f>IFERROR(1-(COUNTIFS(TRACKER!$C$3:$C$1275,A22,TRACKER!$D$3:$D$1275,"CA",TRACKER!$G$3:$G$1275,"Passed")+COUNTIFS(TRACKER!$C$3:$C$1275,A22,TRACKER!$D$3:$D$1275,"CA",TRACKER!$G$3:$G$1275,"Accepted Exception"))/COUNTIFS(TRACKER!$C$3:$C$1275,A22,TRACKER!$D$3:$D$1275,"CA"),"")</f>
        <v/>
      </c>
      <c r="F22" s="49">
        <f>IFERROR(1-(COUNTIFS(TRACKER!$C$3:$C$1275,A22,TRACKER!$D$3:$D$1275,"CM",TRACKER!$G$3:$G$1275,"Passed")+COUNTIFS(TRACKER!$C$3:$C$1275,A22,TRACKER!$D$3:$D$1275,"CM",TRACKER!$G$3:$G$1275,"Accepted Exception"))/COUNTIFS(TRACKER!$C$3:$C$1275,A22,TRACKER!$D$3:$D$1275,"CM"),"")</f>
        <v/>
      </c>
      <c r="G22" s="49">
        <f>IFERROR(1-(COUNTIFS(TRACKER!$C$3:$C$1275,A22,TRACKER!$D$3:$D$1275,"CP",TRACKER!$G$3:$G$1275,"Passed")+COUNTIFS(TRACKER!$C$3:$C$1275,A22,TRACKER!$D$3:$D$1275,"CP",TRACKER!$G$3:$G$1275,"Accepted Exception"))/COUNTIFS(TRACKER!$C$3:$C$1275,A22,TRACKER!$D$3:$D$1275,"CP"),"")</f>
        <v/>
      </c>
      <c r="H22" s="49">
        <f>IFERROR(1-(COUNTIFS(TRACKER!$C$3:$C$1275,A22,TRACKER!$D$3:$D$1275,"IA",TRACKER!$G$3:$G$1275,"Passed")+COUNTIFS(TRACKER!$C$3:$C$1275,A22,TRACKER!$D$3:$D$1275,"IA",TRACKER!$G$3:$G$1275,"Accepted Exception"))/COUNTIFS(TRACKER!$C$3:$C$1275,A22,TRACKER!$D$3:$D$1275,"IA"),"")</f>
        <v/>
      </c>
      <c r="I22" s="49">
        <f>IFERROR(1-(COUNTIFS(TRACKER!$C$3:$C$1275,A22,TRACKER!$D$3:$D$1275,"IR",TRACKER!$G$3:$G$1275,"Passed")+COUNTIFS(TRACKER!$C$3:$C$1275,A22,TRACKER!$D$3:$D$1275,"IR",TRACKER!$G$3:$G$1275,"Accepted Exception"))/COUNTIFS(TRACKER!$C$3:$C$1275,A22,TRACKER!$D$3:$D$1275,"IR"),"")</f>
        <v/>
      </c>
      <c r="J22" s="49">
        <f>IFERROR(1-(COUNTIFS(TRACKER!$C$3:$C$1275,A22,TRACKER!$D$3:$D$1275,"MA",TRACKER!$G$3:$G$1275,"Passed")+COUNTIFS(TRACKER!$C$3:$C$1275,A22,TRACKER!$D$3:$D$1275,"MA",TRACKER!$G$3:$G$1275,"Accepted Exception"))/COUNTIFS(TRACKER!$C$3:$C$1275,A22,TRACKER!$D$3:$D$1275,"MA"),"")</f>
        <v/>
      </c>
      <c r="K22" s="49">
        <f>IFERROR(1-(COUNTIFS(TRACKER!$C$3:$C$1275,A22,TRACKER!$D$3:$D$1275,"MP",TRACKER!$G$3:$G$1275,"Passed")+COUNTIFS(TRACKER!$C$3:$C$1275,A22,TRACKER!$D$3:$D$1275,"MP",TRACKER!$G$3:$G$1275,"Accepted Exception"))/COUNTIFS(TRACKER!$C$3:$C$1275,A22,TRACKER!$D$3:$D$1275,"MP"),"")</f>
        <v/>
      </c>
      <c r="L22" s="49">
        <f>IFERROR(1-(COUNTIFS(TRACKER!$C$3:$C$1275,A22,TRACKER!$D$3:$D$1275,"PE",TRACKER!$G$3:$G$1275,"Passed")+COUNTIFS(TRACKER!$C$3:$C$1275,A22,TRACKER!$D$3:$D$1275,"PE",TRACKER!$G$3:$G$1275,"Accepted Exception"))/COUNTIFS(TRACKER!$C$3:$C$1275,A22,TRACKER!$D$3:$D$1275,"PE"),"")</f>
        <v/>
      </c>
      <c r="M22" s="49">
        <f>IFERROR(1-(COUNTIFS(TRACKER!$C$3:$C$1275,A22,TRACKER!$D$3:$D$1275,"PL",TRACKER!$G$3:$G$1275,"Passed")+COUNTIFS(TRACKER!$C$3:$C$1275,A22,TRACKER!$D$3:$D$1275,"PL",TRACKER!$G$3:$G$1275,"Accepted Exception"))/COUNTIFS(TRACKER!$C$3:$C$1275,A22,TRACKER!$D$3:$D$1275,"PL"),"")</f>
        <v/>
      </c>
      <c r="N22" s="49">
        <f>IFERROR(1-(COUNTIFS(TRACKER!$C$3:$C$1275,A22,TRACKER!$D$3:$D$1275,"PS",TRACKER!$G$3:$G$1275,"Passed")+COUNTIFS(TRACKER!$C$3:$C$1275,A22,TRACKER!$D$3:$D$1275,"PS",TRACKER!$G$3:$G$1275,"Accepted Exception"))/COUNTIFS(TRACKER!$C$3:$C$1275,A22,TRACKER!$D$3:$D$1275,"PS"),"")</f>
        <v/>
      </c>
      <c r="O22" s="49">
        <f>IFERROR(1-(COUNTIFS(TRACKER!$C$3:$C$1275,A22,TRACKER!$D$3:$D$1275,"RA",TRACKER!$G$3:$G$1275,"Passed")+COUNTIFS(TRACKER!$C$3:$C$1275,A22,TRACKER!$D$3:$D$1275,"RA",TRACKER!$G$3:$G$1275,"Accepted Exception"))/COUNTIFS(TRACKER!$C$3:$C$1275,A22,TRACKER!$D$3:$D$1275,"RA"),"")</f>
        <v/>
      </c>
      <c r="P22" s="49">
        <f>IFERROR(1-(COUNTIFS(TRACKER!$C$3:$C$1275,A22,TRACKER!$D$3:$D$1275,"SA",TRACKER!$G$3:$G$1275,"Passed")+COUNTIFS(TRACKER!$C$3:$C$1275,A22,TRACKER!$D$3:$D$1275,"SA",TRACKER!$G$3:$G$1275,"Accepted Exception"))/COUNTIFS(TRACKER!$C$3:$C$1275,A22,TRACKER!$D$3:$D$1275,"SA"),"")</f>
        <v/>
      </c>
      <c r="Q22" s="49">
        <f>IFERROR(1-(COUNTIFS(TRACKER!$C$3:$C$1275,A22,TRACKER!$D$3:$D$1275,"SC",TRACKER!$G$3:$G$1275,"Passed")+COUNTIFS(TRACKER!$C$3:$C$1275,A22,TRACKER!$D$3:$D$1275,"SC",TRACKER!$G$3:$G$1275,"Accepted Exception"))/COUNTIFS(TRACKER!$C$3:$C$1275,A22,TRACKER!$D$3:$D$1275,"SC"),"")</f>
        <v/>
      </c>
      <c r="R22" s="49">
        <f>IFERROR(1-(COUNTIFS(TRACKER!$C$3:$C$1275,A22,TRACKER!$D$3:$D$1275,"SI",TRACKER!$G$3:$G$1275,"Passed")+COUNTIFS(TRACKER!$C$3:$C$1275,A22,TRACKER!$D$3:$D$1275,"SI",TRACKER!$G$3:$G$1275,"Accepted Exception"))/COUNTIFS(TRACKER!$C$3:$C$1275,A22,TRACKER!$D$3:$D$1275,"SI"),"")</f>
        <v/>
      </c>
    </row>
    <row r="23" ht="20" customHeight="1">
      <c r="A23" s="46" t="inlineStr">
        <is>
          <t>Web</t>
        </is>
      </c>
      <c r="B23" s="47">
        <f>IFERROR(1-(COUNTIFS(TRACKER!$C$3:$C$1275,A23,TRACKER!$D$3:$D$1275,"AC",TRACKER!$G$3:$G$1275,"Passed")+COUNTIFS(TRACKER!$C$3:$C$1275,A23,TRACKER!$D$3:$D$1275,"AC",TRACKER!$G$3:$G$1275,"Accepted Exception"))/COUNTIFS(TRACKER!$C$3:$C$1275,A23,TRACKER!$D$3:$D$1275,"AC"),"")</f>
        <v/>
      </c>
      <c r="C23" s="47">
        <f>IFERROR(1-(COUNTIFS(TRACKER!$C$3:$C$1275,A23,TRACKER!$D$3:$D$1275,"AT",TRACKER!$G$3:$G$1275,"Passed")+COUNTIFS(TRACKER!$C$3:$C$1275,A23,TRACKER!$D$3:$D$1275,"AT",TRACKER!$G$3:$G$1275,"Accepted Exception"))/COUNTIFS(TRACKER!$C$3:$C$1275,A23,TRACKER!$D$3:$D$1275,"AT"),"")</f>
        <v/>
      </c>
      <c r="D23" s="47">
        <f>IFERROR(1-(COUNTIFS(TRACKER!$C$3:$C$1275,A23,TRACKER!$D$3:$D$1275,"AU",TRACKER!$G$3:$G$1275,"Passed")+COUNTIFS(TRACKER!$C$3:$C$1275,A23,TRACKER!$D$3:$D$1275,"AU",TRACKER!$G$3:$G$1275,"Accepted Exception"))/COUNTIFS(TRACKER!$C$3:$C$1275,A23,TRACKER!$D$3:$D$1275,"AU"),"")</f>
        <v/>
      </c>
      <c r="E23" s="47">
        <f>IFERROR(1-(COUNTIFS(TRACKER!$C$3:$C$1275,A23,TRACKER!$D$3:$D$1275,"CA",TRACKER!$G$3:$G$1275,"Passed")+COUNTIFS(TRACKER!$C$3:$C$1275,A23,TRACKER!$D$3:$D$1275,"CA",TRACKER!$G$3:$G$1275,"Accepted Exception"))/COUNTIFS(TRACKER!$C$3:$C$1275,A23,TRACKER!$D$3:$D$1275,"CA"),"")</f>
        <v/>
      </c>
      <c r="F23" s="47">
        <f>IFERROR(1-(COUNTIFS(TRACKER!$C$3:$C$1275,A23,TRACKER!$D$3:$D$1275,"CM",TRACKER!$G$3:$G$1275,"Passed")+COUNTIFS(TRACKER!$C$3:$C$1275,A23,TRACKER!$D$3:$D$1275,"CM",TRACKER!$G$3:$G$1275,"Accepted Exception"))/COUNTIFS(TRACKER!$C$3:$C$1275,A23,TRACKER!$D$3:$D$1275,"CM"),"")</f>
        <v/>
      </c>
      <c r="G23" s="47">
        <f>IFERROR(1-(COUNTIFS(TRACKER!$C$3:$C$1275,A23,TRACKER!$D$3:$D$1275,"CP",TRACKER!$G$3:$G$1275,"Passed")+COUNTIFS(TRACKER!$C$3:$C$1275,A23,TRACKER!$D$3:$D$1275,"CP",TRACKER!$G$3:$G$1275,"Accepted Exception"))/COUNTIFS(TRACKER!$C$3:$C$1275,A23,TRACKER!$D$3:$D$1275,"CP"),"")</f>
        <v/>
      </c>
      <c r="H23" s="47">
        <f>IFERROR(1-(COUNTIFS(TRACKER!$C$3:$C$1275,A23,TRACKER!$D$3:$D$1275,"IA",TRACKER!$G$3:$G$1275,"Passed")+COUNTIFS(TRACKER!$C$3:$C$1275,A23,TRACKER!$D$3:$D$1275,"IA",TRACKER!$G$3:$G$1275,"Accepted Exception"))/COUNTIFS(TRACKER!$C$3:$C$1275,A23,TRACKER!$D$3:$D$1275,"IA"),"")</f>
        <v/>
      </c>
      <c r="I23" s="47">
        <f>IFERROR(1-(COUNTIFS(TRACKER!$C$3:$C$1275,A23,TRACKER!$D$3:$D$1275,"IR",TRACKER!$G$3:$G$1275,"Passed")+COUNTIFS(TRACKER!$C$3:$C$1275,A23,TRACKER!$D$3:$D$1275,"IR",TRACKER!$G$3:$G$1275,"Accepted Exception"))/COUNTIFS(TRACKER!$C$3:$C$1275,A23,TRACKER!$D$3:$D$1275,"IR"),"")</f>
        <v/>
      </c>
      <c r="J23" s="47">
        <f>IFERROR(1-(COUNTIFS(TRACKER!$C$3:$C$1275,A23,TRACKER!$D$3:$D$1275,"MA",TRACKER!$G$3:$G$1275,"Passed")+COUNTIFS(TRACKER!$C$3:$C$1275,A23,TRACKER!$D$3:$D$1275,"MA",TRACKER!$G$3:$G$1275,"Accepted Exception"))/COUNTIFS(TRACKER!$C$3:$C$1275,A23,TRACKER!$D$3:$D$1275,"MA"),"")</f>
        <v/>
      </c>
      <c r="K23" s="47">
        <f>IFERROR(1-(COUNTIFS(TRACKER!$C$3:$C$1275,A23,TRACKER!$D$3:$D$1275,"MP",TRACKER!$G$3:$G$1275,"Passed")+COUNTIFS(TRACKER!$C$3:$C$1275,A23,TRACKER!$D$3:$D$1275,"MP",TRACKER!$G$3:$G$1275,"Accepted Exception"))/COUNTIFS(TRACKER!$C$3:$C$1275,A23,TRACKER!$D$3:$D$1275,"MP"),"")</f>
        <v/>
      </c>
      <c r="L23" s="47">
        <f>IFERROR(1-(COUNTIFS(TRACKER!$C$3:$C$1275,A23,TRACKER!$D$3:$D$1275,"PE",TRACKER!$G$3:$G$1275,"Passed")+COUNTIFS(TRACKER!$C$3:$C$1275,A23,TRACKER!$D$3:$D$1275,"PE",TRACKER!$G$3:$G$1275,"Accepted Exception"))/COUNTIFS(TRACKER!$C$3:$C$1275,A23,TRACKER!$D$3:$D$1275,"PE"),"")</f>
        <v/>
      </c>
      <c r="M23" s="47">
        <f>IFERROR(1-(COUNTIFS(TRACKER!$C$3:$C$1275,A23,TRACKER!$D$3:$D$1275,"PL",TRACKER!$G$3:$G$1275,"Passed")+COUNTIFS(TRACKER!$C$3:$C$1275,A23,TRACKER!$D$3:$D$1275,"PL",TRACKER!$G$3:$G$1275,"Accepted Exception"))/COUNTIFS(TRACKER!$C$3:$C$1275,A23,TRACKER!$D$3:$D$1275,"PL"),"")</f>
        <v/>
      </c>
      <c r="N23" s="47">
        <f>IFERROR(1-(COUNTIFS(TRACKER!$C$3:$C$1275,A23,TRACKER!$D$3:$D$1275,"PS",TRACKER!$G$3:$G$1275,"Passed")+COUNTIFS(TRACKER!$C$3:$C$1275,A23,TRACKER!$D$3:$D$1275,"PS",TRACKER!$G$3:$G$1275,"Accepted Exception"))/COUNTIFS(TRACKER!$C$3:$C$1275,A23,TRACKER!$D$3:$D$1275,"PS"),"")</f>
        <v/>
      </c>
      <c r="O23" s="47">
        <f>IFERROR(1-(COUNTIFS(TRACKER!$C$3:$C$1275,A23,TRACKER!$D$3:$D$1275,"RA",TRACKER!$G$3:$G$1275,"Passed")+COUNTIFS(TRACKER!$C$3:$C$1275,A23,TRACKER!$D$3:$D$1275,"RA",TRACKER!$G$3:$G$1275,"Accepted Exception"))/COUNTIFS(TRACKER!$C$3:$C$1275,A23,TRACKER!$D$3:$D$1275,"RA"),"")</f>
        <v/>
      </c>
      <c r="P23" s="47">
        <f>IFERROR(1-(COUNTIFS(TRACKER!$C$3:$C$1275,A23,TRACKER!$D$3:$D$1275,"SA",TRACKER!$G$3:$G$1275,"Passed")+COUNTIFS(TRACKER!$C$3:$C$1275,A23,TRACKER!$D$3:$D$1275,"SA",TRACKER!$G$3:$G$1275,"Accepted Exception"))/COUNTIFS(TRACKER!$C$3:$C$1275,A23,TRACKER!$D$3:$D$1275,"SA"),"")</f>
        <v/>
      </c>
      <c r="Q23" s="47">
        <f>IFERROR(1-(COUNTIFS(TRACKER!$C$3:$C$1275,A23,TRACKER!$D$3:$D$1275,"SC",TRACKER!$G$3:$G$1275,"Passed")+COUNTIFS(TRACKER!$C$3:$C$1275,A23,TRACKER!$D$3:$D$1275,"SC",TRACKER!$G$3:$G$1275,"Accepted Exception"))/COUNTIFS(TRACKER!$C$3:$C$1275,A23,TRACKER!$D$3:$D$1275,"SC"),"")</f>
        <v/>
      </c>
      <c r="R23" s="47">
        <f>IFERROR(1-(COUNTIFS(TRACKER!$C$3:$C$1275,A23,TRACKER!$D$3:$D$1275,"SI",TRACKER!$G$3:$G$1275,"Passed")+COUNTIFS(TRACKER!$C$3:$C$1275,A23,TRACKER!$D$3:$D$1275,"SI",TRACKER!$G$3:$G$1275,"Accepted Exception"))/COUNTIFS(TRACKER!$C$3:$C$1275,A23,TRACKER!$D$3:$D$1275,"SI"),"")</f>
        <v/>
      </c>
    </row>
  </sheetData>
  <mergeCells count="1">
    <mergeCell ref="A1:R1"/>
  </mergeCells>
  <conditionalFormatting sqref="B3:R23">
    <cfRule type="colorScale" priority="1">
      <colorScale>
        <cfvo type="num" val="0"/>
        <cfvo type="num" val="0.5"/>
        <cfvo type="num" val="1"/>
        <color rgb="00B6D7A8"/>
        <color rgb="00FFE599"/>
        <color rgb="00F4CCCC"/>
      </colorScale>
    </cfRule>
  </conditionalFormatting>
  <pageMargins left="0.75" right="0.75" top="1" bottom="1" header="0.5" footer="0.5"/>
</worksheet>
</file>

<file path=xl/worksheets/sheet6.xml><?xml version="1.0" encoding="utf-8"?>
<worksheet xmlns="http://schemas.openxmlformats.org/spreadsheetml/2006/main">
  <sheetPr>
    <tabColor rgb="00C0392B"/>
    <outlinePr summaryBelow="1" summaryRight="1"/>
    <pageSetUpPr/>
  </sheetPr>
  <dimension ref="A1:L1275"/>
  <sheetViews>
    <sheetView workbookViewId="0">
      <pane ySplit="2" topLeftCell="A3" activePane="bottomLeft" state="frozen"/>
      <selection pane="bottomLeft" activeCell="A1" sqref="A1"/>
    </sheetView>
  </sheetViews>
  <sheetFormatPr baseColWidth="8" defaultRowHeight="15"/>
  <cols>
    <col width="6" customWidth="1" min="1" max="1"/>
    <col width="14" customWidth="1" min="2" max="2"/>
    <col width="16" customWidth="1" min="3" max="3"/>
    <col width="34" customWidth="1" min="4" max="4"/>
    <col width="28" customWidth="1" min="5" max="5"/>
    <col width="55" customWidth="1" min="6" max="6"/>
    <col width="40" customWidth="1" min="7" max="7"/>
    <col width="40" customWidth="1" min="8" max="8"/>
    <col width="12" customWidth="1" min="9" max="9"/>
    <col width="14" customWidth="1" min="10" max="10"/>
    <col width="14" customWidth="1" min="11" max="11"/>
    <col width="12" customWidth="1" min="12" max="12"/>
  </cols>
  <sheetData>
    <row r="1" ht="32" customHeight="1">
      <c r="A1" s="5" t="inlineStr">
        <is>
          <t>Remediation Action Plan — Gap Closure (pre-populated from workbook comments)</t>
        </is>
      </c>
      <c r="B1" s="6" t="n"/>
      <c r="C1" s="6" t="n"/>
      <c r="D1" s="6" t="n"/>
      <c r="E1" s="6" t="n"/>
      <c r="F1" s="6" t="n"/>
      <c r="G1" s="6" t="n"/>
      <c r="H1" s="6" t="n"/>
      <c r="I1" s="6" t="n"/>
      <c r="J1" s="6" t="n"/>
      <c r="K1" s="6" t="n"/>
      <c r="L1" s="2" t="n"/>
    </row>
    <row r="2" ht="45" customHeight="1">
      <c r="A2" s="8" t="inlineStr">
        <is>
          <t>#</t>
        </is>
      </c>
      <c r="B2" s="8" t="inlineStr">
        <is>
          <t>Control ID</t>
        </is>
      </c>
      <c r="C2" s="8" t="inlineStr">
        <is>
          <t>Family</t>
        </is>
      </c>
      <c r="D2" s="8" t="inlineStr">
        <is>
          <t>Technology</t>
        </is>
      </c>
      <c r="E2" s="8" t="inlineStr">
        <is>
          <t>Status (EN)</t>
        </is>
      </c>
      <c r="F2" s="8" t="inlineStr">
        <is>
          <t>Finding / Comment from Workbook</t>
        </is>
      </c>
      <c r="G2" s="8" t="inlineStr">
        <is>
          <t>Risk / Impact</t>
        </is>
      </c>
      <c r="H2" s="8" t="inlineStr">
        <is>
          <t>Remediation Action</t>
        </is>
      </c>
      <c r="I2" s="8" t="inlineStr">
        <is>
          <t>Priority</t>
        </is>
      </c>
      <c r="J2" s="8" t="inlineStr">
        <is>
          <t>Owner</t>
        </is>
      </c>
      <c r="K2" s="8" t="inlineStr">
        <is>
          <t>Target Date</t>
        </is>
      </c>
      <c r="L2" s="8" t="inlineStr">
        <is>
          <t>Closure Status</t>
        </is>
      </c>
    </row>
    <row r="3" ht="42" customHeight="1">
      <c r="A3" s="11" t="n">
        <v>1</v>
      </c>
      <c r="B3" s="50" t="inlineStr">
        <is>
          <t>AU-2</t>
        </is>
      </c>
      <c r="C3" s="11" t="inlineStr">
        <is>
          <t>AU</t>
        </is>
      </c>
      <c r="D3" s="12" t="inlineStr">
        <is>
          <t>Analytics</t>
        </is>
      </c>
      <c r="E3" s="11">
        <f>IFERROR(TRACKER!G3,"Not Started")</f>
        <v/>
      </c>
      <c r="F3" s="51">
        <f>IFERROR('[Analytics.xlsx]AU-2'!B21,"")</f>
        <v/>
      </c>
      <c r="G3" s="51" t="inlineStr"/>
      <c r="H3" s="51" t="inlineStr"/>
      <c r="I3" s="11" t="inlineStr"/>
      <c r="J3" s="12" t="inlineStr"/>
      <c r="K3" s="17" t="inlineStr"/>
      <c r="L3" s="11" t="inlineStr">
        <is>
          <t>Not Started</t>
        </is>
      </c>
    </row>
    <row r="4" ht="42" customHeight="1">
      <c r="A4" s="18" t="n">
        <v>2</v>
      </c>
      <c r="B4" s="52" t="inlineStr">
        <is>
          <t>AU-3</t>
        </is>
      </c>
      <c r="C4" s="18" t="inlineStr">
        <is>
          <t>AU</t>
        </is>
      </c>
      <c r="D4" s="19" t="inlineStr">
        <is>
          <t>Analytics</t>
        </is>
      </c>
      <c r="E4" s="18">
        <f>IFERROR(TRACKER!G4,"Not Started")</f>
        <v/>
      </c>
      <c r="F4" s="53">
        <f>IFERROR('[Analytics.xlsx]AU-3'!B21,"")</f>
        <v/>
      </c>
      <c r="G4" s="53" t="inlineStr"/>
      <c r="H4" s="53" t="inlineStr"/>
      <c r="I4" s="18" t="inlineStr"/>
      <c r="J4" s="19" t="inlineStr"/>
      <c r="K4" s="22" t="inlineStr"/>
      <c r="L4" s="18" t="inlineStr">
        <is>
          <t>Not Started</t>
        </is>
      </c>
    </row>
    <row r="5" ht="42" customHeight="1">
      <c r="A5" s="11" t="n">
        <v>3</v>
      </c>
      <c r="B5" s="50" t="inlineStr">
        <is>
          <t>AU-3(1)</t>
        </is>
      </c>
      <c r="C5" s="11" t="inlineStr">
        <is>
          <t>AU</t>
        </is>
      </c>
      <c r="D5" s="12" t="inlineStr">
        <is>
          <t>Analytics</t>
        </is>
      </c>
      <c r="E5" s="11">
        <f>IFERROR(TRACKER!G5,"Not Started")</f>
        <v/>
      </c>
      <c r="F5" s="51">
        <f>IFERROR('[Analytics.xlsx]AU-3-1'!B21,"")</f>
        <v/>
      </c>
      <c r="G5" s="51" t="inlineStr"/>
      <c r="H5" s="51" t="inlineStr"/>
      <c r="I5" s="11" t="inlineStr"/>
      <c r="J5" s="12" t="inlineStr"/>
      <c r="K5" s="17" t="inlineStr"/>
      <c r="L5" s="11" t="inlineStr">
        <is>
          <t>Not Started</t>
        </is>
      </c>
    </row>
    <row r="6" ht="42" customHeight="1">
      <c r="A6" s="18" t="n">
        <v>4</v>
      </c>
      <c r="B6" s="52" t="inlineStr">
        <is>
          <t>AU-5</t>
        </is>
      </c>
      <c r="C6" s="18" t="inlineStr">
        <is>
          <t>AU</t>
        </is>
      </c>
      <c r="D6" s="19" t="inlineStr">
        <is>
          <t>Analytics</t>
        </is>
      </c>
      <c r="E6" s="18">
        <f>IFERROR(TRACKER!G6,"Not Started")</f>
        <v/>
      </c>
      <c r="F6" s="53">
        <f>IFERROR('[Analytics.xlsx]AU-5'!B21,"")</f>
        <v/>
      </c>
      <c r="G6" s="53" t="inlineStr"/>
      <c r="H6" s="53" t="inlineStr"/>
      <c r="I6" s="18" t="inlineStr"/>
      <c r="J6" s="19" t="inlineStr"/>
      <c r="K6" s="22" t="inlineStr"/>
      <c r="L6" s="18" t="inlineStr">
        <is>
          <t>Not Started</t>
        </is>
      </c>
    </row>
    <row r="7" ht="42" customHeight="1">
      <c r="A7" s="11" t="n">
        <v>5</v>
      </c>
      <c r="B7" s="50" t="inlineStr">
        <is>
          <t>AU-9(2)</t>
        </is>
      </c>
      <c r="C7" s="11" t="inlineStr">
        <is>
          <t>AU</t>
        </is>
      </c>
      <c r="D7" s="12" t="inlineStr">
        <is>
          <t>Analytics</t>
        </is>
      </c>
      <c r="E7" s="11">
        <f>IFERROR(TRACKER!G7,"Not Started")</f>
        <v/>
      </c>
      <c r="F7" s="51">
        <f>IFERROR('[Analytics.xlsx]AU-9-2'!B21,"")</f>
        <v/>
      </c>
      <c r="G7" s="51" t="inlineStr"/>
      <c r="H7" s="51" t="inlineStr"/>
      <c r="I7" s="11" t="inlineStr"/>
      <c r="J7" s="12" t="inlineStr"/>
      <c r="K7" s="17" t="inlineStr"/>
      <c r="L7" s="11" t="inlineStr">
        <is>
          <t>Not Started</t>
        </is>
      </c>
    </row>
    <row r="8" ht="42" customHeight="1">
      <c r="A8" s="18" t="n">
        <v>6</v>
      </c>
      <c r="B8" s="52" t="inlineStr">
        <is>
          <t>AU-12</t>
        </is>
      </c>
      <c r="C8" s="18" t="inlineStr">
        <is>
          <t>AU</t>
        </is>
      </c>
      <c r="D8" s="19" t="inlineStr">
        <is>
          <t>Analytics</t>
        </is>
      </c>
      <c r="E8" s="18">
        <f>IFERROR(TRACKER!G8,"Not Started")</f>
        <v/>
      </c>
      <c r="F8" s="53">
        <f>IFERROR('[Analytics.xlsx]AU-12'!B21,"")</f>
        <v/>
      </c>
      <c r="G8" s="53" t="inlineStr"/>
      <c r="H8" s="53" t="inlineStr"/>
      <c r="I8" s="18" t="inlineStr"/>
      <c r="J8" s="19" t="inlineStr"/>
      <c r="K8" s="22" t="inlineStr"/>
      <c r="L8" s="18" t="inlineStr">
        <is>
          <t>Not Started</t>
        </is>
      </c>
    </row>
    <row r="9" ht="42" customHeight="1">
      <c r="A9" s="11" t="n">
        <v>7</v>
      </c>
      <c r="B9" s="50" t="inlineStr">
        <is>
          <t>CM-2(3)</t>
        </is>
      </c>
      <c r="C9" s="11" t="inlineStr">
        <is>
          <t>CM</t>
        </is>
      </c>
      <c r="D9" s="12" t="inlineStr">
        <is>
          <t>Analytics</t>
        </is>
      </c>
      <c r="E9" s="11">
        <f>IFERROR(TRACKER!G9,"Not Started")</f>
        <v/>
      </c>
      <c r="F9" s="51">
        <f>IFERROR('[Analytics.xlsx]CM-2-3'!B21,"")</f>
        <v/>
      </c>
      <c r="G9" s="51" t="inlineStr"/>
      <c r="H9" s="51" t="inlineStr"/>
      <c r="I9" s="11" t="inlineStr"/>
      <c r="J9" s="12" t="inlineStr"/>
      <c r="K9" s="17" t="inlineStr"/>
      <c r="L9" s="11" t="inlineStr">
        <is>
          <t>Not Started</t>
        </is>
      </c>
    </row>
    <row r="10" ht="42" customHeight="1">
      <c r="A10" s="18" t="n">
        <v>8</v>
      </c>
      <c r="B10" s="52" t="inlineStr">
        <is>
          <t>CM-5(1)</t>
        </is>
      </c>
      <c r="C10" s="18" t="inlineStr">
        <is>
          <t>CM</t>
        </is>
      </c>
      <c r="D10" s="19" t="inlineStr">
        <is>
          <t>Analytics</t>
        </is>
      </c>
      <c r="E10" s="18">
        <f>IFERROR(TRACKER!G10,"Not Started")</f>
        <v/>
      </c>
      <c r="F10" s="53">
        <f>IFERROR('[Analytics.xlsx]CM-5-1'!B21,"")</f>
        <v/>
      </c>
      <c r="G10" s="53" t="inlineStr"/>
      <c r="H10" s="53" t="inlineStr"/>
      <c r="I10" s="18" t="inlineStr"/>
      <c r="J10" s="19" t="inlineStr"/>
      <c r="K10" s="22" t="inlineStr"/>
      <c r="L10" s="18" t="inlineStr">
        <is>
          <t>Not Started</t>
        </is>
      </c>
    </row>
    <row r="11" ht="42" customHeight="1">
      <c r="A11" s="11" t="n">
        <v>9</v>
      </c>
      <c r="B11" s="50" t="inlineStr">
        <is>
          <t>CM-6</t>
        </is>
      </c>
      <c r="C11" s="11" t="inlineStr">
        <is>
          <t>CM</t>
        </is>
      </c>
      <c r="D11" s="12" t="inlineStr">
        <is>
          <t>Analytics</t>
        </is>
      </c>
      <c r="E11" s="11">
        <f>IFERROR(TRACKER!G11,"Not Started")</f>
        <v/>
      </c>
      <c r="F11" s="51">
        <f>IFERROR('[Analytics.xlsx]CM-6'!B21,"")</f>
        <v/>
      </c>
      <c r="G11" s="51" t="inlineStr"/>
      <c r="H11" s="51" t="inlineStr"/>
      <c r="I11" s="11" t="inlineStr"/>
      <c r="J11" s="12" t="inlineStr"/>
      <c r="K11" s="17" t="inlineStr"/>
      <c r="L11" s="11" t="inlineStr">
        <is>
          <t>Not Started</t>
        </is>
      </c>
    </row>
    <row r="12" ht="42" customHeight="1">
      <c r="A12" s="18" t="n">
        <v>10</v>
      </c>
      <c r="B12" s="52" t="inlineStr">
        <is>
          <t>CM-7</t>
        </is>
      </c>
      <c r="C12" s="18" t="inlineStr">
        <is>
          <t>CM</t>
        </is>
      </c>
      <c r="D12" s="19" t="inlineStr">
        <is>
          <t>Analytics</t>
        </is>
      </c>
      <c r="E12" s="18">
        <f>IFERROR(TRACKER!G12,"Not Started")</f>
        <v/>
      </c>
      <c r="F12" s="53">
        <f>IFERROR('[Analytics.xlsx]CM-7'!B21,"")</f>
        <v/>
      </c>
      <c r="G12" s="53" t="inlineStr"/>
      <c r="H12" s="53" t="inlineStr"/>
      <c r="I12" s="18" t="inlineStr"/>
      <c r="J12" s="19" t="inlineStr"/>
      <c r="K12" s="22" t="inlineStr"/>
      <c r="L12" s="18" t="inlineStr">
        <is>
          <t>Not Started</t>
        </is>
      </c>
    </row>
    <row r="13" ht="42" customHeight="1">
      <c r="A13" s="11" t="n">
        <v>11</v>
      </c>
      <c r="B13" s="50" t="inlineStr">
        <is>
          <t>CM-7(1)</t>
        </is>
      </c>
      <c r="C13" s="11" t="inlineStr">
        <is>
          <t>CM</t>
        </is>
      </c>
      <c r="D13" s="12" t="inlineStr">
        <is>
          <t>Analytics</t>
        </is>
      </c>
      <c r="E13" s="11">
        <f>IFERROR(TRACKER!G13,"Not Started")</f>
        <v/>
      </c>
      <c r="F13" s="51">
        <f>IFERROR('[Analytics.xlsx]CM-7-1'!B21,"")</f>
        <v/>
      </c>
      <c r="G13" s="51" t="inlineStr"/>
      <c r="H13" s="51" t="inlineStr"/>
      <c r="I13" s="11" t="inlineStr"/>
      <c r="J13" s="12" t="inlineStr"/>
      <c r="K13" s="17" t="inlineStr"/>
      <c r="L13" s="11" t="inlineStr">
        <is>
          <t>Not Started</t>
        </is>
      </c>
    </row>
    <row r="14" ht="42" customHeight="1">
      <c r="A14" s="18" t="n">
        <v>12</v>
      </c>
      <c r="B14" s="52" t="inlineStr">
        <is>
          <t>CP-6</t>
        </is>
      </c>
      <c r="C14" s="18" t="inlineStr">
        <is>
          <t>CP</t>
        </is>
      </c>
      <c r="D14" s="19" t="inlineStr">
        <is>
          <t>Analytics</t>
        </is>
      </c>
      <c r="E14" s="18">
        <f>IFERROR(TRACKER!G14,"Not Started")</f>
        <v/>
      </c>
      <c r="F14" s="53">
        <f>IFERROR('[Analytics.xlsx]CP-6'!B21,"")</f>
        <v/>
      </c>
      <c r="G14" s="53" t="inlineStr"/>
      <c r="H14" s="53" t="inlineStr"/>
      <c r="I14" s="18" t="inlineStr"/>
      <c r="J14" s="19" t="inlineStr"/>
      <c r="K14" s="22" t="inlineStr"/>
      <c r="L14" s="18" t="inlineStr">
        <is>
          <t>Not Started</t>
        </is>
      </c>
    </row>
    <row r="15" ht="42" customHeight="1">
      <c r="A15" s="11" t="n">
        <v>13</v>
      </c>
      <c r="B15" s="50" t="inlineStr">
        <is>
          <t>CP-6(2)</t>
        </is>
      </c>
      <c r="C15" s="11" t="inlineStr">
        <is>
          <t>CP</t>
        </is>
      </c>
      <c r="D15" s="12" t="inlineStr">
        <is>
          <t>Analytics</t>
        </is>
      </c>
      <c r="E15" s="11">
        <f>IFERROR(TRACKER!G15,"Not Started")</f>
        <v/>
      </c>
      <c r="F15" s="51">
        <f>IFERROR('[Analytics.xlsx]CP-6-2'!B21,"")</f>
        <v/>
      </c>
      <c r="G15" s="51" t="inlineStr"/>
      <c r="H15" s="51" t="inlineStr"/>
      <c r="I15" s="11" t="inlineStr"/>
      <c r="J15" s="12" t="inlineStr"/>
      <c r="K15" s="17" t="inlineStr"/>
      <c r="L15" s="11" t="inlineStr">
        <is>
          <t>Not Started</t>
        </is>
      </c>
    </row>
    <row r="16" ht="42" customHeight="1">
      <c r="A16" s="18" t="n">
        <v>14</v>
      </c>
      <c r="B16" s="52" t="inlineStr">
        <is>
          <t>CP-7</t>
        </is>
      </c>
      <c r="C16" s="18" t="inlineStr">
        <is>
          <t>CP</t>
        </is>
      </c>
      <c r="D16" s="19" t="inlineStr">
        <is>
          <t>Analytics</t>
        </is>
      </c>
      <c r="E16" s="18">
        <f>IFERROR(TRACKER!G16,"Not Started")</f>
        <v/>
      </c>
      <c r="F16" s="53">
        <f>IFERROR('[Analytics.xlsx]CP-7'!B21,"")</f>
        <v/>
      </c>
      <c r="G16" s="53" t="inlineStr"/>
      <c r="H16" s="53" t="inlineStr"/>
      <c r="I16" s="18" t="inlineStr"/>
      <c r="J16" s="19" t="inlineStr"/>
      <c r="K16" s="22" t="inlineStr"/>
      <c r="L16" s="18" t="inlineStr">
        <is>
          <t>Not Started</t>
        </is>
      </c>
    </row>
    <row r="17" ht="42" customHeight="1">
      <c r="A17" s="11" t="n">
        <v>15</v>
      </c>
      <c r="B17" s="50" t="inlineStr">
        <is>
          <t>CP-7(4)</t>
        </is>
      </c>
      <c r="C17" s="11" t="inlineStr">
        <is>
          <t>CP</t>
        </is>
      </c>
      <c r="D17" s="12" t="inlineStr">
        <is>
          <t>Analytics</t>
        </is>
      </c>
      <c r="E17" s="11">
        <f>IFERROR(TRACKER!G17,"Not Started")</f>
        <v/>
      </c>
      <c r="F17" s="51">
        <f>IFERROR('[Analytics.xlsx]CP-7-4'!B21,"")</f>
        <v/>
      </c>
      <c r="G17" s="51" t="inlineStr"/>
      <c r="H17" s="51" t="inlineStr"/>
      <c r="I17" s="11" t="inlineStr"/>
      <c r="J17" s="12" t="inlineStr"/>
      <c r="K17" s="17" t="inlineStr"/>
      <c r="L17" s="11" t="inlineStr">
        <is>
          <t>Not Started</t>
        </is>
      </c>
    </row>
    <row r="18" ht="42" customHeight="1">
      <c r="A18" s="18" t="n">
        <v>16</v>
      </c>
      <c r="B18" s="52" t="inlineStr">
        <is>
          <t>CP-9</t>
        </is>
      </c>
      <c r="C18" s="18" t="inlineStr">
        <is>
          <t>CP</t>
        </is>
      </c>
      <c r="D18" s="19" t="inlineStr">
        <is>
          <t>Analytics</t>
        </is>
      </c>
      <c r="E18" s="18">
        <f>IFERROR(TRACKER!G18,"Not Started")</f>
        <v/>
      </c>
      <c r="F18" s="53">
        <f>IFERROR('[Analytics.xlsx]CP-9'!B21,"")</f>
        <v/>
      </c>
      <c r="G18" s="53" t="inlineStr"/>
      <c r="H18" s="53" t="inlineStr"/>
      <c r="I18" s="18" t="inlineStr"/>
      <c r="J18" s="19" t="inlineStr"/>
      <c r="K18" s="22" t="inlineStr"/>
      <c r="L18" s="18" t="inlineStr">
        <is>
          <t>Not Started</t>
        </is>
      </c>
    </row>
    <row r="19" ht="42" customHeight="1">
      <c r="A19" s="11" t="n">
        <v>17</v>
      </c>
      <c r="B19" s="50" t="inlineStr">
        <is>
          <t>CP-9(1)</t>
        </is>
      </c>
      <c r="C19" s="11" t="inlineStr">
        <is>
          <t>CP</t>
        </is>
      </c>
      <c r="D19" s="12" t="inlineStr">
        <is>
          <t>Analytics</t>
        </is>
      </c>
      <c r="E19" s="11">
        <f>IFERROR(TRACKER!G19,"Not Started")</f>
        <v/>
      </c>
      <c r="F19" s="51">
        <f>IFERROR('[Analytics.xlsx]CP-9-1'!B21,"")</f>
        <v/>
      </c>
      <c r="G19" s="51" t="inlineStr"/>
      <c r="H19" s="51" t="inlineStr"/>
      <c r="I19" s="11" t="inlineStr"/>
      <c r="J19" s="12" t="inlineStr"/>
      <c r="K19" s="17" t="inlineStr"/>
      <c r="L19" s="11" t="inlineStr">
        <is>
          <t>Not Started</t>
        </is>
      </c>
    </row>
    <row r="20" ht="42" customHeight="1">
      <c r="A20" s="18" t="n">
        <v>18</v>
      </c>
      <c r="B20" s="52" t="inlineStr">
        <is>
          <t>CP-9(2)</t>
        </is>
      </c>
      <c r="C20" s="18" t="inlineStr">
        <is>
          <t>CP</t>
        </is>
      </c>
      <c r="D20" s="19" t="inlineStr">
        <is>
          <t>Analytics</t>
        </is>
      </c>
      <c r="E20" s="18">
        <f>IFERROR(TRACKER!G20,"Not Started")</f>
        <v/>
      </c>
      <c r="F20" s="53">
        <f>IFERROR('[Analytics.xlsx]CP-9-2'!B21,"")</f>
        <v/>
      </c>
      <c r="G20" s="53" t="inlineStr"/>
      <c r="H20" s="53" t="inlineStr"/>
      <c r="I20" s="18" t="inlineStr"/>
      <c r="J20" s="19" t="inlineStr"/>
      <c r="K20" s="22" t="inlineStr"/>
      <c r="L20" s="18" t="inlineStr">
        <is>
          <t>Not Started</t>
        </is>
      </c>
    </row>
    <row r="21" ht="42" customHeight="1">
      <c r="A21" s="11" t="n">
        <v>19</v>
      </c>
      <c r="B21" s="50" t="inlineStr">
        <is>
          <t>CP-9(5)</t>
        </is>
      </c>
      <c r="C21" s="11" t="inlineStr">
        <is>
          <t>CP</t>
        </is>
      </c>
      <c r="D21" s="12" t="inlineStr">
        <is>
          <t>Analytics</t>
        </is>
      </c>
      <c r="E21" s="11">
        <f>IFERROR(TRACKER!G21,"Not Started")</f>
        <v/>
      </c>
      <c r="F21" s="51">
        <f>IFERROR('[Analytics.xlsx]CP-9-5'!B21,"")</f>
        <v/>
      </c>
      <c r="G21" s="51" t="inlineStr"/>
      <c r="H21" s="51" t="inlineStr"/>
      <c r="I21" s="11" t="inlineStr"/>
      <c r="J21" s="12" t="inlineStr"/>
      <c r="K21" s="17" t="inlineStr"/>
      <c r="L21" s="11" t="inlineStr">
        <is>
          <t>Not Started</t>
        </is>
      </c>
    </row>
    <row r="22" ht="42" customHeight="1">
      <c r="A22" s="18" t="n">
        <v>20</v>
      </c>
      <c r="B22" s="52" t="inlineStr">
        <is>
          <t>CP-10</t>
        </is>
      </c>
      <c r="C22" s="18" t="inlineStr">
        <is>
          <t>CP</t>
        </is>
      </c>
      <c r="D22" s="19" t="inlineStr">
        <is>
          <t>Analytics</t>
        </is>
      </c>
      <c r="E22" s="18">
        <f>IFERROR(TRACKER!G22,"Not Started")</f>
        <v/>
      </c>
      <c r="F22" s="53">
        <f>IFERROR('[Analytics.xlsx]CP-10'!B21,"")</f>
        <v/>
      </c>
      <c r="G22" s="53" t="inlineStr"/>
      <c r="H22" s="53" t="inlineStr"/>
      <c r="I22" s="18" t="inlineStr"/>
      <c r="J22" s="19" t="inlineStr"/>
      <c r="K22" s="22" t="inlineStr"/>
      <c r="L22" s="18" t="inlineStr">
        <is>
          <t>Not Started</t>
        </is>
      </c>
    </row>
    <row r="23" ht="42" customHeight="1">
      <c r="A23" s="11" t="n">
        <v>21</v>
      </c>
      <c r="B23" s="50" t="inlineStr">
        <is>
          <t>CP-10(4)</t>
        </is>
      </c>
      <c r="C23" s="11" t="inlineStr">
        <is>
          <t>CP</t>
        </is>
      </c>
      <c r="D23" s="12" t="inlineStr">
        <is>
          <t>Analytics</t>
        </is>
      </c>
      <c r="E23" s="11">
        <f>IFERROR(TRACKER!G23,"Not Started")</f>
        <v/>
      </c>
      <c r="F23" s="51">
        <f>IFERROR('[Analytics.xlsx]CP-10-4'!B21,"")</f>
        <v/>
      </c>
      <c r="G23" s="51" t="inlineStr"/>
      <c r="H23" s="51" t="inlineStr"/>
      <c r="I23" s="11" t="inlineStr"/>
      <c r="J23" s="12" t="inlineStr"/>
      <c r="K23" s="17" t="inlineStr"/>
      <c r="L23" s="11" t="inlineStr">
        <is>
          <t>Not Started</t>
        </is>
      </c>
    </row>
    <row r="24" ht="42" customHeight="1">
      <c r="A24" s="18" t="n">
        <v>22</v>
      </c>
      <c r="B24" s="52" t="inlineStr">
        <is>
          <t>SA-9(5)</t>
        </is>
      </c>
      <c r="C24" s="18" t="inlineStr">
        <is>
          <t>SA</t>
        </is>
      </c>
      <c r="D24" s="19" t="inlineStr">
        <is>
          <t>Analytics</t>
        </is>
      </c>
      <c r="E24" s="18">
        <f>IFERROR(TRACKER!G24,"Not Started")</f>
        <v/>
      </c>
      <c r="F24" s="53">
        <f>IFERROR('[Analytics.xlsx]SA-9-5'!B21,"")</f>
        <v/>
      </c>
      <c r="G24" s="53" t="inlineStr"/>
      <c r="H24" s="53" t="inlineStr"/>
      <c r="I24" s="18" t="inlineStr"/>
      <c r="J24" s="19" t="inlineStr"/>
      <c r="K24" s="22" t="inlineStr"/>
      <c r="L24" s="18" t="inlineStr">
        <is>
          <t>Not Started</t>
        </is>
      </c>
    </row>
    <row r="25" ht="42" customHeight="1">
      <c r="A25" s="11" t="n">
        <v>23</v>
      </c>
      <c r="B25" s="50" t="inlineStr">
        <is>
          <t>SC-4</t>
        </is>
      </c>
      <c r="C25" s="11" t="inlineStr">
        <is>
          <t>SC</t>
        </is>
      </c>
      <c r="D25" s="12" t="inlineStr">
        <is>
          <t>Analytics</t>
        </is>
      </c>
      <c r="E25" s="11">
        <f>IFERROR(TRACKER!G25,"Not Started")</f>
        <v/>
      </c>
      <c r="F25" s="51">
        <f>IFERROR('[Analytics.xlsx]SC-4'!B21,"")</f>
        <v/>
      </c>
      <c r="G25" s="51" t="inlineStr"/>
      <c r="H25" s="51" t="inlineStr"/>
      <c r="I25" s="11" t="inlineStr"/>
      <c r="J25" s="12" t="inlineStr"/>
      <c r="K25" s="17" t="inlineStr"/>
      <c r="L25" s="11" t="inlineStr">
        <is>
          <t>Not Started</t>
        </is>
      </c>
    </row>
    <row r="26" ht="42" customHeight="1">
      <c r="A26" s="18" t="n">
        <v>24</v>
      </c>
      <c r="B26" s="52" t="inlineStr">
        <is>
          <t>SC-13</t>
        </is>
      </c>
      <c r="C26" s="18" t="inlineStr">
        <is>
          <t>SC</t>
        </is>
      </c>
      <c r="D26" s="19" t="inlineStr">
        <is>
          <t>Analytics</t>
        </is>
      </c>
      <c r="E26" s="18">
        <f>IFERROR(TRACKER!G26,"Not Started")</f>
        <v/>
      </c>
      <c r="F26" s="53">
        <f>IFERROR('[Analytics.xlsx]SC-13'!B21,"")</f>
        <v/>
      </c>
      <c r="G26" s="53" t="inlineStr"/>
      <c r="H26" s="53" t="inlineStr"/>
      <c r="I26" s="18" t="inlineStr"/>
      <c r="J26" s="19" t="inlineStr"/>
      <c r="K26" s="22" t="inlineStr"/>
      <c r="L26" s="18" t="inlineStr">
        <is>
          <t>Not Started</t>
        </is>
      </c>
    </row>
    <row r="27" ht="42" customHeight="1">
      <c r="A27" s="11" t="n">
        <v>25</v>
      </c>
      <c r="B27" s="50" t="inlineStr">
        <is>
          <t>SC-28</t>
        </is>
      </c>
      <c r="C27" s="11" t="inlineStr">
        <is>
          <t>SC</t>
        </is>
      </c>
      <c r="D27" s="12" t="inlineStr">
        <is>
          <t>Analytics</t>
        </is>
      </c>
      <c r="E27" s="11">
        <f>IFERROR(TRACKER!G27,"Not Started")</f>
        <v/>
      </c>
      <c r="F27" s="51">
        <f>IFERROR('[Analytics.xlsx]SC-28'!B21,"")</f>
        <v/>
      </c>
      <c r="G27" s="51" t="inlineStr"/>
      <c r="H27" s="51" t="inlineStr"/>
      <c r="I27" s="11" t="inlineStr"/>
      <c r="J27" s="12" t="inlineStr"/>
      <c r="K27" s="17" t="inlineStr"/>
      <c r="L27" s="11" t="inlineStr">
        <is>
          <t>Not Started</t>
        </is>
      </c>
    </row>
    <row r="28" ht="42" customHeight="1">
      <c r="A28" s="18" t="n">
        <v>26</v>
      </c>
      <c r="B28" s="52" t="inlineStr">
        <is>
          <t>SC-28(1)</t>
        </is>
      </c>
      <c r="C28" s="18" t="inlineStr">
        <is>
          <t>SC</t>
        </is>
      </c>
      <c r="D28" s="19" t="inlineStr">
        <is>
          <t>Analytics</t>
        </is>
      </c>
      <c r="E28" s="18">
        <f>IFERROR(TRACKER!G28,"Not Started")</f>
        <v/>
      </c>
      <c r="F28" s="53">
        <f>IFERROR('[Analytics.xlsx]SC-28-1'!B21,"")</f>
        <v/>
      </c>
      <c r="G28" s="53" t="inlineStr"/>
      <c r="H28" s="53" t="inlineStr"/>
      <c r="I28" s="18" t="inlineStr"/>
      <c r="J28" s="19" t="inlineStr"/>
      <c r="K28" s="22" t="inlineStr"/>
      <c r="L28" s="18" t="inlineStr">
        <is>
          <t>Not Started</t>
        </is>
      </c>
    </row>
    <row r="29" ht="42" customHeight="1">
      <c r="A29" s="11" t="n">
        <v>27</v>
      </c>
      <c r="B29" s="50" t="inlineStr">
        <is>
          <t>SI-4(2)</t>
        </is>
      </c>
      <c r="C29" s="11" t="inlineStr">
        <is>
          <t>SI</t>
        </is>
      </c>
      <c r="D29" s="12" t="inlineStr">
        <is>
          <t>Analytics</t>
        </is>
      </c>
      <c r="E29" s="11">
        <f>IFERROR(TRACKER!G29,"Not Started")</f>
        <v/>
      </c>
      <c r="F29" s="51">
        <f>IFERROR('[Analytics.xlsx]SI-4-2'!B21,"")</f>
        <v/>
      </c>
      <c r="G29" s="51" t="inlineStr"/>
      <c r="H29" s="51" t="inlineStr"/>
      <c r="I29" s="11" t="inlineStr"/>
      <c r="J29" s="12" t="inlineStr"/>
      <c r="K29" s="17" t="inlineStr"/>
      <c r="L29" s="11" t="inlineStr">
        <is>
          <t>Not Started</t>
        </is>
      </c>
    </row>
    <row r="30" ht="42" customHeight="1">
      <c r="A30" s="18" t="n">
        <v>28</v>
      </c>
      <c r="B30" s="52" t="inlineStr">
        <is>
          <t>SI-6</t>
        </is>
      </c>
      <c r="C30" s="18" t="inlineStr">
        <is>
          <t>SI</t>
        </is>
      </c>
      <c r="D30" s="19" t="inlineStr">
        <is>
          <t>Analytics</t>
        </is>
      </c>
      <c r="E30" s="18">
        <f>IFERROR(TRACKER!G30,"Not Started")</f>
        <v/>
      </c>
      <c r="F30" s="53">
        <f>IFERROR('[Analytics.xlsx]SI-6'!B21,"")</f>
        <v/>
      </c>
      <c r="G30" s="53" t="inlineStr"/>
      <c r="H30" s="53" t="inlineStr"/>
      <c r="I30" s="18" t="inlineStr"/>
      <c r="J30" s="19" t="inlineStr"/>
      <c r="K30" s="22" t="inlineStr"/>
      <c r="L30" s="18" t="inlineStr">
        <is>
          <t>Not Started</t>
        </is>
      </c>
    </row>
    <row r="31" ht="42" customHeight="1">
      <c r="A31" s="11" t="n">
        <v>29</v>
      </c>
      <c r="B31" s="50" t="inlineStr">
        <is>
          <t>AC-6</t>
        </is>
      </c>
      <c r="C31" s="11" t="inlineStr">
        <is>
          <t>AC</t>
        </is>
      </c>
      <c r="D31" s="12" t="inlineStr">
        <is>
          <t>Compute</t>
        </is>
      </c>
      <c r="E31" s="11">
        <f>IFERROR(TRACKER!G31,"Not Started")</f>
        <v/>
      </c>
      <c r="F31" s="51">
        <f>IFERROR('[Compute.xlsx]AC-6'!B21,"")</f>
        <v/>
      </c>
      <c r="G31" s="51" t="inlineStr"/>
      <c r="H31" s="51" t="inlineStr"/>
      <c r="I31" s="11" t="inlineStr"/>
      <c r="J31" s="12" t="inlineStr"/>
      <c r="K31" s="17" t="inlineStr"/>
      <c r="L31" s="11" t="inlineStr">
        <is>
          <t>Not Started</t>
        </is>
      </c>
    </row>
    <row r="32" ht="42" customHeight="1">
      <c r="A32" s="18" t="n">
        <v>30</v>
      </c>
      <c r="B32" s="52" t="inlineStr">
        <is>
          <t>AC-6(1)</t>
        </is>
      </c>
      <c r="C32" s="18" t="inlineStr">
        <is>
          <t>AC</t>
        </is>
      </c>
      <c r="D32" s="19" t="inlineStr">
        <is>
          <t>Compute</t>
        </is>
      </c>
      <c r="E32" s="18">
        <f>IFERROR(TRACKER!G32,"Not Started")</f>
        <v/>
      </c>
      <c r="F32" s="53">
        <f>IFERROR('[Compute.xlsx]AC-6-1'!B21,"")</f>
        <v/>
      </c>
      <c r="G32" s="53" t="inlineStr"/>
      <c r="H32" s="53" t="inlineStr"/>
      <c r="I32" s="18" t="inlineStr"/>
      <c r="J32" s="19" t="inlineStr"/>
      <c r="K32" s="22" t="inlineStr"/>
      <c r="L32" s="18" t="inlineStr">
        <is>
          <t>Not Started</t>
        </is>
      </c>
    </row>
    <row r="33" ht="42" customHeight="1">
      <c r="A33" s="11" t="n">
        <v>31</v>
      </c>
      <c r="B33" s="50" t="inlineStr">
        <is>
          <t>AC-7</t>
        </is>
      </c>
      <c r="C33" s="11" t="inlineStr">
        <is>
          <t>AC</t>
        </is>
      </c>
      <c r="D33" s="12" t="inlineStr">
        <is>
          <t>Compute</t>
        </is>
      </c>
      <c r="E33" s="11">
        <f>IFERROR(TRACKER!G33,"Not Started")</f>
        <v/>
      </c>
      <c r="F33" s="51">
        <f>IFERROR('[Compute.xlsx]AC-7'!B21,"")</f>
        <v/>
      </c>
      <c r="G33" s="51" t="inlineStr"/>
      <c r="H33" s="51" t="inlineStr"/>
      <c r="I33" s="11" t="inlineStr"/>
      <c r="J33" s="12" t="inlineStr"/>
      <c r="K33" s="17" t="inlineStr"/>
      <c r="L33" s="11" t="inlineStr">
        <is>
          <t>Not Started</t>
        </is>
      </c>
    </row>
    <row r="34" ht="42" customHeight="1">
      <c r="A34" s="18" t="n">
        <v>32</v>
      </c>
      <c r="B34" s="52" t="inlineStr">
        <is>
          <t>AC-8</t>
        </is>
      </c>
      <c r="C34" s="18" t="inlineStr">
        <is>
          <t>AC</t>
        </is>
      </c>
      <c r="D34" s="19" t="inlineStr">
        <is>
          <t>Compute</t>
        </is>
      </c>
      <c r="E34" s="18">
        <f>IFERROR(TRACKER!G34,"Not Started")</f>
        <v/>
      </c>
      <c r="F34" s="53">
        <f>IFERROR('[Compute.xlsx]AC-8'!B21,"")</f>
        <v/>
      </c>
      <c r="G34" s="53" t="inlineStr"/>
      <c r="H34" s="53" t="inlineStr"/>
      <c r="I34" s="18" t="inlineStr"/>
      <c r="J34" s="19" t="inlineStr"/>
      <c r="K34" s="22" t="inlineStr"/>
      <c r="L34" s="18" t="inlineStr">
        <is>
          <t>Not Started</t>
        </is>
      </c>
    </row>
    <row r="35" ht="42" customHeight="1">
      <c r="A35" s="11" t="n">
        <v>33</v>
      </c>
      <c r="B35" s="50" t="inlineStr">
        <is>
          <t>AC-11</t>
        </is>
      </c>
      <c r="C35" s="11" t="inlineStr">
        <is>
          <t>AC</t>
        </is>
      </c>
      <c r="D35" s="12" t="inlineStr">
        <is>
          <t>Compute</t>
        </is>
      </c>
      <c r="E35" s="11">
        <f>IFERROR(TRACKER!G35,"Not Started")</f>
        <v/>
      </c>
      <c r="F35" s="51">
        <f>IFERROR('[Compute.xlsx]AC-11'!B21,"")</f>
        <v/>
      </c>
      <c r="G35" s="51" t="inlineStr"/>
      <c r="H35" s="51" t="inlineStr"/>
      <c r="I35" s="11" t="inlineStr"/>
      <c r="J35" s="12" t="inlineStr"/>
      <c r="K35" s="17" t="inlineStr"/>
      <c r="L35" s="11" t="inlineStr">
        <is>
          <t>Not Started</t>
        </is>
      </c>
    </row>
    <row r="36" ht="42" customHeight="1">
      <c r="A36" s="18" t="n">
        <v>34</v>
      </c>
      <c r="B36" s="52" t="inlineStr">
        <is>
          <t>AC-11(1)</t>
        </is>
      </c>
      <c r="C36" s="18" t="inlineStr">
        <is>
          <t>AC</t>
        </is>
      </c>
      <c r="D36" s="19" t="inlineStr">
        <is>
          <t>Compute</t>
        </is>
      </c>
      <c r="E36" s="18">
        <f>IFERROR(TRACKER!G36,"Not Started")</f>
        <v/>
      </c>
      <c r="F36" s="53">
        <f>IFERROR('[Compute.xlsx]AC-11-1'!B21,"")</f>
        <v/>
      </c>
      <c r="G36" s="53" t="inlineStr"/>
      <c r="H36" s="53" t="inlineStr"/>
      <c r="I36" s="18" t="inlineStr"/>
      <c r="J36" s="19" t="inlineStr"/>
      <c r="K36" s="22" t="inlineStr"/>
      <c r="L36" s="18" t="inlineStr">
        <is>
          <t>Not Started</t>
        </is>
      </c>
    </row>
    <row r="37" ht="42" customHeight="1">
      <c r="A37" s="11" t="n">
        <v>35</v>
      </c>
      <c r="B37" s="50" t="inlineStr">
        <is>
          <t>AC-12</t>
        </is>
      </c>
      <c r="C37" s="11" t="inlineStr">
        <is>
          <t>AC</t>
        </is>
      </c>
      <c r="D37" s="12" t="inlineStr">
        <is>
          <t>Compute</t>
        </is>
      </c>
      <c r="E37" s="11">
        <f>IFERROR(TRACKER!G37,"Not Started")</f>
        <v/>
      </c>
      <c r="F37" s="51">
        <f>IFERROR('[Compute.xlsx]AC-12'!B21,"")</f>
        <v/>
      </c>
      <c r="G37" s="51" t="inlineStr"/>
      <c r="H37" s="51" t="inlineStr"/>
      <c r="I37" s="11" t="inlineStr"/>
      <c r="J37" s="12" t="inlineStr"/>
      <c r="K37" s="17" t="inlineStr"/>
      <c r="L37" s="11" t="inlineStr">
        <is>
          <t>Not Started</t>
        </is>
      </c>
    </row>
    <row r="38" ht="42" customHeight="1">
      <c r="A38" s="18" t="n">
        <v>36</v>
      </c>
      <c r="B38" s="52" t="inlineStr">
        <is>
          <t>AC-17(1)</t>
        </is>
      </c>
      <c r="C38" s="18" t="inlineStr">
        <is>
          <t>AC</t>
        </is>
      </c>
      <c r="D38" s="19" t="inlineStr">
        <is>
          <t>Compute</t>
        </is>
      </c>
      <c r="E38" s="18">
        <f>IFERROR(TRACKER!G38,"Not Started")</f>
        <v/>
      </c>
      <c r="F38" s="53">
        <f>IFERROR('[Compute.xlsx]AC-17-1'!B21,"")</f>
        <v/>
      </c>
      <c r="G38" s="53" t="inlineStr"/>
      <c r="H38" s="53" t="inlineStr"/>
      <c r="I38" s="18" t="inlineStr"/>
      <c r="J38" s="19" t="inlineStr"/>
      <c r="K38" s="22" t="inlineStr"/>
      <c r="L38" s="18" t="inlineStr">
        <is>
          <t>Not Started</t>
        </is>
      </c>
    </row>
    <row r="39" ht="42" customHeight="1">
      <c r="A39" s="11" t="n">
        <v>37</v>
      </c>
      <c r="B39" s="50" t="inlineStr">
        <is>
          <t>AC-17(2)</t>
        </is>
      </c>
      <c r="C39" s="11" t="inlineStr">
        <is>
          <t>AC</t>
        </is>
      </c>
      <c r="D39" s="12" t="inlineStr">
        <is>
          <t>Compute</t>
        </is>
      </c>
      <c r="E39" s="11">
        <f>IFERROR(TRACKER!G39,"Not Started")</f>
        <v/>
      </c>
      <c r="F39" s="51">
        <f>IFERROR('[Compute.xlsx]AC-17-2'!B21,"")</f>
        <v/>
      </c>
      <c r="G39" s="51" t="inlineStr"/>
      <c r="H39" s="51" t="inlineStr"/>
      <c r="I39" s="11" t="inlineStr"/>
      <c r="J39" s="12" t="inlineStr"/>
      <c r="K39" s="17" t="inlineStr"/>
      <c r="L39" s="11" t="inlineStr">
        <is>
          <t>Not Started</t>
        </is>
      </c>
    </row>
    <row r="40" ht="42" customHeight="1">
      <c r="A40" s="18" t="n">
        <v>38</v>
      </c>
      <c r="B40" s="52" t="inlineStr">
        <is>
          <t>AC-17(100)</t>
        </is>
      </c>
      <c r="C40" s="18" t="inlineStr">
        <is>
          <t>AC</t>
        </is>
      </c>
      <c r="D40" s="19" t="inlineStr">
        <is>
          <t>Compute</t>
        </is>
      </c>
      <c r="E40" s="18">
        <f>IFERROR(TRACKER!G40,"Not Started")</f>
        <v/>
      </c>
      <c r="F40" s="53">
        <f>IFERROR('[Compute.xlsx]AC-17-100'!B21,"")</f>
        <v/>
      </c>
      <c r="G40" s="53" t="inlineStr"/>
      <c r="H40" s="53" t="inlineStr"/>
      <c r="I40" s="18" t="inlineStr"/>
      <c r="J40" s="19" t="inlineStr"/>
      <c r="K40" s="22" t="inlineStr"/>
      <c r="L40" s="18" t="inlineStr">
        <is>
          <t>Not Started</t>
        </is>
      </c>
    </row>
    <row r="41" ht="42" customHeight="1">
      <c r="A41" s="11" t="n">
        <v>39</v>
      </c>
      <c r="B41" s="50" t="inlineStr">
        <is>
          <t>AU-2</t>
        </is>
      </c>
      <c r="C41" s="11" t="inlineStr">
        <is>
          <t>AU</t>
        </is>
      </c>
      <c r="D41" s="12" t="inlineStr">
        <is>
          <t>Compute</t>
        </is>
      </c>
      <c r="E41" s="11">
        <f>IFERROR(TRACKER!G41,"Not Started")</f>
        <v/>
      </c>
      <c r="F41" s="51">
        <f>IFERROR('[Compute.xlsx]AU-2'!B21,"")</f>
        <v/>
      </c>
      <c r="G41" s="51" t="inlineStr"/>
      <c r="H41" s="51" t="inlineStr"/>
      <c r="I41" s="11" t="inlineStr"/>
      <c r="J41" s="12" t="inlineStr"/>
      <c r="K41" s="17" t="inlineStr"/>
      <c r="L41" s="11" t="inlineStr">
        <is>
          <t>Not Started</t>
        </is>
      </c>
    </row>
    <row r="42" ht="42" customHeight="1">
      <c r="A42" s="18" t="n">
        <v>40</v>
      </c>
      <c r="B42" s="52" t="inlineStr">
        <is>
          <t>AU-3</t>
        </is>
      </c>
      <c r="C42" s="18" t="inlineStr">
        <is>
          <t>AU</t>
        </is>
      </c>
      <c r="D42" s="19" t="inlineStr">
        <is>
          <t>Compute</t>
        </is>
      </c>
      <c r="E42" s="18">
        <f>IFERROR(TRACKER!G42,"Not Started")</f>
        <v/>
      </c>
      <c r="F42" s="53">
        <f>IFERROR('[Compute.xlsx]AU-3'!B21,"")</f>
        <v/>
      </c>
      <c r="G42" s="53" t="inlineStr"/>
      <c r="H42" s="53" t="inlineStr"/>
      <c r="I42" s="18" t="inlineStr"/>
      <c r="J42" s="19" t="inlineStr"/>
      <c r="K42" s="22" t="inlineStr"/>
      <c r="L42" s="18" t="inlineStr">
        <is>
          <t>Not Started</t>
        </is>
      </c>
    </row>
    <row r="43" ht="42" customHeight="1">
      <c r="A43" s="11" t="n">
        <v>41</v>
      </c>
      <c r="B43" s="50" t="inlineStr">
        <is>
          <t>AU-3(1)</t>
        </is>
      </c>
      <c r="C43" s="11" t="inlineStr">
        <is>
          <t>AU</t>
        </is>
      </c>
      <c r="D43" s="12" t="inlineStr">
        <is>
          <t>Compute</t>
        </is>
      </c>
      <c r="E43" s="11">
        <f>IFERROR(TRACKER!G43,"Not Started")</f>
        <v/>
      </c>
      <c r="F43" s="51">
        <f>IFERROR('[Compute.xlsx]AU-3-1'!B21,"")</f>
        <v/>
      </c>
      <c r="G43" s="51" t="inlineStr"/>
      <c r="H43" s="51" t="inlineStr"/>
      <c r="I43" s="11" t="inlineStr"/>
      <c r="J43" s="12" t="inlineStr"/>
      <c r="K43" s="17" t="inlineStr"/>
      <c r="L43" s="11" t="inlineStr">
        <is>
          <t>Not Started</t>
        </is>
      </c>
    </row>
    <row r="44" ht="42" customHeight="1">
      <c r="A44" s="18" t="n">
        <v>42</v>
      </c>
      <c r="B44" s="52" t="inlineStr">
        <is>
          <t>AU-9(2)</t>
        </is>
      </c>
      <c r="C44" s="18" t="inlineStr">
        <is>
          <t>AU</t>
        </is>
      </c>
      <c r="D44" s="19" t="inlineStr">
        <is>
          <t>Compute</t>
        </is>
      </c>
      <c r="E44" s="18">
        <f>IFERROR(TRACKER!G44,"Not Started")</f>
        <v/>
      </c>
      <c r="F44" s="53">
        <f>IFERROR('[Compute.xlsx]AU-9-2'!B21,"")</f>
        <v/>
      </c>
      <c r="G44" s="53" t="inlineStr"/>
      <c r="H44" s="53" t="inlineStr"/>
      <c r="I44" s="18" t="inlineStr"/>
      <c r="J44" s="19" t="inlineStr"/>
      <c r="K44" s="22" t="inlineStr"/>
      <c r="L44" s="18" t="inlineStr">
        <is>
          <t>Not Started</t>
        </is>
      </c>
    </row>
    <row r="45" ht="42" customHeight="1">
      <c r="A45" s="11" t="n">
        <v>43</v>
      </c>
      <c r="B45" s="50" t="inlineStr">
        <is>
          <t>AU-12</t>
        </is>
      </c>
      <c r="C45" s="11" t="inlineStr">
        <is>
          <t>AU</t>
        </is>
      </c>
      <c r="D45" s="12" t="inlineStr">
        <is>
          <t>Compute</t>
        </is>
      </c>
      <c r="E45" s="11">
        <f>IFERROR(TRACKER!G45,"Not Started")</f>
        <v/>
      </c>
      <c r="F45" s="51">
        <f>IFERROR('[Compute.xlsx]AU-12'!B21,"")</f>
        <v/>
      </c>
      <c r="G45" s="51" t="inlineStr"/>
      <c r="H45" s="51" t="inlineStr"/>
      <c r="I45" s="11" t="inlineStr"/>
      <c r="J45" s="12" t="inlineStr"/>
      <c r="K45" s="17" t="inlineStr"/>
      <c r="L45" s="11" t="inlineStr">
        <is>
          <t>Not Started</t>
        </is>
      </c>
    </row>
    <row r="46" ht="42" customHeight="1">
      <c r="A46" s="18" t="n">
        <v>44</v>
      </c>
      <c r="B46" s="52" t="inlineStr">
        <is>
          <t>CA-3(5)</t>
        </is>
      </c>
      <c r="C46" s="18" t="inlineStr">
        <is>
          <t>CA</t>
        </is>
      </c>
      <c r="D46" s="19" t="inlineStr">
        <is>
          <t>Compute</t>
        </is>
      </c>
      <c r="E46" s="18">
        <f>IFERROR(TRACKER!G46,"Not Started")</f>
        <v/>
      </c>
      <c r="F46" s="53">
        <f>IFERROR('[Compute.xlsx]CA-3-5'!B21,"")</f>
        <v/>
      </c>
      <c r="G46" s="53" t="inlineStr"/>
      <c r="H46" s="53" t="inlineStr"/>
      <c r="I46" s="18" t="inlineStr"/>
      <c r="J46" s="19" t="inlineStr"/>
      <c r="K46" s="22" t="inlineStr"/>
      <c r="L46" s="18" t="inlineStr">
        <is>
          <t>Not Started</t>
        </is>
      </c>
    </row>
    <row r="47" ht="42" customHeight="1">
      <c r="A47" s="11" t="n">
        <v>45</v>
      </c>
      <c r="B47" s="50" t="inlineStr">
        <is>
          <t>CA-9</t>
        </is>
      </c>
      <c r="C47" s="11" t="inlineStr">
        <is>
          <t>CA</t>
        </is>
      </c>
      <c r="D47" s="12" t="inlineStr">
        <is>
          <t>Compute</t>
        </is>
      </c>
      <c r="E47" s="11">
        <f>IFERROR(TRACKER!G47,"Not Started")</f>
        <v/>
      </c>
      <c r="F47" s="51">
        <f>IFERROR('[Compute.xlsx]CA-9'!B21,"")</f>
        <v/>
      </c>
      <c r="G47" s="51" t="inlineStr"/>
      <c r="H47" s="51" t="inlineStr"/>
      <c r="I47" s="11" t="inlineStr"/>
      <c r="J47" s="12" t="inlineStr"/>
      <c r="K47" s="17" t="inlineStr"/>
      <c r="L47" s="11" t="inlineStr">
        <is>
          <t>Not Started</t>
        </is>
      </c>
    </row>
    <row r="48" ht="42" customHeight="1">
      <c r="A48" s="18" t="n">
        <v>46</v>
      </c>
      <c r="B48" s="52" t="inlineStr">
        <is>
          <t>CM-6</t>
        </is>
      </c>
      <c r="C48" s="18" t="inlineStr">
        <is>
          <t>CM</t>
        </is>
      </c>
      <c r="D48" s="19" t="inlineStr">
        <is>
          <t>Compute</t>
        </is>
      </c>
      <c r="E48" s="18">
        <f>IFERROR(TRACKER!G48,"Not Started")</f>
        <v/>
      </c>
      <c r="F48" s="53">
        <f>IFERROR('[Compute.xlsx]CM-6'!B21,"")</f>
        <v/>
      </c>
      <c r="G48" s="53" t="inlineStr"/>
      <c r="H48" s="53" t="inlineStr"/>
      <c r="I48" s="18" t="inlineStr"/>
      <c r="J48" s="19" t="inlineStr"/>
      <c r="K48" s="22" t="inlineStr"/>
      <c r="L48" s="18" t="inlineStr">
        <is>
          <t>Not Started</t>
        </is>
      </c>
    </row>
    <row r="49" ht="42" customHeight="1">
      <c r="A49" s="11" t="n">
        <v>47</v>
      </c>
      <c r="B49" s="50" t="inlineStr">
        <is>
          <t>CM-7</t>
        </is>
      </c>
      <c r="C49" s="11" t="inlineStr">
        <is>
          <t>CM</t>
        </is>
      </c>
      <c r="D49" s="12" t="inlineStr">
        <is>
          <t>Compute</t>
        </is>
      </c>
      <c r="E49" s="11">
        <f>IFERROR(TRACKER!G49,"Not Started")</f>
        <v/>
      </c>
      <c r="F49" s="51">
        <f>IFERROR('[Compute.xlsx]CM-7'!B21,"")</f>
        <v/>
      </c>
      <c r="G49" s="51" t="inlineStr"/>
      <c r="H49" s="51" t="inlineStr"/>
      <c r="I49" s="11" t="inlineStr"/>
      <c r="J49" s="12" t="inlineStr"/>
      <c r="K49" s="17" t="inlineStr"/>
      <c r="L49" s="11" t="inlineStr">
        <is>
          <t>Not Started</t>
        </is>
      </c>
    </row>
    <row r="50" ht="42" customHeight="1">
      <c r="A50" s="18" t="n">
        <v>48</v>
      </c>
      <c r="B50" s="52" t="inlineStr">
        <is>
          <t>CM-7(1)</t>
        </is>
      </c>
      <c r="C50" s="18" t="inlineStr">
        <is>
          <t>CM</t>
        </is>
      </c>
      <c r="D50" s="19" t="inlineStr">
        <is>
          <t>Compute</t>
        </is>
      </c>
      <c r="E50" s="18">
        <f>IFERROR(TRACKER!G50,"Not Started")</f>
        <v/>
      </c>
      <c r="F50" s="53">
        <f>IFERROR('[Compute.xlsx]CM-7-1'!B21,"")</f>
        <v/>
      </c>
      <c r="G50" s="53" t="inlineStr"/>
      <c r="H50" s="53" t="inlineStr"/>
      <c r="I50" s="18" t="inlineStr"/>
      <c r="J50" s="19" t="inlineStr"/>
      <c r="K50" s="22" t="inlineStr"/>
      <c r="L50" s="18" t="inlineStr">
        <is>
          <t>Not Started</t>
        </is>
      </c>
    </row>
    <row r="51" ht="42" customHeight="1">
      <c r="A51" s="11" t="n">
        <v>49</v>
      </c>
      <c r="B51" s="50" t="inlineStr">
        <is>
          <t>CM-7(5)</t>
        </is>
      </c>
      <c r="C51" s="11" t="inlineStr">
        <is>
          <t>CM</t>
        </is>
      </c>
      <c r="D51" s="12" t="inlineStr">
        <is>
          <t>Compute</t>
        </is>
      </c>
      <c r="E51" s="11">
        <f>IFERROR(TRACKER!G51,"Not Started")</f>
        <v/>
      </c>
      <c r="F51" s="51">
        <f>IFERROR('[Compute.xlsx]CM-7-5'!B21,"")</f>
        <v/>
      </c>
      <c r="G51" s="51" t="inlineStr"/>
      <c r="H51" s="51" t="inlineStr"/>
      <c r="I51" s="11" t="inlineStr"/>
      <c r="J51" s="12" t="inlineStr"/>
      <c r="K51" s="17" t="inlineStr"/>
      <c r="L51" s="11" t="inlineStr">
        <is>
          <t>Not Started</t>
        </is>
      </c>
    </row>
    <row r="52" ht="42" customHeight="1">
      <c r="A52" s="18" t="n">
        <v>50</v>
      </c>
      <c r="B52" s="52" t="inlineStr">
        <is>
          <t>CM-11</t>
        </is>
      </c>
      <c r="C52" s="18" t="inlineStr">
        <is>
          <t>CM</t>
        </is>
      </c>
      <c r="D52" s="19" t="inlineStr">
        <is>
          <t>Compute</t>
        </is>
      </c>
      <c r="E52" s="18">
        <f>IFERROR(TRACKER!G52,"Not Started")</f>
        <v/>
      </c>
      <c r="F52" s="53">
        <f>IFERROR('[Compute.xlsx]CM-11'!B21,"")</f>
        <v/>
      </c>
      <c r="G52" s="53" t="inlineStr"/>
      <c r="H52" s="53" t="inlineStr"/>
      <c r="I52" s="18" t="inlineStr"/>
      <c r="J52" s="19" t="inlineStr"/>
      <c r="K52" s="22" t="inlineStr"/>
      <c r="L52" s="18" t="inlineStr">
        <is>
          <t>Not Started</t>
        </is>
      </c>
    </row>
    <row r="53" ht="42" customHeight="1">
      <c r="A53" s="11" t="n">
        <v>51</v>
      </c>
      <c r="B53" s="50" t="inlineStr">
        <is>
          <t>CP-6</t>
        </is>
      </c>
      <c r="C53" s="11" t="inlineStr">
        <is>
          <t>CP</t>
        </is>
      </c>
      <c r="D53" s="12" t="inlineStr">
        <is>
          <t>Compute</t>
        </is>
      </c>
      <c r="E53" s="11">
        <f>IFERROR(TRACKER!G53,"Not Started")</f>
        <v/>
      </c>
      <c r="F53" s="51">
        <f>IFERROR('[Compute.xlsx]CP-6'!B21,"")</f>
        <v/>
      </c>
      <c r="G53" s="51" t="inlineStr"/>
      <c r="H53" s="51" t="inlineStr"/>
      <c r="I53" s="11" t="inlineStr"/>
      <c r="J53" s="12" t="inlineStr"/>
      <c r="K53" s="17" t="inlineStr"/>
      <c r="L53" s="11" t="inlineStr">
        <is>
          <t>Not Started</t>
        </is>
      </c>
    </row>
    <row r="54" ht="42" customHeight="1">
      <c r="A54" s="18" t="n">
        <v>52</v>
      </c>
      <c r="B54" s="52" t="inlineStr">
        <is>
          <t>CP-6(2)</t>
        </is>
      </c>
      <c r="C54" s="18" t="inlineStr">
        <is>
          <t>CP</t>
        </is>
      </c>
      <c r="D54" s="19" t="inlineStr">
        <is>
          <t>Compute</t>
        </is>
      </c>
      <c r="E54" s="18">
        <f>IFERROR(TRACKER!G54,"Not Started")</f>
        <v/>
      </c>
      <c r="F54" s="53">
        <f>IFERROR('[Compute.xlsx]CP-6-2'!B21,"")</f>
        <v/>
      </c>
      <c r="G54" s="53" t="inlineStr"/>
      <c r="H54" s="53" t="inlineStr"/>
      <c r="I54" s="18" t="inlineStr"/>
      <c r="J54" s="19" t="inlineStr"/>
      <c r="K54" s="22" t="inlineStr"/>
      <c r="L54" s="18" t="inlineStr">
        <is>
          <t>Not Started</t>
        </is>
      </c>
    </row>
    <row r="55" ht="42" customHeight="1">
      <c r="A55" s="11" t="n">
        <v>53</v>
      </c>
      <c r="B55" s="50" t="inlineStr">
        <is>
          <t>CP-7</t>
        </is>
      </c>
      <c r="C55" s="11" t="inlineStr">
        <is>
          <t>CP</t>
        </is>
      </c>
      <c r="D55" s="12" t="inlineStr">
        <is>
          <t>Compute</t>
        </is>
      </c>
      <c r="E55" s="11">
        <f>IFERROR(TRACKER!G55,"Not Started")</f>
        <v/>
      </c>
      <c r="F55" s="51">
        <f>IFERROR('[Compute.xlsx]CP-7'!B21,"")</f>
        <v/>
      </c>
      <c r="G55" s="51" t="inlineStr"/>
      <c r="H55" s="51" t="inlineStr"/>
      <c r="I55" s="11" t="inlineStr"/>
      <c r="J55" s="12" t="inlineStr"/>
      <c r="K55" s="17" t="inlineStr"/>
      <c r="L55" s="11" t="inlineStr">
        <is>
          <t>Not Started</t>
        </is>
      </c>
    </row>
    <row r="56" ht="42" customHeight="1">
      <c r="A56" s="18" t="n">
        <v>54</v>
      </c>
      <c r="B56" s="52" t="inlineStr">
        <is>
          <t>CP-7(4)</t>
        </is>
      </c>
      <c r="C56" s="18" t="inlineStr">
        <is>
          <t>CP</t>
        </is>
      </c>
      <c r="D56" s="19" t="inlineStr">
        <is>
          <t>Compute</t>
        </is>
      </c>
      <c r="E56" s="18">
        <f>IFERROR(TRACKER!G56,"Not Started")</f>
        <v/>
      </c>
      <c r="F56" s="53">
        <f>IFERROR('[Compute.xlsx]CP-7-4'!B21,"")</f>
        <v/>
      </c>
      <c r="G56" s="53" t="inlineStr"/>
      <c r="H56" s="53" t="inlineStr"/>
      <c r="I56" s="18" t="inlineStr"/>
      <c r="J56" s="19" t="inlineStr"/>
      <c r="K56" s="22" t="inlineStr"/>
      <c r="L56" s="18" t="inlineStr">
        <is>
          <t>Not Started</t>
        </is>
      </c>
    </row>
    <row r="57" ht="42" customHeight="1">
      <c r="A57" s="11" t="n">
        <v>55</v>
      </c>
      <c r="B57" s="50" t="inlineStr">
        <is>
          <t>CP-9</t>
        </is>
      </c>
      <c r="C57" s="11" t="inlineStr">
        <is>
          <t>CP</t>
        </is>
      </c>
      <c r="D57" s="12" t="inlineStr">
        <is>
          <t>Compute</t>
        </is>
      </c>
      <c r="E57" s="11">
        <f>IFERROR(TRACKER!G57,"Not Started")</f>
        <v/>
      </c>
      <c r="F57" s="51">
        <f>IFERROR('[Compute.xlsx]CP-9'!B21,"")</f>
        <v/>
      </c>
      <c r="G57" s="51" t="inlineStr"/>
      <c r="H57" s="51" t="inlineStr"/>
      <c r="I57" s="11" t="inlineStr"/>
      <c r="J57" s="12" t="inlineStr"/>
      <c r="K57" s="17" t="inlineStr"/>
      <c r="L57" s="11" t="inlineStr">
        <is>
          <t>Not Started</t>
        </is>
      </c>
    </row>
    <row r="58" ht="42" customHeight="1">
      <c r="A58" s="18" t="n">
        <v>56</v>
      </c>
      <c r="B58" s="52" t="inlineStr">
        <is>
          <t>CP-9(1)</t>
        </is>
      </c>
      <c r="C58" s="18" t="inlineStr">
        <is>
          <t>CP</t>
        </is>
      </c>
      <c r="D58" s="19" t="inlineStr">
        <is>
          <t>Compute</t>
        </is>
      </c>
      <c r="E58" s="18">
        <f>IFERROR(TRACKER!G58,"Not Started")</f>
        <v/>
      </c>
      <c r="F58" s="53">
        <f>IFERROR('[Compute.xlsx]CP-9-1'!B21,"")</f>
        <v/>
      </c>
      <c r="G58" s="53" t="inlineStr"/>
      <c r="H58" s="53" t="inlineStr"/>
      <c r="I58" s="18" t="inlineStr"/>
      <c r="J58" s="19" t="inlineStr"/>
      <c r="K58" s="22" t="inlineStr"/>
      <c r="L58" s="18" t="inlineStr">
        <is>
          <t>Not Started</t>
        </is>
      </c>
    </row>
    <row r="59" ht="42" customHeight="1">
      <c r="A59" s="11" t="n">
        <v>57</v>
      </c>
      <c r="B59" s="50" t="inlineStr">
        <is>
          <t>CP-9(2)</t>
        </is>
      </c>
      <c r="C59" s="11" t="inlineStr">
        <is>
          <t>CP</t>
        </is>
      </c>
      <c r="D59" s="12" t="inlineStr">
        <is>
          <t>Compute</t>
        </is>
      </c>
      <c r="E59" s="11">
        <f>IFERROR(TRACKER!G59,"Not Started")</f>
        <v/>
      </c>
      <c r="F59" s="51">
        <f>IFERROR('[Compute.xlsx]CP-9-2'!B21,"")</f>
        <v/>
      </c>
      <c r="G59" s="51" t="inlineStr"/>
      <c r="H59" s="51" t="inlineStr"/>
      <c r="I59" s="11" t="inlineStr"/>
      <c r="J59" s="12" t="inlineStr"/>
      <c r="K59" s="17" t="inlineStr"/>
      <c r="L59" s="11" t="inlineStr">
        <is>
          <t>Not Started</t>
        </is>
      </c>
    </row>
    <row r="60" ht="42" customHeight="1">
      <c r="A60" s="18" t="n">
        <v>58</v>
      </c>
      <c r="B60" s="52" t="inlineStr">
        <is>
          <t>CP-9(5)</t>
        </is>
      </c>
      <c r="C60" s="18" t="inlineStr">
        <is>
          <t>CP</t>
        </is>
      </c>
      <c r="D60" s="19" t="inlineStr">
        <is>
          <t>Compute</t>
        </is>
      </c>
      <c r="E60" s="18">
        <f>IFERROR(TRACKER!G60,"Not Started")</f>
        <v/>
      </c>
      <c r="F60" s="53">
        <f>IFERROR('[Compute.xlsx]CP-9-5'!B21,"")</f>
        <v/>
      </c>
      <c r="G60" s="53" t="inlineStr"/>
      <c r="H60" s="53" t="inlineStr"/>
      <c r="I60" s="18" t="inlineStr"/>
      <c r="J60" s="19" t="inlineStr"/>
      <c r="K60" s="22" t="inlineStr"/>
      <c r="L60" s="18" t="inlineStr">
        <is>
          <t>Not Started</t>
        </is>
      </c>
    </row>
    <row r="61" ht="42" customHeight="1">
      <c r="A61" s="11" t="n">
        <v>59</v>
      </c>
      <c r="B61" s="50" t="inlineStr">
        <is>
          <t>CP-10</t>
        </is>
      </c>
      <c r="C61" s="11" t="inlineStr">
        <is>
          <t>CP</t>
        </is>
      </c>
      <c r="D61" s="12" t="inlineStr">
        <is>
          <t>Compute</t>
        </is>
      </c>
      <c r="E61" s="11">
        <f>IFERROR(TRACKER!G61,"Not Started")</f>
        <v/>
      </c>
      <c r="F61" s="51">
        <f>IFERROR('[Compute.xlsx]CP-10'!B21,"")</f>
        <v/>
      </c>
      <c r="G61" s="51" t="inlineStr"/>
      <c r="H61" s="51" t="inlineStr"/>
      <c r="I61" s="11" t="inlineStr"/>
      <c r="J61" s="12" t="inlineStr"/>
      <c r="K61" s="17" t="inlineStr"/>
      <c r="L61" s="11" t="inlineStr">
        <is>
          <t>Not Started</t>
        </is>
      </c>
    </row>
    <row r="62" ht="42" customHeight="1">
      <c r="A62" s="18" t="n">
        <v>60</v>
      </c>
      <c r="B62" s="52" t="inlineStr">
        <is>
          <t>CP-10(4)</t>
        </is>
      </c>
      <c r="C62" s="18" t="inlineStr">
        <is>
          <t>CP</t>
        </is>
      </c>
      <c r="D62" s="19" t="inlineStr">
        <is>
          <t>Compute</t>
        </is>
      </c>
      <c r="E62" s="18">
        <f>IFERROR(TRACKER!G62,"Not Started")</f>
        <v/>
      </c>
      <c r="F62" s="53">
        <f>IFERROR('[Compute.xlsx]CP-10-4'!B21,"")</f>
        <v/>
      </c>
      <c r="G62" s="53" t="inlineStr"/>
      <c r="H62" s="53" t="inlineStr"/>
      <c r="I62" s="18" t="inlineStr"/>
      <c r="J62" s="19" t="inlineStr"/>
      <c r="K62" s="22" t="inlineStr"/>
      <c r="L62" s="18" t="inlineStr">
        <is>
          <t>Not Started</t>
        </is>
      </c>
    </row>
    <row r="63" ht="42" customHeight="1">
      <c r="A63" s="11" t="n">
        <v>61</v>
      </c>
      <c r="B63" s="50" t="inlineStr">
        <is>
          <t>IA-5(6)</t>
        </is>
      </c>
      <c r="C63" s="11" t="inlineStr">
        <is>
          <t>IA</t>
        </is>
      </c>
      <c r="D63" s="12" t="inlineStr">
        <is>
          <t>Compute</t>
        </is>
      </c>
      <c r="E63" s="11">
        <f>IFERROR(TRACKER!G63,"Not Started")</f>
        <v/>
      </c>
      <c r="F63" s="51">
        <f>IFERROR('[Compute.xlsx]IA-5-6'!B21,"")</f>
        <v/>
      </c>
      <c r="G63" s="51" t="inlineStr"/>
      <c r="H63" s="51" t="inlineStr"/>
      <c r="I63" s="11" t="inlineStr"/>
      <c r="J63" s="12" t="inlineStr"/>
      <c r="K63" s="17" t="inlineStr"/>
      <c r="L63" s="11" t="inlineStr">
        <is>
          <t>Not Started</t>
        </is>
      </c>
    </row>
    <row r="64" ht="42" customHeight="1">
      <c r="A64" s="18" t="n">
        <v>62</v>
      </c>
      <c r="B64" s="52" t="inlineStr">
        <is>
          <t>IA-5(7)</t>
        </is>
      </c>
      <c r="C64" s="18" t="inlineStr">
        <is>
          <t>IA</t>
        </is>
      </c>
      <c r="D64" s="19" t="inlineStr">
        <is>
          <t>Compute</t>
        </is>
      </c>
      <c r="E64" s="18">
        <f>IFERROR(TRACKER!G64,"Not Started")</f>
        <v/>
      </c>
      <c r="F64" s="53">
        <f>IFERROR('[Compute.xlsx]IA-5-7'!B21,"")</f>
        <v/>
      </c>
      <c r="G64" s="53" t="inlineStr"/>
      <c r="H64" s="53" t="inlineStr"/>
      <c r="I64" s="18" t="inlineStr"/>
      <c r="J64" s="19" t="inlineStr"/>
      <c r="K64" s="22" t="inlineStr"/>
      <c r="L64" s="18" t="inlineStr">
        <is>
          <t>Not Started</t>
        </is>
      </c>
    </row>
    <row r="65" ht="42" customHeight="1">
      <c r="A65" s="11" t="n">
        <v>63</v>
      </c>
      <c r="B65" s="50" t="inlineStr">
        <is>
          <t>SA-9(5)</t>
        </is>
      </c>
      <c r="C65" s="11" t="inlineStr">
        <is>
          <t>SA</t>
        </is>
      </c>
      <c r="D65" s="12" t="inlineStr">
        <is>
          <t>Compute</t>
        </is>
      </c>
      <c r="E65" s="11">
        <f>IFERROR(TRACKER!G65,"Not Started")</f>
        <v/>
      </c>
      <c r="F65" s="51">
        <f>IFERROR('[Compute.xlsx]SA-9-5'!B21,"")</f>
        <v/>
      </c>
      <c r="G65" s="51" t="inlineStr"/>
      <c r="H65" s="51" t="inlineStr"/>
      <c r="I65" s="11" t="inlineStr"/>
      <c r="J65" s="12" t="inlineStr"/>
      <c r="K65" s="17" t="inlineStr"/>
      <c r="L65" s="11" t="inlineStr">
        <is>
          <t>Not Started</t>
        </is>
      </c>
    </row>
    <row r="66" ht="42" customHeight="1">
      <c r="A66" s="18" t="n">
        <v>64</v>
      </c>
      <c r="B66" s="52" t="inlineStr">
        <is>
          <t>SA-10(1)</t>
        </is>
      </c>
      <c r="C66" s="18" t="inlineStr">
        <is>
          <t>SA</t>
        </is>
      </c>
      <c r="D66" s="19" t="inlineStr">
        <is>
          <t>Compute</t>
        </is>
      </c>
      <c r="E66" s="18">
        <f>IFERROR(TRACKER!G66,"Not Started")</f>
        <v/>
      </c>
      <c r="F66" s="53">
        <f>IFERROR('[Compute.xlsx]SA-10-1'!B21,"")</f>
        <v/>
      </c>
      <c r="G66" s="53" t="inlineStr"/>
      <c r="H66" s="53" t="inlineStr"/>
      <c r="I66" s="18" t="inlineStr"/>
      <c r="J66" s="19" t="inlineStr"/>
      <c r="K66" s="22" t="inlineStr"/>
      <c r="L66" s="18" t="inlineStr">
        <is>
          <t>Not Started</t>
        </is>
      </c>
    </row>
    <row r="67" ht="42" customHeight="1">
      <c r="A67" s="11" t="n">
        <v>65</v>
      </c>
      <c r="B67" s="50" t="inlineStr">
        <is>
          <t>SC-2</t>
        </is>
      </c>
      <c r="C67" s="11" t="inlineStr">
        <is>
          <t>SC</t>
        </is>
      </c>
      <c r="D67" s="12" t="inlineStr">
        <is>
          <t>Compute</t>
        </is>
      </c>
      <c r="E67" s="11">
        <f>IFERROR(TRACKER!G67,"Not Started")</f>
        <v/>
      </c>
      <c r="F67" s="51">
        <f>IFERROR('[Compute.xlsx]SC-2'!B21,"")</f>
        <v/>
      </c>
      <c r="G67" s="51" t="inlineStr"/>
      <c r="H67" s="51" t="inlineStr"/>
      <c r="I67" s="11" t="inlineStr"/>
      <c r="J67" s="12" t="inlineStr"/>
      <c r="K67" s="17" t="inlineStr"/>
      <c r="L67" s="11" t="inlineStr">
        <is>
          <t>Not Started</t>
        </is>
      </c>
    </row>
    <row r="68" ht="42" customHeight="1">
      <c r="A68" s="18" t="n">
        <v>66</v>
      </c>
      <c r="B68" s="52" t="inlineStr">
        <is>
          <t>SC-6</t>
        </is>
      </c>
      <c r="C68" s="18" t="inlineStr">
        <is>
          <t>SC</t>
        </is>
      </c>
      <c r="D68" s="19" t="inlineStr">
        <is>
          <t>Compute</t>
        </is>
      </c>
      <c r="E68" s="18">
        <f>IFERROR(TRACKER!G68,"Not Started")</f>
        <v/>
      </c>
      <c r="F68" s="53">
        <f>IFERROR('[Compute.xlsx]SC-6'!B21,"")</f>
        <v/>
      </c>
      <c r="G68" s="53" t="inlineStr"/>
      <c r="H68" s="53" t="inlineStr"/>
      <c r="I68" s="18" t="inlineStr"/>
      <c r="J68" s="19" t="inlineStr"/>
      <c r="K68" s="22" t="inlineStr"/>
      <c r="L68" s="18" t="inlineStr">
        <is>
          <t>Not Started</t>
        </is>
      </c>
    </row>
    <row r="69" ht="42" customHeight="1">
      <c r="A69" s="11" t="n">
        <v>67</v>
      </c>
      <c r="B69" s="50" t="inlineStr">
        <is>
          <t>SC-7(7)</t>
        </is>
      </c>
      <c r="C69" s="11" t="inlineStr">
        <is>
          <t>SC</t>
        </is>
      </c>
      <c r="D69" s="12" t="inlineStr">
        <is>
          <t>Compute</t>
        </is>
      </c>
      <c r="E69" s="11">
        <f>IFERROR(TRACKER!G69,"Not Started")</f>
        <v/>
      </c>
      <c r="F69" s="51">
        <f>IFERROR('[Compute.xlsx]SC-7-7'!B21,"")</f>
        <v/>
      </c>
      <c r="G69" s="51" t="inlineStr"/>
      <c r="H69" s="51" t="inlineStr"/>
      <c r="I69" s="11" t="inlineStr"/>
      <c r="J69" s="12" t="inlineStr"/>
      <c r="K69" s="17" t="inlineStr"/>
      <c r="L69" s="11" t="inlineStr">
        <is>
          <t>Not Started</t>
        </is>
      </c>
    </row>
    <row r="70" ht="42" customHeight="1">
      <c r="A70" s="18" t="n">
        <v>68</v>
      </c>
      <c r="B70" s="52" t="inlineStr">
        <is>
          <t>SC-7(12)</t>
        </is>
      </c>
      <c r="C70" s="18" t="inlineStr">
        <is>
          <t>SC</t>
        </is>
      </c>
      <c r="D70" s="19" t="inlineStr">
        <is>
          <t>Compute</t>
        </is>
      </c>
      <c r="E70" s="18">
        <f>IFERROR(TRACKER!G70,"Not Started")</f>
        <v/>
      </c>
      <c r="F70" s="53">
        <f>IFERROR('[Compute.xlsx]SC-7-12'!B21,"")</f>
        <v/>
      </c>
      <c r="G70" s="53" t="inlineStr"/>
      <c r="H70" s="53" t="inlineStr"/>
      <c r="I70" s="18" t="inlineStr"/>
      <c r="J70" s="19" t="inlineStr"/>
      <c r="K70" s="22" t="inlineStr"/>
      <c r="L70" s="18" t="inlineStr">
        <is>
          <t>Not Started</t>
        </is>
      </c>
    </row>
    <row r="71" ht="42" customHeight="1">
      <c r="A71" s="11" t="n">
        <v>69</v>
      </c>
      <c r="B71" s="50" t="inlineStr">
        <is>
          <t>SC-8</t>
        </is>
      </c>
      <c r="C71" s="11" t="inlineStr">
        <is>
          <t>SC</t>
        </is>
      </c>
      <c r="D71" s="12" t="inlineStr">
        <is>
          <t>Compute</t>
        </is>
      </c>
      <c r="E71" s="11">
        <f>IFERROR(TRACKER!G71,"Not Started")</f>
        <v/>
      </c>
      <c r="F71" s="51">
        <f>IFERROR('[Compute.xlsx]SC-8'!B21,"")</f>
        <v/>
      </c>
      <c r="G71" s="51" t="inlineStr"/>
      <c r="H71" s="51" t="inlineStr"/>
      <c r="I71" s="11" t="inlineStr"/>
      <c r="J71" s="12" t="inlineStr"/>
      <c r="K71" s="17" t="inlineStr"/>
      <c r="L71" s="11" t="inlineStr">
        <is>
          <t>Not Started</t>
        </is>
      </c>
    </row>
    <row r="72" ht="42" customHeight="1">
      <c r="A72" s="18" t="n">
        <v>70</v>
      </c>
      <c r="B72" s="52" t="inlineStr">
        <is>
          <t>SC-8(1)</t>
        </is>
      </c>
      <c r="C72" s="18" t="inlineStr">
        <is>
          <t>SC</t>
        </is>
      </c>
      <c r="D72" s="19" t="inlineStr">
        <is>
          <t>Compute</t>
        </is>
      </c>
      <c r="E72" s="18">
        <f>IFERROR(TRACKER!G72,"Not Started")</f>
        <v/>
      </c>
      <c r="F72" s="53">
        <f>IFERROR('[Compute.xlsx]SC-8-1'!B21,"")</f>
        <v/>
      </c>
      <c r="G72" s="53" t="inlineStr"/>
      <c r="H72" s="53" t="inlineStr"/>
      <c r="I72" s="18" t="inlineStr"/>
      <c r="J72" s="19" t="inlineStr"/>
      <c r="K72" s="22" t="inlineStr"/>
      <c r="L72" s="18" t="inlineStr">
        <is>
          <t>Not Started</t>
        </is>
      </c>
    </row>
    <row r="73" ht="42" customHeight="1">
      <c r="A73" s="11" t="n">
        <v>71</v>
      </c>
      <c r="B73" s="50" t="inlineStr">
        <is>
          <t>SC-10</t>
        </is>
      </c>
      <c r="C73" s="11" t="inlineStr">
        <is>
          <t>SC</t>
        </is>
      </c>
      <c r="D73" s="12" t="inlineStr">
        <is>
          <t>Compute</t>
        </is>
      </c>
      <c r="E73" s="11">
        <f>IFERROR(TRACKER!G73,"Not Started")</f>
        <v/>
      </c>
      <c r="F73" s="51">
        <f>IFERROR('[Compute.xlsx]SC-10'!B21,"")</f>
        <v/>
      </c>
      <c r="G73" s="51" t="inlineStr"/>
      <c r="H73" s="51" t="inlineStr"/>
      <c r="I73" s="11" t="inlineStr"/>
      <c r="J73" s="12" t="inlineStr"/>
      <c r="K73" s="17" t="inlineStr"/>
      <c r="L73" s="11" t="inlineStr">
        <is>
          <t>Not Started</t>
        </is>
      </c>
    </row>
    <row r="74" ht="42" customHeight="1">
      <c r="A74" s="18" t="n">
        <v>72</v>
      </c>
      <c r="B74" s="52" t="inlineStr">
        <is>
          <t>SC-13</t>
        </is>
      </c>
      <c r="C74" s="18" t="inlineStr">
        <is>
          <t>SC</t>
        </is>
      </c>
      <c r="D74" s="19" t="inlineStr">
        <is>
          <t>Compute</t>
        </is>
      </c>
      <c r="E74" s="18">
        <f>IFERROR(TRACKER!G74,"Not Started")</f>
        <v/>
      </c>
      <c r="F74" s="53">
        <f>IFERROR('[Compute.xlsx]SC-13'!B21,"")</f>
        <v/>
      </c>
      <c r="G74" s="53" t="inlineStr"/>
      <c r="H74" s="53" t="inlineStr"/>
      <c r="I74" s="18" t="inlineStr"/>
      <c r="J74" s="19" t="inlineStr"/>
      <c r="K74" s="22" t="inlineStr"/>
      <c r="L74" s="18" t="inlineStr">
        <is>
          <t>Not Started</t>
        </is>
      </c>
    </row>
    <row r="75" ht="42" customHeight="1">
      <c r="A75" s="11" t="n">
        <v>73</v>
      </c>
      <c r="B75" s="50" t="inlineStr">
        <is>
          <t>SC-18</t>
        </is>
      </c>
      <c r="C75" s="11" t="inlineStr">
        <is>
          <t>SC</t>
        </is>
      </c>
      <c r="D75" s="12" t="inlineStr">
        <is>
          <t>Compute</t>
        </is>
      </c>
      <c r="E75" s="11">
        <f>IFERROR(TRACKER!G75,"Not Started")</f>
        <v/>
      </c>
      <c r="F75" s="51">
        <f>IFERROR('[Compute.xlsx]SC-18'!B21,"")</f>
        <v/>
      </c>
      <c r="G75" s="51" t="inlineStr"/>
      <c r="H75" s="51" t="inlineStr"/>
      <c r="I75" s="11" t="inlineStr"/>
      <c r="J75" s="12" t="inlineStr"/>
      <c r="K75" s="17" t="inlineStr"/>
      <c r="L75" s="11" t="inlineStr">
        <is>
          <t>Not Started</t>
        </is>
      </c>
    </row>
    <row r="76" ht="42" customHeight="1">
      <c r="A76" s="18" t="n">
        <v>74</v>
      </c>
      <c r="B76" s="52" t="inlineStr">
        <is>
          <t>SC-18(3)</t>
        </is>
      </c>
      <c r="C76" s="18" t="inlineStr">
        <is>
          <t>SC</t>
        </is>
      </c>
      <c r="D76" s="19" t="inlineStr">
        <is>
          <t>Compute</t>
        </is>
      </c>
      <c r="E76" s="18">
        <f>IFERROR(TRACKER!G76,"Not Started")</f>
        <v/>
      </c>
      <c r="F76" s="53">
        <f>IFERROR('[Compute.xlsx]SC-18-3'!B21,"")</f>
        <v/>
      </c>
      <c r="G76" s="53" t="inlineStr"/>
      <c r="H76" s="53" t="inlineStr"/>
      <c r="I76" s="18" t="inlineStr"/>
      <c r="J76" s="19" t="inlineStr"/>
      <c r="K76" s="22" t="inlineStr"/>
      <c r="L76" s="18" t="inlineStr">
        <is>
          <t>Not Started</t>
        </is>
      </c>
    </row>
    <row r="77" ht="42" customHeight="1">
      <c r="A77" s="11" t="n">
        <v>75</v>
      </c>
      <c r="B77" s="50" t="inlineStr">
        <is>
          <t>SC-18(4)</t>
        </is>
      </c>
      <c r="C77" s="11" t="inlineStr">
        <is>
          <t>SC</t>
        </is>
      </c>
      <c r="D77" s="12" t="inlineStr">
        <is>
          <t>Compute</t>
        </is>
      </c>
      <c r="E77" s="11">
        <f>IFERROR(TRACKER!G77,"Not Started")</f>
        <v/>
      </c>
      <c r="F77" s="51">
        <f>IFERROR('[Compute.xlsx]SC-18-4'!B21,"")</f>
        <v/>
      </c>
      <c r="G77" s="51" t="inlineStr"/>
      <c r="H77" s="51" t="inlineStr"/>
      <c r="I77" s="11" t="inlineStr"/>
      <c r="J77" s="12" t="inlineStr"/>
      <c r="K77" s="17" t="inlineStr"/>
      <c r="L77" s="11" t="inlineStr">
        <is>
          <t>Not Started</t>
        </is>
      </c>
    </row>
    <row r="78" ht="42" customHeight="1">
      <c r="A78" s="18" t="n">
        <v>76</v>
      </c>
      <c r="B78" s="52" t="inlineStr">
        <is>
          <t>SC-23</t>
        </is>
      </c>
      <c r="C78" s="18" t="inlineStr">
        <is>
          <t>SC</t>
        </is>
      </c>
      <c r="D78" s="19" t="inlineStr">
        <is>
          <t>Compute</t>
        </is>
      </c>
      <c r="E78" s="18">
        <f>IFERROR(TRACKER!G78,"Not Started")</f>
        <v/>
      </c>
      <c r="F78" s="53">
        <f>IFERROR('[Compute.xlsx]SC-23'!B21,"")</f>
        <v/>
      </c>
      <c r="G78" s="53" t="inlineStr"/>
      <c r="H78" s="53" t="inlineStr"/>
      <c r="I78" s="18" t="inlineStr"/>
      <c r="J78" s="19" t="inlineStr"/>
      <c r="K78" s="22" t="inlineStr"/>
      <c r="L78" s="18" t="inlineStr">
        <is>
          <t>Not Started</t>
        </is>
      </c>
    </row>
    <row r="79" ht="42" customHeight="1">
      <c r="A79" s="11" t="n">
        <v>77</v>
      </c>
      <c r="B79" s="50" t="inlineStr">
        <is>
          <t>SC-23(1)</t>
        </is>
      </c>
      <c r="C79" s="11" t="inlineStr">
        <is>
          <t>SC</t>
        </is>
      </c>
      <c r="D79" s="12" t="inlineStr">
        <is>
          <t>Compute</t>
        </is>
      </c>
      <c r="E79" s="11">
        <f>IFERROR(TRACKER!G79,"Not Started")</f>
        <v/>
      </c>
      <c r="F79" s="51">
        <f>IFERROR('[Compute.xlsx]SC-23-1'!B21,"")</f>
        <v/>
      </c>
      <c r="G79" s="51" t="inlineStr"/>
      <c r="H79" s="51" t="inlineStr"/>
      <c r="I79" s="11" t="inlineStr"/>
      <c r="J79" s="12" t="inlineStr"/>
      <c r="K79" s="17" t="inlineStr"/>
      <c r="L79" s="11" t="inlineStr">
        <is>
          <t>Not Started</t>
        </is>
      </c>
    </row>
    <row r="80" ht="42" customHeight="1">
      <c r="A80" s="18" t="n">
        <v>78</v>
      </c>
      <c r="B80" s="52" t="inlineStr">
        <is>
          <t>SC-28</t>
        </is>
      </c>
      <c r="C80" s="18" t="inlineStr">
        <is>
          <t>SC</t>
        </is>
      </c>
      <c r="D80" s="19" t="inlineStr">
        <is>
          <t>Compute</t>
        </is>
      </c>
      <c r="E80" s="18">
        <f>IFERROR(TRACKER!G80,"Not Started")</f>
        <v/>
      </c>
      <c r="F80" s="53">
        <f>IFERROR('[Compute.xlsx]SC-28'!B21,"")</f>
        <v/>
      </c>
      <c r="G80" s="53" t="inlineStr"/>
      <c r="H80" s="53" t="inlineStr"/>
      <c r="I80" s="18" t="inlineStr"/>
      <c r="J80" s="19" t="inlineStr"/>
      <c r="K80" s="22" t="inlineStr"/>
      <c r="L80" s="18" t="inlineStr">
        <is>
          <t>Not Started</t>
        </is>
      </c>
    </row>
    <row r="81" ht="42" customHeight="1">
      <c r="A81" s="11" t="n">
        <v>79</v>
      </c>
      <c r="B81" s="50" t="inlineStr">
        <is>
          <t>SC-28(1)</t>
        </is>
      </c>
      <c r="C81" s="11" t="inlineStr">
        <is>
          <t>SC</t>
        </is>
      </c>
      <c r="D81" s="12" t="inlineStr">
        <is>
          <t>Compute</t>
        </is>
      </c>
      <c r="E81" s="11">
        <f>IFERROR(TRACKER!G81,"Not Started")</f>
        <v/>
      </c>
      <c r="F81" s="51">
        <f>IFERROR('[Compute.xlsx]SC-28-1'!B21,"")</f>
        <v/>
      </c>
      <c r="G81" s="51" t="inlineStr"/>
      <c r="H81" s="51" t="inlineStr"/>
      <c r="I81" s="11" t="inlineStr"/>
      <c r="J81" s="12" t="inlineStr"/>
      <c r="K81" s="17" t="inlineStr"/>
      <c r="L81" s="11" t="inlineStr">
        <is>
          <t>Not Started</t>
        </is>
      </c>
    </row>
    <row r="82" ht="42" customHeight="1">
      <c r="A82" s="18" t="n">
        <v>80</v>
      </c>
      <c r="B82" s="52" t="inlineStr">
        <is>
          <t>SC-39</t>
        </is>
      </c>
      <c r="C82" s="18" t="inlineStr">
        <is>
          <t>SC</t>
        </is>
      </c>
      <c r="D82" s="19" t="inlineStr">
        <is>
          <t>Compute</t>
        </is>
      </c>
      <c r="E82" s="18">
        <f>IFERROR(TRACKER!G82,"Not Started")</f>
        <v/>
      </c>
      <c r="F82" s="53">
        <f>IFERROR('[Compute.xlsx]SC-39'!B21,"")</f>
        <v/>
      </c>
      <c r="G82" s="53" t="inlineStr"/>
      <c r="H82" s="53" t="inlineStr"/>
      <c r="I82" s="18" t="inlineStr"/>
      <c r="J82" s="19" t="inlineStr"/>
      <c r="K82" s="22" t="inlineStr"/>
      <c r="L82" s="18" t="inlineStr">
        <is>
          <t>Not Started</t>
        </is>
      </c>
    </row>
    <row r="83" ht="42" customHeight="1">
      <c r="A83" s="11" t="n">
        <v>81</v>
      </c>
      <c r="B83" s="50" t="inlineStr">
        <is>
          <t>SI-4(2)</t>
        </is>
      </c>
      <c r="C83" s="11" t="inlineStr">
        <is>
          <t>SI</t>
        </is>
      </c>
      <c r="D83" s="12" t="inlineStr">
        <is>
          <t>Compute</t>
        </is>
      </c>
      <c r="E83" s="11">
        <f>IFERROR(TRACKER!G83,"Not Started")</f>
        <v/>
      </c>
      <c r="F83" s="51">
        <f>IFERROR('[Compute.xlsx]SI-4-2'!B21,"")</f>
        <v/>
      </c>
      <c r="G83" s="51" t="inlineStr"/>
      <c r="H83" s="51" t="inlineStr"/>
      <c r="I83" s="11" t="inlineStr"/>
      <c r="J83" s="12" t="inlineStr"/>
      <c r="K83" s="17" t="inlineStr"/>
      <c r="L83" s="11" t="inlineStr">
        <is>
          <t>Not Started</t>
        </is>
      </c>
    </row>
    <row r="84" ht="42" customHeight="1">
      <c r="A84" s="18" t="n">
        <v>82</v>
      </c>
      <c r="B84" s="52" t="inlineStr">
        <is>
          <t>SI-4(4)</t>
        </is>
      </c>
      <c r="C84" s="18" t="inlineStr">
        <is>
          <t>SI</t>
        </is>
      </c>
      <c r="D84" s="19" t="inlineStr">
        <is>
          <t>Compute</t>
        </is>
      </c>
      <c r="E84" s="18">
        <f>IFERROR(TRACKER!G84,"Not Started")</f>
        <v/>
      </c>
      <c r="F84" s="53">
        <f>IFERROR('[Compute.xlsx]SI-4-4'!B21,"")</f>
        <v/>
      </c>
      <c r="G84" s="53" t="inlineStr"/>
      <c r="H84" s="53" t="inlineStr"/>
      <c r="I84" s="18" t="inlineStr"/>
      <c r="J84" s="19" t="inlineStr"/>
      <c r="K84" s="22" t="inlineStr"/>
      <c r="L84" s="18" t="inlineStr">
        <is>
          <t>Not Started</t>
        </is>
      </c>
    </row>
    <row r="85" ht="42" customHeight="1">
      <c r="A85" s="11" t="n">
        <v>83</v>
      </c>
      <c r="B85" s="50" t="inlineStr">
        <is>
          <t>SI-4(23)</t>
        </is>
      </c>
      <c r="C85" s="11" t="inlineStr">
        <is>
          <t>SI</t>
        </is>
      </c>
      <c r="D85" s="12" t="inlineStr">
        <is>
          <t>Compute</t>
        </is>
      </c>
      <c r="E85" s="11">
        <f>IFERROR(TRACKER!G85,"Not Started")</f>
        <v/>
      </c>
      <c r="F85" s="51">
        <f>IFERROR('[Compute.xlsx]SI-4-23'!B21,"")</f>
        <v/>
      </c>
      <c r="G85" s="51" t="inlineStr"/>
      <c r="H85" s="51" t="inlineStr"/>
      <c r="I85" s="11" t="inlineStr"/>
      <c r="J85" s="12" t="inlineStr"/>
      <c r="K85" s="17" t="inlineStr"/>
      <c r="L85" s="11" t="inlineStr">
        <is>
          <t>Not Started</t>
        </is>
      </c>
    </row>
    <row r="86" ht="42" customHeight="1">
      <c r="A86" s="18" t="n">
        <v>84</v>
      </c>
      <c r="B86" s="52" t="inlineStr">
        <is>
          <t>SI-6</t>
        </is>
      </c>
      <c r="C86" s="18" t="inlineStr">
        <is>
          <t>SI</t>
        </is>
      </c>
      <c r="D86" s="19" t="inlineStr">
        <is>
          <t>Compute</t>
        </is>
      </c>
      <c r="E86" s="18">
        <f>IFERROR(TRACKER!G86,"Not Started")</f>
        <v/>
      </c>
      <c r="F86" s="53">
        <f>IFERROR('[Compute.xlsx]SI-6'!B21,"")</f>
        <v/>
      </c>
      <c r="G86" s="53" t="inlineStr"/>
      <c r="H86" s="53" t="inlineStr"/>
      <c r="I86" s="18" t="inlineStr"/>
      <c r="J86" s="19" t="inlineStr"/>
      <c r="K86" s="22" t="inlineStr"/>
      <c r="L86" s="18" t="inlineStr">
        <is>
          <t>Not Started</t>
        </is>
      </c>
    </row>
    <row r="87" ht="42" customHeight="1">
      <c r="A87" s="11" t="n">
        <v>85</v>
      </c>
      <c r="B87" s="50" t="inlineStr">
        <is>
          <t>SI-7</t>
        </is>
      </c>
      <c r="C87" s="11" t="inlineStr">
        <is>
          <t>SI</t>
        </is>
      </c>
      <c r="D87" s="12" t="inlineStr">
        <is>
          <t>Compute</t>
        </is>
      </c>
      <c r="E87" s="11">
        <f>IFERROR(TRACKER!G87,"Not Started")</f>
        <v/>
      </c>
      <c r="F87" s="51">
        <f>IFERROR('[Compute.xlsx]SI-7'!B21,"")</f>
        <v/>
      </c>
      <c r="G87" s="51" t="inlineStr"/>
      <c r="H87" s="51" t="inlineStr"/>
      <c r="I87" s="11" t="inlineStr"/>
      <c r="J87" s="12" t="inlineStr"/>
      <c r="K87" s="17" t="inlineStr"/>
      <c r="L87" s="11" t="inlineStr">
        <is>
          <t>Not Started</t>
        </is>
      </c>
    </row>
    <row r="88" ht="42" customHeight="1">
      <c r="A88" s="18" t="n">
        <v>86</v>
      </c>
      <c r="B88" s="52" t="inlineStr">
        <is>
          <t>SI-7(1)</t>
        </is>
      </c>
      <c r="C88" s="18" t="inlineStr">
        <is>
          <t>SI</t>
        </is>
      </c>
      <c r="D88" s="19" t="inlineStr">
        <is>
          <t>Compute</t>
        </is>
      </c>
      <c r="E88" s="18">
        <f>IFERROR(TRACKER!G88,"Not Started")</f>
        <v/>
      </c>
      <c r="F88" s="53">
        <f>IFERROR('[Compute.xlsx]SI-7-1'!B21,"")</f>
        <v/>
      </c>
      <c r="G88" s="53" t="inlineStr"/>
      <c r="H88" s="53" t="inlineStr"/>
      <c r="I88" s="18" t="inlineStr"/>
      <c r="J88" s="19" t="inlineStr"/>
      <c r="K88" s="22" t="inlineStr"/>
      <c r="L88" s="18" t="inlineStr">
        <is>
          <t>Not Started</t>
        </is>
      </c>
    </row>
    <row r="89" ht="42" customHeight="1">
      <c r="A89" s="11" t="n">
        <v>87</v>
      </c>
      <c r="B89" s="50" t="inlineStr">
        <is>
          <t>SI-11</t>
        </is>
      </c>
      <c r="C89" s="11" t="inlineStr">
        <is>
          <t>SI</t>
        </is>
      </c>
      <c r="D89" s="12" t="inlineStr">
        <is>
          <t>Compute</t>
        </is>
      </c>
      <c r="E89" s="11">
        <f>IFERROR(TRACKER!G89,"Not Started")</f>
        <v/>
      </c>
      <c r="F89" s="51">
        <f>IFERROR('[Compute.xlsx]SI-11'!B21,"")</f>
        <v/>
      </c>
      <c r="G89" s="51" t="inlineStr"/>
      <c r="H89" s="51" t="inlineStr"/>
      <c r="I89" s="11" t="inlineStr"/>
      <c r="J89" s="12" t="inlineStr"/>
      <c r="K89" s="17" t="inlineStr"/>
      <c r="L89" s="11" t="inlineStr">
        <is>
          <t>Not Started</t>
        </is>
      </c>
    </row>
    <row r="90" ht="42" customHeight="1">
      <c r="A90" s="18" t="n">
        <v>88</v>
      </c>
      <c r="B90" s="52" t="inlineStr">
        <is>
          <t>SI-16</t>
        </is>
      </c>
      <c r="C90" s="18" t="inlineStr">
        <is>
          <t>SI</t>
        </is>
      </c>
      <c r="D90" s="19" t="inlineStr">
        <is>
          <t>Compute</t>
        </is>
      </c>
      <c r="E90" s="18">
        <f>IFERROR(TRACKER!G90,"Not Started")</f>
        <v/>
      </c>
      <c r="F90" s="53">
        <f>IFERROR('[Compute.xlsx]SI-16'!B21,"")</f>
        <v/>
      </c>
      <c r="G90" s="53" t="inlineStr"/>
      <c r="H90" s="53" t="inlineStr"/>
      <c r="I90" s="18" t="inlineStr"/>
      <c r="J90" s="19" t="inlineStr"/>
      <c r="K90" s="22" t="inlineStr"/>
      <c r="L90" s="18" t="inlineStr">
        <is>
          <t>Not Started</t>
        </is>
      </c>
    </row>
    <row r="91" ht="42" customHeight="1">
      <c r="A91" s="11" t="n">
        <v>89</v>
      </c>
      <c r="B91" s="50" t="inlineStr">
        <is>
          <t>AC-6</t>
        </is>
      </c>
      <c r="C91" s="11" t="inlineStr">
        <is>
          <t>AC</t>
        </is>
      </c>
      <c r="D91" s="12" t="inlineStr">
        <is>
          <t>Containers</t>
        </is>
      </c>
      <c r="E91" s="11">
        <f>IFERROR(TRACKER!G91,"Not Started")</f>
        <v/>
      </c>
      <c r="F91" s="51">
        <f>IFERROR('[Containers.xlsx]AC-6'!B21,"")</f>
        <v/>
      </c>
      <c r="G91" s="51" t="inlineStr"/>
      <c r="H91" s="51" t="inlineStr"/>
      <c r="I91" s="11" t="inlineStr"/>
      <c r="J91" s="12" t="inlineStr"/>
      <c r="K91" s="17" t="inlineStr"/>
      <c r="L91" s="11" t="inlineStr">
        <is>
          <t>Not Started</t>
        </is>
      </c>
    </row>
    <row r="92" ht="42" customHeight="1">
      <c r="A92" s="18" t="n">
        <v>90</v>
      </c>
      <c r="B92" s="52" t="inlineStr">
        <is>
          <t>AC-6(1)</t>
        </is>
      </c>
      <c r="C92" s="18" t="inlineStr">
        <is>
          <t>AC</t>
        </is>
      </c>
      <c r="D92" s="19" t="inlineStr">
        <is>
          <t>Containers</t>
        </is>
      </c>
      <c r="E92" s="18">
        <f>IFERROR(TRACKER!G92,"Not Started")</f>
        <v/>
      </c>
      <c r="F92" s="53">
        <f>IFERROR('[Containers.xlsx]AC-6-1'!B21,"")</f>
        <v/>
      </c>
      <c r="G92" s="53" t="inlineStr"/>
      <c r="H92" s="53" t="inlineStr"/>
      <c r="I92" s="18" t="inlineStr"/>
      <c r="J92" s="19" t="inlineStr"/>
      <c r="K92" s="22" t="inlineStr"/>
      <c r="L92" s="18" t="inlineStr">
        <is>
          <t>Not Started</t>
        </is>
      </c>
    </row>
    <row r="93" ht="42" customHeight="1">
      <c r="A93" s="11" t="n">
        <v>91</v>
      </c>
      <c r="B93" s="50" t="inlineStr">
        <is>
          <t>AC-17(3)</t>
        </is>
      </c>
      <c r="C93" s="11" t="inlineStr">
        <is>
          <t>AC</t>
        </is>
      </c>
      <c r="D93" s="12" t="inlineStr">
        <is>
          <t>Containers</t>
        </is>
      </c>
      <c r="E93" s="11">
        <f>IFERROR(TRACKER!G93,"Not Started")</f>
        <v/>
      </c>
      <c r="F93" s="51">
        <f>IFERROR('[Containers.xlsx]AC-17-3'!B21,"")</f>
        <v/>
      </c>
      <c r="G93" s="51" t="inlineStr"/>
      <c r="H93" s="51" t="inlineStr"/>
      <c r="I93" s="11" t="inlineStr"/>
      <c r="J93" s="12" t="inlineStr"/>
      <c r="K93" s="17" t="inlineStr"/>
      <c r="L93" s="11" t="inlineStr">
        <is>
          <t>Not Started</t>
        </is>
      </c>
    </row>
    <row r="94" ht="42" customHeight="1">
      <c r="A94" s="18" t="n">
        <v>92</v>
      </c>
      <c r="B94" s="52" t="inlineStr">
        <is>
          <t>AU-2</t>
        </is>
      </c>
      <c r="C94" s="18" t="inlineStr">
        <is>
          <t>AU</t>
        </is>
      </c>
      <c r="D94" s="19" t="inlineStr">
        <is>
          <t>Containers</t>
        </is>
      </c>
      <c r="E94" s="18">
        <f>IFERROR(TRACKER!G94,"Not Started")</f>
        <v/>
      </c>
      <c r="F94" s="53">
        <f>IFERROR('[Containers.xlsx]AU-2'!B21,"")</f>
        <v/>
      </c>
      <c r="G94" s="53" t="inlineStr"/>
      <c r="H94" s="53" t="inlineStr"/>
      <c r="I94" s="18" t="inlineStr"/>
      <c r="J94" s="19" t="inlineStr"/>
      <c r="K94" s="22" t="inlineStr"/>
      <c r="L94" s="18" t="inlineStr">
        <is>
          <t>Not Started</t>
        </is>
      </c>
    </row>
    <row r="95" ht="42" customHeight="1">
      <c r="A95" s="11" t="n">
        <v>93</v>
      </c>
      <c r="B95" s="50" t="inlineStr">
        <is>
          <t>AU-3</t>
        </is>
      </c>
      <c r="C95" s="11" t="inlineStr">
        <is>
          <t>AU</t>
        </is>
      </c>
      <c r="D95" s="12" t="inlineStr">
        <is>
          <t>Containers</t>
        </is>
      </c>
      <c r="E95" s="11">
        <f>IFERROR(TRACKER!G95,"Not Started")</f>
        <v/>
      </c>
      <c r="F95" s="51">
        <f>IFERROR('[Containers.xlsx]AU-3'!B21,"")</f>
        <v/>
      </c>
      <c r="G95" s="51" t="inlineStr"/>
      <c r="H95" s="51" t="inlineStr"/>
      <c r="I95" s="11" t="inlineStr"/>
      <c r="J95" s="12" t="inlineStr"/>
      <c r="K95" s="17" t="inlineStr"/>
      <c r="L95" s="11" t="inlineStr">
        <is>
          <t>Not Started</t>
        </is>
      </c>
    </row>
    <row r="96" ht="42" customHeight="1">
      <c r="A96" s="18" t="n">
        <v>94</v>
      </c>
      <c r="B96" s="52" t="inlineStr">
        <is>
          <t>AU-3(1)</t>
        </is>
      </c>
      <c r="C96" s="18" t="inlineStr">
        <is>
          <t>AU</t>
        </is>
      </c>
      <c r="D96" s="19" t="inlineStr">
        <is>
          <t>Containers</t>
        </is>
      </c>
      <c r="E96" s="18">
        <f>IFERROR(TRACKER!G96,"Not Started")</f>
        <v/>
      </c>
      <c r="F96" s="53">
        <f>IFERROR('[Containers.xlsx]AU-3-1'!B21,"")</f>
        <v/>
      </c>
      <c r="G96" s="53" t="inlineStr"/>
      <c r="H96" s="53" t="inlineStr"/>
      <c r="I96" s="18" t="inlineStr"/>
      <c r="J96" s="19" t="inlineStr"/>
      <c r="K96" s="22" t="inlineStr"/>
      <c r="L96" s="18" t="inlineStr">
        <is>
          <t>Not Started</t>
        </is>
      </c>
    </row>
    <row r="97" ht="42" customHeight="1">
      <c r="A97" s="11" t="n">
        <v>95</v>
      </c>
      <c r="B97" s="50" t="inlineStr">
        <is>
          <t>AU-9(2)</t>
        </is>
      </c>
      <c r="C97" s="11" t="inlineStr">
        <is>
          <t>AU</t>
        </is>
      </c>
      <c r="D97" s="12" t="inlineStr">
        <is>
          <t>Containers</t>
        </is>
      </c>
      <c r="E97" s="11">
        <f>IFERROR(TRACKER!G97,"Not Started")</f>
        <v/>
      </c>
      <c r="F97" s="51">
        <f>IFERROR('[Containers.xlsx]AU-9-2'!B21,"")</f>
        <v/>
      </c>
      <c r="G97" s="51" t="inlineStr"/>
      <c r="H97" s="51" t="inlineStr"/>
      <c r="I97" s="11" t="inlineStr"/>
      <c r="J97" s="12" t="inlineStr"/>
      <c r="K97" s="17" t="inlineStr"/>
      <c r="L97" s="11" t="inlineStr">
        <is>
          <t>Not Started</t>
        </is>
      </c>
    </row>
    <row r="98" ht="42" customHeight="1">
      <c r="A98" s="18" t="n">
        <v>96</v>
      </c>
      <c r="B98" s="52" t="inlineStr">
        <is>
          <t>AU-12</t>
        </is>
      </c>
      <c r="C98" s="18" t="inlineStr">
        <is>
          <t>AU</t>
        </is>
      </c>
      <c r="D98" s="19" t="inlineStr">
        <is>
          <t>Containers</t>
        </is>
      </c>
      <c r="E98" s="18">
        <f>IFERROR(TRACKER!G98,"Not Started")</f>
        <v/>
      </c>
      <c r="F98" s="53">
        <f>IFERROR('[Containers.xlsx]AU-12'!B21,"")</f>
        <v/>
      </c>
      <c r="G98" s="53" t="inlineStr"/>
      <c r="H98" s="53" t="inlineStr"/>
      <c r="I98" s="18" t="inlineStr"/>
      <c r="J98" s="19" t="inlineStr"/>
      <c r="K98" s="22" t="inlineStr"/>
      <c r="L98" s="18" t="inlineStr">
        <is>
          <t>Not Started</t>
        </is>
      </c>
    </row>
    <row r="99" ht="42" customHeight="1">
      <c r="A99" s="11" t="n">
        <v>97</v>
      </c>
      <c r="B99" s="50" t="inlineStr">
        <is>
          <t>CA-3(5)</t>
        </is>
      </c>
      <c r="C99" s="11" t="inlineStr">
        <is>
          <t>CA</t>
        </is>
      </c>
      <c r="D99" s="12" t="inlineStr">
        <is>
          <t>Containers</t>
        </is>
      </c>
      <c r="E99" s="11">
        <f>IFERROR(TRACKER!G99,"Not Started")</f>
        <v/>
      </c>
      <c r="F99" s="51">
        <f>IFERROR('[Containers.xlsx]CA-3-5'!B21,"")</f>
        <v/>
      </c>
      <c r="G99" s="51" t="inlineStr"/>
      <c r="H99" s="51" t="inlineStr"/>
      <c r="I99" s="11" t="inlineStr"/>
      <c r="J99" s="12" t="inlineStr"/>
      <c r="K99" s="17" t="inlineStr"/>
      <c r="L99" s="11" t="inlineStr">
        <is>
          <t>Not Started</t>
        </is>
      </c>
    </row>
    <row r="100" ht="42" customHeight="1">
      <c r="A100" s="18" t="n">
        <v>98</v>
      </c>
      <c r="B100" s="52" t="inlineStr">
        <is>
          <t>CA-9</t>
        </is>
      </c>
      <c r="C100" s="18" t="inlineStr">
        <is>
          <t>CA</t>
        </is>
      </c>
      <c r="D100" s="19" t="inlineStr">
        <is>
          <t>Containers</t>
        </is>
      </c>
      <c r="E100" s="18">
        <f>IFERROR(TRACKER!G100,"Not Started")</f>
        <v/>
      </c>
      <c r="F100" s="53">
        <f>IFERROR('[Containers.xlsx]CA-9'!B21,"")</f>
        <v/>
      </c>
      <c r="G100" s="53" t="inlineStr"/>
      <c r="H100" s="53" t="inlineStr"/>
      <c r="I100" s="18" t="inlineStr"/>
      <c r="J100" s="19" t="inlineStr"/>
      <c r="K100" s="22" t="inlineStr"/>
      <c r="L100" s="18" t="inlineStr">
        <is>
          <t>Not Started</t>
        </is>
      </c>
    </row>
    <row r="101" ht="42" customHeight="1">
      <c r="A101" s="11" t="n">
        <v>99</v>
      </c>
      <c r="B101" s="50" t="inlineStr">
        <is>
          <t>CM-2(3)</t>
        </is>
      </c>
      <c r="C101" s="11" t="inlineStr">
        <is>
          <t>CM</t>
        </is>
      </c>
      <c r="D101" s="12" t="inlineStr">
        <is>
          <t>Containers</t>
        </is>
      </c>
      <c r="E101" s="11">
        <f>IFERROR(TRACKER!G101,"Not Started")</f>
        <v/>
      </c>
      <c r="F101" s="51">
        <f>IFERROR('[Containers.xlsx]CM-2-3'!B21,"")</f>
        <v/>
      </c>
      <c r="G101" s="51" t="inlineStr"/>
      <c r="H101" s="51" t="inlineStr"/>
      <c r="I101" s="11" t="inlineStr"/>
      <c r="J101" s="12" t="inlineStr"/>
      <c r="K101" s="17" t="inlineStr"/>
      <c r="L101" s="11" t="inlineStr">
        <is>
          <t>Not Started</t>
        </is>
      </c>
    </row>
    <row r="102" ht="42" customHeight="1">
      <c r="A102" s="18" t="n">
        <v>100</v>
      </c>
      <c r="B102" s="52" t="inlineStr">
        <is>
          <t>CM-5(6)</t>
        </is>
      </c>
      <c r="C102" s="18" t="inlineStr">
        <is>
          <t>CM</t>
        </is>
      </c>
      <c r="D102" s="19" t="inlineStr">
        <is>
          <t>Containers</t>
        </is>
      </c>
      <c r="E102" s="18">
        <f>IFERROR(TRACKER!G102,"Not Started")</f>
        <v/>
      </c>
      <c r="F102" s="53">
        <f>IFERROR('[Containers.xlsx]CM-5-6'!B21,"")</f>
        <v/>
      </c>
      <c r="G102" s="53" t="inlineStr"/>
      <c r="H102" s="53" t="inlineStr"/>
      <c r="I102" s="18" t="inlineStr"/>
      <c r="J102" s="19" t="inlineStr"/>
      <c r="K102" s="22" t="inlineStr"/>
      <c r="L102" s="18" t="inlineStr">
        <is>
          <t>Not Started</t>
        </is>
      </c>
    </row>
    <row r="103" ht="42" customHeight="1">
      <c r="A103" s="11" t="n">
        <v>101</v>
      </c>
      <c r="B103" s="50" t="inlineStr">
        <is>
          <t>CM-6</t>
        </is>
      </c>
      <c r="C103" s="11" t="inlineStr">
        <is>
          <t>CM</t>
        </is>
      </c>
      <c r="D103" s="12" t="inlineStr">
        <is>
          <t>Containers</t>
        </is>
      </c>
      <c r="E103" s="11">
        <f>IFERROR(TRACKER!G103,"Not Started")</f>
        <v/>
      </c>
      <c r="F103" s="51">
        <f>IFERROR('[Containers.xlsx]CM-6'!B21,"")</f>
        <v/>
      </c>
      <c r="G103" s="51" t="inlineStr"/>
      <c r="H103" s="51" t="inlineStr"/>
      <c r="I103" s="11" t="inlineStr"/>
      <c r="J103" s="12" t="inlineStr"/>
      <c r="K103" s="17" t="inlineStr"/>
      <c r="L103" s="11" t="inlineStr">
        <is>
          <t>Not Started</t>
        </is>
      </c>
    </row>
    <row r="104" ht="42" customHeight="1">
      <c r="A104" s="18" t="n">
        <v>102</v>
      </c>
      <c r="B104" s="52" t="inlineStr">
        <is>
          <t>CM-7</t>
        </is>
      </c>
      <c r="C104" s="18" t="inlineStr">
        <is>
          <t>CM</t>
        </is>
      </c>
      <c r="D104" s="19" t="inlineStr">
        <is>
          <t>Containers</t>
        </is>
      </c>
      <c r="E104" s="18">
        <f>IFERROR(TRACKER!G104,"Not Started")</f>
        <v/>
      </c>
      <c r="F104" s="53">
        <f>IFERROR('[Containers.xlsx]CM-7'!B21,"")</f>
        <v/>
      </c>
      <c r="G104" s="53" t="inlineStr"/>
      <c r="H104" s="53" t="inlineStr"/>
      <c r="I104" s="18" t="inlineStr"/>
      <c r="J104" s="19" t="inlineStr"/>
      <c r="K104" s="22" t="inlineStr"/>
      <c r="L104" s="18" t="inlineStr">
        <is>
          <t>Not Started</t>
        </is>
      </c>
    </row>
    <row r="105" ht="42" customHeight="1">
      <c r="A105" s="11" t="n">
        <v>103</v>
      </c>
      <c r="B105" s="50" t="inlineStr">
        <is>
          <t>CM-7(1)</t>
        </is>
      </c>
      <c r="C105" s="11" t="inlineStr">
        <is>
          <t>CM</t>
        </is>
      </c>
      <c r="D105" s="12" t="inlineStr">
        <is>
          <t>Containers</t>
        </is>
      </c>
      <c r="E105" s="11">
        <f>IFERROR(TRACKER!G105,"Not Started")</f>
        <v/>
      </c>
      <c r="F105" s="51">
        <f>IFERROR('[Containers.xlsx]CM-7-1'!B21,"")</f>
        <v/>
      </c>
      <c r="G105" s="51" t="inlineStr"/>
      <c r="H105" s="51" t="inlineStr"/>
      <c r="I105" s="11" t="inlineStr"/>
      <c r="J105" s="12" t="inlineStr"/>
      <c r="K105" s="17" t="inlineStr"/>
      <c r="L105" s="11" t="inlineStr">
        <is>
          <t>Not Started</t>
        </is>
      </c>
    </row>
    <row r="106" ht="42" customHeight="1">
      <c r="A106" s="18" t="n">
        <v>104</v>
      </c>
      <c r="B106" s="52" t="inlineStr">
        <is>
          <t>CM-7(5)</t>
        </is>
      </c>
      <c r="C106" s="18" t="inlineStr">
        <is>
          <t>CM</t>
        </is>
      </c>
      <c r="D106" s="19" t="inlineStr">
        <is>
          <t>Containers</t>
        </is>
      </c>
      <c r="E106" s="18">
        <f>IFERROR(TRACKER!G106,"Not Started")</f>
        <v/>
      </c>
      <c r="F106" s="53">
        <f>IFERROR('[Containers.xlsx]CM-7-5'!B21,"")</f>
        <v/>
      </c>
      <c r="G106" s="53" t="inlineStr"/>
      <c r="H106" s="53" t="inlineStr"/>
      <c r="I106" s="18" t="inlineStr"/>
      <c r="J106" s="19" t="inlineStr"/>
      <c r="K106" s="22" t="inlineStr"/>
      <c r="L106" s="18" t="inlineStr">
        <is>
          <t>Not Started</t>
        </is>
      </c>
    </row>
    <row r="107" ht="42" customHeight="1">
      <c r="A107" s="11" t="n">
        <v>105</v>
      </c>
      <c r="B107" s="50" t="inlineStr">
        <is>
          <t>CM-11</t>
        </is>
      </c>
      <c r="C107" s="11" t="inlineStr">
        <is>
          <t>CM</t>
        </is>
      </c>
      <c r="D107" s="12" t="inlineStr">
        <is>
          <t>Containers</t>
        </is>
      </c>
      <c r="E107" s="11">
        <f>IFERROR(TRACKER!G107,"Not Started")</f>
        <v/>
      </c>
      <c r="F107" s="51">
        <f>IFERROR('[Containers.xlsx]CM-11'!B21,"")</f>
        <v/>
      </c>
      <c r="G107" s="51" t="inlineStr"/>
      <c r="H107" s="51" t="inlineStr"/>
      <c r="I107" s="11" t="inlineStr"/>
      <c r="J107" s="12" t="inlineStr"/>
      <c r="K107" s="17" t="inlineStr"/>
      <c r="L107" s="11" t="inlineStr">
        <is>
          <t>Not Started</t>
        </is>
      </c>
    </row>
    <row r="108" ht="42" customHeight="1">
      <c r="A108" s="18" t="n">
        <v>106</v>
      </c>
      <c r="B108" s="52" t="inlineStr">
        <is>
          <t>CP-6</t>
        </is>
      </c>
      <c r="C108" s="18" t="inlineStr">
        <is>
          <t>CP</t>
        </is>
      </c>
      <c r="D108" s="19" t="inlineStr">
        <is>
          <t>Containers</t>
        </is>
      </c>
      <c r="E108" s="18">
        <f>IFERROR(TRACKER!G108,"Not Started")</f>
        <v/>
      </c>
      <c r="F108" s="53">
        <f>IFERROR('[Containers.xlsx]CP-6'!B21,"")</f>
        <v/>
      </c>
      <c r="G108" s="53" t="inlineStr"/>
      <c r="H108" s="53" t="inlineStr"/>
      <c r="I108" s="18" t="inlineStr"/>
      <c r="J108" s="19" t="inlineStr"/>
      <c r="K108" s="22" t="inlineStr"/>
      <c r="L108" s="18" t="inlineStr">
        <is>
          <t>Not Started</t>
        </is>
      </c>
    </row>
    <row r="109" ht="42" customHeight="1">
      <c r="A109" s="11" t="n">
        <v>107</v>
      </c>
      <c r="B109" s="50" t="inlineStr">
        <is>
          <t>CP-6(2)</t>
        </is>
      </c>
      <c r="C109" s="11" t="inlineStr">
        <is>
          <t>CP</t>
        </is>
      </c>
      <c r="D109" s="12" t="inlineStr">
        <is>
          <t>Containers</t>
        </is>
      </c>
      <c r="E109" s="11">
        <f>IFERROR(TRACKER!G109,"Not Started")</f>
        <v/>
      </c>
      <c r="F109" s="51">
        <f>IFERROR('[Containers.xlsx]CP-6-2'!B21,"")</f>
        <v/>
      </c>
      <c r="G109" s="51" t="inlineStr"/>
      <c r="H109" s="51" t="inlineStr"/>
      <c r="I109" s="11" t="inlineStr"/>
      <c r="J109" s="12" t="inlineStr"/>
      <c r="K109" s="17" t="inlineStr"/>
      <c r="L109" s="11" t="inlineStr">
        <is>
          <t>Not Started</t>
        </is>
      </c>
    </row>
    <row r="110" ht="42" customHeight="1">
      <c r="A110" s="18" t="n">
        <v>108</v>
      </c>
      <c r="B110" s="52" t="inlineStr">
        <is>
          <t>CP-7</t>
        </is>
      </c>
      <c r="C110" s="18" t="inlineStr">
        <is>
          <t>CP</t>
        </is>
      </c>
      <c r="D110" s="19" t="inlineStr">
        <is>
          <t>Containers</t>
        </is>
      </c>
      <c r="E110" s="18">
        <f>IFERROR(TRACKER!G110,"Not Started")</f>
        <v/>
      </c>
      <c r="F110" s="53">
        <f>IFERROR('[Containers.xlsx]CP-7'!B21,"")</f>
        <v/>
      </c>
      <c r="G110" s="53" t="inlineStr"/>
      <c r="H110" s="53" t="inlineStr"/>
      <c r="I110" s="18" t="inlineStr"/>
      <c r="J110" s="19" t="inlineStr"/>
      <c r="K110" s="22" t="inlineStr"/>
      <c r="L110" s="18" t="inlineStr">
        <is>
          <t>Not Started</t>
        </is>
      </c>
    </row>
    <row r="111" ht="42" customHeight="1">
      <c r="A111" s="11" t="n">
        <v>109</v>
      </c>
      <c r="B111" s="50" t="inlineStr">
        <is>
          <t>CP-7(4)</t>
        </is>
      </c>
      <c r="C111" s="11" t="inlineStr">
        <is>
          <t>CP</t>
        </is>
      </c>
      <c r="D111" s="12" t="inlineStr">
        <is>
          <t>Containers</t>
        </is>
      </c>
      <c r="E111" s="11">
        <f>IFERROR(TRACKER!G111,"Not Started")</f>
        <v/>
      </c>
      <c r="F111" s="51">
        <f>IFERROR('[Containers.xlsx]CP-7-4'!B21,"")</f>
        <v/>
      </c>
      <c r="G111" s="51" t="inlineStr"/>
      <c r="H111" s="51" t="inlineStr"/>
      <c r="I111" s="11" t="inlineStr"/>
      <c r="J111" s="12" t="inlineStr"/>
      <c r="K111" s="17" t="inlineStr"/>
      <c r="L111" s="11" t="inlineStr">
        <is>
          <t>Not Started</t>
        </is>
      </c>
    </row>
    <row r="112" ht="42" customHeight="1">
      <c r="A112" s="18" t="n">
        <v>110</v>
      </c>
      <c r="B112" s="52" t="inlineStr">
        <is>
          <t>CP-9</t>
        </is>
      </c>
      <c r="C112" s="18" t="inlineStr">
        <is>
          <t>CP</t>
        </is>
      </c>
      <c r="D112" s="19" t="inlineStr">
        <is>
          <t>Containers</t>
        </is>
      </c>
      <c r="E112" s="18">
        <f>IFERROR(TRACKER!G112,"Not Started")</f>
        <v/>
      </c>
      <c r="F112" s="53">
        <f>IFERROR('[Containers.xlsx]CP-9'!B21,"")</f>
        <v/>
      </c>
      <c r="G112" s="53" t="inlineStr"/>
      <c r="H112" s="53" t="inlineStr"/>
      <c r="I112" s="18" t="inlineStr"/>
      <c r="J112" s="19" t="inlineStr"/>
      <c r="K112" s="22" t="inlineStr"/>
      <c r="L112" s="18" t="inlineStr">
        <is>
          <t>Not Started</t>
        </is>
      </c>
    </row>
    <row r="113" ht="42" customHeight="1">
      <c r="A113" s="11" t="n">
        <v>111</v>
      </c>
      <c r="B113" s="50" t="inlineStr">
        <is>
          <t>CP-9(1)</t>
        </is>
      </c>
      <c r="C113" s="11" t="inlineStr">
        <is>
          <t>CP</t>
        </is>
      </c>
      <c r="D113" s="12" t="inlineStr">
        <is>
          <t>Containers</t>
        </is>
      </c>
      <c r="E113" s="11">
        <f>IFERROR(TRACKER!G113,"Not Started")</f>
        <v/>
      </c>
      <c r="F113" s="51">
        <f>IFERROR('[Containers.xlsx]CP-9-1'!B21,"")</f>
        <v/>
      </c>
      <c r="G113" s="51" t="inlineStr"/>
      <c r="H113" s="51" t="inlineStr"/>
      <c r="I113" s="11" t="inlineStr"/>
      <c r="J113" s="12" t="inlineStr"/>
      <c r="K113" s="17" t="inlineStr"/>
      <c r="L113" s="11" t="inlineStr">
        <is>
          <t>Not Started</t>
        </is>
      </c>
    </row>
    <row r="114" ht="42" customHeight="1">
      <c r="A114" s="18" t="n">
        <v>112</v>
      </c>
      <c r="B114" s="52" t="inlineStr">
        <is>
          <t>CP-9(2)</t>
        </is>
      </c>
      <c r="C114" s="18" t="inlineStr">
        <is>
          <t>CP</t>
        </is>
      </c>
      <c r="D114" s="19" t="inlineStr">
        <is>
          <t>Containers</t>
        </is>
      </c>
      <c r="E114" s="18">
        <f>IFERROR(TRACKER!G114,"Not Started")</f>
        <v/>
      </c>
      <c r="F114" s="53">
        <f>IFERROR('[Containers.xlsx]CP-9-2'!B21,"")</f>
        <v/>
      </c>
      <c r="G114" s="53" t="inlineStr"/>
      <c r="H114" s="53" t="inlineStr"/>
      <c r="I114" s="18" t="inlineStr"/>
      <c r="J114" s="19" t="inlineStr"/>
      <c r="K114" s="22" t="inlineStr"/>
      <c r="L114" s="18" t="inlineStr">
        <is>
          <t>Not Started</t>
        </is>
      </c>
    </row>
    <row r="115" ht="42" customHeight="1">
      <c r="A115" s="11" t="n">
        <v>113</v>
      </c>
      <c r="B115" s="50" t="inlineStr">
        <is>
          <t>CP-9(5)</t>
        </is>
      </c>
      <c r="C115" s="11" t="inlineStr">
        <is>
          <t>CP</t>
        </is>
      </c>
      <c r="D115" s="12" t="inlineStr">
        <is>
          <t>Containers</t>
        </is>
      </c>
      <c r="E115" s="11">
        <f>IFERROR(TRACKER!G115,"Not Started")</f>
        <v/>
      </c>
      <c r="F115" s="51">
        <f>IFERROR('[Containers.xlsx]CP-9-5'!B21,"")</f>
        <v/>
      </c>
      <c r="G115" s="51" t="inlineStr"/>
      <c r="H115" s="51" t="inlineStr"/>
      <c r="I115" s="11" t="inlineStr"/>
      <c r="J115" s="12" t="inlineStr"/>
      <c r="K115" s="17" t="inlineStr"/>
      <c r="L115" s="11" t="inlineStr">
        <is>
          <t>Not Started</t>
        </is>
      </c>
    </row>
    <row r="116" ht="42" customHeight="1">
      <c r="A116" s="18" t="n">
        <v>114</v>
      </c>
      <c r="B116" s="52" t="inlineStr">
        <is>
          <t>CP-10</t>
        </is>
      </c>
      <c r="C116" s="18" t="inlineStr">
        <is>
          <t>CP</t>
        </is>
      </c>
      <c r="D116" s="19" t="inlineStr">
        <is>
          <t>Containers</t>
        </is>
      </c>
      <c r="E116" s="18">
        <f>IFERROR(TRACKER!G116,"Not Started")</f>
        <v/>
      </c>
      <c r="F116" s="53">
        <f>IFERROR('[Containers.xlsx]CP-10'!B21,"")</f>
        <v/>
      </c>
      <c r="G116" s="53" t="inlineStr"/>
      <c r="H116" s="53" t="inlineStr"/>
      <c r="I116" s="18" t="inlineStr"/>
      <c r="J116" s="19" t="inlineStr"/>
      <c r="K116" s="22" t="inlineStr"/>
      <c r="L116" s="18" t="inlineStr">
        <is>
          <t>Not Started</t>
        </is>
      </c>
    </row>
    <row r="117" ht="42" customHeight="1">
      <c r="A117" s="11" t="n">
        <v>115</v>
      </c>
      <c r="B117" s="50" t="inlineStr">
        <is>
          <t>CP-10(4)</t>
        </is>
      </c>
      <c r="C117" s="11" t="inlineStr">
        <is>
          <t>CP</t>
        </is>
      </c>
      <c r="D117" s="12" t="inlineStr">
        <is>
          <t>Containers</t>
        </is>
      </c>
      <c r="E117" s="11">
        <f>IFERROR(TRACKER!G117,"Not Started")</f>
        <v/>
      </c>
      <c r="F117" s="51">
        <f>IFERROR('[Containers.xlsx]CP-10-4'!B21,"")</f>
        <v/>
      </c>
      <c r="G117" s="51" t="inlineStr"/>
      <c r="H117" s="51" t="inlineStr"/>
      <c r="I117" s="11" t="inlineStr"/>
      <c r="J117" s="12" t="inlineStr"/>
      <c r="K117" s="17" t="inlineStr"/>
      <c r="L117" s="11" t="inlineStr">
        <is>
          <t>Not Started</t>
        </is>
      </c>
    </row>
    <row r="118" ht="42" customHeight="1">
      <c r="A118" s="18" t="n">
        <v>116</v>
      </c>
      <c r="B118" s="52" t="inlineStr">
        <is>
          <t>IA-5(7)</t>
        </is>
      </c>
      <c r="C118" s="18" t="inlineStr">
        <is>
          <t>IA</t>
        </is>
      </c>
      <c r="D118" s="19" t="inlineStr">
        <is>
          <t>Containers</t>
        </is>
      </c>
      <c r="E118" s="18">
        <f>IFERROR(TRACKER!G118,"Not Started")</f>
        <v/>
      </c>
      <c r="F118" s="53">
        <f>IFERROR('[Containers.xlsx]IA-5-7'!B21,"")</f>
        <v/>
      </c>
      <c r="G118" s="53" t="inlineStr"/>
      <c r="H118" s="53" t="inlineStr"/>
      <c r="I118" s="18" t="inlineStr"/>
      <c r="J118" s="19" t="inlineStr"/>
      <c r="K118" s="22" t="inlineStr"/>
      <c r="L118" s="18" t="inlineStr">
        <is>
          <t>Not Started</t>
        </is>
      </c>
    </row>
    <row r="119" ht="42" customHeight="1">
      <c r="A119" s="11" t="n">
        <v>117</v>
      </c>
      <c r="B119" s="50" t="inlineStr">
        <is>
          <t>SA-9(5)</t>
        </is>
      </c>
      <c r="C119" s="11" t="inlineStr">
        <is>
          <t>SA</t>
        </is>
      </c>
      <c r="D119" s="12" t="inlineStr">
        <is>
          <t>Containers</t>
        </is>
      </c>
      <c r="E119" s="11">
        <f>IFERROR(TRACKER!G119,"Not Started")</f>
        <v/>
      </c>
      <c r="F119" s="51">
        <f>IFERROR('[Containers.xlsx]SA-9-5'!B21,"")</f>
        <v/>
      </c>
      <c r="G119" s="51" t="inlineStr"/>
      <c r="H119" s="51" t="inlineStr"/>
      <c r="I119" s="11" t="inlineStr"/>
      <c r="J119" s="12" t="inlineStr"/>
      <c r="K119" s="17" t="inlineStr"/>
      <c r="L119" s="11" t="inlineStr">
        <is>
          <t>Not Started</t>
        </is>
      </c>
    </row>
    <row r="120" ht="42" customHeight="1">
      <c r="A120" s="18" t="n">
        <v>118</v>
      </c>
      <c r="B120" s="52" t="inlineStr">
        <is>
          <t>SC-4</t>
        </is>
      </c>
      <c r="C120" s="18" t="inlineStr">
        <is>
          <t>SC</t>
        </is>
      </c>
      <c r="D120" s="19" t="inlineStr">
        <is>
          <t>Containers</t>
        </is>
      </c>
      <c r="E120" s="18">
        <f>IFERROR(TRACKER!G120,"Not Started")</f>
        <v/>
      </c>
      <c r="F120" s="53">
        <f>IFERROR('[Containers.xlsx]SC-4'!B21,"")</f>
        <v/>
      </c>
      <c r="G120" s="53" t="inlineStr"/>
      <c r="H120" s="53" t="inlineStr"/>
      <c r="I120" s="18" t="inlineStr"/>
      <c r="J120" s="19" t="inlineStr"/>
      <c r="K120" s="22" t="inlineStr"/>
      <c r="L120" s="18" t="inlineStr">
        <is>
          <t>Not Started</t>
        </is>
      </c>
    </row>
    <row r="121" ht="42" customHeight="1">
      <c r="A121" s="11" t="n">
        <v>119</v>
      </c>
      <c r="B121" s="50" t="inlineStr">
        <is>
          <t>SC-8</t>
        </is>
      </c>
      <c r="C121" s="11" t="inlineStr">
        <is>
          <t>SC</t>
        </is>
      </c>
      <c r="D121" s="12" t="inlineStr">
        <is>
          <t>Containers</t>
        </is>
      </c>
      <c r="E121" s="11">
        <f>IFERROR(TRACKER!G121,"Not Started")</f>
        <v/>
      </c>
      <c r="F121" s="51">
        <f>IFERROR('[Containers.xlsx]SC-8'!B21,"")</f>
        <v/>
      </c>
      <c r="G121" s="51" t="inlineStr"/>
      <c r="H121" s="51" t="inlineStr"/>
      <c r="I121" s="11" t="inlineStr"/>
      <c r="J121" s="12" t="inlineStr"/>
      <c r="K121" s="17" t="inlineStr"/>
      <c r="L121" s="11" t="inlineStr">
        <is>
          <t>Not Started</t>
        </is>
      </c>
    </row>
    <row r="122" ht="42" customHeight="1">
      <c r="A122" s="18" t="n">
        <v>120</v>
      </c>
      <c r="B122" s="52" t="inlineStr">
        <is>
          <t>SC-8(1)</t>
        </is>
      </c>
      <c r="C122" s="18" t="inlineStr">
        <is>
          <t>SC</t>
        </is>
      </c>
      <c r="D122" s="19" t="inlineStr">
        <is>
          <t>Containers</t>
        </is>
      </c>
      <c r="E122" s="18">
        <f>IFERROR(TRACKER!G122,"Not Started")</f>
        <v/>
      </c>
      <c r="F122" s="53">
        <f>IFERROR('[Containers.xlsx]SC-8-1'!B21,"")</f>
        <v/>
      </c>
      <c r="G122" s="53" t="inlineStr"/>
      <c r="H122" s="53" t="inlineStr"/>
      <c r="I122" s="18" t="inlineStr"/>
      <c r="J122" s="19" t="inlineStr"/>
      <c r="K122" s="22" t="inlineStr"/>
      <c r="L122" s="18" t="inlineStr">
        <is>
          <t>Not Started</t>
        </is>
      </c>
    </row>
    <row r="123" ht="42" customHeight="1">
      <c r="A123" s="11" t="n">
        <v>121</v>
      </c>
      <c r="B123" s="50" t="inlineStr">
        <is>
          <t>SC-10</t>
        </is>
      </c>
      <c r="C123" s="11" t="inlineStr">
        <is>
          <t>SC</t>
        </is>
      </c>
      <c r="D123" s="12" t="inlineStr">
        <is>
          <t>Containers</t>
        </is>
      </c>
      <c r="E123" s="11">
        <f>IFERROR(TRACKER!G123,"Not Started")</f>
        <v/>
      </c>
      <c r="F123" s="51">
        <f>IFERROR('[Containers.xlsx]SC-10'!B21,"")</f>
        <v/>
      </c>
      <c r="G123" s="51" t="inlineStr"/>
      <c r="H123" s="51" t="inlineStr"/>
      <c r="I123" s="11" t="inlineStr"/>
      <c r="J123" s="12" t="inlineStr"/>
      <c r="K123" s="17" t="inlineStr"/>
      <c r="L123" s="11" t="inlineStr">
        <is>
          <t>Not Started</t>
        </is>
      </c>
    </row>
    <row r="124" ht="42" customHeight="1">
      <c r="A124" s="18" t="n">
        <v>122</v>
      </c>
      <c r="B124" s="52" t="inlineStr">
        <is>
          <t>SC-13</t>
        </is>
      </c>
      <c r="C124" s="18" t="inlineStr">
        <is>
          <t>SC</t>
        </is>
      </c>
      <c r="D124" s="19" t="inlineStr">
        <is>
          <t>Containers</t>
        </is>
      </c>
      <c r="E124" s="18">
        <f>IFERROR(TRACKER!G124,"Not Started")</f>
        <v/>
      </c>
      <c r="F124" s="53">
        <f>IFERROR('[Containers.xlsx]SC-13'!B21,"")</f>
        <v/>
      </c>
      <c r="G124" s="53" t="inlineStr"/>
      <c r="H124" s="53" t="inlineStr"/>
      <c r="I124" s="18" t="inlineStr"/>
      <c r="J124" s="19" t="inlineStr"/>
      <c r="K124" s="22" t="inlineStr"/>
      <c r="L124" s="18" t="inlineStr">
        <is>
          <t>Not Started</t>
        </is>
      </c>
    </row>
    <row r="125" ht="42" customHeight="1">
      <c r="A125" s="11" t="n">
        <v>123</v>
      </c>
      <c r="B125" s="50" t="inlineStr">
        <is>
          <t>SC-18</t>
        </is>
      </c>
      <c r="C125" s="11" t="inlineStr">
        <is>
          <t>SC</t>
        </is>
      </c>
      <c r="D125" s="12" t="inlineStr">
        <is>
          <t>Containers</t>
        </is>
      </c>
      <c r="E125" s="11">
        <f>IFERROR(TRACKER!G125,"Not Started")</f>
        <v/>
      </c>
      <c r="F125" s="51">
        <f>IFERROR('[Containers.xlsx]SC-18'!B21,"")</f>
        <v/>
      </c>
      <c r="G125" s="51" t="inlineStr"/>
      <c r="H125" s="51" t="inlineStr"/>
      <c r="I125" s="11" t="inlineStr"/>
      <c r="J125" s="12" t="inlineStr"/>
      <c r="K125" s="17" t="inlineStr"/>
      <c r="L125" s="11" t="inlineStr">
        <is>
          <t>Not Started</t>
        </is>
      </c>
    </row>
    <row r="126" ht="42" customHeight="1">
      <c r="A126" s="18" t="n">
        <v>124</v>
      </c>
      <c r="B126" s="52" t="inlineStr">
        <is>
          <t>SC-18(3)</t>
        </is>
      </c>
      <c r="C126" s="18" t="inlineStr">
        <is>
          <t>SC</t>
        </is>
      </c>
      <c r="D126" s="19" t="inlineStr">
        <is>
          <t>Containers</t>
        </is>
      </c>
      <c r="E126" s="18">
        <f>IFERROR(TRACKER!G126,"Not Started")</f>
        <v/>
      </c>
      <c r="F126" s="53">
        <f>IFERROR('[Containers.xlsx]SC-18-3'!B21,"")</f>
        <v/>
      </c>
      <c r="G126" s="53" t="inlineStr"/>
      <c r="H126" s="53" t="inlineStr"/>
      <c r="I126" s="18" t="inlineStr"/>
      <c r="J126" s="19" t="inlineStr"/>
      <c r="K126" s="22" t="inlineStr"/>
      <c r="L126" s="18" t="inlineStr">
        <is>
          <t>Not Started</t>
        </is>
      </c>
    </row>
    <row r="127" ht="42" customHeight="1">
      <c r="A127" s="11" t="n">
        <v>125</v>
      </c>
      <c r="B127" s="50" t="inlineStr">
        <is>
          <t>SC-18(4)</t>
        </is>
      </c>
      <c r="C127" s="11" t="inlineStr">
        <is>
          <t>SC</t>
        </is>
      </c>
      <c r="D127" s="12" t="inlineStr">
        <is>
          <t>Containers</t>
        </is>
      </c>
      <c r="E127" s="11">
        <f>IFERROR(TRACKER!G127,"Not Started")</f>
        <v/>
      </c>
      <c r="F127" s="51">
        <f>IFERROR('[Containers.xlsx]SC-18-4'!B21,"")</f>
        <v/>
      </c>
      <c r="G127" s="51" t="inlineStr"/>
      <c r="H127" s="51" t="inlineStr"/>
      <c r="I127" s="11" t="inlineStr"/>
      <c r="J127" s="12" t="inlineStr"/>
      <c r="K127" s="17" t="inlineStr"/>
      <c r="L127" s="11" t="inlineStr">
        <is>
          <t>Not Started</t>
        </is>
      </c>
    </row>
    <row r="128" ht="42" customHeight="1">
      <c r="A128" s="18" t="n">
        <v>126</v>
      </c>
      <c r="B128" s="52" t="inlineStr">
        <is>
          <t>SC-23</t>
        </is>
      </c>
      <c r="C128" s="18" t="inlineStr">
        <is>
          <t>SC</t>
        </is>
      </c>
      <c r="D128" s="19" t="inlineStr">
        <is>
          <t>Containers</t>
        </is>
      </c>
      <c r="E128" s="18">
        <f>IFERROR(TRACKER!G128,"Not Started")</f>
        <v/>
      </c>
      <c r="F128" s="53">
        <f>IFERROR('[Containers.xlsx]SC-23'!B21,"")</f>
        <v/>
      </c>
      <c r="G128" s="53" t="inlineStr"/>
      <c r="H128" s="53" t="inlineStr"/>
      <c r="I128" s="18" t="inlineStr"/>
      <c r="J128" s="19" t="inlineStr"/>
      <c r="K128" s="22" t="inlineStr"/>
      <c r="L128" s="18" t="inlineStr">
        <is>
          <t>Not Started</t>
        </is>
      </c>
    </row>
    <row r="129" ht="42" customHeight="1">
      <c r="A129" s="11" t="n">
        <v>127</v>
      </c>
      <c r="B129" s="50" t="inlineStr">
        <is>
          <t>SC-28</t>
        </is>
      </c>
      <c r="C129" s="11" t="inlineStr">
        <is>
          <t>SC</t>
        </is>
      </c>
      <c r="D129" s="12" t="inlineStr">
        <is>
          <t>Containers</t>
        </is>
      </c>
      <c r="E129" s="11">
        <f>IFERROR(TRACKER!G129,"Not Started")</f>
        <v/>
      </c>
      <c r="F129" s="51">
        <f>IFERROR('[Containers.xlsx]SC-28'!B21,"")</f>
        <v/>
      </c>
      <c r="G129" s="51" t="inlineStr"/>
      <c r="H129" s="51" t="inlineStr"/>
      <c r="I129" s="11" t="inlineStr"/>
      <c r="J129" s="12" t="inlineStr"/>
      <c r="K129" s="17" t="inlineStr"/>
      <c r="L129" s="11" t="inlineStr">
        <is>
          <t>Not Started</t>
        </is>
      </c>
    </row>
    <row r="130" ht="42" customHeight="1">
      <c r="A130" s="18" t="n">
        <v>128</v>
      </c>
      <c r="B130" s="52" t="inlineStr">
        <is>
          <t>SC-28(1)</t>
        </is>
      </c>
      <c r="C130" s="18" t="inlineStr">
        <is>
          <t>SC</t>
        </is>
      </c>
      <c r="D130" s="19" t="inlineStr">
        <is>
          <t>Containers</t>
        </is>
      </c>
      <c r="E130" s="18">
        <f>IFERROR(TRACKER!G130,"Not Started")</f>
        <v/>
      </c>
      <c r="F130" s="53">
        <f>IFERROR('[Containers.xlsx]SC-28-1'!B21,"")</f>
        <v/>
      </c>
      <c r="G130" s="53" t="inlineStr"/>
      <c r="H130" s="53" t="inlineStr"/>
      <c r="I130" s="18" t="inlineStr"/>
      <c r="J130" s="19" t="inlineStr"/>
      <c r="K130" s="22" t="inlineStr"/>
      <c r="L130" s="18" t="inlineStr">
        <is>
          <t>Not Started</t>
        </is>
      </c>
    </row>
    <row r="131" ht="42" customHeight="1">
      <c r="A131" s="11" t="n">
        <v>129</v>
      </c>
      <c r="B131" s="50" t="inlineStr">
        <is>
          <t>SC-39</t>
        </is>
      </c>
      <c r="C131" s="11" t="inlineStr">
        <is>
          <t>SC</t>
        </is>
      </c>
      <c r="D131" s="12" t="inlineStr">
        <is>
          <t>Containers</t>
        </is>
      </c>
      <c r="E131" s="11">
        <f>IFERROR(TRACKER!G131,"Not Started")</f>
        <v/>
      </c>
      <c r="F131" s="51">
        <f>IFERROR('[Containers.xlsx]SC-39'!B21,"")</f>
        <v/>
      </c>
      <c r="G131" s="51" t="inlineStr"/>
      <c r="H131" s="51" t="inlineStr"/>
      <c r="I131" s="11" t="inlineStr"/>
      <c r="J131" s="12" t="inlineStr"/>
      <c r="K131" s="17" t="inlineStr"/>
      <c r="L131" s="11" t="inlineStr">
        <is>
          <t>Not Started</t>
        </is>
      </c>
    </row>
    <row r="132" ht="42" customHeight="1">
      <c r="A132" s="18" t="n">
        <v>130</v>
      </c>
      <c r="B132" s="52" t="inlineStr">
        <is>
          <t>SI-4(2)</t>
        </is>
      </c>
      <c r="C132" s="18" t="inlineStr">
        <is>
          <t>SI</t>
        </is>
      </c>
      <c r="D132" s="19" t="inlineStr">
        <is>
          <t>Containers</t>
        </is>
      </c>
      <c r="E132" s="18">
        <f>IFERROR(TRACKER!G132,"Not Started")</f>
        <v/>
      </c>
      <c r="F132" s="53">
        <f>IFERROR('[Containers.xlsx]SI-4-2'!B21,"")</f>
        <v/>
      </c>
      <c r="G132" s="53" t="inlineStr"/>
      <c r="H132" s="53" t="inlineStr"/>
      <c r="I132" s="18" t="inlineStr"/>
      <c r="J132" s="19" t="inlineStr"/>
      <c r="K132" s="22" t="inlineStr"/>
      <c r="L132" s="18" t="inlineStr">
        <is>
          <t>Not Started</t>
        </is>
      </c>
    </row>
    <row r="133" ht="42" customHeight="1">
      <c r="A133" s="11" t="n">
        <v>131</v>
      </c>
      <c r="B133" s="50" t="inlineStr">
        <is>
          <t>SI-4(23)</t>
        </is>
      </c>
      <c r="C133" s="11" t="inlineStr">
        <is>
          <t>SI</t>
        </is>
      </c>
      <c r="D133" s="12" t="inlineStr">
        <is>
          <t>Containers</t>
        </is>
      </c>
      <c r="E133" s="11">
        <f>IFERROR(TRACKER!G133,"Not Started")</f>
        <v/>
      </c>
      <c r="F133" s="51">
        <f>IFERROR('[Containers.xlsx]SI-4-23'!B21,"")</f>
        <v/>
      </c>
      <c r="G133" s="51" t="inlineStr"/>
      <c r="H133" s="51" t="inlineStr"/>
      <c r="I133" s="11" t="inlineStr"/>
      <c r="J133" s="12" t="inlineStr"/>
      <c r="K133" s="17" t="inlineStr"/>
      <c r="L133" s="11" t="inlineStr">
        <is>
          <t>Not Started</t>
        </is>
      </c>
    </row>
    <row r="134" ht="42" customHeight="1">
      <c r="A134" s="18" t="n">
        <v>132</v>
      </c>
      <c r="B134" s="52" t="inlineStr">
        <is>
          <t>SI-6</t>
        </is>
      </c>
      <c r="C134" s="18" t="inlineStr">
        <is>
          <t>SI</t>
        </is>
      </c>
      <c r="D134" s="19" t="inlineStr">
        <is>
          <t>Containers</t>
        </is>
      </c>
      <c r="E134" s="18">
        <f>IFERROR(TRACKER!G134,"Not Started")</f>
        <v/>
      </c>
      <c r="F134" s="53">
        <f>IFERROR('[Containers.xlsx]SI-6'!B21,"")</f>
        <v/>
      </c>
      <c r="G134" s="53" t="inlineStr"/>
      <c r="H134" s="53" t="inlineStr"/>
      <c r="I134" s="18" t="inlineStr"/>
      <c r="J134" s="19" t="inlineStr"/>
      <c r="K134" s="22" t="inlineStr"/>
      <c r="L134" s="18" t="inlineStr">
        <is>
          <t>Not Started</t>
        </is>
      </c>
    </row>
    <row r="135" ht="42" customHeight="1">
      <c r="A135" s="11" t="n">
        <v>133</v>
      </c>
      <c r="B135" s="50" t="inlineStr">
        <is>
          <t>SI-7</t>
        </is>
      </c>
      <c r="C135" s="11" t="inlineStr">
        <is>
          <t>SI</t>
        </is>
      </c>
      <c r="D135" s="12" t="inlineStr">
        <is>
          <t>Containers</t>
        </is>
      </c>
      <c r="E135" s="11">
        <f>IFERROR(TRACKER!G135,"Not Started")</f>
        <v/>
      </c>
      <c r="F135" s="51">
        <f>IFERROR('[Containers.xlsx]SI-7'!B21,"")</f>
        <v/>
      </c>
      <c r="G135" s="51" t="inlineStr"/>
      <c r="H135" s="51" t="inlineStr"/>
      <c r="I135" s="11" t="inlineStr"/>
      <c r="J135" s="12" t="inlineStr"/>
      <c r="K135" s="17" t="inlineStr"/>
      <c r="L135" s="11" t="inlineStr">
        <is>
          <t>Not Started</t>
        </is>
      </c>
    </row>
    <row r="136" ht="42" customHeight="1">
      <c r="A136" s="18" t="n">
        <v>134</v>
      </c>
      <c r="B136" s="52" t="inlineStr">
        <is>
          <t>SI-7(1)</t>
        </is>
      </c>
      <c r="C136" s="18" t="inlineStr">
        <is>
          <t>SI</t>
        </is>
      </c>
      <c r="D136" s="19" t="inlineStr">
        <is>
          <t>Containers</t>
        </is>
      </c>
      <c r="E136" s="18">
        <f>IFERROR(TRACKER!G136,"Not Started")</f>
        <v/>
      </c>
      <c r="F136" s="53">
        <f>IFERROR('[Containers.xlsx]SI-7-1'!B21,"")</f>
        <v/>
      </c>
      <c r="G136" s="53" t="inlineStr"/>
      <c r="H136" s="53" t="inlineStr"/>
      <c r="I136" s="18" t="inlineStr"/>
      <c r="J136" s="19" t="inlineStr"/>
      <c r="K136" s="22" t="inlineStr"/>
      <c r="L136" s="18" t="inlineStr">
        <is>
          <t>Not Started</t>
        </is>
      </c>
    </row>
    <row r="137" ht="42" customHeight="1">
      <c r="A137" s="11" t="n">
        <v>135</v>
      </c>
      <c r="B137" s="50" t="inlineStr">
        <is>
          <t>AU-2</t>
        </is>
      </c>
      <c r="C137" s="11" t="inlineStr">
        <is>
          <t>AU</t>
        </is>
      </c>
      <c r="D137" s="12" t="inlineStr">
        <is>
          <t>Database</t>
        </is>
      </c>
      <c r="E137" s="11">
        <f>IFERROR(TRACKER!G137,"Not Started")</f>
        <v/>
      </c>
      <c r="F137" s="51">
        <f>IFERROR('[Database.xlsx]AU-2'!B21,"")</f>
        <v/>
      </c>
      <c r="G137" s="51" t="inlineStr"/>
      <c r="H137" s="51" t="inlineStr"/>
      <c r="I137" s="11" t="inlineStr"/>
      <c r="J137" s="12" t="inlineStr"/>
      <c r="K137" s="17" t="inlineStr"/>
      <c r="L137" s="11" t="inlineStr">
        <is>
          <t>Not Started</t>
        </is>
      </c>
    </row>
    <row r="138" ht="42" customHeight="1">
      <c r="A138" s="18" t="n">
        <v>136</v>
      </c>
      <c r="B138" s="52" t="inlineStr">
        <is>
          <t>AU-3</t>
        </is>
      </c>
      <c r="C138" s="18" t="inlineStr">
        <is>
          <t>AU</t>
        </is>
      </c>
      <c r="D138" s="19" t="inlineStr">
        <is>
          <t>Database</t>
        </is>
      </c>
      <c r="E138" s="18">
        <f>IFERROR(TRACKER!G138,"Not Started")</f>
        <v/>
      </c>
      <c r="F138" s="53">
        <f>IFERROR('[Database.xlsx]AU-3'!B21,"")</f>
        <v/>
      </c>
      <c r="G138" s="53" t="inlineStr"/>
      <c r="H138" s="53" t="inlineStr"/>
      <c r="I138" s="18" t="inlineStr"/>
      <c r="J138" s="19" t="inlineStr"/>
      <c r="K138" s="22" t="inlineStr"/>
      <c r="L138" s="18" t="inlineStr">
        <is>
          <t>Not Started</t>
        </is>
      </c>
    </row>
    <row r="139" ht="42" customHeight="1">
      <c r="A139" s="11" t="n">
        <v>137</v>
      </c>
      <c r="B139" s="50" t="inlineStr">
        <is>
          <t>AU-3(1)</t>
        </is>
      </c>
      <c r="C139" s="11" t="inlineStr">
        <is>
          <t>AU</t>
        </is>
      </c>
      <c r="D139" s="12" t="inlineStr">
        <is>
          <t>Database</t>
        </is>
      </c>
      <c r="E139" s="11">
        <f>IFERROR(TRACKER!G139,"Not Started")</f>
        <v/>
      </c>
      <c r="F139" s="51">
        <f>IFERROR('[Database.xlsx]AU-3-1'!B21,"")</f>
        <v/>
      </c>
      <c r="G139" s="51" t="inlineStr"/>
      <c r="H139" s="51" t="inlineStr"/>
      <c r="I139" s="11" t="inlineStr"/>
      <c r="J139" s="12" t="inlineStr"/>
      <c r="K139" s="17" t="inlineStr"/>
      <c r="L139" s="11" t="inlineStr">
        <is>
          <t>Not Started</t>
        </is>
      </c>
    </row>
    <row r="140" ht="42" customHeight="1">
      <c r="A140" s="18" t="n">
        <v>138</v>
      </c>
      <c r="B140" s="52" t="inlineStr">
        <is>
          <t>AU-9(2)</t>
        </is>
      </c>
      <c r="C140" s="18" t="inlineStr">
        <is>
          <t>AU</t>
        </is>
      </c>
      <c r="D140" s="19" t="inlineStr">
        <is>
          <t>Database</t>
        </is>
      </c>
      <c r="E140" s="18">
        <f>IFERROR(TRACKER!G140,"Not Started")</f>
        <v/>
      </c>
      <c r="F140" s="53">
        <f>IFERROR('[Database.xlsx]AU-9-2'!B21,"")</f>
        <v/>
      </c>
      <c r="G140" s="53" t="inlineStr"/>
      <c r="H140" s="53" t="inlineStr"/>
      <c r="I140" s="18" t="inlineStr"/>
      <c r="J140" s="19" t="inlineStr"/>
      <c r="K140" s="22" t="inlineStr"/>
      <c r="L140" s="18" t="inlineStr">
        <is>
          <t>Not Started</t>
        </is>
      </c>
    </row>
    <row r="141" ht="42" customHeight="1">
      <c r="A141" s="11" t="n">
        <v>139</v>
      </c>
      <c r="B141" s="50" t="inlineStr">
        <is>
          <t>AU-12</t>
        </is>
      </c>
      <c r="C141" s="11" t="inlineStr">
        <is>
          <t>AU</t>
        </is>
      </c>
      <c r="D141" s="12" t="inlineStr">
        <is>
          <t>Database</t>
        </is>
      </c>
      <c r="E141" s="11">
        <f>IFERROR(TRACKER!G141,"Not Started")</f>
        <v/>
      </c>
      <c r="F141" s="51">
        <f>IFERROR('[Database.xlsx]AU-12'!B21,"")</f>
        <v/>
      </c>
      <c r="G141" s="51" t="inlineStr"/>
      <c r="H141" s="51" t="inlineStr"/>
      <c r="I141" s="11" t="inlineStr"/>
      <c r="J141" s="12" t="inlineStr"/>
      <c r="K141" s="17" t="inlineStr"/>
      <c r="L141" s="11" t="inlineStr">
        <is>
          <t>Not Started</t>
        </is>
      </c>
    </row>
    <row r="142" ht="42" customHeight="1">
      <c r="A142" s="18" t="n">
        <v>140</v>
      </c>
      <c r="B142" s="52" t="inlineStr">
        <is>
          <t>CM-6</t>
        </is>
      </c>
      <c r="C142" s="18" t="inlineStr">
        <is>
          <t>CM</t>
        </is>
      </c>
      <c r="D142" s="19" t="inlineStr">
        <is>
          <t>Database</t>
        </is>
      </c>
      <c r="E142" s="18">
        <f>IFERROR(TRACKER!G142,"Not Started")</f>
        <v/>
      </c>
      <c r="F142" s="53">
        <f>IFERROR('[Database.xlsx]CM-6'!B21,"")</f>
        <v/>
      </c>
      <c r="G142" s="53" t="inlineStr"/>
      <c r="H142" s="53" t="inlineStr"/>
      <c r="I142" s="18" t="inlineStr"/>
      <c r="J142" s="19" t="inlineStr"/>
      <c r="K142" s="22" t="inlineStr"/>
      <c r="L142" s="18" t="inlineStr">
        <is>
          <t>Not Started</t>
        </is>
      </c>
    </row>
    <row r="143" ht="42" customHeight="1">
      <c r="A143" s="11" t="n">
        <v>141</v>
      </c>
      <c r="B143" s="50" t="inlineStr">
        <is>
          <t>CM-7</t>
        </is>
      </c>
      <c r="C143" s="11" t="inlineStr">
        <is>
          <t>CM</t>
        </is>
      </c>
      <c r="D143" s="12" t="inlineStr">
        <is>
          <t>Database</t>
        </is>
      </c>
      <c r="E143" s="11">
        <f>IFERROR(TRACKER!G143,"Not Started")</f>
        <v/>
      </c>
      <c r="F143" s="51">
        <f>IFERROR('[Database.xlsx]CM-7'!B21,"")</f>
        <v/>
      </c>
      <c r="G143" s="51" t="inlineStr"/>
      <c r="H143" s="51" t="inlineStr"/>
      <c r="I143" s="11" t="inlineStr"/>
      <c r="J143" s="12" t="inlineStr"/>
      <c r="K143" s="17" t="inlineStr"/>
      <c r="L143" s="11" t="inlineStr">
        <is>
          <t>Not Started</t>
        </is>
      </c>
    </row>
    <row r="144" ht="42" customHeight="1">
      <c r="A144" s="18" t="n">
        <v>142</v>
      </c>
      <c r="B144" s="52" t="inlineStr">
        <is>
          <t>CM-7(1)</t>
        </is>
      </c>
      <c r="C144" s="18" t="inlineStr">
        <is>
          <t>CM</t>
        </is>
      </c>
      <c r="D144" s="19" t="inlineStr">
        <is>
          <t>Database</t>
        </is>
      </c>
      <c r="E144" s="18">
        <f>IFERROR(TRACKER!G144,"Not Started")</f>
        <v/>
      </c>
      <c r="F144" s="53">
        <f>IFERROR('[Database.xlsx]CM-7-1'!B21,"")</f>
        <v/>
      </c>
      <c r="G144" s="53" t="inlineStr"/>
      <c r="H144" s="53" t="inlineStr"/>
      <c r="I144" s="18" t="inlineStr"/>
      <c r="J144" s="19" t="inlineStr"/>
      <c r="K144" s="22" t="inlineStr"/>
      <c r="L144" s="18" t="inlineStr">
        <is>
          <t>Not Started</t>
        </is>
      </c>
    </row>
    <row r="145" ht="42" customHeight="1">
      <c r="A145" s="11" t="n">
        <v>143</v>
      </c>
      <c r="B145" s="50" t="inlineStr">
        <is>
          <t>CP-6</t>
        </is>
      </c>
      <c r="C145" s="11" t="inlineStr">
        <is>
          <t>CP</t>
        </is>
      </c>
      <c r="D145" s="12" t="inlineStr">
        <is>
          <t>Database</t>
        </is>
      </c>
      <c r="E145" s="11">
        <f>IFERROR(TRACKER!G145,"Not Started")</f>
        <v/>
      </c>
      <c r="F145" s="51">
        <f>IFERROR('[Database.xlsx]CP-6'!B21,"")</f>
        <v/>
      </c>
      <c r="G145" s="51" t="inlineStr"/>
      <c r="H145" s="51" t="inlineStr"/>
      <c r="I145" s="11" t="inlineStr"/>
      <c r="J145" s="12" t="inlineStr"/>
      <c r="K145" s="17" t="inlineStr"/>
      <c r="L145" s="11" t="inlineStr">
        <is>
          <t>Not Started</t>
        </is>
      </c>
    </row>
    <row r="146" ht="42" customHeight="1">
      <c r="A146" s="18" t="n">
        <v>144</v>
      </c>
      <c r="B146" s="52" t="inlineStr">
        <is>
          <t>CP-6(2)</t>
        </is>
      </c>
      <c r="C146" s="18" t="inlineStr">
        <is>
          <t>CP</t>
        </is>
      </c>
      <c r="D146" s="19" t="inlineStr">
        <is>
          <t>Database</t>
        </is>
      </c>
      <c r="E146" s="18">
        <f>IFERROR(TRACKER!G146,"Not Started")</f>
        <v/>
      </c>
      <c r="F146" s="53">
        <f>IFERROR('[Database.xlsx]CP-6-2'!B21,"")</f>
        <v/>
      </c>
      <c r="G146" s="53" t="inlineStr"/>
      <c r="H146" s="53" t="inlineStr"/>
      <c r="I146" s="18" t="inlineStr"/>
      <c r="J146" s="19" t="inlineStr"/>
      <c r="K146" s="22" t="inlineStr"/>
      <c r="L146" s="18" t="inlineStr">
        <is>
          <t>Not Started</t>
        </is>
      </c>
    </row>
    <row r="147" ht="42" customHeight="1">
      <c r="A147" s="11" t="n">
        <v>145</v>
      </c>
      <c r="B147" s="50" t="inlineStr">
        <is>
          <t>CP-7</t>
        </is>
      </c>
      <c r="C147" s="11" t="inlineStr">
        <is>
          <t>CP</t>
        </is>
      </c>
      <c r="D147" s="12" t="inlineStr">
        <is>
          <t>Database</t>
        </is>
      </c>
      <c r="E147" s="11">
        <f>IFERROR(TRACKER!G147,"Not Started")</f>
        <v/>
      </c>
      <c r="F147" s="51">
        <f>IFERROR('[Database.xlsx]CP-7'!B21,"")</f>
        <v/>
      </c>
      <c r="G147" s="51" t="inlineStr"/>
      <c r="H147" s="51" t="inlineStr"/>
      <c r="I147" s="11" t="inlineStr"/>
      <c r="J147" s="12" t="inlineStr"/>
      <c r="K147" s="17" t="inlineStr"/>
      <c r="L147" s="11" t="inlineStr">
        <is>
          <t>Not Started</t>
        </is>
      </c>
    </row>
    <row r="148" ht="42" customHeight="1">
      <c r="A148" s="18" t="n">
        <v>146</v>
      </c>
      <c r="B148" s="52" t="inlineStr">
        <is>
          <t>CP-7(4)</t>
        </is>
      </c>
      <c r="C148" s="18" t="inlineStr">
        <is>
          <t>CP</t>
        </is>
      </c>
      <c r="D148" s="19" t="inlineStr">
        <is>
          <t>Database</t>
        </is>
      </c>
      <c r="E148" s="18">
        <f>IFERROR(TRACKER!G148,"Not Started")</f>
        <v/>
      </c>
      <c r="F148" s="53">
        <f>IFERROR('[Database.xlsx]CP-7-4'!B21,"")</f>
        <v/>
      </c>
      <c r="G148" s="53" t="inlineStr"/>
      <c r="H148" s="53" t="inlineStr"/>
      <c r="I148" s="18" t="inlineStr"/>
      <c r="J148" s="19" t="inlineStr"/>
      <c r="K148" s="22" t="inlineStr"/>
      <c r="L148" s="18" t="inlineStr">
        <is>
          <t>Not Started</t>
        </is>
      </c>
    </row>
    <row r="149" ht="42" customHeight="1">
      <c r="A149" s="11" t="n">
        <v>147</v>
      </c>
      <c r="B149" s="50" t="inlineStr">
        <is>
          <t>CP-9</t>
        </is>
      </c>
      <c r="C149" s="11" t="inlineStr">
        <is>
          <t>CP</t>
        </is>
      </c>
      <c r="D149" s="12" t="inlineStr">
        <is>
          <t>Database</t>
        </is>
      </c>
      <c r="E149" s="11">
        <f>IFERROR(TRACKER!G149,"Not Started")</f>
        <v/>
      </c>
      <c r="F149" s="51">
        <f>IFERROR('[Database.xlsx]CP-9'!B21,"")</f>
        <v/>
      </c>
      <c r="G149" s="51" t="inlineStr"/>
      <c r="H149" s="51" t="inlineStr"/>
      <c r="I149" s="11" t="inlineStr"/>
      <c r="J149" s="12" t="inlineStr"/>
      <c r="K149" s="17" t="inlineStr"/>
      <c r="L149" s="11" t="inlineStr">
        <is>
          <t>Not Started</t>
        </is>
      </c>
    </row>
    <row r="150" ht="42" customHeight="1">
      <c r="A150" s="18" t="n">
        <v>148</v>
      </c>
      <c r="B150" s="52" t="inlineStr">
        <is>
          <t>CP-9(1)</t>
        </is>
      </c>
      <c r="C150" s="18" t="inlineStr">
        <is>
          <t>CP</t>
        </is>
      </c>
      <c r="D150" s="19" t="inlineStr">
        <is>
          <t>Database</t>
        </is>
      </c>
      <c r="E150" s="18">
        <f>IFERROR(TRACKER!G150,"Not Started")</f>
        <v/>
      </c>
      <c r="F150" s="53">
        <f>IFERROR('[Database.xlsx]CP-9-1'!B21,"")</f>
        <v/>
      </c>
      <c r="G150" s="53" t="inlineStr"/>
      <c r="H150" s="53" t="inlineStr"/>
      <c r="I150" s="18" t="inlineStr"/>
      <c r="J150" s="19" t="inlineStr"/>
      <c r="K150" s="22" t="inlineStr"/>
      <c r="L150" s="18" t="inlineStr">
        <is>
          <t>Not Started</t>
        </is>
      </c>
    </row>
    <row r="151" ht="42" customHeight="1">
      <c r="A151" s="11" t="n">
        <v>149</v>
      </c>
      <c r="B151" s="50" t="inlineStr">
        <is>
          <t>CP-9(2)</t>
        </is>
      </c>
      <c r="C151" s="11" t="inlineStr">
        <is>
          <t>CP</t>
        </is>
      </c>
      <c r="D151" s="12" t="inlineStr">
        <is>
          <t>Database</t>
        </is>
      </c>
      <c r="E151" s="11">
        <f>IFERROR(TRACKER!G151,"Not Started")</f>
        <v/>
      </c>
      <c r="F151" s="51">
        <f>IFERROR('[Database.xlsx]CP-9-2'!B21,"")</f>
        <v/>
      </c>
      <c r="G151" s="51" t="inlineStr"/>
      <c r="H151" s="51" t="inlineStr"/>
      <c r="I151" s="11" t="inlineStr"/>
      <c r="J151" s="12" t="inlineStr"/>
      <c r="K151" s="17" t="inlineStr"/>
      <c r="L151" s="11" t="inlineStr">
        <is>
          <t>Not Started</t>
        </is>
      </c>
    </row>
    <row r="152" ht="42" customHeight="1">
      <c r="A152" s="18" t="n">
        <v>150</v>
      </c>
      <c r="B152" s="52" t="inlineStr">
        <is>
          <t>CP-9(5)</t>
        </is>
      </c>
      <c r="C152" s="18" t="inlineStr">
        <is>
          <t>CP</t>
        </is>
      </c>
      <c r="D152" s="19" t="inlineStr">
        <is>
          <t>Database</t>
        </is>
      </c>
      <c r="E152" s="18">
        <f>IFERROR(TRACKER!G152,"Not Started")</f>
        <v/>
      </c>
      <c r="F152" s="53">
        <f>IFERROR('[Database.xlsx]CP-9-5'!B21,"")</f>
        <v/>
      </c>
      <c r="G152" s="53" t="inlineStr"/>
      <c r="H152" s="53" t="inlineStr"/>
      <c r="I152" s="18" t="inlineStr"/>
      <c r="J152" s="19" t="inlineStr"/>
      <c r="K152" s="22" t="inlineStr"/>
      <c r="L152" s="18" t="inlineStr">
        <is>
          <t>Not Started</t>
        </is>
      </c>
    </row>
    <row r="153" ht="42" customHeight="1">
      <c r="A153" s="11" t="n">
        <v>151</v>
      </c>
      <c r="B153" s="50" t="inlineStr">
        <is>
          <t>CP-10</t>
        </is>
      </c>
      <c r="C153" s="11" t="inlineStr">
        <is>
          <t>CP</t>
        </is>
      </c>
      <c r="D153" s="12" t="inlineStr">
        <is>
          <t>Database</t>
        </is>
      </c>
      <c r="E153" s="11">
        <f>IFERROR(TRACKER!G153,"Not Started")</f>
        <v/>
      </c>
      <c r="F153" s="51">
        <f>IFERROR('[Database.xlsx]CP-10'!B21,"")</f>
        <v/>
      </c>
      <c r="G153" s="51" t="inlineStr"/>
      <c r="H153" s="51" t="inlineStr"/>
      <c r="I153" s="11" t="inlineStr"/>
      <c r="J153" s="12" t="inlineStr"/>
      <c r="K153" s="17" t="inlineStr"/>
      <c r="L153" s="11" t="inlineStr">
        <is>
          <t>Not Started</t>
        </is>
      </c>
    </row>
    <row r="154" ht="42" customHeight="1">
      <c r="A154" s="18" t="n">
        <v>152</v>
      </c>
      <c r="B154" s="52" t="inlineStr">
        <is>
          <t>CP-10(2)</t>
        </is>
      </c>
      <c r="C154" s="18" t="inlineStr">
        <is>
          <t>CP</t>
        </is>
      </c>
      <c r="D154" s="19" t="inlineStr">
        <is>
          <t>Database</t>
        </is>
      </c>
      <c r="E154" s="18">
        <f>IFERROR(TRACKER!G154,"Not Started")</f>
        <v/>
      </c>
      <c r="F154" s="53">
        <f>IFERROR('[Database.xlsx]CP-10-2'!B21,"")</f>
        <v/>
      </c>
      <c r="G154" s="53" t="inlineStr"/>
      <c r="H154" s="53" t="inlineStr"/>
      <c r="I154" s="18" t="inlineStr"/>
      <c r="J154" s="19" t="inlineStr"/>
      <c r="K154" s="22" t="inlineStr"/>
      <c r="L154" s="18" t="inlineStr">
        <is>
          <t>Not Started</t>
        </is>
      </c>
    </row>
    <row r="155" ht="42" customHeight="1">
      <c r="A155" s="11" t="n">
        <v>153</v>
      </c>
      <c r="B155" s="50" t="inlineStr">
        <is>
          <t>CP-10(4)</t>
        </is>
      </c>
      <c r="C155" s="11" t="inlineStr">
        <is>
          <t>CP</t>
        </is>
      </c>
      <c r="D155" s="12" t="inlineStr">
        <is>
          <t>Database</t>
        </is>
      </c>
      <c r="E155" s="11">
        <f>IFERROR(TRACKER!G155,"Not Started")</f>
        <v/>
      </c>
      <c r="F155" s="51">
        <f>IFERROR('[Database.xlsx]CP-10-4'!B21,"")</f>
        <v/>
      </c>
      <c r="G155" s="51" t="inlineStr"/>
      <c r="H155" s="51" t="inlineStr"/>
      <c r="I155" s="11" t="inlineStr"/>
      <c r="J155" s="12" t="inlineStr"/>
      <c r="K155" s="17" t="inlineStr"/>
      <c r="L155" s="11" t="inlineStr">
        <is>
          <t>Not Started</t>
        </is>
      </c>
    </row>
    <row r="156" ht="42" customHeight="1">
      <c r="A156" s="18" t="n">
        <v>154</v>
      </c>
      <c r="B156" s="52" t="inlineStr">
        <is>
          <t>SA-9(5)</t>
        </is>
      </c>
      <c r="C156" s="18" t="inlineStr">
        <is>
          <t>SA</t>
        </is>
      </c>
      <c r="D156" s="19" t="inlineStr">
        <is>
          <t>Database</t>
        </is>
      </c>
      <c r="E156" s="18">
        <f>IFERROR(TRACKER!G156,"Not Started")</f>
        <v/>
      </c>
      <c r="F156" s="53">
        <f>IFERROR('[Database.xlsx]SA-9-5'!B21,"")</f>
        <v/>
      </c>
      <c r="G156" s="53" t="inlineStr"/>
      <c r="H156" s="53" t="inlineStr"/>
      <c r="I156" s="18" t="inlineStr"/>
      <c r="J156" s="19" t="inlineStr"/>
      <c r="K156" s="22" t="inlineStr"/>
      <c r="L156" s="18" t="inlineStr">
        <is>
          <t>Not Started</t>
        </is>
      </c>
    </row>
    <row r="157" ht="42" customHeight="1">
      <c r="A157" s="11" t="n">
        <v>155</v>
      </c>
      <c r="B157" s="50" t="inlineStr">
        <is>
          <t>SC-13</t>
        </is>
      </c>
      <c r="C157" s="11" t="inlineStr">
        <is>
          <t>SC</t>
        </is>
      </c>
      <c r="D157" s="12" t="inlineStr">
        <is>
          <t>Database</t>
        </is>
      </c>
      <c r="E157" s="11">
        <f>IFERROR(TRACKER!G157,"Not Started")</f>
        <v/>
      </c>
      <c r="F157" s="51">
        <f>IFERROR('[Database.xlsx]SC-13'!B21,"")</f>
        <v/>
      </c>
      <c r="G157" s="51" t="inlineStr"/>
      <c r="H157" s="51" t="inlineStr"/>
      <c r="I157" s="11" t="inlineStr"/>
      <c r="J157" s="12" t="inlineStr"/>
      <c r="K157" s="17" t="inlineStr"/>
      <c r="L157" s="11" t="inlineStr">
        <is>
          <t>Not Started</t>
        </is>
      </c>
    </row>
    <row r="158" ht="42" customHeight="1">
      <c r="A158" s="18" t="n">
        <v>156</v>
      </c>
      <c r="B158" s="52" t="inlineStr">
        <is>
          <t>SC-28</t>
        </is>
      </c>
      <c r="C158" s="18" t="inlineStr">
        <is>
          <t>SC</t>
        </is>
      </c>
      <c r="D158" s="19" t="inlineStr">
        <is>
          <t>Database</t>
        </is>
      </c>
      <c r="E158" s="18">
        <f>IFERROR(TRACKER!G158,"Not Started")</f>
        <v/>
      </c>
      <c r="F158" s="53">
        <f>IFERROR('[Database.xlsx]SC-28'!B21,"")</f>
        <v/>
      </c>
      <c r="G158" s="53" t="inlineStr"/>
      <c r="H158" s="53" t="inlineStr"/>
      <c r="I158" s="18" t="inlineStr"/>
      <c r="J158" s="19" t="inlineStr"/>
      <c r="K158" s="22" t="inlineStr"/>
      <c r="L158" s="18" t="inlineStr">
        <is>
          <t>Not Started</t>
        </is>
      </c>
    </row>
    <row r="159" ht="42" customHeight="1">
      <c r="A159" s="11" t="n">
        <v>157</v>
      </c>
      <c r="B159" s="50" t="inlineStr">
        <is>
          <t>SC-28(1)</t>
        </is>
      </c>
      <c r="C159" s="11" t="inlineStr">
        <is>
          <t>SC</t>
        </is>
      </c>
      <c r="D159" s="12" t="inlineStr">
        <is>
          <t>Database</t>
        </is>
      </c>
      <c r="E159" s="11">
        <f>IFERROR(TRACKER!G159,"Not Started")</f>
        <v/>
      </c>
      <c r="F159" s="51">
        <f>IFERROR('[Database.xlsx]SC-28-1'!B21,"")</f>
        <v/>
      </c>
      <c r="G159" s="51" t="inlineStr"/>
      <c r="H159" s="51" t="inlineStr"/>
      <c r="I159" s="11" t="inlineStr"/>
      <c r="J159" s="12" t="inlineStr"/>
      <c r="K159" s="17" t="inlineStr"/>
      <c r="L159" s="11" t="inlineStr">
        <is>
          <t>Not Started</t>
        </is>
      </c>
    </row>
    <row r="160" ht="42" customHeight="1">
      <c r="A160" s="18" t="n">
        <v>158</v>
      </c>
      <c r="B160" s="52" t="inlineStr">
        <is>
          <t>SI-4(2)</t>
        </is>
      </c>
      <c r="C160" s="18" t="inlineStr">
        <is>
          <t>SI</t>
        </is>
      </c>
      <c r="D160" s="19" t="inlineStr">
        <is>
          <t>Database</t>
        </is>
      </c>
      <c r="E160" s="18">
        <f>IFERROR(TRACKER!G160,"Not Started")</f>
        <v/>
      </c>
      <c r="F160" s="53">
        <f>IFERROR('[Database.xlsx]SI-4-2'!B21,"")</f>
        <v/>
      </c>
      <c r="G160" s="53" t="inlineStr"/>
      <c r="H160" s="53" t="inlineStr"/>
      <c r="I160" s="18" t="inlineStr"/>
      <c r="J160" s="19" t="inlineStr"/>
      <c r="K160" s="22" t="inlineStr"/>
      <c r="L160" s="18" t="inlineStr">
        <is>
          <t>Not Started</t>
        </is>
      </c>
    </row>
    <row r="161" ht="42" customHeight="1">
      <c r="A161" s="11" t="n">
        <v>159</v>
      </c>
      <c r="B161" s="50" t="inlineStr">
        <is>
          <t>SI-6</t>
        </is>
      </c>
      <c r="C161" s="11" t="inlineStr">
        <is>
          <t>SI</t>
        </is>
      </c>
      <c r="D161" s="12" t="inlineStr">
        <is>
          <t>Database</t>
        </is>
      </c>
      <c r="E161" s="11">
        <f>IFERROR(TRACKER!G161,"Not Started")</f>
        <v/>
      </c>
      <c r="F161" s="51">
        <f>IFERROR('[Database.xlsx]SI-6'!B21,"")</f>
        <v/>
      </c>
      <c r="G161" s="51" t="inlineStr"/>
      <c r="H161" s="51" t="inlineStr"/>
      <c r="I161" s="11" t="inlineStr"/>
      <c r="J161" s="12" t="inlineStr"/>
      <c r="K161" s="17" t="inlineStr"/>
      <c r="L161" s="11" t="inlineStr">
        <is>
          <t>Not Started</t>
        </is>
      </c>
    </row>
    <row r="162" ht="42" customHeight="1">
      <c r="A162" s="18" t="n">
        <v>160</v>
      </c>
      <c r="B162" s="52" t="inlineStr">
        <is>
          <t>AC-2(4)</t>
        </is>
      </c>
      <c r="C162" s="18" t="inlineStr">
        <is>
          <t>AC</t>
        </is>
      </c>
      <c r="D162" s="19" t="inlineStr">
        <is>
          <t>DevOps</t>
        </is>
      </c>
      <c r="E162" s="18">
        <f>IFERROR(TRACKER!G162,"Not Started")</f>
        <v/>
      </c>
      <c r="F162" s="53">
        <f>IFERROR('[DevOps.xlsx]AC-2-4'!B21,"")</f>
        <v/>
      </c>
      <c r="G162" s="53" t="inlineStr"/>
      <c r="H162" s="53" t="inlineStr"/>
      <c r="I162" s="18" t="inlineStr"/>
      <c r="J162" s="19" t="inlineStr"/>
      <c r="K162" s="22" t="inlineStr"/>
      <c r="L162" s="18" t="inlineStr">
        <is>
          <t>Not Started</t>
        </is>
      </c>
    </row>
    <row r="163" ht="42" customHeight="1">
      <c r="A163" s="11" t="n">
        <v>161</v>
      </c>
      <c r="B163" s="50" t="inlineStr">
        <is>
          <t>AC-2(5)</t>
        </is>
      </c>
      <c r="C163" s="11" t="inlineStr">
        <is>
          <t>AC</t>
        </is>
      </c>
      <c r="D163" s="12" t="inlineStr">
        <is>
          <t>DevOps</t>
        </is>
      </c>
      <c r="E163" s="11">
        <f>IFERROR(TRACKER!G163,"Not Started")</f>
        <v/>
      </c>
      <c r="F163" s="51">
        <f>IFERROR('[DevOps.xlsx]AC-2-5'!B21,"")</f>
        <v/>
      </c>
      <c r="G163" s="51" t="inlineStr"/>
      <c r="H163" s="51" t="inlineStr"/>
      <c r="I163" s="11" t="inlineStr"/>
      <c r="J163" s="12" t="inlineStr"/>
      <c r="K163" s="17" t="inlineStr"/>
      <c r="L163" s="11" t="inlineStr">
        <is>
          <t>Not Started</t>
        </is>
      </c>
    </row>
    <row r="164" ht="42" customHeight="1">
      <c r="A164" s="18" t="n">
        <v>162</v>
      </c>
      <c r="B164" s="52" t="inlineStr">
        <is>
          <t>AC-2(7)</t>
        </is>
      </c>
      <c r="C164" s="18" t="inlineStr">
        <is>
          <t>AC</t>
        </is>
      </c>
      <c r="D164" s="19" t="inlineStr">
        <is>
          <t>DevOps</t>
        </is>
      </c>
      <c r="E164" s="18">
        <f>IFERROR(TRACKER!G164,"Not Started")</f>
        <v/>
      </c>
      <c r="F164" s="53">
        <f>IFERROR('[DevOps.xlsx]AC-2-7'!B21,"")</f>
        <v/>
      </c>
      <c r="G164" s="53" t="inlineStr"/>
      <c r="H164" s="53" t="inlineStr"/>
      <c r="I164" s="18" t="inlineStr"/>
      <c r="J164" s="19" t="inlineStr"/>
      <c r="K164" s="22" t="inlineStr"/>
      <c r="L164" s="18" t="inlineStr">
        <is>
          <t>Not Started</t>
        </is>
      </c>
    </row>
    <row r="165" ht="42" customHeight="1">
      <c r="A165" s="11" t="n">
        <v>163</v>
      </c>
      <c r="B165" s="50" t="inlineStr">
        <is>
          <t>AC-6</t>
        </is>
      </c>
      <c r="C165" s="11" t="inlineStr">
        <is>
          <t>AC</t>
        </is>
      </c>
      <c r="D165" s="12" t="inlineStr">
        <is>
          <t>DevOps</t>
        </is>
      </c>
      <c r="E165" s="11">
        <f>IFERROR(TRACKER!G165,"Not Started")</f>
        <v/>
      </c>
      <c r="F165" s="51">
        <f>IFERROR('[DevOps.xlsx]AC-6'!B21,"")</f>
        <v/>
      </c>
      <c r="G165" s="51" t="inlineStr"/>
      <c r="H165" s="51" t="inlineStr"/>
      <c r="I165" s="11" t="inlineStr"/>
      <c r="J165" s="12" t="inlineStr"/>
      <c r="K165" s="17" t="inlineStr"/>
      <c r="L165" s="11" t="inlineStr">
        <is>
          <t>Not Started</t>
        </is>
      </c>
    </row>
    <row r="166" ht="42" customHeight="1">
      <c r="A166" s="18" t="n">
        <v>164</v>
      </c>
      <c r="B166" s="52" t="inlineStr">
        <is>
          <t>AC-6(1)</t>
        </is>
      </c>
      <c r="C166" s="18" t="inlineStr">
        <is>
          <t>AC</t>
        </is>
      </c>
      <c r="D166" s="19" t="inlineStr">
        <is>
          <t>DevOps</t>
        </is>
      </c>
      <c r="E166" s="18">
        <f>IFERROR(TRACKER!G166,"Not Started")</f>
        <v/>
      </c>
      <c r="F166" s="53">
        <f>IFERROR('[DevOps.xlsx]AC-6-1'!B21,"")</f>
        <v/>
      </c>
      <c r="G166" s="53" t="inlineStr"/>
      <c r="H166" s="53" t="inlineStr"/>
      <c r="I166" s="18" t="inlineStr"/>
      <c r="J166" s="19" t="inlineStr"/>
      <c r="K166" s="22" t="inlineStr"/>
      <c r="L166" s="18" t="inlineStr">
        <is>
          <t>Not Started</t>
        </is>
      </c>
    </row>
    <row r="167" ht="42" customHeight="1">
      <c r="A167" s="11" t="n">
        <v>165</v>
      </c>
      <c r="B167" s="50" t="inlineStr">
        <is>
          <t>AC-6(9)</t>
        </is>
      </c>
      <c r="C167" s="11" t="inlineStr">
        <is>
          <t>AC</t>
        </is>
      </c>
      <c r="D167" s="12" t="inlineStr">
        <is>
          <t>DevOps</t>
        </is>
      </c>
      <c r="E167" s="11">
        <f>IFERROR(TRACKER!G167,"Not Started")</f>
        <v/>
      </c>
      <c r="F167" s="51">
        <f>IFERROR('[DevOps.xlsx]AC-6-9'!B21,"")</f>
        <v/>
      </c>
      <c r="G167" s="51" t="inlineStr"/>
      <c r="H167" s="51" t="inlineStr"/>
      <c r="I167" s="11" t="inlineStr"/>
      <c r="J167" s="12" t="inlineStr"/>
      <c r="K167" s="17" t="inlineStr"/>
      <c r="L167" s="11" t="inlineStr">
        <is>
          <t>Not Started</t>
        </is>
      </c>
    </row>
    <row r="168" ht="42" customHeight="1">
      <c r="A168" s="18" t="n">
        <v>166</v>
      </c>
      <c r="B168" s="52" t="inlineStr">
        <is>
          <t>AC-17(1)</t>
        </is>
      </c>
      <c r="C168" s="18" t="inlineStr">
        <is>
          <t>AC</t>
        </is>
      </c>
      <c r="D168" s="19" t="inlineStr">
        <is>
          <t>DevOps</t>
        </is>
      </c>
      <c r="E168" s="18">
        <f>IFERROR(TRACKER!G168,"Not Started")</f>
        <v/>
      </c>
      <c r="F168" s="53">
        <f>IFERROR('[DevOps.xlsx]AC-17-1'!B21,"")</f>
        <v/>
      </c>
      <c r="G168" s="53" t="inlineStr"/>
      <c r="H168" s="53" t="inlineStr"/>
      <c r="I168" s="18" t="inlineStr"/>
      <c r="J168" s="19" t="inlineStr"/>
      <c r="K168" s="22" t="inlineStr"/>
      <c r="L168" s="18" t="inlineStr">
        <is>
          <t>Not Started</t>
        </is>
      </c>
    </row>
    <row r="169" ht="42" customHeight="1">
      <c r="A169" s="11" t="n">
        <v>167</v>
      </c>
      <c r="B169" s="50" t="inlineStr">
        <is>
          <t>AU-2</t>
        </is>
      </c>
      <c r="C169" s="11" t="inlineStr">
        <is>
          <t>AU</t>
        </is>
      </c>
      <c r="D169" s="12" t="inlineStr">
        <is>
          <t>DevOps</t>
        </is>
      </c>
      <c r="E169" s="11">
        <f>IFERROR(TRACKER!G169,"Not Started")</f>
        <v/>
      </c>
      <c r="F169" s="51">
        <f>IFERROR('[DevOps.xlsx]AU-2'!B21,"")</f>
        <v/>
      </c>
      <c r="G169" s="51" t="inlineStr"/>
      <c r="H169" s="51" t="inlineStr"/>
      <c r="I169" s="11" t="inlineStr"/>
      <c r="J169" s="12" t="inlineStr"/>
      <c r="K169" s="17" t="inlineStr"/>
      <c r="L169" s="11" t="inlineStr">
        <is>
          <t>Not Started</t>
        </is>
      </c>
    </row>
    <row r="170" ht="42" customHeight="1">
      <c r="A170" s="18" t="n">
        <v>168</v>
      </c>
      <c r="B170" s="52" t="inlineStr">
        <is>
          <t>AU-3</t>
        </is>
      </c>
      <c r="C170" s="18" t="inlineStr">
        <is>
          <t>AU</t>
        </is>
      </c>
      <c r="D170" s="19" t="inlineStr">
        <is>
          <t>DevOps</t>
        </is>
      </c>
      <c r="E170" s="18">
        <f>IFERROR(TRACKER!G170,"Not Started")</f>
        <v/>
      </c>
      <c r="F170" s="53">
        <f>IFERROR('[DevOps.xlsx]AU-3'!B21,"")</f>
        <v/>
      </c>
      <c r="G170" s="53" t="inlineStr"/>
      <c r="H170" s="53" t="inlineStr"/>
      <c r="I170" s="18" t="inlineStr"/>
      <c r="J170" s="19" t="inlineStr"/>
      <c r="K170" s="22" t="inlineStr"/>
      <c r="L170" s="18" t="inlineStr">
        <is>
          <t>Not Started</t>
        </is>
      </c>
    </row>
    <row r="171" ht="42" customHeight="1">
      <c r="A171" s="11" t="n">
        <v>169</v>
      </c>
      <c r="B171" s="50" t="inlineStr">
        <is>
          <t>AU-3(1)</t>
        </is>
      </c>
      <c r="C171" s="11" t="inlineStr">
        <is>
          <t>AU</t>
        </is>
      </c>
      <c r="D171" s="12" t="inlineStr">
        <is>
          <t>DevOps</t>
        </is>
      </c>
      <c r="E171" s="11">
        <f>IFERROR(TRACKER!G171,"Not Started")</f>
        <v/>
      </c>
      <c r="F171" s="51">
        <f>IFERROR('[DevOps.xlsx]AU-3-1'!B21,"")</f>
        <v/>
      </c>
      <c r="G171" s="51" t="inlineStr"/>
      <c r="H171" s="51" t="inlineStr"/>
      <c r="I171" s="11" t="inlineStr"/>
      <c r="J171" s="12" t="inlineStr"/>
      <c r="K171" s="17" t="inlineStr"/>
      <c r="L171" s="11" t="inlineStr">
        <is>
          <t>Not Started</t>
        </is>
      </c>
    </row>
    <row r="172" ht="42" customHeight="1">
      <c r="A172" s="18" t="n">
        <v>170</v>
      </c>
      <c r="B172" s="52" t="inlineStr">
        <is>
          <t>AU-5</t>
        </is>
      </c>
      <c r="C172" s="18" t="inlineStr">
        <is>
          <t>AU</t>
        </is>
      </c>
      <c r="D172" s="19" t="inlineStr">
        <is>
          <t>DevOps</t>
        </is>
      </c>
      <c r="E172" s="18">
        <f>IFERROR(TRACKER!G172,"Not Started")</f>
        <v/>
      </c>
      <c r="F172" s="53">
        <f>IFERROR('[DevOps.xlsx]AU-5'!B21,"")</f>
        <v/>
      </c>
      <c r="G172" s="53" t="inlineStr"/>
      <c r="H172" s="53" t="inlineStr"/>
      <c r="I172" s="18" t="inlineStr"/>
      <c r="J172" s="19" t="inlineStr"/>
      <c r="K172" s="22" t="inlineStr"/>
      <c r="L172" s="18" t="inlineStr">
        <is>
          <t>Not Started</t>
        </is>
      </c>
    </row>
    <row r="173" ht="42" customHeight="1">
      <c r="A173" s="11" t="n">
        <v>171</v>
      </c>
      <c r="B173" s="50" t="inlineStr">
        <is>
          <t>AU-6(1)</t>
        </is>
      </c>
      <c r="C173" s="11" t="inlineStr">
        <is>
          <t>AU</t>
        </is>
      </c>
      <c r="D173" s="12" t="inlineStr">
        <is>
          <t>DevOps</t>
        </is>
      </c>
      <c r="E173" s="11">
        <f>IFERROR(TRACKER!G173,"Not Started")</f>
        <v/>
      </c>
      <c r="F173" s="51">
        <f>IFERROR('[DevOps.xlsx]AU-6-1'!B21,"")</f>
        <v/>
      </c>
      <c r="G173" s="51" t="inlineStr"/>
      <c r="H173" s="51" t="inlineStr"/>
      <c r="I173" s="11" t="inlineStr"/>
      <c r="J173" s="12" t="inlineStr"/>
      <c r="K173" s="17" t="inlineStr"/>
      <c r="L173" s="11" t="inlineStr">
        <is>
          <t>Not Started</t>
        </is>
      </c>
    </row>
    <row r="174" ht="42" customHeight="1">
      <c r="A174" s="18" t="n">
        <v>172</v>
      </c>
      <c r="B174" s="52" t="inlineStr">
        <is>
          <t>AU-6(3)</t>
        </is>
      </c>
      <c r="C174" s="18" t="inlineStr">
        <is>
          <t>AU</t>
        </is>
      </c>
      <c r="D174" s="19" t="inlineStr">
        <is>
          <t>DevOps</t>
        </is>
      </c>
      <c r="E174" s="18">
        <f>IFERROR(TRACKER!G174,"Not Started")</f>
        <v/>
      </c>
      <c r="F174" s="53">
        <f>IFERROR('[DevOps.xlsx]AU-6-3'!B21,"")</f>
        <v/>
      </c>
      <c r="G174" s="53" t="inlineStr"/>
      <c r="H174" s="53" t="inlineStr"/>
      <c r="I174" s="18" t="inlineStr"/>
      <c r="J174" s="19" t="inlineStr"/>
      <c r="K174" s="22" t="inlineStr"/>
      <c r="L174" s="18" t="inlineStr">
        <is>
          <t>Not Started</t>
        </is>
      </c>
    </row>
    <row r="175" ht="42" customHeight="1">
      <c r="A175" s="11" t="n">
        <v>173</v>
      </c>
      <c r="B175" s="50" t="inlineStr">
        <is>
          <t>AU-7</t>
        </is>
      </c>
      <c r="C175" s="11" t="inlineStr">
        <is>
          <t>AU</t>
        </is>
      </c>
      <c r="D175" s="12" t="inlineStr">
        <is>
          <t>DevOps</t>
        </is>
      </c>
      <c r="E175" s="11">
        <f>IFERROR(TRACKER!G175,"Not Started")</f>
        <v/>
      </c>
      <c r="F175" s="51">
        <f>IFERROR('[DevOps.xlsx]AU-7'!B21,"")</f>
        <v/>
      </c>
      <c r="G175" s="51" t="inlineStr"/>
      <c r="H175" s="51" t="inlineStr"/>
      <c r="I175" s="11" t="inlineStr"/>
      <c r="J175" s="12" t="inlineStr"/>
      <c r="K175" s="17" t="inlineStr"/>
      <c r="L175" s="11" t="inlineStr">
        <is>
          <t>Not Started</t>
        </is>
      </c>
    </row>
    <row r="176" ht="42" customHeight="1">
      <c r="A176" s="18" t="n">
        <v>174</v>
      </c>
      <c r="B176" s="52" t="inlineStr">
        <is>
          <t>AU-7(1)</t>
        </is>
      </c>
      <c r="C176" s="18" t="inlineStr">
        <is>
          <t>AU</t>
        </is>
      </c>
      <c r="D176" s="19" t="inlineStr">
        <is>
          <t>DevOps</t>
        </is>
      </c>
      <c r="E176" s="18">
        <f>IFERROR(TRACKER!G176,"Not Started")</f>
        <v/>
      </c>
      <c r="F176" s="53">
        <f>IFERROR('[DevOps.xlsx]AU-7-1'!B21,"")</f>
        <v/>
      </c>
      <c r="G176" s="53" t="inlineStr"/>
      <c r="H176" s="53" t="inlineStr"/>
      <c r="I176" s="18" t="inlineStr"/>
      <c r="J176" s="19" t="inlineStr"/>
      <c r="K176" s="22" t="inlineStr"/>
      <c r="L176" s="18" t="inlineStr">
        <is>
          <t>Not Started</t>
        </is>
      </c>
    </row>
    <row r="177" ht="42" customHeight="1">
      <c r="A177" s="11" t="n">
        <v>175</v>
      </c>
      <c r="B177" s="50" t="inlineStr">
        <is>
          <t>AU-8</t>
        </is>
      </c>
      <c r="C177" s="11" t="inlineStr">
        <is>
          <t>AU</t>
        </is>
      </c>
      <c r="D177" s="12" t="inlineStr">
        <is>
          <t>DevOps</t>
        </is>
      </c>
      <c r="E177" s="11">
        <f>IFERROR(TRACKER!G177,"Not Started")</f>
        <v/>
      </c>
      <c r="F177" s="51">
        <f>IFERROR('[DevOps.xlsx]AU-8'!B21,"")</f>
        <v/>
      </c>
      <c r="G177" s="51" t="inlineStr"/>
      <c r="H177" s="51" t="inlineStr"/>
      <c r="I177" s="11" t="inlineStr"/>
      <c r="J177" s="12" t="inlineStr"/>
      <c r="K177" s="17" t="inlineStr"/>
      <c r="L177" s="11" t="inlineStr">
        <is>
          <t>Not Started</t>
        </is>
      </c>
    </row>
    <row r="178" ht="42" customHeight="1">
      <c r="A178" s="18" t="n">
        <v>176</v>
      </c>
      <c r="B178" s="52" t="inlineStr">
        <is>
          <t>AU-8(1)</t>
        </is>
      </c>
      <c r="C178" s="18" t="inlineStr">
        <is>
          <t>AU</t>
        </is>
      </c>
      <c r="D178" s="19" t="inlineStr">
        <is>
          <t>DevOps</t>
        </is>
      </c>
      <c r="E178" s="18">
        <f>IFERROR(TRACKER!G178,"Not Started")</f>
        <v/>
      </c>
      <c r="F178" s="53">
        <f>IFERROR('[DevOps.xlsx]AU-8-1'!B21,"")</f>
        <v/>
      </c>
      <c r="G178" s="53" t="inlineStr"/>
      <c r="H178" s="53" t="inlineStr"/>
      <c r="I178" s="18" t="inlineStr"/>
      <c r="J178" s="19" t="inlineStr"/>
      <c r="K178" s="22" t="inlineStr"/>
      <c r="L178" s="18" t="inlineStr">
        <is>
          <t>Not Started</t>
        </is>
      </c>
    </row>
    <row r="179" ht="42" customHeight="1">
      <c r="A179" s="11" t="n">
        <v>177</v>
      </c>
      <c r="B179" s="50" t="inlineStr">
        <is>
          <t>AU-9</t>
        </is>
      </c>
      <c r="C179" s="11" t="inlineStr">
        <is>
          <t>AU</t>
        </is>
      </c>
      <c r="D179" s="12" t="inlineStr">
        <is>
          <t>DevOps</t>
        </is>
      </c>
      <c r="E179" s="11">
        <f>IFERROR(TRACKER!G179,"Not Started")</f>
        <v/>
      </c>
      <c r="F179" s="51">
        <f>IFERROR('[DevOps.xlsx]AU-9'!B21,"")</f>
        <v/>
      </c>
      <c r="G179" s="51" t="inlineStr"/>
      <c r="H179" s="51" t="inlineStr"/>
      <c r="I179" s="11" t="inlineStr"/>
      <c r="J179" s="12" t="inlineStr"/>
      <c r="K179" s="17" t="inlineStr"/>
      <c r="L179" s="11" t="inlineStr">
        <is>
          <t>Not Started</t>
        </is>
      </c>
    </row>
    <row r="180" ht="42" customHeight="1">
      <c r="A180" s="18" t="n">
        <v>178</v>
      </c>
      <c r="B180" s="52" t="inlineStr">
        <is>
          <t>AU-9(2)</t>
        </is>
      </c>
      <c r="C180" s="18" t="inlineStr">
        <is>
          <t>AU</t>
        </is>
      </c>
      <c r="D180" s="19" t="inlineStr">
        <is>
          <t>DevOps</t>
        </is>
      </c>
      <c r="E180" s="18">
        <f>IFERROR(TRACKER!G180,"Not Started")</f>
        <v/>
      </c>
      <c r="F180" s="53">
        <f>IFERROR('[DevOps.xlsx]AU-9-2'!B21,"")</f>
        <v/>
      </c>
      <c r="G180" s="53" t="inlineStr"/>
      <c r="H180" s="53" t="inlineStr"/>
      <c r="I180" s="18" t="inlineStr"/>
      <c r="J180" s="19" t="inlineStr"/>
      <c r="K180" s="22" t="inlineStr"/>
      <c r="L180" s="18" t="inlineStr">
        <is>
          <t>Not Started</t>
        </is>
      </c>
    </row>
    <row r="181" ht="42" customHeight="1">
      <c r="A181" s="11" t="n">
        <v>179</v>
      </c>
      <c r="B181" s="50" t="inlineStr">
        <is>
          <t>AU-9(4)</t>
        </is>
      </c>
      <c r="C181" s="11" t="inlineStr">
        <is>
          <t>AU</t>
        </is>
      </c>
      <c r="D181" s="12" t="inlineStr">
        <is>
          <t>DevOps</t>
        </is>
      </c>
      <c r="E181" s="11">
        <f>IFERROR(TRACKER!G181,"Not Started")</f>
        <v/>
      </c>
      <c r="F181" s="51">
        <f>IFERROR('[DevOps.xlsx]AU-9-4'!B21,"")</f>
        <v/>
      </c>
      <c r="G181" s="51" t="inlineStr"/>
      <c r="H181" s="51" t="inlineStr"/>
      <c r="I181" s="11" t="inlineStr"/>
      <c r="J181" s="12" t="inlineStr"/>
      <c r="K181" s="17" t="inlineStr"/>
      <c r="L181" s="11" t="inlineStr">
        <is>
          <t>Not Started</t>
        </is>
      </c>
    </row>
    <row r="182" ht="42" customHeight="1">
      <c r="A182" s="18" t="n">
        <v>180</v>
      </c>
      <c r="B182" s="52" t="inlineStr">
        <is>
          <t>AU-11</t>
        </is>
      </c>
      <c r="C182" s="18" t="inlineStr">
        <is>
          <t>AU</t>
        </is>
      </c>
      <c r="D182" s="19" t="inlineStr">
        <is>
          <t>DevOps</t>
        </is>
      </c>
      <c r="E182" s="18">
        <f>IFERROR(TRACKER!G182,"Not Started")</f>
        <v/>
      </c>
      <c r="F182" s="53">
        <f>IFERROR('[DevOps.xlsx]AU-11'!B21,"")</f>
        <v/>
      </c>
      <c r="G182" s="53" t="inlineStr"/>
      <c r="H182" s="53" t="inlineStr"/>
      <c r="I182" s="18" t="inlineStr"/>
      <c r="J182" s="19" t="inlineStr"/>
      <c r="K182" s="22" t="inlineStr"/>
      <c r="L182" s="18" t="inlineStr">
        <is>
          <t>Not Started</t>
        </is>
      </c>
    </row>
    <row r="183" ht="42" customHeight="1">
      <c r="A183" s="11" t="n">
        <v>181</v>
      </c>
      <c r="B183" s="50" t="inlineStr">
        <is>
          <t>AU-12</t>
        </is>
      </c>
      <c r="C183" s="11" t="inlineStr">
        <is>
          <t>AU</t>
        </is>
      </c>
      <c r="D183" s="12" t="inlineStr">
        <is>
          <t>DevOps</t>
        </is>
      </c>
      <c r="E183" s="11">
        <f>IFERROR(TRACKER!G183,"Not Started")</f>
        <v/>
      </c>
      <c r="F183" s="51">
        <f>IFERROR('[DevOps.xlsx]AU-12'!B21,"")</f>
        <v/>
      </c>
      <c r="G183" s="51" t="inlineStr"/>
      <c r="H183" s="51" t="inlineStr"/>
      <c r="I183" s="11" t="inlineStr"/>
      <c r="J183" s="12" t="inlineStr"/>
      <c r="K183" s="17" t="inlineStr"/>
      <c r="L183" s="11" t="inlineStr">
        <is>
          <t>Not Started</t>
        </is>
      </c>
    </row>
    <row r="184" ht="42" customHeight="1">
      <c r="A184" s="18" t="n">
        <v>182</v>
      </c>
      <c r="B184" s="52" t="inlineStr">
        <is>
          <t>CM-3</t>
        </is>
      </c>
      <c r="C184" s="18" t="inlineStr">
        <is>
          <t>CM</t>
        </is>
      </c>
      <c r="D184" s="19" t="inlineStr">
        <is>
          <t>DevOps</t>
        </is>
      </c>
      <c r="E184" s="18">
        <f>IFERROR(TRACKER!G184,"Not Started")</f>
        <v/>
      </c>
      <c r="F184" s="53">
        <f>IFERROR('[DevOps.xlsx]CM-3'!B21,"")</f>
        <v/>
      </c>
      <c r="G184" s="53" t="inlineStr"/>
      <c r="H184" s="53" t="inlineStr"/>
      <c r="I184" s="18" t="inlineStr"/>
      <c r="J184" s="19" t="inlineStr"/>
      <c r="K184" s="22" t="inlineStr"/>
      <c r="L184" s="18" t="inlineStr">
        <is>
          <t>Not Started</t>
        </is>
      </c>
    </row>
    <row r="185" ht="42" customHeight="1">
      <c r="A185" s="11" t="n">
        <v>183</v>
      </c>
      <c r="B185" s="50" t="inlineStr">
        <is>
          <t>CM-5(1)</t>
        </is>
      </c>
      <c r="C185" s="11" t="inlineStr">
        <is>
          <t>CM</t>
        </is>
      </c>
      <c r="D185" s="12" t="inlineStr">
        <is>
          <t>DevOps</t>
        </is>
      </c>
      <c r="E185" s="11">
        <f>IFERROR(TRACKER!G185,"Not Started")</f>
        <v/>
      </c>
      <c r="F185" s="51">
        <f>IFERROR('[DevOps.xlsx]CM-5-1'!B21,"")</f>
        <v/>
      </c>
      <c r="G185" s="51" t="inlineStr"/>
      <c r="H185" s="51" t="inlineStr"/>
      <c r="I185" s="11" t="inlineStr"/>
      <c r="J185" s="12" t="inlineStr"/>
      <c r="K185" s="17" t="inlineStr"/>
      <c r="L185" s="11" t="inlineStr">
        <is>
          <t>Not Started</t>
        </is>
      </c>
    </row>
    <row r="186" ht="42" customHeight="1">
      <c r="A186" s="18" t="n">
        <v>184</v>
      </c>
      <c r="B186" s="52" t="inlineStr">
        <is>
          <t>CM-5(6)</t>
        </is>
      </c>
      <c r="C186" s="18" t="inlineStr">
        <is>
          <t>CM</t>
        </is>
      </c>
      <c r="D186" s="19" t="inlineStr">
        <is>
          <t>DevOps</t>
        </is>
      </c>
      <c r="E186" s="18">
        <f>IFERROR(TRACKER!G186,"Not Started")</f>
        <v/>
      </c>
      <c r="F186" s="53">
        <f>IFERROR('[DevOps.xlsx]CM-5-6'!B21,"")</f>
        <v/>
      </c>
      <c r="G186" s="53" t="inlineStr"/>
      <c r="H186" s="53" t="inlineStr"/>
      <c r="I186" s="18" t="inlineStr"/>
      <c r="J186" s="19" t="inlineStr"/>
      <c r="K186" s="22" t="inlineStr"/>
      <c r="L186" s="18" t="inlineStr">
        <is>
          <t>Not Started</t>
        </is>
      </c>
    </row>
    <row r="187" ht="42" customHeight="1">
      <c r="A187" s="11" t="n">
        <v>185</v>
      </c>
      <c r="B187" s="50" t="inlineStr">
        <is>
          <t>CM-6</t>
        </is>
      </c>
      <c r="C187" s="11" t="inlineStr">
        <is>
          <t>CM</t>
        </is>
      </c>
      <c r="D187" s="12" t="inlineStr">
        <is>
          <t>DevOps</t>
        </is>
      </c>
      <c r="E187" s="11">
        <f>IFERROR(TRACKER!G187,"Not Started")</f>
        <v/>
      </c>
      <c r="F187" s="51">
        <f>IFERROR('[DevOps.xlsx]CM-6'!B21,"")</f>
        <v/>
      </c>
      <c r="G187" s="51" t="inlineStr"/>
      <c r="H187" s="51" t="inlineStr"/>
      <c r="I187" s="11" t="inlineStr"/>
      <c r="J187" s="12" t="inlineStr"/>
      <c r="K187" s="17" t="inlineStr"/>
      <c r="L187" s="11" t="inlineStr">
        <is>
          <t>Not Started</t>
        </is>
      </c>
    </row>
    <row r="188" ht="42" customHeight="1">
      <c r="A188" s="18" t="n">
        <v>186</v>
      </c>
      <c r="B188" s="52" t="inlineStr">
        <is>
          <t>CM-7</t>
        </is>
      </c>
      <c r="C188" s="18" t="inlineStr">
        <is>
          <t>CM</t>
        </is>
      </c>
      <c r="D188" s="19" t="inlineStr">
        <is>
          <t>DevOps</t>
        </is>
      </c>
      <c r="E188" s="18">
        <f>IFERROR(TRACKER!G188,"Not Started")</f>
        <v/>
      </c>
      <c r="F188" s="53">
        <f>IFERROR('[DevOps.xlsx]CM-7'!B21,"")</f>
        <v/>
      </c>
      <c r="G188" s="53" t="inlineStr"/>
      <c r="H188" s="53" t="inlineStr"/>
      <c r="I188" s="18" t="inlineStr"/>
      <c r="J188" s="19" t="inlineStr"/>
      <c r="K188" s="22" t="inlineStr"/>
      <c r="L188" s="18" t="inlineStr">
        <is>
          <t>Not Started</t>
        </is>
      </c>
    </row>
    <row r="189" ht="42" customHeight="1">
      <c r="A189" s="11" t="n">
        <v>187</v>
      </c>
      <c r="B189" s="50" t="inlineStr">
        <is>
          <t>CM-7(1)</t>
        </is>
      </c>
      <c r="C189" s="11" t="inlineStr">
        <is>
          <t>CM</t>
        </is>
      </c>
      <c r="D189" s="12" t="inlineStr">
        <is>
          <t>DevOps</t>
        </is>
      </c>
      <c r="E189" s="11">
        <f>IFERROR(TRACKER!G189,"Not Started")</f>
        <v/>
      </c>
      <c r="F189" s="51">
        <f>IFERROR('[DevOps.xlsx]CM-7-1'!B21,"")</f>
        <v/>
      </c>
      <c r="G189" s="51" t="inlineStr"/>
      <c r="H189" s="51" t="inlineStr"/>
      <c r="I189" s="11" t="inlineStr"/>
      <c r="J189" s="12" t="inlineStr"/>
      <c r="K189" s="17" t="inlineStr"/>
      <c r="L189" s="11" t="inlineStr">
        <is>
          <t>Not Started</t>
        </is>
      </c>
    </row>
    <row r="190" ht="42" customHeight="1">
      <c r="A190" s="18" t="n">
        <v>188</v>
      </c>
      <c r="B190" s="52" t="inlineStr">
        <is>
          <t>CP-10</t>
        </is>
      </c>
      <c r="C190" s="18" t="inlineStr">
        <is>
          <t>CP</t>
        </is>
      </c>
      <c r="D190" s="19" t="inlineStr">
        <is>
          <t>DevOps</t>
        </is>
      </c>
      <c r="E190" s="18">
        <f>IFERROR(TRACKER!G190,"Not Started")</f>
        <v/>
      </c>
      <c r="F190" s="53">
        <f>IFERROR('[DevOps.xlsx]CP-10'!B21,"")</f>
        <v/>
      </c>
      <c r="G190" s="53" t="inlineStr"/>
      <c r="H190" s="53" t="inlineStr"/>
      <c r="I190" s="18" t="inlineStr"/>
      <c r="J190" s="19" t="inlineStr"/>
      <c r="K190" s="22" t="inlineStr"/>
      <c r="L190" s="18" t="inlineStr">
        <is>
          <t>Not Started</t>
        </is>
      </c>
    </row>
    <row r="191" ht="42" customHeight="1">
      <c r="A191" s="11" t="n">
        <v>189</v>
      </c>
      <c r="B191" s="50" t="inlineStr">
        <is>
          <t>CP-10(4)</t>
        </is>
      </c>
      <c r="C191" s="11" t="inlineStr">
        <is>
          <t>CP</t>
        </is>
      </c>
      <c r="D191" s="12" t="inlineStr">
        <is>
          <t>DevOps</t>
        </is>
      </c>
      <c r="E191" s="11">
        <f>IFERROR(TRACKER!G191,"Not Started")</f>
        <v/>
      </c>
      <c r="F191" s="51">
        <f>IFERROR('[DevOps.xlsx]CP-10-4'!B21,"")</f>
        <v/>
      </c>
      <c r="G191" s="51" t="inlineStr"/>
      <c r="H191" s="51" t="inlineStr"/>
      <c r="I191" s="11" t="inlineStr"/>
      <c r="J191" s="12" t="inlineStr"/>
      <c r="K191" s="17" t="inlineStr"/>
      <c r="L191" s="11" t="inlineStr">
        <is>
          <t>Not Started</t>
        </is>
      </c>
    </row>
    <row r="192" ht="42" customHeight="1">
      <c r="A192" s="18" t="n">
        <v>190</v>
      </c>
      <c r="B192" s="52" t="inlineStr">
        <is>
          <t>IA-5(7)</t>
        </is>
      </c>
      <c r="C192" s="18" t="inlineStr">
        <is>
          <t>IA</t>
        </is>
      </c>
      <c r="D192" s="19" t="inlineStr">
        <is>
          <t>DevOps</t>
        </is>
      </c>
      <c r="E192" s="18">
        <f>IFERROR(TRACKER!G192,"Not Started")</f>
        <v/>
      </c>
      <c r="F192" s="53">
        <f>IFERROR('[DevOps.xlsx]IA-5-7'!B21,"")</f>
        <v/>
      </c>
      <c r="G192" s="53" t="inlineStr"/>
      <c r="H192" s="53" t="inlineStr"/>
      <c r="I192" s="18" t="inlineStr"/>
      <c r="J192" s="19" t="inlineStr"/>
      <c r="K192" s="22" t="inlineStr"/>
      <c r="L192" s="18" t="inlineStr">
        <is>
          <t>Not Started</t>
        </is>
      </c>
    </row>
    <row r="193" ht="42" customHeight="1">
      <c r="A193" s="11" t="n">
        <v>191</v>
      </c>
      <c r="B193" s="50" t="inlineStr">
        <is>
          <t>MA-4</t>
        </is>
      </c>
      <c r="C193" s="11" t="inlineStr">
        <is>
          <t>MA</t>
        </is>
      </c>
      <c r="D193" s="12" t="inlineStr">
        <is>
          <t>DevOps</t>
        </is>
      </c>
      <c r="E193" s="11">
        <f>IFERROR(TRACKER!G193,"Not Started")</f>
        <v/>
      </c>
      <c r="F193" s="51">
        <f>IFERROR('[DevOps.xlsx]MA-4'!B21,"")</f>
        <v/>
      </c>
      <c r="G193" s="51" t="inlineStr"/>
      <c r="H193" s="51" t="inlineStr"/>
      <c r="I193" s="11" t="inlineStr"/>
      <c r="J193" s="12" t="inlineStr"/>
      <c r="K193" s="17" t="inlineStr"/>
      <c r="L193" s="11" t="inlineStr">
        <is>
          <t>Not Started</t>
        </is>
      </c>
    </row>
    <row r="194" ht="42" customHeight="1">
      <c r="A194" s="18" t="n">
        <v>192</v>
      </c>
      <c r="B194" s="52" t="inlineStr">
        <is>
          <t>MA-4(1)</t>
        </is>
      </c>
      <c r="C194" s="18" t="inlineStr">
        <is>
          <t>MA</t>
        </is>
      </c>
      <c r="D194" s="19" t="inlineStr">
        <is>
          <t>DevOps</t>
        </is>
      </c>
      <c r="E194" s="18">
        <f>IFERROR(TRACKER!G194,"Not Started")</f>
        <v/>
      </c>
      <c r="F194" s="53">
        <f>IFERROR('[DevOps.xlsx]MA-4-1'!B21,"")</f>
        <v/>
      </c>
      <c r="G194" s="53" t="inlineStr"/>
      <c r="H194" s="53" t="inlineStr"/>
      <c r="I194" s="18" t="inlineStr"/>
      <c r="J194" s="19" t="inlineStr"/>
      <c r="K194" s="22" t="inlineStr"/>
      <c r="L194" s="18" t="inlineStr">
        <is>
          <t>Not Started</t>
        </is>
      </c>
    </row>
    <row r="195" ht="42" customHeight="1">
      <c r="A195" s="11" t="n">
        <v>193</v>
      </c>
      <c r="B195" s="50" t="inlineStr">
        <is>
          <t>SA-9(5)</t>
        </is>
      </c>
      <c r="C195" s="11" t="inlineStr">
        <is>
          <t>SA</t>
        </is>
      </c>
      <c r="D195" s="12" t="inlineStr">
        <is>
          <t>DevOps</t>
        </is>
      </c>
      <c r="E195" s="11">
        <f>IFERROR(TRACKER!G195,"Not Started")</f>
        <v/>
      </c>
      <c r="F195" s="51">
        <f>IFERROR('[DevOps.xlsx]SA-9-5'!B21,"")</f>
        <v/>
      </c>
      <c r="G195" s="51" t="inlineStr"/>
      <c r="H195" s="51" t="inlineStr"/>
      <c r="I195" s="11" t="inlineStr"/>
      <c r="J195" s="12" t="inlineStr"/>
      <c r="K195" s="17" t="inlineStr"/>
      <c r="L195" s="11" t="inlineStr">
        <is>
          <t>Not Started</t>
        </is>
      </c>
    </row>
    <row r="196" ht="42" customHeight="1">
      <c r="A196" s="18" t="n">
        <v>194</v>
      </c>
      <c r="B196" s="52" t="inlineStr">
        <is>
          <t>SA-11(1)</t>
        </is>
      </c>
      <c r="C196" s="18" t="inlineStr">
        <is>
          <t>SA</t>
        </is>
      </c>
      <c r="D196" s="19" t="inlineStr">
        <is>
          <t>DevOps</t>
        </is>
      </c>
      <c r="E196" s="18">
        <f>IFERROR(TRACKER!G196,"Not Started")</f>
        <v/>
      </c>
      <c r="F196" s="53">
        <f>IFERROR('[DevOps.xlsx]SA-11-1'!B21,"")</f>
        <v/>
      </c>
      <c r="G196" s="53" t="inlineStr"/>
      <c r="H196" s="53" t="inlineStr"/>
      <c r="I196" s="18" t="inlineStr"/>
      <c r="J196" s="19" t="inlineStr"/>
      <c r="K196" s="22" t="inlineStr"/>
      <c r="L196" s="18" t="inlineStr">
        <is>
          <t>Not Started</t>
        </is>
      </c>
    </row>
    <row r="197" ht="42" customHeight="1">
      <c r="A197" s="11" t="n">
        <v>195</v>
      </c>
      <c r="B197" s="50" t="inlineStr">
        <is>
          <t>SA-11(8)</t>
        </is>
      </c>
      <c r="C197" s="11" t="inlineStr">
        <is>
          <t>SA</t>
        </is>
      </c>
      <c r="D197" s="12" t="inlineStr">
        <is>
          <t>DevOps</t>
        </is>
      </c>
      <c r="E197" s="11">
        <f>IFERROR(TRACKER!G197,"Not Started")</f>
        <v/>
      </c>
      <c r="F197" s="51">
        <f>IFERROR('[DevOps.xlsx]SA-11-8'!B21,"")</f>
        <v/>
      </c>
      <c r="G197" s="51" t="inlineStr"/>
      <c r="H197" s="51" t="inlineStr"/>
      <c r="I197" s="11" t="inlineStr"/>
      <c r="J197" s="12" t="inlineStr"/>
      <c r="K197" s="17" t="inlineStr"/>
      <c r="L197" s="11" t="inlineStr">
        <is>
          <t>Not Started</t>
        </is>
      </c>
    </row>
    <row r="198" ht="42" customHeight="1">
      <c r="A198" s="18" t="n">
        <v>196</v>
      </c>
      <c r="B198" s="52" t="inlineStr">
        <is>
          <t>SC-7</t>
        </is>
      </c>
      <c r="C198" s="18" t="inlineStr">
        <is>
          <t>SC</t>
        </is>
      </c>
      <c r="D198" s="19" t="inlineStr">
        <is>
          <t>DevOps</t>
        </is>
      </c>
      <c r="E198" s="18">
        <f>IFERROR(TRACKER!G198,"Not Started")</f>
        <v/>
      </c>
      <c r="F198" s="53">
        <f>IFERROR('[DevOps.xlsx]SC-7'!B21,"")</f>
        <v/>
      </c>
      <c r="G198" s="53" t="inlineStr"/>
      <c r="H198" s="53" t="inlineStr"/>
      <c r="I198" s="18" t="inlineStr"/>
      <c r="J198" s="19" t="inlineStr"/>
      <c r="K198" s="22" t="inlineStr"/>
      <c r="L198" s="18" t="inlineStr">
        <is>
          <t>Not Started</t>
        </is>
      </c>
    </row>
    <row r="199" ht="42" customHeight="1">
      <c r="A199" s="11" t="n">
        <v>197</v>
      </c>
      <c r="B199" s="50" t="inlineStr">
        <is>
          <t>SC-18</t>
        </is>
      </c>
      <c r="C199" s="11" t="inlineStr">
        <is>
          <t>SC</t>
        </is>
      </c>
      <c r="D199" s="12" t="inlineStr">
        <is>
          <t>DevOps</t>
        </is>
      </c>
      <c r="E199" s="11">
        <f>IFERROR(TRACKER!G199,"Not Started")</f>
        <v/>
      </c>
      <c r="F199" s="51">
        <f>IFERROR('[DevOps.xlsx]SC-18'!B21,"")</f>
        <v/>
      </c>
      <c r="G199" s="51" t="inlineStr"/>
      <c r="H199" s="51" t="inlineStr"/>
      <c r="I199" s="11" t="inlineStr"/>
      <c r="J199" s="12" t="inlineStr"/>
      <c r="K199" s="17" t="inlineStr"/>
      <c r="L199" s="11" t="inlineStr">
        <is>
          <t>Not Started</t>
        </is>
      </c>
    </row>
    <row r="200" ht="42" customHeight="1">
      <c r="A200" s="18" t="n">
        <v>198</v>
      </c>
      <c r="B200" s="52" t="inlineStr">
        <is>
          <t>SI-4</t>
        </is>
      </c>
      <c r="C200" s="18" t="inlineStr">
        <is>
          <t>SI</t>
        </is>
      </c>
      <c r="D200" s="19" t="inlineStr">
        <is>
          <t>DevOps</t>
        </is>
      </c>
      <c r="E200" s="18">
        <f>IFERROR(TRACKER!G200,"Not Started")</f>
        <v/>
      </c>
      <c r="F200" s="53">
        <f>IFERROR('[DevOps.xlsx]SI-4'!B21,"")</f>
        <v/>
      </c>
      <c r="G200" s="53" t="inlineStr"/>
      <c r="H200" s="53" t="inlineStr"/>
      <c r="I200" s="18" t="inlineStr"/>
      <c r="J200" s="19" t="inlineStr"/>
      <c r="K200" s="22" t="inlineStr"/>
      <c r="L200" s="18" t="inlineStr">
        <is>
          <t>Not Started</t>
        </is>
      </c>
    </row>
    <row r="201" ht="42" customHeight="1">
      <c r="A201" s="11" t="n">
        <v>199</v>
      </c>
      <c r="B201" s="50" t="inlineStr">
        <is>
          <t>SI-4(1)</t>
        </is>
      </c>
      <c r="C201" s="11" t="inlineStr">
        <is>
          <t>SI</t>
        </is>
      </c>
      <c r="D201" s="12" t="inlineStr">
        <is>
          <t>DevOps</t>
        </is>
      </c>
      <c r="E201" s="11">
        <f>IFERROR(TRACKER!G201,"Not Started")</f>
        <v/>
      </c>
      <c r="F201" s="51">
        <f>IFERROR('[DevOps.xlsx]SI-4-1'!B21,"")</f>
        <v/>
      </c>
      <c r="G201" s="51" t="inlineStr"/>
      <c r="H201" s="51" t="inlineStr"/>
      <c r="I201" s="11" t="inlineStr"/>
      <c r="J201" s="12" t="inlineStr"/>
      <c r="K201" s="17" t="inlineStr"/>
      <c r="L201" s="11" t="inlineStr">
        <is>
          <t>Not Started</t>
        </is>
      </c>
    </row>
    <row r="202" ht="42" customHeight="1">
      <c r="A202" s="18" t="n">
        <v>200</v>
      </c>
      <c r="B202" s="52" t="inlineStr">
        <is>
          <t>SI-4(2)</t>
        </is>
      </c>
      <c r="C202" s="18" t="inlineStr">
        <is>
          <t>SI</t>
        </is>
      </c>
      <c r="D202" s="19" t="inlineStr">
        <is>
          <t>DevOps</t>
        </is>
      </c>
      <c r="E202" s="18">
        <f>IFERROR(TRACKER!G202,"Not Started")</f>
        <v/>
      </c>
      <c r="F202" s="53">
        <f>IFERROR('[DevOps.xlsx]SI-4-2'!B21,"")</f>
        <v/>
      </c>
      <c r="G202" s="53" t="inlineStr"/>
      <c r="H202" s="53" t="inlineStr"/>
      <c r="I202" s="18" t="inlineStr"/>
      <c r="J202" s="19" t="inlineStr"/>
      <c r="K202" s="22" t="inlineStr"/>
      <c r="L202" s="18" t="inlineStr">
        <is>
          <t>Not Started</t>
        </is>
      </c>
    </row>
    <row r="203" ht="42" customHeight="1">
      <c r="A203" s="11" t="n">
        <v>201</v>
      </c>
      <c r="B203" s="50" t="inlineStr">
        <is>
          <t>SI-4(4)</t>
        </is>
      </c>
      <c r="C203" s="11" t="inlineStr">
        <is>
          <t>SI</t>
        </is>
      </c>
      <c r="D203" s="12" t="inlineStr">
        <is>
          <t>DevOps</t>
        </is>
      </c>
      <c r="E203" s="11">
        <f>IFERROR(TRACKER!G203,"Not Started")</f>
        <v/>
      </c>
      <c r="F203" s="51">
        <f>IFERROR('[DevOps.xlsx]SI-4-4'!B21,"")</f>
        <v/>
      </c>
      <c r="G203" s="51" t="inlineStr"/>
      <c r="H203" s="51" t="inlineStr"/>
      <c r="I203" s="11" t="inlineStr"/>
      <c r="J203" s="12" t="inlineStr"/>
      <c r="K203" s="17" t="inlineStr"/>
      <c r="L203" s="11" t="inlineStr">
        <is>
          <t>Not Started</t>
        </is>
      </c>
    </row>
    <row r="204" ht="42" customHeight="1">
      <c r="A204" s="18" t="n">
        <v>202</v>
      </c>
      <c r="B204" s="52" t="inlineStr">
        <is>
          <t>SI-4(5)</t>
        </is>
      </c>
      <c r="C204" s="18" t="inlineStr">
        <is>
          <t>SI</t>
        </is>
      </c>
      <c r="D204" s="19" t="inlineStr">
        <is>
          <t>DevOps</t>
        </is>
      </c>
      <c r="E204" s="18">
        <f>IFERROR(TRACKER!G204,"Not Started")</f>
        <v/>
      </c>
      <c r="F204" s="53">
        <f>IFERROR('[DevOps.xlsx]SI-4-5'!B21,"")</f>
        <v/>
      </c>
      <c r="G204" s="53" t="inlineStr"/>
      <c r="H204" s="53" t="inlineStr"/>
      <c r="I204" s="18" t="inlineStr"/>
      <c r="J204" s="19" t="inlineStr"/>
      <c r="K204" s="22" t="inlineStr"/>
      <c r="L204" s="18" t="inlineStr">
        <is>
          <t>Not Started</t>
        </is>
      </c>
    </row>
    <row r="205" ht="42" customHeight="1">
      <c r="A205" s="11" t="n">
        <v>203</v>
      </c>
      <c r="B205" s="50" t="inlineStr">
        <is>
          <t>SI-4(11)</t>
        </is>
      </c>
      <c r="C205" s="11" t="inlineStr">
        <is>
          <t>SI</t>
        </is>
      </c>
      <c r="D205" s="12" t="inlineStr">
        <is>
          <t>DevOps</t>
        </is>
      </c>
      <c r="E205" s="11">
        <f>IFERROR(TRACKER!G205,"Not Started")</f>
        <v/>
      </c>
      <c r="F205" s="51">
        <f>IFERROR('[DevOps.xlsx]SI-4-11'!B21,"")</f>
        <v/>
      </c>
      <c r="G205" s="51" t="inlineStr"/>
      <c r="H205" s="51" t="inlineStr"/>
      <c r="I205" s="11" t="inlineStr"/>
      <c r="J205" s="12" t="inlineStr"/>
      <c r="K205" s="17" t="inlineStr"/>
      <c r="L205" s="11" t="inlineStr">
        <is>
          <t>Not Started</t>
        </is>
      </c>
    </row>
    <row r="206" ht="42" customHeight="1">
      <c r="A206" s="18" t="n">
        <v>204</v>
      </c>
      <c r="B206" s="52" t="inlineStr">
        <is>
          <t>SI-6</t>
        </is>
      </c>
      <c r="C206" s="18" t="inlineStr">
        <is>
          <t>SI</t>
        </is>
      </c>
      <c r="D206" s="19" t="inlineStr">
        <is>
          <t>DevOps</t>
        </is>
      </c>
      <c r="E206" s="18">
        <f>IFERROR(TRACKER!G206,"Not Started")</f>
        <v/>
      </c>
      <c r="F206" s="53">
        <f>IFERROR('[DevOps.xlsx]SI-6'!B21,"")</f>
        <v/>
      </c>
      <c r="G206" s="53" t="inlineStr"/>
      <c r="H206" s="53" t="inlineStr"/>
      <c r="I206" s="18" t="inlineStr"/>
      <c r="J206" s="19" t="inlineStr"/>
      <c r="K206" s="22" t="inlineStr"/>
      <c r="L206" s="18" t="inlineStr">
        <is>
          <t>Not Started</t>
        </is>
      </c>
    </row>
    <row r="207" ht="42" customHeight="1">
      <c r="A207" s="11" t="n">
        <v>205</v>
      </c>
      <c r="B207" s="50" t="inlineStr">
        <is>
          <t>SI-7(7)</t>
        </is>
      </c>
      <c r="C207" s="11" t="inlineStr">
        <is>
          <t>SI</t>
        </is>
      </c>
      <c r="D207" s="12" t="inlineStr">
        <is>
          <t>DevOps</t>
        </is>
      </c>
      <c r="E207" s="11">
        <f>IFERROR(TRACKER!G207,"Not Started")</f>
        <v/>
      </c>
      <c r="F207" s="51">
        <f>IFERROR('[DevOps.xlsx]SI-7-7'!B21,"")</f>
        <v/>
      </c>
      <c r="G207" s="51" t="inlineStr"/>
      <c r="H207" s="51" t="inlineStr"/>
      <c r="I207" s="11" t="inlineStr"/>
      <c r="J207" s="12" t="inlineStr"/>
      <c r="K207" s="17" t="inlineStr"/>
      <c r="L207" s="11" t="inlineStr">
        <is>
          <t>Not Started</t>
        </is>
      </c>
    </row>
    <row r="208" ht="42" customHeight="1">
      <c r="A208" s="18" t="n">
        <v>206</v>
      </c>
      <c r="B208" s="52" t="inlineStr">
        <is>
          <t>SI-11</t>
        </is>
      </c>
      <c r="C208" s="18" t="inlineStr">
        <is>
          <t>SI</t>
        </is>
      </c>
      <c r="D208" s="19" t="inlineStr">
        <is>
          <t>DevOps</t>
        </is>
      </c>
      <c r="E208" s="18">
        <f>IFERROR(TRACKER!G208,"Not Started")</f>
        <v/>
      </c>
      <c r="F208" s="53">
        <f>IFERROR('[DevOps.xlsx]SI-11'!B21,"")</f>
        <v/>
      </c>
      <c r="G208" s="53" t="inlineStr"/>
      <c r="H208" s="53" t="inlineStr"/>
      <c r="I208" s="18" t="inlineStr"/>
      <c r="J208" s="19" t="inlineStr"/>
      <c r="K208" s="22" t="inlineStr"/>
      <c r="L208" s="18" t="inlineStr">
        <is>
          <t>Not Started</t>
        </is>
      </c>
    </row>
    <row r="209" ht="42" customHeight="1">
      <c r="A209" s="11" t="n">
        <v>207</v>
      </c>
      <c r="B209" s="50" t="inlineStr">
        <is>
          <t>AC-6</t>
        </is>
      </c>
      <c r="C209" s="11" t="inlineStr">
        <is>
          <t>AC</t>
        </is>
      </c>
      <c r="D209" s="12" t="inlineStr">
        <is>
          <t>Developer Tools</t>
        </is>
      </c>
      <c r="E209" s="11">
        <f>IFERROR(TRACKER!G209,"Not Started")</f>
        <v/>
      </c>
      <c r="F209" s="51">
        <f>IFERROR('[Developer_Tools.xlsx]AC-6'!B21,"")</f>
        <v/>
      </c>
      <c r="G209" s="51" t="inlineStr"/>
      <c r="H209" s="51" t="inlineStr"/>
      <c r="I209" s="11" t="inlineStr"/>
      <c r="J209" s="12" t="inlineStr"/>
      <c r="K209" s="17" t="inlineStr"/>
      <c r="L209" s="11" t="inlineStr">
        <is>
          <t>Not Started</t>
        </is>
      </c>
    </row>
    <row r="210" ht="42" customHeight="1">
      <c r="A210" s="18" t="n">
        <v>208</v>
      </c>
      <c r="B210" s="52" t="inlineStr">
        <is>
          <t>AC-6(1)</t>
        </is>
      </c>
      <c r="C210" s="18" t="inlineStr">
        <is>
          <t>AC</t>
        </is>
      </c>
      <c r="D210" s="19" t="inlineStr">
        <is>
          <t>Developer Tools</t>
        </is>
      </c>
      <c r="E210" s="18">
        <f>IFERROR(TRACKER!G210,"Not Started")</f>
        <v/>
      </c>
      <c r="F210" s="53">
        <f>IFERROR('[Developer_Tools.xlsx]AC-6-1'!B21,"")</f>
        <v/>
      </c>
      <c r="G210" s="53" t="inlineStr"/>
      <c r="H210" s="53" t="inlineStr"/>
      <c r="I210" s="18" t="inlineStr"/>
      <c r="J210" s="19" t="inlineStr"/>
      <c r="K210" s="22" t="inlineStr"/>
      <c r="L210" s="18" t="inlineStr">
        <is>
          <t>Not Started</t>
        </is>
      </c>
    </row>
    <row r="211" ht="42" customHeight="1">
      <c r="A211" s="11" t="n">
        <v>209</v>
      </c>
      <c r="B211" s="50" t="inlineStr">
        <is>
          <t>AU-2</t>
        </is>
      </c>
      <c r="C211" s="11" t="inlineStr">
        <is>
          <t>AU</t>
        </is>
      </c>
      <c r="D211" s="12" t="inlineStr">
        <is>
          <t>Developer Tools</t>
        </is>
      </c>
      <c r="E211" s="11">
        <f>IFERROR(TRACKER!G211,"Not Started")</f>
        <v/>
      </c>
      <c r="F211" s="51">
        <f>IFERROR('[Developer_Tools.xlsx]AU-2'!B21,"")</f>
        <v/>
      </c>
      <c r="G211" s="51" t="inlineStr"/>
      <c r="H211" s="51" t="inlineStr"/>
      <c r="I211" s="11" t="inlineStr"/>
      <c r="J211" s="12" t="inlineStr"/>
      <c r="K211" s="17" t="inlineStr"/>
      <c r="L211" s="11" t="inlineStr">
        <is>
          <t>Not Started</t>
        </is>
      </c>
    </row>
    <row r="212" ht="42" customHeight="1">
      <c r="A212" s="18" t="n">
        <v>210</v>
      </c>
      <c r="B212" s="52" t="inlineStr">
        <is>
          <t>AU-3</t>
        </is>
      </c>
      <c r="C212" s="18" t="inlineStr">
        <is>
          <t>AU</t>
        </is>
      </c>
      <c r="D212" s="19" t="inlineStr">
        <is>
          <t>Developer Tools</t>
        </is>
      </c>
      <c r="E212" s="18">
        <f>IFERROR(TRACKER!G212,"Not Started")</f>
        <v/>
      </c>
      <c r="F212" s="53">
        <f>IFERROR('[Developer_Tools.xlsx]AU-3'!B21,"")</f>
        <v/>
      </c>
      <c r="G212" s="53" t="inlineStr"/>
      <c r="H212" s="53" t="inlineStr"/>
      <c r="I212" s="18" t="inlineStr"/>
      <c r="J212" s="19" t="inlineStr"/>
      <c r="K212" s="22" t="inlineStr"/>
      <c r="L212" s="18" t="inlineStr">
        <is>
          <t>Not Started</t>
        </is>
      </c>
    </row>
    <row r="213" ht="42" customHeight="1">
      <c r="A213" s="11" t="n">
        <v>211</v>
      </c>
      <c r="B213" s="50" t="inlineStr">
        <is>
          <t>AU-3(1)</t>
        </is>
      </c>
      <c r="C213" s="11" t="inlineStr">
        <is>
          <t>AU</t>
        </is>
      </c>
      <c r="D213" s="12" t="inlineStr">
        <is>
          <t>Developer Tools</t>
        </is>
      </c>
      <c r="E213" s="11">
        <f>IFERROR(TRACKER!G213,"Not Started")</f>
        <v/>
      </c>
      <c r="F213" s="51">
        <f>IFERROR('[Developer_Tools.xlsx]AU-3-1'!B21,"")</f>
        <v/>
      </c>
      <c r="G213" s="51" t="inlineStr"/>
      <c r="H213" s="51" t="inlineStr"/>
      <c r="I213" s="11" t="inlineStr"/>
      <c r="J213" s="12" t="inlineStr"/>
      <c r="K213" s="17" t="inlineStr"/>
      <c r="L213" s="11" t="inlineStr">
        <is>
          <t>Not Started</t>
        </is>
      </c>
    </row>
    <row r="214" ht="42" customHeight="1">
      <c r="A214" s="18" t="n">
        <v>212</v>
      </c>
      <c r="B214" s="52" t="inlineStr">
        <is>
          <t>AU-9(2)</t>
        </is>
      </c>
      <c r="C214" s="18" t="inlineStr">
        <is>
          <t>AU</t>
        </is>
      </c>
      <c r="D214" s="19" t="inlineStr">
        <is>
          <t>Developer Tools</t>
        </is>
      </c>
      <c r="E214" s="18">
        <f>IFERROR(TRACKER!G214,"Not Started")</f>
        <v/>
      </c>
      <c r="F214" s="53">
        <f>IFERROR('[Developer_Tools.xlsx]AU-9-2'!B21,"")</f>
        <v/>
      </c>
      <c r="G214" s="53" t="inlineStr"/>
      <c r="H214" s="53" t="inlineStr"/>
      <c r="I214" s="18" t="inlineStr"/>
      <c r="J214" s="19" t="inlineStr"/>
      <c r="K214" s="22" t="inlineStr"/>
      <c r="L214" s="18" t="inlineStr">
        <is>
          <t>Not Started</t>
        </is>
      </c>
    </row>
    <row r="215" ht="42" customHeight="1">
      <c r="A215" s="11" t="n">
        <v>213</v>
      </c>
      <c r="B215" s="50" t="inlineStr">
        <is>
          <t>AU-12</t>
        </is>
      </c>
      <c r="C215" s="11" t="inlineStr">
        <is>
          <t>AU</t>
        </is>
      </c>
      <c r="D215" s="12" t="inlineStr">
        <is>
          <t>Developer Tools</t>
        </is>
      </c>
      <c r="E215" s="11">
        <f>IFERROR(TRACKER!G215,"Not Started")</f>
        <v/>
      </c>
      <c r="F215" s="51">
        <f>IFERROR('[Developer_Tools.xlsx]AU-12'!B21,"")</f>
        <v/>
      </c>
      <c r="G215" s="51" t="inlineStr"/>
      <c r="H215" s="51" t="inlineStr"/>
      <c r="I215" s="11" t="inlineStr"/>
      <c r="J215" s="12" t="inlineStr"/>
      <c r="K215" s="17" t="inlineStr"/>
      <c r="L215" s="11" t="inlineStr">
        <is>
          <t>Not Started</t>
        </is>
      </c>
    </row>
    <row r="216" ht="42" customHeight="1">
      <c r="A216" s="18" t="n">
        <v>214</v>
      </c>
      <c r="B216" s="52" t="inlineStr">
        <is>
          <t>CM-5(6)</t>
        </is>
      </c>
      <c r="C216" s="18" t="inlineStr">
        <is>
          <t>CM</t>
        </is>
      </c>
      <c r="D216" s="19" t="inlineStr">
        <is>
          <t>Developer Tools</t>
        </is>
      </c>
      <c r="E216" s="18">
        <f>IFERROR(TRACKER!G216,"Not Started")</f>
        <v/>
      </c>
      <c r="F216" s="53">
        <f>IFERROR('[Developer_Tools.xlsx]CM-5-6'!B21,"")</f>
        <v/>
      </c>
      <c r="G216" s="53" t="inlineStr"/>
      <c r="H216" s="53" t="inlineStr"/>
      <c r="I216" s="18" t="inlineStr"/>
      <c r="J216" s="19" t="inlineStr"/>
      <c r="K216" s="22" t="inlineStr"/>
      <c r="L216" s="18" t="inlineStr">
        <is>
          <t>Not Started</t>
        </is>
      </c>
    </row>
    <row r="217" ht="42" customHeight="1">
      <c r="A217" s="11" t="n">
        <v>215</v>
      </c>
      <c r="B217" s="50" t="inlineStr">
        <is>
          <t>CM-6</t>
        </is>
      </c>
      <c r="C217" s="11" t="inlineStr">
        <is>
          <t>CM</t>
        </is>
      </c>
      <c r="D217" s="12" t="inlineStr">
        <is>
          <t>Developer Tools</t>
        </is>
      </c>
      <c r="E217" s="11">
        <f>IFERROR(TRACKER!G217,"Not Started")</f>
        <v/>
      </c>
      <c r="F217" s="51">
        <f>IFERROR('[Developer_Tools.xlsx]CM-6'!B21,"")</f>
        <v/>
      </c>
      <c r="G217" s="51" t="inlineStr"/>
      <c r="H217" s="51" t="inlineStr"/>
      <c r="I217" s="11" t="inlineStr"/>
      <c r="J217" s="12" t="inlineStr"/>
      <c r="K217" s="17" t="inlineStr"/>
      <c r="L217" s="11" t="inlineStr">
        <is>
          <t>Not Started</t>
        </is>
      </c>
    </row>
    <row r="218" ht="42" customHeight="1">
      <c r="A218" s="18" t="n">
        <v>216</v>
      </c>
      <c r="B218" s="52" t="inlineStr">
        <is>
          <t>CM-7</t>
        </is>
      </c>
      <c r="C218" s="18" t="inlineStr">
        <is>
          <t>CM</t>
        </is>
      </c>
      <c r="D218" s="19" t="inlineStr">
        <is>
          <t>Developer Tools</t>
        </is>
      </c>
      <c r="E218" s="18">
        <f>IFERROR(TRACKER!G218,"Not Started")</f>
        <v/>
      </c>
      <c r="F218" s="53">
        <f>IFERROR('[Developer_Tools.xlsx]CM-7'!B21,"")</f>
        <v/>
      </c>
      <c r="G218" s="53" t="inlineStr"/>
      <c r="H218" s="53" t="inlineStr"/>
      <c r="I218" s="18" t="inlineStr"/>
      <c r="J218" s="19" t="inlineStr"/>
      <c r="K218" s="22" t="inlineStr"/>
      <c r="L218" s="18" t="inlineStr">
        <is>
          <t>Not Started</t>
        </is>
      </c>
    </row>
    <row r="219" ht="42" customHeight="1">
      <c r="A219" s="11" t="n">
        <v>217</v>
      </c>
      <c r="B219" s="50" t="inlineStr">
        <is>
          <t>CM-7(1)</t>
        </is>
      </c>
      <c r="C219" s="11" t="inlineStr">
        <is>
          <t>CM</t>
        </is>
      </c>
      <c r="D219" s="12" t="inlineStr">
        <is>
          <t>Developer Tools</t>
        </is>
      </c>
      <c r="E219" s="11">
        <f>IFERROR(TRACKER!G219,"Not Started")</f>
        <v/>
      </c>
      <c r="F219" s="51">
        <f>IFERROR('[Developer_Tools.xlsx]CM-7-1'!B21,"")</f>
        <v/>
      </c>
      <c r="G219" s="51" t="inlineStr"/>
      <c r="H219" s="51" t="inlineStr"/>
      <c r="I219" s="11" t="inlineStr"/>
      <c r="J219" s="12" t="inlineStr"/>
      <c r="K219" s="17" t="inlineStr"/>
      <c r="L219" s="11" t="inlineStr">
        <is>
          <t>Not Started</t>
        </is>
      </c>
    </row>
    <row r="220" ht="42" customHeight="1">
      <c r="A220" s="18" t="n">
        <v>218</v>
      </c>
      <c r="B220" s="52" t="inlineStr">
        <is>
          <t>CP-10</t>
        </is>
      </c>
      <c r="C220" s="18" t="inlineStr">
        <is>
          <t>CP</t>
        </is>
      </c>
      <c r="D220" s="19" t="inlineStr">
        <is>
          <t>Developer Tools</t>
        </is>
      </c>
      <c r="E220" s="18">
        <f>IFERROR(TRACKER!G220,"Not Started")</f>
        <v/>
      </c>
      <c r="F220" s="53">
        <f>IFERROR('[Developer_Tools.xlsx]CP-10'!B21,"")</f>
        <v/>
      </c>
      <c r="G220" s="53" t="inlineStr"/>
      <c r="H220" s="53" t="inlineStr"/>
      <c r="I220" s="18" t="inlineStr"/>
      <c r="J220" s="19" t="inlineStr"/>
      <c r="K220" s="22" t="inlineStr"/>
      <c r="L220" s="18" t="inlineStr">
        <is>
          <t>Not Started</t>
        </is>
      </c>
    </row>
    <row r="221" ht="42" customHeight="1">
      <c r="A221" s="11" t="n">
        <v>219</v>
      </c>
      <c r="B221" s="50" t="inlineStr">
        <is>
          <t>CP-10(4)</t>
        </is>
      </c>
      <c r="C221" s="11" t="inlineStr">
        <is>
          <t>CP</t>
        </is>
      </c>
      <c r="D221" s="12" t="inlineStr">
        <is>
          <t>Developer Tools</t>
        </is>
      </c>
      <c r="E221" s="11">
        <f>IFERROR(TRACKER!G221,"Not Started")</f>
        <v/>
      </c>
      <c r="F221" s="51">
        <f>IFERROR('[Developer_Tools.xlsx]CP-10-4'!B21,"")</f>
        <v/>
      </c>
      <c r="G221" s="51" t="inlineStr"/>
      <c r="H221" s="51" t="inlineStr"/>
      <c r="I221" s="11" t="inlineStr"/>
      <c r="J221" s="12" t="inlineStr"/>
      <c r="K221" s="17" t="inlineStr"/>
      <c r="L221" s="11" t="inlineStr">
        <is>
          <t>Not Started</t>
        </is>
      </c>
    </row>
    <row r="222" ht="42" customHeight="1">
      <c r="A222" s="18" t="n">
        <v>220</v>
      </c>
      <c r="B222" s="52" t="inlineStr">
        <is>
          <t>IA-5(7)</t>
        </is>
      </c>
      <c r="C222" s="18" t="inlineStr">
        <is>
          <t>IA</t>
        </is>
      </c>
      <c r="D222" s="19" t="inlineStr">
        <is>
          <t>Developer Tools</t>
        </is>
      </c>
      <c r="E222" s="18">
        <f>IFERROR(TRACKER!G222,"Not Started")</f>
        <v/>
      </c>
      <c r="F222" s="53">
        <f>IFERROR('[Developer_Tools.xlsx]IA-5-7'!B21,"")</f>
        <v/>
      </c>
      <c r="G222" s="53" t="inlineStr"/>
      <c r="H222" s="53" t="inlineStr"/>
      <c r="I222" s="18" t="inlineStr"/>
      <c r="J222" s="19" t="inlineStr"/>
      <c r="K222" s="22" t="inlineStr"/>
      <c r="L222" s="18" t="inlineStr">
        <is>
          <t>Not Started</t>
        </is>
      </c>
    </row>
    <row r="223" ht="42" customHeight="1">
      <c r="A223" s="11" t="n">
        <v>221</v>
      </c>
      <c r="B223" s="50" t="inlineStr">
        <is>
          <t>SA-9(5)</t>
        </is>
      </c>
      <c r="C223" s="11" t="inlineStr">
        <is>
          <t>SA</t>
        </is>
      </c>
      <c r="D223" s="12" t="inlineStr">
        <is>
          <t>Developer Tools</t>
        </is>
      </c>
      <c r="E223" s="11">
        <f>IFERROR(TRACKER!G223,"Not Started")</f>
        <v/>
      </c>
      <c r="F223" s="51">
        <f>IFERROR('[Developer_Tools.xlsx]SA-9-5'!B21,"")</f>
        <v/>
      </c>
      <c r="G223" s="51" t="inlineStr"/>
      <c r="H223" s="51" t="inlineStr"/>
      <c r="I223" s="11" t="inlineStr"/>
      <c r="J223" s="12" t="inlineStr"/>
      <c r="K223" s="17" t="inlineStr"/>
      <c r="L223" s="11" t="inlineStr">
        <is>
          <t>Not Started</t>
        </is>
      </c>
    </row>
    <row r="224" ht="42" customHeight="1">
      <c r="A224" s="18" t="n">
        <v>222</v>
      </c>
      <c r="B224" s="52" t="inlineStr">
        <is>
          <t>SA-11(1)</t>
        </is>
      </c>
      <c r="C224" s="18" t="inlineStr">
        <is>
          <t>SA</t>
        </is>
      </c>
      <c r="D224" s="19" t="inlineStr">
        <is>
          <t>Developer Tools</t>
        </is>
      </c>
      <c r="E224" s="18">
        <f>IFERROR(TRACKER!G224,"Not Started")</f>
        <v/>
      </c>
      <c r="F224" s="53">
        <f>IFERROR('[Developer_Tools.xlsx]SA-11-1'!B21,"")</f>
        <v/>
      </c>
      <c r="G224" s="53" t="inlineStr"/>
      <c r="H224" s="53" t="inlineStr"/>
      <c r="I224" s="18" t="inlineStr"/>
      <c r="J224" s="19" t="inlineStr"/>
      <c r="K224" s="22" t="inlineStr"/>
      <c r="L224" s="18" t="inlineStr">
        <is>
          <t>Not Started</t>
        </is>
      </c>
    </row>
    <row r="225" ht="42" customHeight="1">
      <c r="A225" s="11" t="n">
        <v>223</v>
      </c>
      <c r="B225" s="50" t="inlineStr">
        <is>
          <t>SA-11(8)</t>
        </is>
      </c>
      <c r="C225" s="11" t="inlineStr">
        <is>
          <t>SA</t>
        </is>
      </c>
      <c r="D225" s="12" t="inlineStr">
        <is>
          <t>Developer Tools</t>
        </is>
      </c>
      <c r="E225" s="11">
        <f>IFERROR(TRACKER!G225,"Not Started")</f>
        <v/>
      </c>
      <c r="F225" s="51">
        <f>IFERROR('[Developer_Tools.xlsx]SA-11-8'!B21,"")</f>
        <v/>
      </c>
      <c r="G225" s="51" t="inlineStr"/>
      <c r="H225" s="51" t="inlineStr"/>
      <c r="I225" s="11" t="inlineStr"/>
      <c r="J225" s="12" t="inlineStr"/>
      <c r="K225" s="17" t="inlineStr"/>
      <c r="L225" s="11" t="inlineStr">
        <is>
          <t>Not Started</t>
        </is>
      </c>
    </row>
    <row r="226" ht="42" customHeight="1">
      <c r="A226" s="18" t="n">
        <v>224</v>
      </c>
      <c r="B226" s="52" t="inlineStr">
        <is>
          <t>SI-4(2)</t>
        </is>
      </c>
      <c r="C226" s="18" t="inlineStr">
        <is>
          <t>SI</t>
        </is>
      </c>
      <c r="D226" s="19" t="inlineStr">
        <is>
          <t>Developer Tools</t>
        </is>
      </c>
      <c r="E226" s="18">
        <f>IFERROR(TRACKER!G226,"Not Started")</f>
        <v/>
      </c>
      <c r="F226" s="53">
        <f>IFERROR('[Developer_Tools.xlsx]SI-4-2'!B21,"")</f>
        <v/>
      </c>
      <c r="G226" s="53" t="inlineStr"/>
      <c r="H226" s="53" t="inlineStr"/>
      <c r="I226" s="18" t="inlineStr"/>
      <c r="J226" s="19" t="inlineStr"/>
      <c r="K226" s="22" t="inlineStr"/>
      <c r="L226" s="18" t="inlineStr">
        <is>
          <t>Not Started</t>
        </is>
      </c>
    </row>
    <row r="227" ht="42" customHeight="1">
      <c r="A227" s="11" t="n">
        <v>225</v>
      </c>
      <c r="B227" s="50" t="inlineStr">
        <is>
          <t>SI-6</t>
        </is>
      </c>
      <c r="C227" s="11" t="inlineStr">
        <is>
          <t>SI</t>
        </is>
      </c>
      <c r="D227" s="12" t="inlineStr">
        <is>
          <t>Developer Tools</t>
        </is>
      </c>
      <c r="E227" s="11">
        <f>IFERROR(TRACKER!G227,"Not Started")</f>
        <v/>
      </c>
      <c r="F227" s="51">
        <f>IFERROR('[Developer_Tools.xlsx]SI-6'!B21,"")</f>
        <v/>
      </c>
      <c r="G227" s="51" t="inlineStr"/>
      <c r="H227" s="51" t="inlineStr"/>
      <c r="I227" s="11" t="inlineStr"/>
      <c r="J227" s="12" t="inlineStr"/>
      <c r="K227" s="17" t="inlineStr"/>
      <c r="L227" s="11" t="inlineStr">
        <is>
          <t>Not Started</t>
        </is>
      </c>
    </row>
    <row r="228" ht="42" customHeight="1">
      <c r="A228" s="18" t="n">
        <v>226</v>
      </c>
      <c r="B228" s="52" t="inlineStr">
        <is>
          <t>AC-1</t>
        </is>
      </c>
      <c r="C228" s="18" t="inlineStr">
        <is>
          <t>AC</t>
        </is>
      </c>
      <c r="D228" s="19" t="inlineStr">
        <is>
          <t>Documentation</t>
        </is>
      </c>
      <c r="E228" s="18">
        <f>IFERROR(TRACKER!G228,"Not Started")</f>
        <v/>
      </c>
      <c r="F228" s="53">
        <f>IFERROR('[Documentation.xlsx]AC-1'!B21,"")</f>
        <v/>
      </c>
      <c r="G228" s="53" t="inlineStr"/>
      <c r="H228" s="53" t="inlineStr"/>
      <c r="I228" s="18" t="inlineStr"/>
      <c r="J228" s="19" t="inlineStr"/>
      <c r="K228" s="22" t="inlineStr"/>
      <c r="L228" s="18" t="inlineStr">
        <is>
          <t>Not Started</t>
        </is>
      </c>
    </row>
    <row r="229" ht="42" customHeight="1">
      <c r="A229" s="11" t="n">
        <v>227</v>
      </c>
      <c r="B229" s="50" t="inlineStr">
        <is>
          <t>AC-2</t>
        </is>
      </c>
      <c r="C229" s="11" t="inlineStr">
        <is>
          <t>AC</t>
        </is>
      </c>
      <c r="D229" s="12" t="inlineStr">
        <is>
          <t>Documentation</t>
        </is>
      </c>
      <c r="E229" s="11">
        <f>IFERROR(TRACKER!G229,"Not Started")</f>
        <v/>
      </c>
      <c r="F229" s="51">
        <f>IFERROR('[Documentation.xlsx]AC-2'!B21,"")</f>
        <v/>
      </c>
      <c r="G229" s="51" t="inlineStr"/>
      <c r="H229" s="51" t="inlineStr"/>
      <c r="I229" s="11" t="inlineStr"/>
      <c r="J229" s="12" t="inlineStr"/>
      <c r="K229" s="17" t="inlineStr"/>
      <c r="L229" s="11" t="inlineStr">
        <is>
          <t>Not Started</t>
        </is>
      </c>
    </row>
    <row r="230" ht="42" customHeight="1">
      <c r="A230" s="18" t="n">
        <v>228</v>
      </c>
      <c r="B230" s="52" t="inlineStr">
        <is>
          <t>AC-2(5)</t>
        </is>
      </c>
      <c r="C230" s="18" t="inlineStr">
        <is>
          <t>AC</t>
        </is>
      </c>
      <c r="D230" s="19" t="inlineStr">
        <is>
          <t>Documentation</t>
        </is>
      </c>
      <c r="E230" s="18">
        <f>IFERROR(TRACKER!G230,"Not Started")</f>
        <v/>
      </c>
      <c r="F230" s="53">
        <f>IFERROR('[Documentation.xlsx]AC-2-5'!B21,"")</f>
        <v/>
      </c>
      <c r="G230" s="53" t="inlineStr"/>
      <c r="H230" s="53" t="inlineStr"/>
      <c r="I230" s="18" t="inlineStr"/>
      <c r="J230" s="19" t="inlineStr"/>
      <c r="K230" s="22" t="inlineStr"/>
      <c r="L230" s="18" t="inlineStr">
        <is>
          <t>Not Started</t>
        </is>
      </c>
    </row>
    <row r="231" ht="42" customHeight="1">
      <c r="A231" s="11" t="n">
        <v>229</v>
      </c>
      <c r="B231" s="50" t="inlineStr">
        <is>
          <t>AC-2(7)</t>
        </is>
      </c>
      <c r="C231" s="11" t="inlineStr">
        <is>
          <t>AC</t>
        </is>
      </c>
      <c r="D231" s="12" t="inlineStr">
        <is>
          <t>Documentation</t>
        </is>
      </c>
      <c r="E231" s="11">
        <f>IFERROR(TRACKER!G231,"Not Started")</f>
        <v/>
      </c>
      <c r="F231" s="51">
        <f>IFERROR('[Documentation.xlsx]AC-2-7'!B21,"")</f>
        <v/>
      </c>
      <c r="G231" s="51" t="inlineStr"/>
      <c r="H231" s="51" t="inlineStr"/>
      <c r="I231" s="11" t="inlineStr"/>
      <c r="J231" s="12" t="inlineStr"/>
      <c r="K231" s="17" t="inlineStr"/>
      <c r="L231" s="11" t="inlineStr">
        <is>
          <t>Not Started</t>
        </is>
      </c>
    </row>
    <row r="232" ht="42" customHeight="1">
      <c r="A232" s="18" t="n">
        <v>230</v>
      </c>
      <c r="B232" s="52" t="inlineStr">
        <is>
          <t>AC-2(9)</t>
        </is>
      </c>
      <c r="C232" s="18" t="inlineStr">
        <is>
          <t>AC</t>
        </is>
      </c>
      <c r="D232" s="19" t="inlineStr">
        <is>
          <t>Documentation</t>
        </is>
      </c>
      <c r="E232" s="18">
        <f>IFERROR(TRACKER!G232,"Not Started")</f>
        <v/>
      </c>
      <c r="F232" s="53">
        <f>IFERROR('[Documentation.xlsx]AC-2-9'!B21,"")</f>
        <v/>
      </c>
      <c r="G232" s="53" t="inlineStr"/>
      <c r="H232" s="53" t="inlineStr"/>
      <c r="I232" s="18" t="inlineStr"/>
      <c r="J232" s="19" t="inlineStr"/>
      <c r="K232" s="22" t="inlineStr"/>
      <c r="L232" s="18" t="inlineStr">
        <is>
          <t>Not Started</t>
        </is>
      </c>
    </row>
    <row r="233" ht="42" customHeight="1">
      <c r="A233" s="11" t="n">
        <v>231</v>
      </c>
      <c r="B233" s="50" t="inlineStr">
        <is>
          <t>AC-2(10)</t>
        </is>
      </c>
      <c r="C233" s="11" t="inlineStr">
        <is>
          <t>AC</t>
        </is>
      </c>
      <c r="D233" s="12" t="inlineStr">
        <is>
          <t>Documentation</t>
        </is>
      </c>
      <c r="E233" s="11">
        <f>IFERROR(TRACKER!G233,"Not Started")</f>
        <v/>
      </c>
      <c r="F233" s="51">
        <f>IFERROR('[Documentation.xlsx]AC-2-10'!B21,"")</f>
        <v/>
      </c>
      <c r="G233" s="51" t="inlineStr"/>
      <c r="H233" s="51" t="inlineStr"/>
      <c r="I233" s="11" t="inlineStr"/>
      <c r="J233" s="12" t="inlineStr"/>
      <c r="K233" s="17" t="inlineStr"/>
      <c r="L233" s="11" t="inlineStr">
        <is>
          <t>Not Started</t>
        </is>
      </c>
    </row>
    <row r="234" ht="42" customHeight="1">
      <c r="A234" s="18" t="n">
        <v>232</v>
      </c>
      <c r="B234" s="52" t="inlineStr">
        <is>
          <t>AC-5</t>
        </is>
      </c>
      <c r="C234" s="18" t="inlineStr">
        <is>
          <t>AC</t>
        </is>
      </c>
      <c r="D234" s="19" t="inlineStr">
        <is>
          <t>Documentation</t>
        </is>
      </c>
      <c r="E234" s="18">
        <f>IFERROR(TRACKER!G234,"Not Started")</f>
        <v/>
      </c>
      <c r="F234" s="53">
        <f>IFERROR('[Documentation.xlsx]AC-5'!B21,"")</f>
        <v/>
      </c>
      <c r="G234" s="53" t="inlineStr"/>
      <c r="H234" s="53" t="inlineStr"/>
      <c r="I234" s="18" t="inlineStr"/>
      <c r="J234" s="19" t="inlineStr"/>
      <c r="K234" s="22" t="inlineStr"/>
      <c r="L234" s="18" t="inlineStr">
        <is>
          <t>Not Started</t>
        </is>
      </c>
    </row>
    <row r="235" ht="42" customHeight="1">
      <c r="A235" s="11" t="n">
        <v>233</v>
      </c>
      <c r="B235" s="50" t="inlineStr">
        <is>
          <t>AC-6(2)</t>
        </is>
      </c>
      <c r="C235" s="11" t="inlineStr">
        <is>
          <t>AC</t>
        </is>
      </c>
      <c r="D235" s="12" t="inlineStr">
        <is>
          <t>Documentation</t>
        </is>
      </c>
      <c r="E235" s="11">
        <f>IFERROR(TRACKER!G235,"Not Started")</f>
        <v/>
      </c>
      <c r="F235" s="51">
        <f>IFERROR('[Documentation.xlsx]AC-6-2'!B21,"")</f>
        <v/>
      </c>
      <c r="G235" s="51" t="inlineStr"/>
      <c r="H235" s="51" t="inlineStr"/>
      <c r="I235" s="11" t="inlineStr"/>
      <c r="J235" s="12" t="inlineStr"/>
      <c r="K235" s="17" t="inlineStr"/>
      <c r="L235" s="11" t="inlineStr">
        <is>
          <t>Not Started</t>
        </is>
      </c>
    </row>
    <row r="236" ht="42" customHeight="1">
      <c r="A236" s="18" t="n">
        <v>234</v>
      </c>
      <c r="B236" s="52" t="inlineStr">
        <is>
          <t>AC-6(5)</t>
        </is>
      </c>
      <c r="C236" s="18" t="inlineStr">
        <is>
          <t>AC</t>
        </is>
      </c>
      <c r="D236" s="19" t="inlineStr">
        <is>
          <t>Documentation</t>
        </is>
      </c>
      <c r="E236" s="18">
        <f>IFERROR(TRACKER!G236,"Not Started")</f>
        <v/>
      </c>
      <c r="F236" s="53">
        <f>IFERROR('[Documentation.xlsx]AC-6-5'!B21,"")</f>
        <v/>
      </c>
      <c r="G236" s="53" t="inlineStr"/>
      <c r="H236" s="53" t="inlineStr"/>
      <c r="I236" s="18" t="inlineStr"/>
      <c r="J236" s="19" t="inlineStr"/>
      <c r="K236" s="22" t="inlineStr"/>
      <c r="L236" s="18" t="inlineStr">
        <is>
          <t>Not Started</t>
        </is>
      </c>
    </row>
    <row r="237" ht="42" customHeight="1">
      <c r="A237" s="11" t="n">
        <v>235</v>
      </c>
      <c r="B237" s="50" t="inlineStr">
        <is>
          <t>AC-14</t>
        </is>
      </c>
      <c r="C237" s="11" t="inlineStr">
        <is>
          <t>AC</t>
        </is>
      </c>
      <c r="D237" s="12" t="inlineStr">
        <is>
          <t>Documentation</t>
        </is>
      </c>
      <c r="E237" s="11">
        <f>IFERROR(TRACKER!G237,"Not Started")</f>
        <v/>
      </c>
      <c r="F237" s="51">
        <f>IFERROR('[Documentation.xlsx]AC-14'!B21,"")</f>
        <v/>
      </c>
      <c r="G237" s="51" t="inlineStr"/>
      <c r="H237" s="51" t="inlineStr"/>
      <c r="I237" s="11" t="inlineStr"/>
      <c r="J237" s="12" t="inlineStr"/>
      <c r="K237" s="17" t="inlineStr"/>
      <c r="L237" s="11" t="inlineStr">
        <is>
          <t>Not Started</t>
        </is>
      </c>
    </row>
    <row r="238" ht="42" customHeight="1">
      <c r="A238" s="18" t="n">
        <v>236</v>
      </c>
      <c r="B238" s="52" t="inlineStr">
        <is>
          <t>AC-17</t>
        </is>
      </c>
      <c r="C238" s="18" t="inlineStr">
        <is>
          <t>AC</t>
        </is>
      </c>
      <c r="D238" s="19" t="inlineStr">
        <is>
          <t>Documentation</t>
        </is>
      </c>
      <c r="E238" s="18">
        <f>IFERROR(TRACKER!G238,"Not Started")</f>
        <v/>
      </c>
      <c r="F238" s="53">
        <f>IFERROR('[Documentation.xlsx]AC-17'!B21,"")</f>
        <v/>
      </c>
      <c r="G238" s="53" t="inlineStr"/>
      <c r="H238" s="53" t="inlineStr"/>
      <c r="I238" s="18" t="inlineStr"/>
      <c r="J238" s="19" t="inlineStr"/>
      <c r="K238" s="22" t="inlineStr"/>
      <c r="L238" s="18" t="inlineStr">
        <is>
          <t>Not Started</t>
        </is>
      </c>
    </row>
    <row r="239" ht="42" customHeight="1">
      <c r="A239" s="11" t="n">
        <v>237</v>
      </c>
      <c r="B239" s="50" t="inlineStr">
        <is>
          <t>AC-17(4)</t>
        </is>
      </c>
      <c r="C239" s="11" t="inlineStr">
        <is>
          <t>AC</t>
        </is>
      </c>
      <c r="D239" s="12" t="inlineStr">
        <is>
          <t>Documentation</t>
        </is>
      </c>
      <c r="E239" s="11">
        <f>IFERROR(TRACKER!G239,"Not Started")</f>
        <v/>
      </c>
      <c r="F239" s="51">
        <f>IFERROR('[Documentation.xlsx]AC-17-4'!B21,"")</f>
        <v/>
      </c>
      <c r="G239" s="51" t="inlineStr"/>
      <c r="H239" s="51" t="inlineStr"/>
      <c r="I239" s="11" t="inlineStr"/>
      <c r="J239" s="12" t="inlineStr"/>
      <c r="K239" s="17" t="inlineStr"/>
      <c r="L239" s="11" t="inlineStr">
        <is>
          <t>Not Started</t>
        </is>
      </c>
    </row>
    <row r="240" ht="42" customHeight="1">
      <c r="A240" s="18" t="n">
        <v>238</v>
      </c>
      <c r="B240" s="52" t="inlineStr">
        <is>
          <t>AC-20</t>
        </is>
      </c>
      <c r="C240" s="18" t="inlineStr">
        <is>
          <t>AC</t>
        </is>
      </c>
      <c r="D240" s="19" t="inlineStr">
        <is>
          <t>Documentation</t>
        </is>
      </c>
      <c r="E240" s="18">
        <f>IFERROR(TRACKER!G240,"Not Started")</f>
        <v/>
      </c>
      <c r="F240" s="53">
        <f>IFERROR('[Documentation.xlsx]AC-20'!B21,"")</f>
        <v/>
      </c>
      <c r="G240" s="53" t="inlineStr"/>
      <c r="H240" s="53" t="inlineStr"/>
      <c r="I240" s="18" t="inlineStr"/>
      <c r="J240" s="19" t="inlineStr"/>
      <c r="K240" s="22" t="inlineStr"/>
      <c r="L240" s="18" t="inlineStr">
        <is>
          <t>Not Started</t>
        </is>
      </c>
    </row>
    <row r="241" ht="42" customHeight="1">
      <c r="A241" s="11" t="n">
        <v>239</v>
      </c>
      <c r="B241" s="50" t="inlineStr">
        <is>
          <t>AC-20(1)</t>
        </is>
      </c>
      <c r="C241" s="11" t="inlineStr">
        <is>
          <t>AC</t>
        </is>
      </c>
      <c r="D241" s="12" t="inlineStr">
        <is>
          <t>Documentation</t>
        </is>
      </c>
      <c r="E241" s="11">
        <f>IFERROR(TRACKER!G241,"Not Started")</f>
        <v/>
      </c>
      <c r="F241" s="51">
        <f>IFERROR('[Documentation.xlsx]AC-20-1'!B21,"")</f>
        <v/>
      </c>
      <c r="G241" s="51" t="inlineStr"/>
      <c r="H241" s="51" t="inlineStr"/>
      <c r="I241" s="11" t="inlineStr"/>
      <c r="J241" s="12" t="inlineStr"/>
      <c r="K241" s="17" t="inlineStr"/>
      <c r="L241" s="11" t="inlineStr">
        <is>
          <t>Not Started</t>
        </is>
      </c>
    </row>
    <row r="242" ht="42" customHeight="1">
      <c r="A242" s="18" t="n">
        <v>240</v>
      </c>
      <c r="B242" s="52" t="inlineStr">
        <is>
          <t>AC-20(2)</t>
        </is>
      </c>
      <c r="C242" s="18" t="inlineStr">
        <is>
          <t>AC</t>
        </is>
      </c>
      <c r="D242" s="19" t="inlineStr">
        <is>
          <t>Documentation</t>
        </is>
      </c>
      <c r="E242" s="18">
        <f>IFERROR(TRACKER!G242,"Not Started")</f>
        <v/>
      </c>
      <c r="F242" s="53">
        <f>IFERROR('[Documentation.xlsx]AC-20-2'!B21,"")</f>
        <v/>
      </c>
      <c r="G242" s="53" t="inlineStr"/>
      <c r="H242" s="53" t="inlineStr"/>
      <c r="I242" s="18" t="inlineStr"/>
      <c r="J242" s="19" t="inlineStr"/>
      <c r="K242" s="22" t="inlineStr"/>
      <c r="L242" s="18" t="inlineStr">
        <is>
          <t>Not Started</t>
        </is>
      </c>
    </row>
    <row r="243" ht="42" customHeight="1">
      <c r="A243" s="11" t="n">
        <v>241</v>
      </c>
      <c r="B243" s="50" t="inlineStr">
        <is>
          <t>AC-21</t>
        </is>
      </c>
      <c r="C243" s="11" t="inlineStr">
        <is>
          <t>AC</t>
        </is>
      </c>
      <c r="D243" s="12" t="inlineStr">
        <is>
          <t>Documentation</t>
        </is>
      </c>
      <c r="E243" s="11">
        <f>IFERROR(TRACKER!G243,"Not Started")</f>
        <v/>
      </c>
      <c r="F243" s="51">
        <f>IFERROR('[Documentation.xlsx]AC-21'!B21,"")</f>
        <v/>
      </c>
      <c r="G243" s="51" t="inlineStr"/>
      <c r="H243" s="51" t="inlineStr"/>
      <c r="I243" s="11" t="inlineStr"/>
      <c r="J243" s="12" t="inlineStr"/>
      <c r="K243" s="17" t="inlineStr"/>
      <c r="L243" s="11" t="inlineStr">
        <is>
          <t>Not Started</t>
        </is>
      </c>
    </row>
    <row r="244" ht="42" customHeight="1">
      <c r="A244" s="18" t="n">
        <v>242</v>
      </c>
      <c r="B244" s="52" t="inlineStr">
        <is>
          <t>AC-22</t>
        </is>
      </c>
      <c r="C244" s="18" t="inlineStr">
        <is>
          <t>AC</t>
        </is>
      </c>
      <c r="D244" s="19" t="inlineStr">
        <is>
          <t>Documentation</t>
        </is>
      </c>
      <c r="E244" s="18">
        <f>IFERROR(TRACKER!G244,"Not Started")</f>
        <v/>
      </c>
      <c r="F244" s="53">
        <f>IFERROR('[Documentation.xlsx]AC-22'!B21,"")</f>
        <v/>
      </c>
      <c r="G244" s="53" t="inlineStr"/>
      <c r="H244" s="53" t="inlineStr"/>
      <c r="I244" s="18" t="inlineStr"/>
      <c r="J244" s="19" t="inlineStr"/>
      <c r="K244" s="22" t="inlineStr"/>
      <c r="L244" s="18" t="inlineStr">
        <is>
          <t>Not Started</t>
        </is>
      </c>
    </row>
    <row r="245" ht="42" customHeight="1">
      <c r="A245" s="11" t="n">
        <v>243</v>
      </c>
      <c r="B245" s="50" t="inlineStr">
        <is>
          <t>AT-1</t>
        </is>
      </c>
      <c r="C245" s="11" t="inlineStr">
        <is>
          <t>AT</t>
        </is>
      </c>
      <c r="D245" s="12" t="inlineStr">
        <is>
          <t>Documentation</t>
        </is>
      </c>
      <c r="E245" s="11">
        <f>IFERROR(TRACKER!G245,"Not Started")</f>
        <v/>
      </c>
      <c r="F245" s="51">
        <f>IFERROR('[Documentation.xlsx]AT-1'!B21,"")</f>
        <v/>
      </c>
      <c r="G245" s="51" t="inlineStr"/>
      <c r="H245" s="51" t="inlineStr"/>
      <c r="I245" s="11" t="inlineStr"/>
      <c r="J245" s="12" t="inlineStr"/>
      <c r="K245" s="17" t="inlineStr"/>
      <c r="L245" s="11" t="inlineStr">
        <is>
          <t>Not Started</t>
        </is>
      </c>
    </row>
    <row r="246" ht="42" customHeight="1">
      <c r="A246" s="18" t="n">
        <v>244</v>
      </c>
      <c r="B246" s="52" t="inlineStr">
        <is>
          <t>AT-2</t>
        </is>
      </c>
      <c r="C246" s="18" t="inlineStr">
        <is>
          <t>AT</t>
        </is>
      </c>
      <c r="D246" s="19" t="inlineStr">
        <is>
          <t>Documentation</t>
        </is>
      </c>
      <c r="E246" s="18">
        <f>IFERROR(TRACKER!G246,"Not Started")</f>
        <v/>
      </c>
      <c r="F246" s="53">
        <f>IFERROR('[Documentation.xlsx]AT-2'!B21,"")</f>
        <v/>
      </c>
      <c r="G246" s="53" t="inlineStr"/>
      <c r="H246" s="53" t="inlineStr"/>
      <c r="I246" s="18" t="inlineStr"/>
      <c r="J246" s="19" t="inlineStr"/>
      <c r="K246" s="22" t="inlineStr"/>
      <c r="L246" s="18" t="inlineStr">
        <is>
          <t>Not Started</t>
        </is>
      </c>
    </row>
    <row r="247" ht="42" customHeight="1">
      <c r="A247" s="11" t="n">
        <v>245</v>
      </c>
      <c r="B247" s="50" t="inlineStr">
        <is>
          <t>AT-2(2)</t>
        </is>
      </c>
      <c r="C247" s="11" t="inlineStr">
        <is>
          <t>AT</t>
        </is>
      </c>
      <c r="D247" s="12" t="inlineStr">
        <is>
          <t>Documentation</t>
        </is>
      </c>
      <c r="E247" s="11">
        <f>IFERROR(TRACKER!G247,"Not Started")</f>
        <v/>
      </c>
      <c r="F247" s="51">
        <f>IFERROR('[Documentation.xlsx]AT-2-2'!B21,"")</f>
        <v/>
      </c>
      <c r="G247" s="51" t="inlineStr"/>
      <c r="H247" s="51" t="inlineStr"/>
      <c r="I247" s="11" t="inlineStr"/>
      <c r="J247" s="12" t="inlineStr"/>
      <c r="K247" s="17" t="inlineStr"/>
      <c r="L247" s="11" t="inlineStr">
        <is>
          <t>Not Started</t>
        </is>
      </c>
    </row>
    <row r="248" ht="42" customHeight="1">
      <c r="A248" s="18" t="n">
        <v>246</v>
      </c>
      <c r="B248" s="52" t="inlineStr">
        <is>
          <t>AT-3</t>
        </is>
      </c>
      <c r="C248" s="18" t="inlineStr">
        <is>
          <t>AT</t>
        </is>
      </c>
      <c r="D248" s="19" t="inlineStr">
        <is>
          <t>Documentation</t>
        </is>
      </c>
      <c r="E248" s="18">
        <f>IFERROR(TRACKER!G248,"Not Started")</f>
        <v/>
      </c>
      <c r="F248" s="53">
        <f>IFERROR('[Documentation.xlsx]AT-3'!B21,"")</f>
        <v/>
      </c>
      <c r="G248" s="53" t="inlineStr"/>
      <c r="H248" s="53" t="inlineStr"/>
      <c r="I248" s="18" t="inlineStr"/>
      <c r="J248" s="19" t="inlineStr"/>
      <c r="K248" s="22" t="inlineStr"/>
      <c r="L248" s="18" t="inlineStr">
        <is>
          <t>Not Started</t>
        </is>
      </c>
    </row>
    <row r="249" ht="42" customHeight="1">
      <c r="A249" s="11" t="n">
        <v>247</v>
      </c>
      <c r="B249" s="50" t="inlineStr">
        <is>
          <t>AT-4</t>
        </is>
      </c>
      <c r="C249" s="11" t="inlineStr">
        <is>
          <t>AT</t>
        </is>
      </c>
      <c r="D249" s="12" t="inlineStr">
        <is>
          <t>Documentation</t>
        </is>
      </c>
      <c r="E249" s="11">
        <f>IFERROR(TRACKER!G249,"Not Started")</f>
        <v/>
      </c>
      <c r="F249" s="51">
        <f>IFERROR('[Documentation.xlsx]AT-4'!B21,"")</f>
        <v/>
      </c>
      <c r="G249" s="51" t="inlineStr"/>
      <c r="H249" s="51" t="inlineStr"/>
      <c r="I249" s="11" t="inlineStr"/>
      <c r="J249" s="12" t="inlineStr"/>
      <c r="K249" s="17" t="inlineStr"/>
      <c r="L249" s="11" t="inlineStr">
        <is>
          <t>Not Started</t>
        </is>
      </c>
    </row>
    <row r="250" ht="42" customHeight="1">
      <c r="A250" s="18" t="n">
        <v>248</v>
      </c>
      <c r="B250" s="52" t="inlineStr">
        <is>
          <t>AU-1</t>
        </is>
      </c>
      <c r="C250" s="18" t="inlineStr">
        <is>
          <t>AU</t>
        </is>
      </c>
      <c r="D250" s="19" t="inlineStr">
        <is>
          <t>Documentation</t>
        </is>
      </c>
      <c r="E250" s="18">
        <f>IFERROR(TRACKER!G250,"Not Started")</f>
        <v/>
      </c>
      <c r="F250" s="53">
        <f>IFERROR('[Documentation.xlsx]AU-1'!B21,"")</f>
        <v/>
      </c>
      <c r="G250" s="53" t="inlineStr"/>
      <c r="H250" s="53" t="inlineStr"/>
      <c r="I250" s="18" t="inlineStr"/>
      <c r="J250" s="19" t="inlineStr"/>
      <c r="K250" s="22" t="inlineStr"/>
      <c r="L250" s="18" t="inlineStr">
        <is>
          <t>Not Started</t>
        </is>
      </c>
    </row>
    <row r="251" ht="42" customHeight="1">
      <c r="A251" s="11" t="n">
        <v>249</v>
      </c>
      <c r="B251" s="50" t="inlineStr">
        <is>
          <t>AU-2</t>
        </is>
      </c>
      <c r="C251" s="11" t="inlineStr">
        <is>
          <t>AU</t>
        </is>
      </c>
      <c r="D251" s="12" t="inlineStr">
        <is>
          <t>Documentation</t>
        </is>
      </c>
      <c r="E251" s="11">
        <f>IFERROR(TRACKER!G251,"Not Started")</f>
        <v/>
      </c>
      <c r="F251" s="51">
        <f>IFERROR('[Documentation.xlsx]AU-2'!B21,"")</f>
        <v/>
      </c>
      <c r="G251" s="51" t="inlineStr"/>
      <c r="H251" s="51" t="inlineStr"/>
      <c r="I251" s="11" t="inlineStr"/>
      <c r="J251" s="12" t="inlineStr"/>
      <c r="K251" s="17" t="inlineStr"/>
      <c r="L251" s="11" t="inlineStr">
        <is>
          <t>Not Started</t>
        </is>
      </c>
    </row>
    <row r="252" ht="42" customHeight="1">
      <c r="A252" s="18" t="n">
        <v>250</v>
      </c>
      <c r="B252" s="52" t="inlineStr">
        <is>
          <t>AU-3</t>
        </is>
      </c>
      <c r="C252" s="18" t="inlineStr">
        <is>
          <t>AU</t>
        </is>
      </c>
      <c r="D252" s="19" t="inlineStr">
        <is>
          <t>Documentation</t>
        </is>
      </c>
      <c r="E252" s="18">
        <f>IFERROR(TRACKER!G252,"Not Started")</f>
        <v/>
      </c>
      <c r="F252" s="53">
        <f>IFERROR('[Documentation.xlsx]AU-3'!B21,"")</f>
        <v/>
      </c>
      <c r="G252" s="53" t="inlineStr"/>
      <c r="H252" s="53" t="inlineStr"/>
      <c r="I252" s="18" t="inlineStr"/>
      <c r="J252" s="19" t="inlineStr"/>
      <c r="K252" s="22" t="inlineStr"/>
      <c r="L252" s="18" t="inlineStr">
        <is>
          <t>Not Started</t>
        </is>
      </c>
    </row>
    <row r="253" ht="42" customHeight="1">
      <c r="A253" s="11" t="n">
        <v>251</v>
      </c>
      <c r="B253" s="50" t="inlineStr">
        <is>
          <t>AU-6</t>
        </is>
      </c>
      <c r="C253" s="11" t="inlineStr">
        <is>
          <t>AU</t>
        </is>
      </c>
      <c r="D253" s="12" t="inlineStr">
        <is>
          <t>Documentation</t>
        </is>
      </c>
      <c r="E253" s="11">
        <f>IFERROR(TRACKER!G253,"Not Started")</f>
        <v/>
      </c>
      <c r="F253" s="51">
        <f>IFERROR('[Documentation.xlsx]AU-6'!B21,"")</f>
        <v/>
      </c>
      <c r="G253" s="51" t="inlineStr"/>
      <c r="H253" s="51" t="inlineStr"/>
      <c r="I253" s="11" t="inlineStr"/>
      <c r="J253" s="12" t="inlineStr"/>
      <c r="K253" s="17" t="inlineStr"/>
      <c r="L253" s="11" t="inlineStr">
        <is>
          <t>Not Started</t>
        </is>
      </c>
    </row>
    <row r="254" ht="42" customHeight="1">
      <c r="A254" s="18" t="n">
        <v>252</v>
      </c>
      <c r="B254" s="52" t="inlineStr">
        <is>
          <t>AU-9(4)</t>
        </is>
      </c>
      <c r="C254" s="18" t="inlineStr">
        <is>
          <t>AU</t>
        </is>
      </c>
      <c r="D254" s="19" t="inlineStr">
        <is>
          <t>Documentation</t>
        </is>
      </c>
      <c r="E254" s="18">
        <f>IFERROR(TRACKER!G254,"Not Started")</f>
        <v/>
      </c>
      <c r="F254" s="53">
        <f>IFERROR('[Documentation.xlsx]AU-9-4'!B21,"")</f>
        <v/>
      </c>
      <c r="G254" s="53" t="inlineStr"/>
      <c r="H254" s="53" t="inlineStr"/>
      <c r="I254" s="18" t="inlineStr"/>
      <c r="J254" s="19" t="inlineStr"/>
      <c r="K254" s="22" t="inlineStr"/>
      <c r="L254" s="18" t="inlineStr">
        <is>
          <t>Not Started</t>
        </is>
      </c>
    </row>
    <row r="255" ht="42" customHeight="1">
      <c r="A255" s="11" t="n">
        <v>253</v>
      </c>
      <c r="B255" s="50" t="inlineStr">
        <is>
          <t>CA-1</t>
        </is>
      </c>
      <c r="C255" s="11" t="inlineStr">
        <is>
          <t>CA</t>
        </is>
      </c>
      <c r="D255" s="12" t="inlineStr">
        <is>
          <t>Documentation</t>
        </is>
      </c>
      <c r="E255" s="11">
        <f>IFERROR(TRACKER!G255,"Not Started")</f>
        <v/>
      </c>
      <c r="F255" s="51">
        <f>IFERROR('[Documentation.xlsx]CA-1'!B21,"")</f>
        <v/>
      </c>
      <c r="G255" s="51" t="inlineStr"/>
      <c r="H255" s="51" t="inlineStr"/>
      <c r="I255" s="11" t="inlineStr"/>
      <c r="J255" s="12" t="inlineStr"/>
      <c r="K255" s="17" t="inlineStr"/>
      <c r="L255" s="11" t="inlineStr">
        <is>
          <t>Not Started</t>
        </is>
      </c>
    </row>
    <row r="256" ht="42" customHeight="1">
      <c r="A256" s="18" t="n">
        <v>254</v>
      </c>
      <c r="B256" s="52" t="inlineStr">
        <is>
          <t>CA-2</t>
        </is>
      </c>
      <c r="C256" s="18" t="inlineStr">
        <is>
          <t>CA</t>
        </is>
      </c>
      <c r="D256" s="19" t="inlineStr">
        <is>
          <t>Documentation</t>
        </is>
      </c>
      <c r="E256" s="18">
        <f>IFERROR(TRACKER!G256,"Not Started")</f>
        <v/>
      </c>
      <c r="F256" s="53">
        <f>IFERROR('[Documentation.xlsx]CA-2'!B21,"")</f>
        <v/>
      </c>
      <c r="G256" s="53" t="inlineStr"/>
      <c r="H256" s="53" t="inlineStr"/>
      <c r="I256" s="18" t="inlineStr"/>
      <c r="J256" s="19" t="inlineStr"/>
      <c r="K256" s="22" t="inlineStr"/>
      <c r="L256" s="18" t="inlineStr">
        <is>
          <t>Not Started</t>
        </is>
      </c>
    </row>
    <row r="257" ht="42" customHeight="1">
      <c r="A257" s="11" t="n">
        <v>255</v>
      </c>
      <c r="B257" s="50" t="inlineStr">
        <is>
          <t>CA-2(1)</t>
        </is>
      </c>
      <c r="C257" s="11" t="inlineStr">
        <is>
          <t>CA</t>
        </is>
      </c>
      <c r="D257" s="12" t="inlineStr">
        <is>
          <t>Documentation</t>
        </is>
      </c>
      <c r="E257" s="11">
        <f>IFERROR(TRACKER!G257,"Not Started")</f>
        <v/>
      </c>
      <c r="F257" s="51">
        <f>IFERROR('[Documentation.xlsx]CA-2-1'!B21,"")</f>
        <v/>
      </c>
      <c r="G257" s="51" t="inlineStr"/>
      <c r="H257" s="51" t="inlineStr"/>
      <c r="I257" s="11" t="inlineStr"/>
      <c r="J257" s="12" t="inlineStr"/>
      <c r="K257" s="17" t="inlineStr"/>
      <c r="L257" s="11" t="inlineStr">
        <is>
          <t>Not Started</t>
        </is>
      </c>
    </row>
    <row r="258" ht="42" customHeight="1">
      <c r="A258" s="18" t="n">
        <v>256</v>
      </c>
      <c r="B258" s="52" t="inlineStr">
        <is>
          <t>CA-2(2)</t>
        </is>
      </c>
      <c r="C258" s="18" t="inlineStr">
        <is>
          <t>CA</t>
        </is>
      </c>
      <c r="D258" s="19" t="inlineStr">
        <is>
          <t>Documentation</t>
        </is>
      </c>
      <c r="E258" s="18">
        <f>IFERROR(TRACKER!G258,"Not Started")</f>
        <v/>
      </c>
      <c r="F258" s="53">
        <f>IFERROR('[Documentation.xlsx]CA-2-2'!B21,"")</f>
        <v/>
      </c>
      <c r="G258" s="53" t="inlineStr"/>
      <c r="H258" s="53" t="inlineStr"/>
      <c r="I258" s="18" t="inlineStr"/>
      <c r="J258" s="19" t="inlineStr"/>
      <c r="K258" s="22" t="inlineStr"/>
      <c r="L258" s="18" t="inlineStr">
        <is>
          <t>Not Started</t>
        </is>
      </c>
    </row>
    <row r="259" ht="42" customHeight="1">
      <c r="A259" s="11" t="n">
        <v>257</v>
      </c>
      <c r="B259" s="50" t="inlineStr">
        <is>
          <t>CA-2(3)</t>
        </is>
      </c>
      <c r="C259" s="11" t="inlineStr">
        <is>
          <t>CA</t>
        </is>
      </c>
      <c r="D259" s="12" t="inlineStr">
        <is>
          <t>Documentation</t>
        </is>
      </c>
      <c r="E259" s="11">
        <f>IFERROR(TRACKER!G259,"Not Started")</f>
        <v/>
      </c>
      <c r="F259" s="51">
        <f>IFERROR('[Documentation.xlsx]CA-2-3'!B21,"")</f>
        <v/>
      </c>
      <c r="G259" s="51" t="inlineStr"/>
      <c r="H259" s="51" t="inlineStr"/>
      <c r="I259" s="11" t="inlineStr"/>
      <c r="J259" s="12" t="inlineStr"/>
      <c r="K259" s="17" t="inlineStr"/>
      <c r="L259" s="11" t="inlineStr">
        <is>
          <t>Not Started</t>
        </is>
      </c>
    </row>
    <row r="260" ht="42" customHeight="1">
      <c r="A260" s="18" t="n">
        <v>258</v>
      </c>
      <c r="B260" s="52" t="inlineStr">
        <is>
          <t>CA-3</t>
        </is>
      </c>
      <c r="C260" s="18" t="inlineStr">
        <is>
          <t>CA</t>
        </is>
      </c>
      <c r="D260" s="19" t="inlineStr">
        <is>
          <t>Documentation</t>
        </is>
      </c>
      <c r="E260" s="18">
        <f>IFERROR(TRACKER!G260,"Not Started")</f>
        <v/>
      </c>
      <c r="F260" s="53">
        <f>IFERROR('[Documentation.xlsx]CA-3'!B21,"")</f>
        <v/>
      </c>
      <c r="G260" s="53" t="inlineStr"/>
      <c r="H260" s="53" t="inlineStr"/>
      <c r="I260" s="18" t="inlineStr"/>
      <c r="J260" s="19" t="inlineStr"/>
      <c r="K260" s="22" t="inlineStr"/>
      <c r="L260" s="18" t="inlineStr">
        <is>
          <t>Not Started</t>
        </is>
      </c>
    </row>
    <row r="261" ht="42" customHeight="1">
      <c r="A261" s="11" t="n">
        <v>259</v>
      </c>
      <c r="B261" s="50" t="inlineStr">
        <is>
          <t>CA-3(3)</t>
        </is>
      </c>
      <c r="C261" s="11" t="inlineStr">
        <is>
          <t>CA</t>
        </is>
      </c>
      <c r="D261" s="12" t="inlineStr">
        <is>
          <t>Documentation</t>
        </is>
      </c>
      <c r="E261" s="11">
        <f>IFERROR(TRACKER!G261,"Not Started")</f>
        <v/>
      </c>
      <c r="F261" s="51">
        <f>IFERROR('[Documentation.xlsx]CA-3-3'!B21,"")</f>
        <v/>
      </c>
      <c r="G261" s="51" t="inlineStr"/>
      <c r="H261" s="51" t="inlineStr"/>
      <c r="I261" s="11" t="inlineStr"/>
      <c r="J261" s="12" t="inlineStr"/>
      <c r="K261" s="17" t="inlineStr"/>
      <c r="L261" s="11" t="inlineStr">
        <is>
          <t>Not Started</t>
        </is>
      </c>
    </row>
    <row r="262" ht="42" customHeight="1">
      <c r="A262" s="18" t="n">
        <v>260</v>
      </c>
      <c r="B262" s="52" t="inlineStr">
        <is>
          <t>CA-3(5)</t>
        </is>
      </c>
      <c r="C262" s="18" t="inlineStr">
        <is>
          <t>CA</t>
        </is>
      </c>
      <c r="D262" s="19" t="inlineStr">
        <is>
          <t>Documentation</t>
        </is>
      </c>
      <c r="E262" s="18">
        <f>IFERROR(TRACKER!G262,"Not Started")</f>
        <v/>
      </c>
      <c r="F262" s="53">
        <f>IFERROR('[Documentation.xlsx]CA-3-5'!B21,"")</f>
        <v/>
      </c>
      <c r="G262" s="53" t="inlineStr"/>
      <c r="H262" s="53" t="inlineStr"/>
      <c r="I262" s="18" t="inlineStr"/>
      <c r="J262" s="19" t="inlineStr"/>
      <c r="K262" s="22" t="inlineStr"/>
      <c r="L262" s="18" t="inlineStr">
        <is>
          <t>Not Started</t>
        </is>
      </c>
    </row>
    <row r="263" ht="42" customHeight="1">
      <c r="A263" s="11" t="n">
        <v>261</v>
      </c>
      <c r="B263" s="50" t="inlineStr">
        <is>
          <t>CA-5</t>
        </is>
      </c>
      <c r="C263" s="11" t="inlineStr">
        <is>
          <t>CA</t>
        </is>
      </c>
      <c r="D263" s="12" t="inlineStr">
        <is>
          <t>Documentation</t>
        </is>
      </c>
      <c r="E263" s="11">
        <f>IFERROR(TRACKER!G263,"Not Started")</f>
        <v/>
      </c>
      <c r="F263" s="51">
        <f>IFERROR('[Documentation.xlsx]CA-5'!B21,"")</f>
        <v/>
      </c>
      <c r="G263" s="51" t="inlineStr"/>
      <c r="H263" s="51" t="inlineStr"/>
      <c r="I263" s="11" t="inlineStr"/>
      <c r="J263" s="12" t="inlineStr"/>
      <c r="K263" s="17" t="inlineStr"/>
      <c r="L263" s="11" t="inlineStr">
        <is>
          <t>Not Started</t>
        </is>
      </c>
    </row>
    <row r="264" ht="42" customHeight="1">
      <c r="A264" s="18" t="n">
        <v>262</v>
      </c>
      <c r="B264" s="52" t="inlineStr">
        <is>
          <t>CA-6</t>
        </is>
      </c>
      <c r="C264" s="18" t="inlineStr">
        <is>
          <t>CA</t>
        </is>
      </c>
      <c r="D264" s="19" t="inlineStr">
        <is>
          <t>Documentation</t>
        </is>
      </c>
      <c r="E264" s="18">
        <f>IFERROR(TRACKER!G264,"Not Started")</f>
        <v/>
      </c>
      <c r="F264" s="53">
        <f>IFERROR('[Documentation.xlsx]CA-6'!B21,"")</f>
        <v/>
      </c>
      <c r="G264" s="53" t="inlineStr"/>
      <c r="H264" s="53" t="inlineStr"/>
      <c r="I264" s="18" t="inlineStr"/>
      <c r="J264" s="19" t="inlineStr"/>
      <c r="K264" s="22" t="inlineStr"/>
      <c r="L264" s="18" t="inlineStr">
        <is>
          <t>Not Started</t>
        </is>
      </c>
    </row>
    <row r="265" ht="42" customHeight="1">
      <c r="A265" s="11" t="n">
        <v>263</v>
      </c>
      <c r="B265" s="50" t="inlineStr">
        <is>
          <t>CA-7</t>
        </is>
      </c>
      <c r="C265" s="11" t="inlineStr">
        <is>
          <t>CA</t>
        </is>
      </c>
      <c r="D265" s="12" t="inlineStr">
        <is>
          <t>Documentation</t>
        </is>
      </c>
      <c r="E265" s="11">
        <f>IFERROR(TRACKER!G265,"Not Started")</f>
        <v/>
      </c>
      <c r="F265" s="51">
        <f>IFERROR('[Documentation.xlsx]CA-7'!B21,"")</f>
        <v/>
      </c>
      <c r="G265" s="51" t="inlineStr"/>
      <c r="H265" s="51" t="inlineStr"/>
      <c r="I265" s="11" t="inlineStr"/>
      <c r="J265" s="12" t="inlineStr"/>
      <c r="K265" s="17" t="inlineStr"/>
      <c r="L265" s="11" t="inlineStr">
        <is>
          <t>Not Started</t>
        </is>
      </c>
    </row>
    <row r="266" ht="42" customHeight="1">
      <c r="A266" s="18" t="n">
        <v>264</v>
      </c>
      <c r="B266" s="52" t="inlineStr">
        <is>
          <t>CA-7(1)</t>
        </is>
      </c>
      <c r="C266" s="18" t="inlineStr">
        <is>
          <t>CA</t>
        </is>
      </c>
      <c r="D266" s="19" t="inlineStr">
        <is>
          <t>Documentation</t>
        </is>
      </c>
      <c r="E266" s="18">
        <f>IFERROR(TRACKER!G266,"Not Started")</f>
        <v/>
      </c>
      <c r="F266" s="53">
        <f>IFERROR('[Documentation.xlsx]CA-7-1'!B21,"")</f>
        <v/>
      </c>
      <c r="G266" s="53" t="inlineStr"/>
      <c r="H266" s="53" t="inlineStr"/>
      <c r="I266" s="18" t="inlineStr"/>
      <c r="J266" s="19" t="inlineStr"/>
      <c r="K266" s="22" t="inlineStr"/>
      <c r="L266" s="18" t="inlineStr">
        <is>
          <t>Not Started</t>
        </is>
      </c>
    </row>
    <row r="267" ht="42" customHeight="1">
      <c r="A267" s="11" t="n">
        <v>265</v>
      </c>
      <c r="B267" s="50" t="inlineStr">
        <is>
          <t>CA-8</t>
        </is>
      </c>
      <c r="C267" s="11" t="inlineStr">
        <is>
          <t>CA</t>
        </is>
      </c>
      <c r="D267" s="12" t="inlineStr">
        <is>
          <t>Documentation</t>
        </is>
      </c>
      <c r="E267" s="11">
        <f>IFERROR(TRACKER!G267,"Not Started")</f>
        <v/>
      </c>
      <c r="F267" s="51">
        <f>IFERROR('[Documentation.xlsx]CA-8'!B21,"")</f>
        <v/>
      </c>
      <c r="G267" s="51" t="inlineStr"/>
      <c r="H267" s="51" t="inlineStr"/>
      <c r="I267" s="11" t="inlineStr"/>
      <c r="J267" s="12" t="inlineStr"/>
      <c r="K267" s="17" t="inlineStr"/>
      <c r="L267" s="11" t="inlineStr">
        <is>
          <t>Not Started</t>
        </is>
      </c>
    </row>
    <row r="268" ht="42" customHeight="1">
      <c r="A268" s="18" t="n">
        <v>266</v>
      </c>
      <c r="B268" s="52" t="inlineStr">
        <is>
          <t>CA-8(1)</t>
        </is>
      </c>
      <c r="C268" s="18" t="inlineStr">
        <is>
          <t>CA</t>
        </is>
      </c>
      <c r="D268" s="19" t="inlineStr">
        <is>
          <t>Documentation</t>
        </is>
      </c>
      <c r="E268" s="18">
        <f>IFERROR(TRACKER!G268,"Not Started")</f>
        <v/>
      </c>
      <c r="F268" s="53">
        <f>IFERROR('[Documentation.xlsx]CA-8-1'!B21,"")</f>
        <v/>
      </c>
      <c r="G268" s="53" t="inlineStr"/>
      <c r="H268" s="53" t="inlineStr"/>
      <c r="I268" s="18" t="inlineStr"/>
      <c r="J268" s="19" t="inlineStr"/>
      <c r="K268" s="22" t="inlineStr"/>
      <c r="L268" s="18" t="inlineStr">
        <is>
          <t>Not Started</t>
        </is>
      </c>
    </row>
    <row r="269" ht="42" customHeight="1">
      <c r="A269" s="11" t="n">
        <v>267</v>
      </c>
      <c r="B269" s="50" t="inlineStr">
        <is>
          <t>CA-9</t>
        </is>
      </c>
      <c r="C269" s="11" t="inlineStr">
        <is>
          <t>CA</t>
        </is>
      </c>
      <c r="D269" s="12" t="inlineStr">
        <is>
          <t>Documentation</t>
        </is>
      </c>
      <c r="E269" s="11">
        <f>IFERROR(TRACKER!G269,"Not Started")</f>
        <v/>
      </c>
      <c r="F269" s="51">
        <f>IFERROR('[Documentation.xlsx]CA-9'!B21,"")</f>
        <v/>
      </c>
      <c r="G269" s="51" t="inlineStr"/>
      <c r="H269" s="51" t="inlineStr"/>
      <c r="I269" s="11" t="inlineStr"/>
      <c r="J269" s="12" t="inlineStr"/>
      <c r="K269" s="17" t="inlineStr"/>
      <c r="L269" s="11" t="inlineStr">
        <is>
          <t>Not Started</t>
        </is>
      </c>
    </row>
    <row r="270" ht="42" customHeight="1">
      <c r="A270" s="18" t="n">
        <v>268</v>
      </c>
      <c r="B270" s="52" t="inlineStr">
        <is>
          <t>CM-1</t>
        </is>
      </c>
      <c r="C270" s="18" t="inlineStr">
        <is>
          <t>CM</t>
        </is>
      </c>
      <c r="D270" s="19" t="inlineStr">
        <is>
          <t>Documentation</t>
        </is>
      </c>
      <c r="E270" s="18">
        <f>IFERROR(TRACKER!G270,"Not Started")</f>
        <v/>
      </c>
      <c r="F270" s="53">
        <f>IFERROR('[Documentation.xlsx]CM-1'!B21,"")</f>
        <v/>
      </c>
      <c r="G270" s="53" t="inlineStr"/>
      <c r="H270" s="53" t="inlineStr"/>
      <c r="I270" s="18" t="inlineStr"/>
      <c r="J270" s="19" t="inlineStr"/>
      <c r="K270" s="22" t="inlineStr"/>
      <c r="L270" s="18" t="inlineStr">
        <is>
          <t>Not Started</t>
        </is>
      </c>
    </row>
    <row r="271" ht="42" customHeight="1">
      <c r="A271" s="11" t="n">
        <v>269</v>
      </c>
      <c r="B271" s="50" t="inlineStr">
        <is>
          <t>CM-2</t>
        </is>
      </c>
      <c r="C271" s="11" t="inlineStr">
        <is>
          <t>CM</t>
        </is>
      </c>
      <c r="D271" s="12" t="inlineStr">
        <is>
          <t>Documentation</t>
        </is>
      </c>
      <c r="E271" s="11">
        <f>IFERROR(TRACKER!G271,"Not Started")</f>
        <v/>
      </c>
      <c r="F271" s="51">
        <f>IFERROR('[Documentation.xlsx]CM-2'!B21,"")</f>
        <v/>
      </c>
      <c r="G271" s="51" t="inlineStr"/>
      <c r="H271" s="51" t="inlineStr"/>
      <c r="I271" s="11" t="inlineStr"/>
      <c r="J271" s="12" t="inlineStr"/>
      <c r="K271" s="17" t="inlineStr"/>
      <c r="L271" s="11" t="inlineStr">
        <is>
          <t>Not Started</t>
        </is>
      </c>
    </row>
    <row r="272" ht="42" customHeight="1">
      <c r="A272" s="18" t="n">
        <v>270</v>
      </c>
      <c r="B272" s="52" t="inlineStr">
        <is>
          <t>CM-2(1)</t>
        </is>
      </c>
      <c r="C272" s="18" t="inlineStr">
        <is>
          <t>CM</t>
        </is>
      </c>
      <c r="D272" s="19" t="inlineStr">
        <is>
          <t>Documentation</t>
        </is>
      </c>
      <c r="E272" s="18">
        <f>IFERROR(TRACKER!G272,"Not Started")</f>
        <v/>
      </c>
      <c r="F272" s="53">
        <f>IFERROR('[Documentation.xlsx]CM-2-1'!B21,"")</f>
        <v/>
      </c>
      <c r="G272" s="53" t="inlineStr"/>
      <c r="H272" s="53" t="inlineStr"/>
      <c r="I272" s="18" t="inlineStr"/>
      <c r="J272" s="19" t="inlineStr"/>
      <c r="K272" s="22" t="inlineStr"/>
      <c r="L272" s="18" t="inlineStr">
        <is>
          <t>Not Started</t>
        </is>
      </c>
    </row>
    <row r="273" ht="42" customHeight="1">
      <c r="A273" s="11" t="n">
        <v>271</v>
      </c>
      <c r="B273" s="50" t="inlineStr">
        <is>
          <t>CM-2(7)</t>
        </is>
      </c>
      <c r="C273" s="11" t="inlineStr">
        <is>
          <t>CM</t>
        </is>
      </c>
      <c r="D273" s="12" t="inlineStr">
        <is>
          <t>Documentation</t>
        </is>
      </c>
      <c r="E273" s="11">
        <f>IFERROR(TRACKER!G273,"Not Started")</f>
        <v/>
      </c>
      <c r="F273" s="51">
        <f>IFERROR('[Documentation.xlsx]CM-2-7'!B21,"")</f>
        <v/>
      </c>
      <c r="G273" s="51" t="inlineStr"/>
      <c r="H273" s="51" t="inlineStr"/>
      <c r="I273" s="11" t="inlineStr"/>
      <c r="J273" s="12" t="inlineStr"/>
      <c r="K273" s="17" t="inlineStr"/>
      <c r="L273" s="11" t="inlineStr">
        <is>
          <t>Not Started</t>
        </is>
      </c>
    </row>
    <row r="274" ht="42" customHeight="1">
      <c r="A274" s="18" t="n">
        <v>272</v>
      </c>
      <c r="B274" s="52" t="inlineStr">
        <is>
          <t>CM-3</t>
        </is>
      </c>
      <c r="C274" s="18" t="inlineStr">
        <is>
          <t>CM</t>
        </is>
      </c>
      <c r="D274" s="19" t="inlineStr">
        <is>
          <t>Documentation</t>
        </is>
      </c>
      <c r="E274" s="18">
        <f>IFERROR(TRACKER!G274,"Not Started")</f>
        <v/>
      </c>
      <c r="F274" s="53">
        <f>IFERROR('[Documentation.xlsx]CM-3'!B21,"")</f>
        <v/>
      </c>
      <c r="G274" s="53" t="inlineStr"/>
      <c r="H274" s="53" t="inlineStr"/>
      <c r="I274" s="18" t="inlineStr"/>
      <c r="J274" s="19" t="inlineStr"/>
      <c r="K274" s="22" t="inlineStr"/>
      <c r="L274" s="18" t="inlineStr">
        <is>
          <t>Not Started</t>
        </is>
      </c>
    </row>
    <row r="275" ht="42" customHeight="1">
      <c r="A275" s="11" t="n">
        <v>273</v>
      </c>
      <c r="B275" s="50" t="inlineStr">
        <is>
          <t>CM-3(4)</t>
        </is>
      </c>
      <c r="C275" s="11" t="inlineStr">
        <is>
          <t>CM</t>
        </is>
      </c>
      <c r="D275" s="12" t="inlineStr">
        <is>
          <t>Documentation</t>
        </is>
      </c>
      <c r="E275" s="11">
        <f>IFERROR(TRACKER!G275,"Not Started")</f>
        <v/>
      </c>
      <c r="F275" s="51">
        <f>IFERROR('[Documentation.xlsx]CM-3-4'!B21,"")</f>
        <v/>
      </c>
      <c r="G275" s="51" t="inlineStr"/>
      <c r="H275" s="51" t="inlineStr"/>
      <c r="I275" s="11" t="inlineStr"/>
      <c r="J275" s="12" t="inlineStr"/>
      <c r="K275" s="17" t="inlineStr"/>
      <c r="L275" s="11" t="inlineStr">
        <is>
          <t>Not Started</t>
        </is>
      </c>
    </row>
    <row r="276" ht="42" customHeight="1">
      <c r="A276" s="18" t="n">
        <v>274</v>
      </c>
      <c r="B276" s="52" t="inlineStr">
        <is>
          <t>CM-4</t>
        </is>
      </c>
      <c r="C276" s="18" t="inlineStr">
        <is>
          <t>CM</t>
        </is>
      </c>
      <c r="D276" s="19" t="inlineStr">
        <is>
          <t>Documentation</t>
        </is>
      </c>
      <c r="E276" s="18">
        <f>IFERROR(TRACKER!G276,"Not Started")</f>
        <v/>
      </c>
      <c r="F276" s="53">
        <f>IFERROR('[Documentation.xlsx]CM-4'!B21,"")</f>
        <v/>
      </c>
      <c r="G276" s="53" t="inlineStr"/>
      <c r="H276" s="53" t="inlineStr"/>
      <c r="I276" s="18" t="inlineStr"/>
      <c r="J276" s="19" t="inlineStr"/>
      <c r="K276" s="22" t="inlineStr"/>
      <c r="L276" s="18" t="inlineStr">
        <is>
          <t>Not Started</t>
        </is>
      </c>
    </row>
    <row r="277" ht="42" customHeight="1">
      <c r="A277" s="11" t="n">
        <v>275</v>
      </c>
      <c r="B277" s="50" t="inlineStr">
        <is>
          <t>CM-5</t>
        </is>
      </c>
      <c r="C277" s="11" t="inlineStr">
        <is>
          <t>CM</t>
        </is>
      </c>
      <c r="D277" s="12" t="inlineStr">
        <is>
          <t>Documentation</t>
        </is>
      </c>
      <c r="E277" s="11">
        <f>IFERROR(TRACKER!G277,"Not Started")</f>
        <v/>
      </c>
      <c r="F277" s="51">
        <f>IFERROR('[Documentation.xlsx]CM-5'!B21,"")</f>
        <v/>
      </c>
      <c r="G277" s="51" t="inlineStr"/>
      <c r="H277" s="51" t="inlineStr"/>
      <c r="I277" s="11" t="inlineStr"/>
      <c r="J277" s="12" t="inlineStr"/>
      <c r="K277" s="17" t="inlineStr"/>
      <c r="L277" s="11" t="inlineStr">
        <is>
          <t>Not Started</t>
        </is>
      </c>
    </row>
    <row r="278" ht="42" customHeight="1">
      <c r="A278" s="18" t="n">
        <v>276</v>
      </c>
      <c r="B278" s="52" t="inlineStr">
        <is>
          <t>CM-5(5)</t>
        </is>
      </c>
      <c r="C278" s="18" t="inlineStr">
        <is>
          <t>CM</t>
        </is>
      </c>
      <c r="D278" s="19" t="inlineStr">
        <is>
          <t>Documentation</t>
        </is>
      </c>
      <c r="E278" s="18">
        <f>IFERROR(TRACKER!G278,"Not Started")</f>
        <v/>
      </c>
      <c r="F278" s="53">
        <f>IFERROR('[Documentation.xlsx]CM-5-5'!B21,"")</f>
        <v/>
      </c>
      <c r="G278" s="53" t="inlineStr"/>
      <c r="H278" s="53" t="inlineStr"/>
      <c r="I278" s="18" t="inlineStr"/>
      <c r="J278" s="19" t="inlineStr"/>
      <c r="K278" s="22" t="inlineStr"/>
      <c r="L278" s="18" t="inlineStr">
        <is>
          <t>Not Started</t>
        </is>
      </c>
    </row>
    <row r="279" ht="42" customHeight="1">
      <c r="A279" s="11" t="n">
        <v>277</v>
      </c>
      <c r="B279" s="50" t="inlineStr">
        <is>
          <t>CM-6</t>
        </is>
      </c>
      <c r="C279" s="11" t="inlineStr">
        <is>
          <t>CM</t>
        </is>
      </c>
      <c r="D279" s="12" t="inlineStr">
        <is>
          <t>Documentation</t>
        </is>
      </c>
      <c r="E279" s="11">
        <f>IFERROR(TRACKER!G279,"Not Started")</f>
        <v/>
      </c>
      <c r="F279" s="51">
        <f>IFERROR('[Documentation.xlsx]CM-6'!B21,"")</f>
        <v/>
      </c>
      <c r="G279" s="51" t="inlineStr"/>
      <c r="H279" s="51" t="inlineStr"/>
      <c r="I279" s="11" t="inlineStr"/>
      <c r="J279" s="12" t="inlineStr"/>
      <c r="K279" s="17" t="inlineStr"/>
      <c r="L279" s="11" t="inlineStr">
        <is>
          <t>Not Started</t>
        </is>
      </c>
    </row>
    <row r="280" ht="42" customHeight="1">
      <c r="A280" s="18" t="n">
        <v>278</v>
      </c>
      <c r="B280" s="52" t="inlineStr">
        <is>
          <t>CM-6(2)</t>
        </is>
      </c>
      <c r="C280" s="18" t="inlineStr">
        <is>
          <t>CM</t>
        </is>
      </c>
      <c r="D280" s="19" t="inlineStr">
        <is>
          <t>Documentation</t>
        </is>
      </c>
      <c r="E280" s="18">
        <f>IFERROR(TRACKER!G280,"Not Started")</f>
        <v/>
      </c>
      <c r="F280" s="53">
        <f>IFERROR('[Documentation.xlsx]CM-6-2'!B21,"")</f>
        <v/>
      </c>
      <c r="G280" s="53" t="inlineStr"/>
      <c r="H280" s="53" t="inlineStr"/>
      <c r="I280" s="18" t="inlineStr"/>
      <c r="J280" s="19" t="inlineStr"/>
      <c r="K280" s="22" t="inlineStr"/>
      <c r="L280" s="18" t="inlineStr">
        <is>
          <t>Not Started</t>
        </is>
      </c>
    </row>
    <row r="281" ht="42" customHeight="1">
      <c r="A281" s="11" t="n">
        <v>279</v>
      </c>
      <c r="B281" s="50" t="inlineStr">
        <is>
          <t>CM-7</t>
        </is>
      </c>
      <c r="C281" s="11" t="inlineStr">
        <is>
          <t>CM</t>
        </is>
      </c>
      <c r="D281" s="12" t="inlineStr">
        <is>
          <t>Documentation</t>
        </is>
      </c>
      <c r="E281" s="11">
        <f>IFERROR(TRACKER!G281,"Not Started")</f>
        <v/>
      </c>
      <c r="F281" s="51">
        <f>IFERROR('[Documentation.xlsx]CM-7'!B21,"")</f>
        <v/>
      </c>
      <c r="G281" s="51" t="inlineStr"/>
      <c r="H281" s="51" t="inlineStr"/>
      <c r="I281" s="11" t="inlineStr"/>
      <c r="J281" s="12" t="inlineStr"/>
      <c r="K281" s="17" t="inlineStr"/>
      <c r="L281" s="11" t="inlineStr">
        <is>
          <t>Not Started</t>
        </is>
      </c>
    </row>
    <row r="282" ht="42" customHeight="1">
      <c r="A282" s="18" t="n">
        <v>280</v>
      </c>
      <c r="B282" s="52" t="inlineStr">
        <is>
          <t>CM-7(1)</t>
        </is>
      </c>
      <c r="C282" s="18" t="inlineStr">
        <is>
          <t>CM</t>
        </is>
      </c>
      <c r="D282" s="19" t="inlineStr">
        <is>
          <t>Documentation</t>
        </is>
      </c>
      <c r="E282" s="18">
        <f>IFERROR(TRACKER!G282,"Not Started")</f>
        <v/>
      </c>
      <c r="F282" s="53">
        <f>IFERROR('[Documentation.xlsx]CM-7-1'!B21,"")</f>
        <v/>
      </c>
      <c r="G282" s="53" t="inlineStr"/>
      <c r="H282" s="53" t="inlineStr"/>
      <c r="I282" s="18" t="inlineStr"/>
      <c r="J282" s="19" t="inlineStr"/>
      <c r="K282" s="22" t="inlineStr"/>
      <c r="L282" s="18" t="inlineStr">
        <is>
          <t>Not Started</t>
        </is>
      </c>
    </row>
    <row r="283" ht="42" customHeight="1">
      <c r="A283" s="11" t="n">
        <v>281</v>
      </c>
      <c r="B283" s="50" t="inlineStr">
        <is>
          <t>CM-7(5)</t>
        </is>
      </c>
      <c r="C283" s="11" t="inlineStr">
        <is>
          <t>CM</t>
        </is>
      </c>
      <c r="D283" s="12" t="inlineStr">
        <is>
          <t>Documentation</t>
        </is>
      </c>
      <c r="E283" s="11">
        <f>IFERROR(TRACKER!G283,"Not Started")</f>
        <v/>
      </c>
      <c r="F283" s="51">
        <f>IFERROR('[Documentation.xlsx]CM-7-5'!B21,"")</f>
        <v/>
      </c>
      <c r="G283" s="51" t="inlineStr"/>
      <c r="H283" s="51" t="inlineStr"/>
      <c r="I283" s="11" t="inlineStr"/>
      <c r="J283" s="12" t="inlineStr"/>
      <c r="K283" s="17" t="inlineStr"/>
      <c r="L283" s="11" t="inlineStr">
        <is>
          <t>Not Started</t>
        </is>
      </c>
    </row>
    <row r="284" ht="42" customHeight="1">
      <c r="A284" s="18" t="n">
        <v>282</v>
      </c>
      <c r="B284" s="52" t="inlineStr">
        <is>
          <t>CM-8</t>
        </is>
      </c>
      <c r="C284" s="18" t="inlineStr">
        <is>
          <t>CM</t>
        </is>
      </c>
      <c r="D284" s="19" t="inlineStr">
        <is>
          <t>Documentation</t>
        </is>
      </c>
      <c r="E284" s="18">
        <f>IFERROR(TRACKER!G284,"Not Started")</f>
        <v/>
      </c>
      <c r="F284" s="53">
        <f>IFERROR('[Documentation.xlsx]CM-8'!B21,"")</f>
        <v/>
      </c>
      <c r="G284" s="53" t="inlineStr"/>
      <c r="H284" s="53" t="inlineStr"/>
      <c r="I284" s="18" t="inlineStr"/>
      <c r="J284" s="19" t="inlineStr"/>
      <c r="K284" s="22" t="inlineStr"/>
      <c r="L284" s="18" t="inlineStr">
        <is>
          <t>Not Started</t>
        </is>
      </c>
    </row>
    <row r="285" ht="42" customHeight="1">
      <c r="A285" s="11" t="n">
        <v>283</v>
      </c>
      <c r="B285" s="50" t="inlineStr">
        <is>
          <t>CM-8(1)</t>
        </is>
      </c>
      <c r="C285" s="11" t="inlineStr">
        <is>
          <t>CM</t>
        </is>
      </c>
      <c r="D285" s="12" t="inlineStr">
        <is>
          <t>Documentation</t>
        </is>
      </c>
      <c r="E285" s="11">
        <f>IFERROR(TRACKER!G285,"Not Started")</f>
        <v/>
      </c>
      <c r="F285" s="51">
        <f>IFERROR('[Documentation.xlsx]CM-8-1'!B21,"")</f>
        <v/>
      </c>
      <c r="G285" s="51" t="inlineStr"/>
      <c r="H285" s="51" t="inlineStr"/>
      <c r="I285" s="11" t="inlineStr"/>
      <c r="J285" s="12" t="inlineStr"/>
      <c r="K285" s="17" t="inlineStr"/>
      <c r="L285" s="11" t="inlineStr">
        <is>
          <t>Not Started</t>
        </is>
      </c>
    </row>
    <row r="286" ht="42" customHeight="1">
      <c r="A286" s="18" t="n">
        <v>284</v>
      </c>
      <c r="B286" s="52" t="inlineStr">
        <is>
          <t>CM-8(3)</t>
        </is>
      </c>
      <c r="C286" s="18" t="inlineStr">
        <is>
          <t>CM</t>
        </is>
      </c>
      <c r="D286" s="19" t="inlineStr">
        <is>
          <t>Documentation</t>
        </is>
      </c>
      <c r="E286" s="18">
        <f>IFERROR(TRACKER!G286,"Not Started")</f>
        <v/>
      </c>
      <c r="F286" s="53">
        <f>IFERROR('[Documentation.xlsx]CM-8-3'!B21,"")</f>
        <v/>
      </c>
      <c r="G286" s="53" t="inlineStr"/>
      <c r="H286" s="53" t="inlineStr"/>
      <c r="I286" s="18" t="inlineStr"/>
      <c r="J286" s="19" t="inlineStr"/>
      <c r="K286" s="22" t="inlineStr"/>
      <c r="L286" s="18" t="inlineStr">
        <is>
          <t>Not Started</t>
        </is>
      </c>
    </row>
    <row r="287" ht="42" customHeight="1">
      <c r="A287" s="11" t="n">
        <v>285</v>
      </c>
      <c r="B287" s="50" t="inlineStr">
        <is>
          <t>CM-9</t>
        </is>
      </c>
      <c r="C287" s="11" t="inlineStr">
        <is>
          <t>CM</t>
        </is>
      </c>
      <c r="D287" s="12" t="inlineStr">
        <is>
          <t>Documentation</t>
        </is>
      </c>
      <c r="E287" s="11">
        <f>IFERROR(TRACKER!G287,"Not Started")</f>
        <v/>
      </c>
      <c r="F287" s="51">
        <f>IFERROR('[Documentation.xlsx]CM-9'!B21,"")</f>
        <v/>
      </c>
      <c r="G287" s="51" t="inlineStr"/>
      <c r="H287" s="51" t="inlineStr"/>
      <c r="I287" s="11" t="inlineStr"/>
      <c r="J287" s="12" t="inlineStr"/>
      <c r="K287" s="17" t="inlineStr"/>
      <c r="L287" s="11" t="inlineStr">
        <is>
          <t>Not Started</t>
        </is>
      </c>
    </row>
    <row r="288" ht="42" customHeight="1">
      <c r="A288" s="18" t="n">
        <v>286</v>
      </c>
      <c r="B288" s="52" t="inlineStr">
        <is>
          <t>CM-10</t>
        </is>
      </c>
      <c r="C288" s="18" t="inlineStr">
        <is>
          <t>CM</t>
        </is>
      </c>
      <c r="D288" s="19" t="inlineStr">
        <is>
          <t>Documentation</t>
        </is>
      </c>
      <c r="E288" s="18">
        <f>IFERROR(TRACKER!G288,"Not Started")</f>
        <v/>
      </c>
      <c r="F288" s="53">
        <f>IFERROR('[Documentation.xlsx]CM-10'!B21,"")</f>
        <v/>
      </c>
      <c r="G288" s="53" t="inlineStr"/>
      <c r="H288" s="53" t="inlineStr"/>
      <c r="I288" s="18" t="inlineStr"/>
      <c r="J288" s="19" t="inlineStr"/>
      <c r="K288" s="22" t="inlineStr"/>
      <c r="L288" s="18" t="inlineStr">
        <is>
          <t>Not Started</t>
        </is>
      </c>
    </row>
    <row r="289" ht="42" customHeight="1">
      <c r="A289" s="11" t="n">
        <v>287</v>
      </c>
      <c r="B289" s="50" t="inlineStr">
        <is>
          <t>CM-10(1)</t>
        </is>
      </c>
      <c r="C289" s="11" t="inlineStr">
        <is>
          <t>CM</t>
        </is>
      </c>
      <c r="D289" s="12" t="inlineStr">
        <is>
          <t>Documentation</t>
        </is>
      </c>
      <c r="E289" s="11">
        <f>IFERROR(TRACKER!G289,"Not Started")</f>
        <v/>
      </c>
      <c r="F289" s="51">
        <f>IFERROR('[Documentation.xlsx]CM-10-1'!B21,"")</f>
        <v/>
      </c>
      <c r="G289" s="51" t="inlineStr"/>
      <c r="H289" s="51" t="inlineStr"/>
      <c r="I289" s="11" t="inlineStr"/>
      <c r="J289" s="12" t="inlineStr"/>
      <c r="K289" s="17" t="inlineStr"/>
      <c r="L289" s="11" t="inlineStr">
        <is>
          <t>Not Started</t>
        </is>
      </c>
    </row>
    <row r="290" ht="42" customHeight="1">
      <c r="A290" s="18" t="n">
        <v>288</v>
      </c>
      <c r="B290" s="52" t="inlineStr">
        <is>
          <t>CM-11</t>
        </is>
      </c>
      <c r="C290" s="18" t="inlineStr">
        <is>
          <t>CM</t>
        </is>
      </c>
      <c r="D290" s="19" t="inlineStr">
        <is>
          <t>Documentation</t>
        </is>
      </c>
      <c r="E290" s="18">
        <f>IFERROR(TRACKER!G290,"Not Started")</f>
        <v/>
      </c>
      <c r="F290" s="53">
        <f>IFERROR('[Documentation.xlsx]CM-11'!B21,"")</f>
        <v/>
      </c>
      <c r="G290" s="53" t="inlineStr"/>
      <c r="H290" s="53" t="inlineStr"/>
      <c r="I290" s="18" t="inlineStr"/>
      <c r="J290" s="19" t="inlineStr"/>
      <c r="K290" s="22" t="inlineStr"/>
      <c r="L290" s="18" t="inlineStr">
        <is>
          <t>Not Started</t>
        </is>
      </c>
    </row>
    <row r="291" ht="42" customHeight="1">
      <c r="A291" s="11" t="n">
        <v>289</v>
      </c>
      <c r="B291" s="50" t="inlineStr">
        <is>
          <t>CP-1</t>
        </is>
      </c>
      <c r="C291" s="11" t="inlineStr">
        <is>
          <t>CP</t>
        </is>
      </c>
      <c r="D291" s="12" t="inlineStr">
        <is>
          <t>Documentation</t>
        </is>
      </c>
      <c r="E291" s="11">
        <f>IFERROR(TRACKER!G291,"Not Started")</f>
        <v/>
      </c>
      <c r="F291" s="51">
        <f>IFERROR('[Documentation.xlsx]CP-1'!B21,"")</f>
        <v/>
      </c>
      <c r="G291" s="51" t="inlineStr"/>
      <c r="H291" s="51" t="inlineStr"/>
      <c r="I291" s="11" t="inlineStr"/>
      <c r="J291" s="12" t="inlineStr"/>
      <c r="K291" s="17" t="inlineStr"/>
      <c r="L291" s="11" t="inlineStr">
        <is>
          <t>Not Started</t>
        </is>
      </c>
    </row>
    <row r="292" ht="42" customHeight="1">
      <c r="A292" s="18" t="n">
        <v>290</v>
      </c>
      <c r="B292" s="52" t="inlineStr">
        <is>
          <t>CP-2</t>
        </is>
      </c>
      <c r="C292" s="18" t="inlineStr">
        <is>
          <t>CP</t>
        </is>
      </c>
      <c r="D292" s="19" t="inlineStr">
        <is>
          <t>Documentation</t>
        </is>
      </c>
      <c r="E292" s="18">
        <f>IFERROR(TRACKER!G292,"Not Started")</f>
        <v/>
      </c>
      <c r="F292" s="53">
        <f>IFERROR('[Documentation.xlsx]CP-2'!B21,"")</f>
        <v/>
      </c>
      <c r="G292" s="53" t="inlineStr"/>
      <c r="H292" s="53" t="inlineStr"/>
      <c r="I292" s="18" t="inlineStr"/>
      <c r="J292" s="19" t="inlineStr"/>
      <c r="K292" s="22" t="inlineStr"/>
      <c r="L292" s="18" t="inlineStr">
        <is>
          <t>Not Started</t>
        </is>
      </c>
    </row>
    <row r="293" ht="42" customHeight="1">
      <c r="A293" s="11" t="n">
        <v>291</v>
      </c>
      <c r="B293" s="50" t="inlineStr">
        <is>
          <t>CP-2(1)</t>
        </is>
      </c>
      <c r="C293" s="11" t="inlineStr">
        <is>
          <t>CP</t>
        </is>
      </c>
      <c r="D293" s="12" t="inlineStr">
        <is>
          <t>Documentation</t>
        </is>
      </c>
      <c r="E293" s="11">
        <f>IFERROR(TRACKER!G293,"Not Started")</f>
        <v/>
      </c>
      <c r="F293" s="51">
        <f>IFERROR('[Documentation.xlsx]CP-2-1'!B21,"")</f>
        <v/>
      </c>
      <c r="G293" s="51" t="inlineStr"/>
      <c r="H293" s="51" t="inlineStr"/>
      <c r="I293" s="11" t="inlineStr"/>
      <c r="J293" s="12" t="inlineStr"/>
      <c r="K293" s="17" t="inlineStr"/>
      <c r="L293" s="11" t="inlineStr">
        <is>
          <t>Not Started</t>
        </is>
      </c>
    </row>
    <row r="294" ht="42" customHeight="1">
      <c r="A294" s="18" t="n">
        <v>292</v>
      </c>
      <c r="B294" s="52" t="inlineStr">
        <is>
          <t>CP-2(2)</t>
        </is>
      </c>
      <c r="C294" s="18" t="inlineStr">
        <is>
          <t>CP</t>
        </is>
      </c>
      <c r="D294" s="19" t="inlineStr">
        <is>
          <t>Documentation</t>
        </is>
      </c>
      <c r="E294" s="18">
        <f>IFERROR(TRACKER!G294,"Not Started")</f>
        <v/>
      </c>
      <c r="F294" s="53">
        <f>IFERROR('[Documentation.xlsx]CP-2-2'!B21,"")</f>
        <v/>
      </c>
      <c r="G294" s="53" t="inlineStr"/>
      <c r="H294" s="53" t="inlineStr"/>
      <c r="I294" s="18" t="inlineStr"/>
      <c r="J294" s="19" t="inlineStr"/>
      <c r="K294" s="22" t="inlineStr"/>
      <c r="L294" s="18" t="inlineStr">
        <is>
          <t>Not Started</t>
        </is>
      </c>
    </row>
    <row r="295" ht="42" customHeight="1">
      <c r="A295" s="11" t="n">
        <v>293</v>
      </c>
      <c r="B295" s="50" t="inlineStr">
        <is>
          <t>CP-2(3)</t>
        </is>
      </c>
      <c r="C295" s="11" t="inlineStr">
        <is>
          <t>CP</t>
        </is>
      </c>
      <c r="D295" s="12" t="inlineStr">
        <is>
          <t>Documentation</t>
        </is>
      </c>
      <c r="E295" s="11">
        <f>IFERROR(TRACKER!G295,"Not Started")</f>
        <v/>
      </c>
      <c r="F295" s="51">
        <f>IFERROR('[Documentation.xlsx]CP-2-3'!B21,"")</f>
        <v/>
      </c>
      <c r="G295" s="51" t="inlineStr"/>
      <c r="H295" s="51" t="inlineStr"/>
      <c r="I295" s="11" t="inlineStr"/>
      <c r="J295" s="12" t="inlineStr"/>
      <c r="K295" s="17" t="inlineStr"/>
      <c r="L295" s="11" t="inlineStr">
        <is>
          <t>Not Started</t>
        </is>
      </c>
    </row>
    <row r="296" ht="42" customHeight="1">
      <c r="A296" s="18" t="n">
        <v>294</v>
      </c>
      <c r="B296" s="52" t="inlineStr">
        <is>
          <t>CP-2(4)</t>
        </is>
      </c>
      <c r="C296" s="18" t="inlineStr">
        <is>
          <t>CP</t>
        </is>
      </c>
      <c r="D296" s="19" t="inlineStr">
        <is>
          <t>Documentation</t>
        </is>
      </c>
      <c r="E296" s="18">
        <f>IFERROR(TRACKER!G296,"Not Started")</f>
        <v/>
      </c>
      <c r="F296" s="53">
        <f>IFERROR('[Documentation.xlsx]CP-2-4'!B21,"")</f>
        <v/>
      </c>
      <c r="G296" s="53" t="inlineStr"/>
      <c r="H296" s="53" t="inlineStr"/>
      <c r="I296" s="18" t="inlineStr"/>
      <c r="J296" s="19" t="inlineStr"/>
      <c r="K296" s="22" t="inlineStr"/>
      <c r="L296" s="18" t="inlineStr">
        <is>
          <t>Not Started</t>
        </is>
      </c>
    </row>
    <row r="297" ht="42" customHeight="1">
      <c r="A297" s="11" t="n">
        <v>295</v>
      </c>
      <c r="B297" s="50" t="inlineStr">
        <is>
          <t>CP-2(5)</t>
        </is>
      </c>
      <c r="C297" s="11" t="inlineStr">
        <is>
          <t>CP</t>
        </is>
      </c>
      <c r="D297" s="12" t="inlineStr">
        <is>
          <t>Documentation</t>
        </is>
      </c>
      <c r="E297" s="11">
        <f>IFERROR(TRACKER!G297,"Not Started")</f>
        <v/>
      </c>
      <c r="F297" s="51">
        <f>IFERROR('[Documentation.xlsx]CP-2-5'!B21,"")</f>
        <v/>
      </c>
      <c r="G297" s="51" t="inlineStr"/>
      <c r="H297" s="51" t="inlineStr"/>
      <c r="I297" s="11" t="inlineStr"/>
      <c r="J297" s="12" t="inlineStr"/>
      <c r="K297" s="17" t="inlineStr"/>
      <c r="L297" s="11" t="inlineStr">
        <is>
          <t>Not Started</t>
        </is>
      </c>
    </row>
    <row r="298" ht="42" customHeight="1">
      <c r="A298" s="18" t="n">
        <v>296</v>
      </c>
      <c r="B298" s="52" t="inlineStr">
        <is>
          <t>CP-2(6)</t>
        </is>
      </c>
      <c r="C298" s="18" t="inlineStr">
        <is>
          <t>CP</t>
        </is>
      </c>
      <c r="D298" s="19" t="inlineStr">
        <is>
          <t>Documentation</t>
        </is>
      </c>
      <c r="E298" s="18">
        <f>IFERROR(TRACKER!G298,"Not Started")</f>
        <v/>
      </c>
      <c r="F298" s="53">
        <f>IFERROR('[Documentation.xlsx]CP-2-6'!B21,"")</f>
        <v/>
      </c>
      <c r="G298" s="53" t="inlineStr"/>
      <c r="H298" s="53" t="inlineStr"/>
      <c r="I298" s="18" t="inlineStr"/>
      <c r="J298" s="19" t="inlineStr"/>
      <c r="K298" s="22" t="inlineStr"/>
      <c r="L298" s="18" t="inlineStr">
        <is>
          <t>Not Started</t>
        </is>
      </c>
    </row>
    <row r="299" ht="42" customHeight="1">
      <c r="A299" s="11" t="n">
        <v>297</v>
      </c>
      <c r="B299" s="50" t="inlineStr">
        <is>
          <t>CP-2(8)</t>
        </is>
      </c>
      <c r="C299" s="11" t="inlineStr">
        <is>
          <t>CP</t>
        </is>
      </c>
      <c r="D299" s="12" t="inlineStr">
        <is>
          <t>Documentation</t>
        </is>
      </c>
      <c r="E299" s="11">
        <f>IFERROR(TRACKER!G299,"Not Started")</f>
        <v/>
      </c>
      <c r="F299" s="51">
        <f>IFERROR('[Documentation.xlsx]CP-2-8'!B21,"")</f>
        <v/>
      </c>
      <c r="G299" s="51" t="inlineStr"/>
      <c r="H299" s="51" t="inlineStr"/>
      <c r="I299" s="11" t="inlineStr"/>
      <c r="J299" s="12" t="inlineStr"/>
      <c r="K299" s="17" t="inlineStr"/>
      <c r="L299" s="11" t="inlineStr">
        <is>
          <t>Not Started</t>
        </is>
      </c>
    </row>
    <row r="300" ht="42" customHeight="1">
      <c r="A300" s="18" t="n">
        <v>298</v>
      </c>
      <c r="B300" s="52" t="inlineStr">
        <is>
          <t>CP-3</t>
        </is>
      </c>
      <c r="C300" s="18" t="inlineStr">
        <is>
          <t>CP</t>
        </is>
      </c>
      <c r="D300" s="19" t="inlineStr">
        <is>
          <t>Documentation</t>
        </is>
      </c>
      <c r="E300" s="18">
        <f>IFERROR(TRACKER!G300,"Not Started")</f>
        <v/>
      </c>
      <c r="F300" s="53">
        <f>IFERROR('[Documentation.xlsx]CP-3'!B21,"")</f>
        <v/>
      </c>
      <c r="G300" s="53" t="inlineStr"/>
      <c r="H300" s="53" t="inlineStr"/>
      <c r="I300" s="18" t="inlineStr"/>
      <c r="J300" s="19" t="inlineStr"/>
      <c r="K300" s="22" t="inlineStr"/>
      <c r="L300" s="18" t="inlineStr">
        <is>
          <t>Not Started</t>
        </is>
      </c>
    </row>
    <row r="301" ht="42" customHeight="1">
      <c r="A301" s="11" t="n">
        <v>299</v>
      </c>
      <c r="B301" s="50" t="inlineStr">
        <is>
          <t>CP-4</t>
        </is>
      </c>
      <c r="C301" s="11" t="inlineStr">
        <is>
          <t>CP</t>
        </is>
      </c>
      <c r="D301" s="12" t="inlineStr">
        <is>
          <t>Documentation</t>
        </is>
      </c>
      <c r="E301" s="11">
        <f>IFERROR(TRACKER!G301,"Not Started")</f>
        <v/>
      </c>
      <c r="F301" s="51">
        <f>IFERROR('[Documentation.xlsx]CP-4'!B21,"")</f>
        <v/>
      </c>
      <c r="G301" s="51" t="inlineStr"/>
      <c r="H301" s="51" t="inlineStr"/>
      <c r="I301" s="11" t="inlineStr"/>
      <c r="J301" s="12" t="inlineStr"/>
      <c r="K301" s="17" t="inlineStr"/>
      <c r="L301" s="11" t="inlineStr">
        <is>
          <t>Not Started</t>
        </is>
      </c>
    </row>
    <row r="302" ht="42" customHeight="1">
      <c r="A302" s="18" t="n">
        <v>300</v>
      </c>
      <c r="B302" s="52" t="inlineStr">
        <is>
          <t>CP-4(1)</t>
        </is>
      </c>
      <c r="C302" s="18" t="inlineStr">
        <is>
          <t>CP</t>
        </is>
      </c>
      <c r="D302" s="19" t="inlineStr">
        <is>
          <t>Documentation</t>
        </is>
      </c>
      <c r="E302" s="18">
        <f>IFERROR(TRACKER!G302,"Not Started")</f>
        <v/>
      </c>
      <c r="F302" s="53">
        <f>IFERROR('[Documentation.xlsx]CP-4-1'!B21,"")</f>
        <v/>
      </c>
      <c r="G302" s="53" t="inlineStr"/>
      <c r="H302" s="53" t="inlineStr"/>
      <c r="I302" s="18" t="inlineStr"/>
      <c r="J302" s="19" t="inlineStr"/>
      <c r="K302" s="22" t="inlineStr"/>
      <c r="L302" s="18" t="inlineStr">
        <is>
          <t>Not Started</t>
        </is>
      </c>
    </row>
    <row r="303" ht="42" customHeight="1">
      <c r="A303" s="11" t="n">
        <v>301</v>
      </c>
      <c r="B303" s="50" t="inlineStr">
        <is>
          <t>CP-4(2)</t>
        </is>
      </c>
      <c r="C303" s="11" t="inlineStr">
        <is>
          <t>CP</t>
        </is>
      </c>
      <c r="D303" s="12" t="inlineStr">
        <is>
          <t>Documentation</t>
        </is>
      </c>
      <c r="E303" s="11">
        <f>IFERROR(TRACKER!G303,"Not Started")</f>
        <v/>
      </c>
      <c r="F303" s="51">
        <f>IFERROR('[Documentation.xlsx]CP-4-2'!B21,"")</f>
        <v/>
      </c>
      <c r="G303" s="51" t="inlineStr"/>
      <c r="H303" s="51" t="inlineStr"/>
      <c r="I303" s="11" t="inlineStr"/>
      <c r="J303" s="12" t="inlineStr"/>
      <c r="K303" s="17" t="inlineStr"/>
      <c r="L303" s="11" t="inlineStr">
        <is>
          <t>Not Started</t>
        </is>
      </c>
    </row>
    <row r="304" ht="42" customHeight="1">
      <c r="A304" s="18" t="n">
        <v>302</v>
      </c>
      <c r="B304" s="52" t="inlineStr">
        <is>
          <t>CP-6</t>
        </is>
      </c>
      <c r="C304" s="18" t="inlineStr">
        <is>
          <t>CP</t>
        </is>
      </c>
      <c r="D304" s="19" t="inlineStr">
        <is>
          <t>Documentation</t>
        </is>
      </c>
      <c r="E304" s="18">
        <f>IFERROR(TRACKER!G304,"Not Started")</f>
        <v/>
      </c>
      <c r="F304" s="53">
        <f>IFERROR('[Documentation.xlsx]CP-6'!B21,"")</f>
        <v/>
      </c>
      <c r="G304" s="53" t="inlineStr"/>
      <c r="H304" s="53" t="inlineStr"/>
      <c r="I304" s="18" t="inlineStr"/>
      <c r="J304" s="19" t="inlineStr"/>
      <c r="K304" s="22" t="inlineStr"/>
      <c r="L304" s="18" t="inlineStr">
        <is>
          <t>Not Started</t>
        </is>
      </c>
    </row>
    <row r="305" ht="42" customHeight="1">
      <c r="A305" s="11" t="n">
        <v>303</v>
      </c>
      <c r="B305" s="50" t="inlineStr">
        <is>
          <t>CP-6(1)</t>
        </is>
      </c>
      <c r="C305" s="11" t="inlineStr">
        <is>
          <t>CP</t>
        </is>
      </c>
      <c r="D305" s="12" t="inlineStr">
        <is>
          <t>Documentation</t>
        </is>
      </c>
      <c r="E305" s="11">
        <f>IFERROR(TRACKER!G305,"Not Started")</f>
        <v/>
      </c>
      <c r="F305" s="51">
        <f>IFERROR('[Documentation.xlsx]CP-6-1'!B21,"")</f>
        <v/>
      </c>
      <c r="G305" s="51" t="inlineStr"/>
      <c r="H305" s="51" t="inlineStr"/>
      <c r="I305" s="11" t="inlineStr"/>
      <c r="J305" s="12" t="inlineStr"/>
      <c r="K305" s="17" t="inlineStr"/>
      <c r="L305" s="11" t="inlineStr">
        <is>
          <t>Not Started</t>
        </is>
      </c>
    </row>
    <row r="306" ht="42" customHeight="1">
      <c r="A306" s="18" t="n">
        <v>304</v>
      </c>
      <c r="B306" s="52" t="inlineStr">
        <is>
          <t>CP-6(2)</t>
        </is>
      </c>
      <c r="C306" s="18" t="inlineStr">
        <is>
          <t>CP</t>
        </is>
      </c>
      <c r="D306" s="19" t="inlineStr">
        <is>
          <t>Documentation</t>
        </is>
      </c>
      <c r="E306" s="18">
        <f>IFERROR(TRACKER!G306,"Not Started")</f>
        <v/>
      </c>
      <c r="F306" s="53">
        <f>IFERROR('[Documentation.xlsx]CP-6-2'!B21,"")</f>
        <v/>
      </c>
      <c r="G306" s="53" t="inlineStr"/>
      <c r="H306" s="53" t="inlineStr"/>
      <c r="I306" s="18" t="inlineStr"/>
      <c r="J306" s="19" t="inlineStr"/>
      <c r="K306" s="22" t="inlineStr"/>
      <c r="L306" s="18" t="inlineStr">
        <is>
          <t>Not Started</t>
        </is>
      </c>
    </row>
    <row r="307" ht="42" customHeight="1">
      <c r="A307" s="11" t="n">
        <v>305</v>
      </c>
      <c r="B307" s="50" t="inlineStr">
        <is>
          <t>CP-6(3)</t>
        </is>
      </c>
      <c r="C307" s="11" t="inlineStr">
        <is>
          <t>CP</t>
        </is>
      </c>
      <c r="D307" s="12" t="inlineStr">
        <is>
          <t>Documentation</t>
        </is>
      </c>
      <c r="E307" s="11">
        <f>IFERROR(TRACKER!G307,"Not Started")</f>
        <v/>
      </c>
      <c r="F307" s="51">
        <f>IFERROR('[Documentation.xlsx]CP-6-3'!B21,"")</f>
        <v/>
      </c>
      <c r="G307" s="51" t="inlineStr"/>
      <c r="H307" s="51" t="inlineStr"/>
      <c r="I307" s="11" t="inlineStr"/>
      <c r="J307" s="12" t="inlineStr"/>
      <c r="K307" s="17" t="inlineStr"/>
      <c r="L307" s="11" t="inlineStr">
        <is>
          <t>Not Started</t>
        </is>
      </c>
    </row>
    <row r="308" ht="42" customHeight="1">
      <c r="A308" s="18" t="n">
        <v>306</v>
      </c>
      <c r="B308" s="52" t="inlineStr">
        <is>
          <t>CP-7</t>
        </is>
      </c>
      <c r="C308" s="18" t="inlineStr">
        <is>
          <t>CP</t>
        </is>
      </c>
      <c r="D308" s="19" t="inlineStr">
        <is>
          <t>Documentation</t>
        </is>
      </c>
      <c r="E308" s="18">
        <f>IFERROR(TRACKER!G308,"Not Started")</f>
        <v/>
      </c>
      <c r="F308" s="53">
        <f>IFERROR('[Documentation.xlsx]CP-7'!B21,"")</f>
        <v/>
      </c>
      <c r="G308" s="53" t="inlineStr"/>
      <c r="H308" s="53" t="inlineStr"/>
      <c r="I308" s="18" t="inlineStr"/>
      <c r="J308" s="19" t="inlineStr"/>
      <c r="K308" s="22" t="inlineStr"/>
      <c r="L308" s="18" t="inlineStr">
        <is>
          <t>Not Started</t>
        </is>
      </c>
    </row>
    <row r="309" ht="42" customHeight="1">
      <c r="A309" s="11" t="n">
        <v>307</v>
      </c>
      <c r="B309" s="50" t="inlineStr">
        <is>
          <t>CP-7(2)</t>
        </is>
      </c>
      <c r="C309" s="11" t="inlineStr">
        <is>
          <t>CP</t>
        </is>
      </c>
      <c r="D309" s="12" t="inlineStr">
        <is>
          <t>Documentation</t>
        </is>
      </c>
      <c r="E309" s="11">
        <f>IFERROR(TRACKER!G309,"Not Started")</f>
        <v/>
      </c>
      <c r="F309" s="51">
        <f>IFERROR('[Documentation.xlsx]CP-7-2'!B21,"")</f>
        <v/>
      </c>
      <c r="G309" s="51" t="inlineStr"/>
      <c r="H309" s="51" t="inlineStr"/>
      <c r="I309" s="11" t="inlineStr"/>
      <c r="J309" s="12" t="inlineStr"/>
      <c r="K309" s="17" t="inlineStr"/>
      <c r="L309" s="11" t="inlineStr">
        <is>
          <t>Not Started</t>
        </is>
      </c>
    </row>
    <row r="310" ht="42" customHeight="1">
      <c r="A310" s="18" t="n">
        <v>308</v>
      </c>
      <c r="B310" s="52" t="inlineStr">
        <is>
          <t>CP-7(4)</t>
        </is>
      </c>
      <c r="C310" s="18" t="inlineStr">
        <is>
          <t>CP</t>
        </is>
      </c>
      <c r="D310" s="19" t="inlineStr">
        <is>
          <t>Documentation</t>
        </is>
      </c>
      <c r="E310" s="18">
        <f>IFERROR(TRACKER!G310,"Not Started")</f>
        <v/>
      </c>
      <c r="F310" s="53">
        <f>IFERROR('[Documentation.xlsx]CP-7-4'!B21,"")</f>
        <v/>
      </c>
      <c r="G310" s="53" t="inlineStr"/>
      <c r="H310" s="53" t="inlineStr"/>
      <c r="I310" s="18" t="inlineStr"/>
      <c r="J310" s="19" t="inlineStr"/>
      <c r="K310" s="22" t="inlineStr"/>
      <c r="L310" s="18" t="inlineStr">
        <is>
          <t>Not Started</t>
        </is>
      </c>
    </row>
    <row r="311" ht="42" customHeight="1">
      <c r="A311" s="11" t="n">
        <v>309</v>
      </c>
      <c r="B311" s="50" t="inlineStr">
        <is>
          <t>CP-9</t>
        </is>
      </c>
      <c r="C311" s="11" t="inlineStr">
        <is>
          <t>CP</t>
        </is>
      </c>
      <c r="D311" s="12" t="inlineStr">
        <is>
          <t>Documentation</t>
        </is>
      </c>
      <c r="E311" s="11">
        <f>IFERROR(TRACKER!G311,"Not Started")</f>
        <v/>
      </c>
      <c r="F311" s="51">
        <f>IFERROR('[Documentation.xlsx]CP-9'!B21,"")</f>
        <v/>
      </c>
      <c r="G311" s="51" t="inlineStr"/>
      <c r="H311" s="51" t="inlineStr"/>
      <c r="I311" s="11" t="inlineStr"/>
      <c r="J311" s="12" t="inlineStr"/>
      <c r="K311" s="17" t="inlineStr"/>
      <c r="L311" s="11" t="inlineStr">
        <is>
          <t>Not Started</t>
        </is>
      </c>
    </row>
    <row r="312" ht="42" customHeight="1">
      <c r="A312" s="18" t="n">
        <v>310</v>
      </c>
      <c r="B312" s="52" t="inlineStr">
        <is>
          <t>CP-9(1)</t>
        </is>
      </c>
      <c r="C312" s="18" t="inlineStr">
        <is>
          <t>CP</t>
        </is>
      </c>
      <c r="D312" s="19" t="inlineStr">
        <is>
          <t>Documentation</t>
        </is>
      </c>
      <c r="E312" s="18">
        <f>IFERROR(TRACKER!G312,"Not Started")</f>
        <v/>
      </c>
      <c r="F312" s="53">
        <f>IFERROR('[Documentation.xlsx]CP-9-1'!B21,"")</f>
        <v/>
      </c>
      <c r="G312" s="53" t="inlineStr"/>
      <c r="H312" s="53" t="inlineStr"/>
      <c r="I312" s="18" t="inlineStr"/>
      <c r="J312" s="19" t="inlineStr"/>
      <c r="K312" s="22" t="inlineStr"/>
      <c r="L312" s="18" t="inlineStr">
        <is>
          <t>Not Started</t>
        </is>
      </c>
    </row>
    <row r="313" ht="42" customHeight="1">
      <c r="A313" s="11" t="n">
        <v>311</v>
      </c>
      <c r="B313" s="50" t="inlineStr">
        <is>
          <t>CP-9(2)</t>
        </is>
      </c>
      <c r="C313" s="11" t="inlineStr">
        <is>
          <t>CP</t>
        </is>
      </c>
      <c r="D313" s="12" t="inlineStr">
        <is>
          <t>Documentation</t>
        </is>
      </c>
      <c r="E313" s="11">
        <f>IFERROR(TRACKER!G313,"Not Started")</f>
        <v/>
      </c>
      <c r="F313" s="51">
        <f>IFERROR('[Documentation.xlsx]CP-9-2'!B21,"")</f>
        <v/>
      </c>
      <c r="G313" s="51" t="inlineStr"/>
      <c r="H313" s="51" t="inlineStr"/>
      <c r="I313" s="11" t="inlineStr"/>
      <c r="J313" s="12" t="inlineStr"/>
      <c r="K313" s="17" t="inlineStr"/>
      <c r="L313" s="11" t="inlineStr">
        <is>
          <t>Not Started</t>
        </is>
      </c>
    </row>
    <row r="314" ht="42" customHeight="1">
      <c r="A314" s="18" t="n">
        <v>312</v>
      </c>
      <c r="B314" s="52" t="inlineStr">
        <is>
          <t>CP-9(5)</t>
        </is>
      </c>
      <c r="C314" s="18" t="inlineStr">
        <is>
          <t>CP</t>
        </is>
      </c>
      <c r="D314" s="19" t="inlineStr">
        <is>
          <t>Documentation</t>
        </is>
      </c>
      <c r="E314" s="18">
        <f>IFERROR(TRACKER!G314,"Not Started")</f>
        <v/>
      </c>
      <c r="F314" s="53">
        <f>IFERROR('[Documentation.xlsx]CP-9-5'!B21,"")</f>
        <v/>
      </c>
      <c r="G314" s="53" t="inlineStr"/>
      <c r="H314" s="53" t="inlineStr"/>
      <c r="I314" s="18" t="inlineStr"/>
      <c r="J314" s="19" t="inlineStr"/>
      <c r="K314" s="22" t="inlineStr"/>
      <c r="L314" s="18" t="inlineStr">
        <is>
          <t>Not Started</t>
        </is>
      </c>
    </row>
    <row r="315" ht="42" customHeight="1">
      <c r="A315" s="11" t="n">
        <v>313</v>
      </c>
      <c r="B315" s="50" t="inlineStr">
        <is>
          <t>CP-10</t>
        </is>
      </c>
      <c r="C315" s="11" t="inlineStr">
        <is>
          <t>CP</t>
        </is>
      </c>
      <c r="D315" s="12" t="inlineStr">
        <is>
          <t>Documentation</t>
        </is>
      </c>
      <c r="E315" s="11">
        <f>IFERROR(TRACKER!G315,"Not Started")</f>
        <v/>
      </c>
      <c r="F315" s="51">
        <f>IFERROR('[Documentation.xlsx]CP-10'!B21,"")</f>
        <v/>
      </c>
      <c r="G315" s="51" t="inlineStr"/>
      <c r="H315" s="51" t="inlineStr"/>
      <c r="I315" s="11" t="inlineStr"/>
      <c r="J315" s="12" t="inlineStr"/>
      <c r="K315" s="17" t="inlineStr"/>
      <c r="L315" s="11" t="inlineStr">
        <is>
          <t>Not Started</t>
        </is>
      </c>
    </row>
    <row r="316" ht="42" customHeight="1">
      <c r="A316" s="18" t="n">
        <v>314</v>
      </c>
      <c r="B316" s="52" t="inlineStr">
        <is>
          <t>CP-10(4)</t>
        </is>
      </c>
      <c r="C316" s="18" t="inlineStr">
        <is>
          <t>CP</t>
        </is>
      </c>
      <c r="D316" s="19" t="inlineStr">
        <is>
          <t>Documentation</t>
        </is>
      </c>
      <c r="E316" s="18">
        <f>IFERROR(TRACKER!G316,"Not Started")</f>
        <v/>
      </c>
      <c r="F316" s="53">
        <f>IFERROR('[Documentation.xlsx]CP-10-4'!B21,"")</f>
        <v/>
      </c>
      <c r="G316" s="53" t="inlineStr"/>
      <c r="H316" s="53" t="inlineStr"/>
      <c r="I316" s="18" t="inlineStr"/>
      <c r="J316" s="19" t="inlineStr"/>
      <c r="K316" s="22" t="inlineStr"/>
      <c r="L316" s="18" t="inlineStr">
        <is>
          <t>Not Started</t>
        </is>
      </c>
    </row>
    <row r="317" ht="42" customHeight="1">
      <c r="A317" s="11" t="n">
        <v>315</v>
      </c>
      <c r="B317" s="50" t="inlineStr">
        <is>
          <t>IA-1</t>
        </is>
      </c>
      <c r="C317" s="11" t="inlineStr">
        <is>
          <t>IA</t>
        </is>
      </c>
      <c r="D317" s="12" t="inlineStr">
        <is>
          <t>Documentation</t>
        </is>
      </c>
      <c r="E317" s="11">
        <f>IFERROR(TRACKER!G317,"Not Started")</f>
        <v/>
      </c>
      <c r="F317" s="51">
        <f>IFERROR('[Documentation.xlsx]IA-1'!B21,"")</f>
        <v/>
      </c>
      <c r="G317" s="51" t="inlineStr"/>
      <c r="H317" s="51" t="inlineStr"/>
      <c r="I317" s="11" t="inlineStr"/>
      <c r="J317" s="12" t="inlineStr"/>
      <c r="K317" s="17" t="inlineStr"/>
      <c r="L317" s="11" t="inlineStr">
        <is>
          <t>Not Started</t>
        </is>
      </c>
    </row>
    <row r="318" ht="42" customHeight="1">
      <c r="A318" s="18" t="n">
        <v>316</v>
      </c>
      <c r="B318" s="52" t="inlineStr">
        <is>
          <t>IA-4</t>
        </is>
      </c>
      <c r="C318" s="18" t="inlineStr">
        <is>
          <t>IA</t>
        </is>
      </c>
      <c r="D318" s="19" t="inlineStr">
        <is>
          <t>Documentation</t>
        </is>
      </c>
      <c r="E318" s="18">
        <f>IFERROR(TRACKER!G318,"Not Started")</f>
        <v/>
      </c>
      <c r="F318" s="53">
        <f>IFERROR('[Documentation.xlsx]IA-4'!B21,"")</f>
        <v/>
      </c>
      <c r="G318" s="53" t="inlineStr"/>
      <c r="H318" s="53" t="inlineStr"/>
      <c r="I318" s="18" t="inlineStr"/>
      <c r="J318" s="19" t="inlineStr"/>
      <c r="K318" s="22" t="inlineStr"/>
      <c r="L318" s="18" t="inlineStr">
        <is>
          <t>Not Started</t>
        </is>
      </c>
    </row>
    <row r="319" ht="42" customHeight="1">
      <c r="A319" s="11" t="n">
        <v>317</v>
      </c>
      <c r="B319" s="50" t="inlineStr">
        <is>
          <t>IA-4(2)</t>
        </is>
      </c>
      <c r="C319" s="11" t="inlineStr">
        <is>
          <t>IA</t>
        </is>
      </c>
      <c r="D319" s="12" t="inlineStr">
        <is>
          <t>Documentation</t>
        </is>
      </c>
      <c r="E319" s="11">
        <f>IFERROR(TRACKER!G319,"Not Started")</f>
        <v/>
      </c>
      <c r="F319" s="51">
        <f>IFERROR('[Documentation.xlsx]IA-4-2'!B21,"")</f>
        <v/>
      </c>
      <c r="G319" s="51" t="inlineStr"/>
      <c r="H319" s="51" t="inlineStr"/>
      <c r="I319" s="11" t="inlineStr"/>
      <c r="J319" s="12" t="inlineStr"/>
      <c r="K319" s="17" t="inlineStr"/>
      <c r="L319" s="11" t="inlineStr">
        <is>
          <t>Not Started</t>
        </is>
      </c>
    </row>
    <row r="320" ht="42" customHeight="1">
      <c r="A320" s="18" t="n">
        <v>318</v>
      </c>
      <c r="B320" s="52" t="inlineStr">
        <is>
          <t>IA-4(3)</t>
        </is>
      </c>
      <c r="C320" s="18" t="inlineStr">
        <is>
          <t>IA</t>
        </is>
      </c>
      <c r="D320" s="19" t="inlineStr">
        <is>
          <t>Documentation</t>
        </is>
      </c>
      <c r="E320" s="18">
        <f>IFERROR(TRACKER!G320,"Not Started")</f>
        <v/>
      </c>
      <c r="F320" s="53">
        <f>IFERROR('[Documentation.xlsx]IA-4-3'!B21,"")</f>
        <v/>
      </c>
      <c r="G320" s="53" t="inlineStr"/>
      <c r="H320" s="53" t="inlineStr"/>
      <c r="I320" s="18" t="inlineStr"/>
      <c r="J320" s="19" t="inlineStr"/>
      <c r="K320" s="22" t="inlineStr"/>
      <c r="L320" s="18" t="inlineStr">
        <is>
          <t>Not Started</t>
        </is>
      </c>
    </row>
    <row r="321" ht="42" customHeight="1">
      <c r="A321" s="11" t="n">
        <v>319</v>
      </c>
      <c r="B321" s="50" t="inlineStr">
        <is>
          <t>IA-5</t>
        </is>
      </c>
      <c r="C321" s="11" t="inlineStr">
        <is>
          <t>IA</t>
        </is>
      </c>
      <c r="D321" s="12" t="inlineStr">
        <is>
          <t>Documentation</t>
        </is>
      </c>
      <c r="E321" s="11">
        <f>IFERROR(TRACKER!G321,"Not Started")</f>
        <v/>
      </c>
      <c r="F321" s="51">
        <f>IFERROR('[Documentation.xlsx]IA-5'!B21,"")</f>
        <v/>
      </c>
      <c r="G321" s="51" t="inlineStr"/>
      <c r="H321" s="51" t="inlineStr"/>
      <c r="I321" s="11" t="inlineStr"/>
      <c r="J321" s="12" t="inlineStr"/>
      <c r="K321" s="17" t="inlineStr"/>
      <c r="L321" s="11" t="inlineStr">
        <is>
          <t>Not Started</t>
        </is>
      </c>
    </row>
    <row r="322" ht="42" customHeight="1">
      <c r="A322" s="18" t="n">
        <v>320</v>
      </c>
      <c r="B322" s="52" t="inlineStr">
        <is>
          <t>IA-5(2)</t>
        </is>
      </c>
      <c r="C322" s="18" t="inlineStr">
        <is>
          <t>IA</t>
        </is>
      </c>
      <c r="D322" s="19" t="inlineStr">
        <is>
          <t>Documentation</t>
        </is>
      </c>
      <c r="E322" s="18">
        <f>IFERROR(TRACKER!G322,"Not Started")</f>
        <v/>
      </c>
      <c r="F322" s="53">
        <f>IFERROR('[Documentation.xlsx]IA-5-2'!B21,"")</f>
        <v/>
      </c>
      <c r="G322" s="53" t="inlineStr"/>
      <c r="H322" s="53" t="inlineStr"/>
      <c r="I322" s="18" t="inlineStr"/>
      <c r="J322" s="19" t="inlineStr"/>
      <c r="K322" s="22" t="inlineStr"/>
      <c r="L322" s="18" t="inlineStr">
        <is>
          <t>Not Started</t>
        </is>
      </c>
    </row>
    <row r="323" ht="42" customHeight="1">
      <c r="A323" s="11" t="n">
        <v>321</v>
      </c>
      <c r="B323" s="50" t="inlineStr">
        <is>
          <t>IA-5(3)</t>
        </is>
      </c>
      <c r="C323" s="11" t="inlineStr">
        <is>
          <t>IA</t>
        </is>
      </c>
      <c r="D323" s="12" t="inlineStr">
        <is>
          <t>Documentation</t>
        </is>
      </c>
      <c r="E323" s="11">
        <f>IFERROR(TRACKER!G323,"Not Started")</f>
        <v/>
      </c>
      <c r="F323" s="51">
        <f>IFERROR('[Documentation.xlsx]IA-5-3'!B21,"")</f>
        <v/>
      </c>
      <c r="G323" s="51" t="inlineStr"/>
      <c r="H323" s="51" t="inlineStr"/>
      <c r="I323" s="11" t="inlineStr"/>
      <c r="J323" s="12" t="inlineStr"/>
      <c r="K323" s="17" t="inlineStr"/>
      <c r="L323" s="11" t="inlineStr">
        <is>
          <t>Not Started</t>
        </is>
      </c>
    </row>
    <row r="324" ht="42" customHeight="1">
      <c r="A324" s="18" t="n">
        <v>322</v>
      </c>
      <c r="B324" s="52" t="inlineStr">
        <is>
          <t>IR-1</t>
        </is>
      </c>
      <c r="C324" s="18" t="inlineStr">
        <is>
          <t>IR</t>
        </is>
      </c>
      <c r="D324" s="19" t="inlineStr">
        <is>
          <t>Documentation</t>
        </is>
      </c>
      <c r="E324" s="18">
        <f>IFERROR(TRACKER!G324,"Not Started")</f>
        <v/>
      </c>
      <c r="F324" s="53">
        <f>IFERROR('[Documentation.xlsx]IR-1'!B21,"")</f>
        <v/>
      </c>
      <c r="G324" s="53" t="inlineStr"/>
      <c r="H324" s="53" t="inlineStr"/>
      <c r="I324" s="18" t="inlineStr"/>
      <c r="J324" s="19" t="inlineStr"/>
      <c r="K324" s="22" t="inlineStr"/>
      <c r="L324" s="18" t="inlineStr">
        <is>
          <t>Not Started</t>
        </is>
      </c>
    </row>
    <row r="325" ht="42" customHeight="1">
      <c r="A325" s="11" t="n">
        <v>323</v>
      </c>
      <c r="B325" s="50" t="inlineStr">
        <is>
          <t>IR-2</t>
        </is>
      </c>
      <c r="C325" s="11" t="inlineStr">
        <is>
          <t>IR</t>
        </is>
      </c>
      <c r="D325" s="12" t="inlineStr">
        <is>
          <t>Documentation</t>
        </is>
      </c>
      <c r="E325" s="11">
        <f>IFERROR(TRACKER!G325,"Not Started")</f>
        <v/>
      </c>
      <c r="F325" s="51">
        <f>IFERROR('[Documentation.xlsx]IR-2'!B21,"")</f>
        <v/>
      </c>
      <c r="G325" s="51" t="inlineStr"/>
      <c r="H325" s="51" t="inlineStr"/>
      <c r="I325" s="11" t="inlineStr"/>
      <c r="J325" s="12" t="inlineStr"/>
      <c r="K325" s="17" t="inlineStr"/>
      <c r="L325" s="11" t="inlineStr">
        <is>
          <t>Not Started</t>
        </is>
      </c>
    </row>
    <row r="326" ht="42" customHeight="1">
      <c r="A326" s="18" t="n">
        <v>324</v>
      </c>
      <c r="B326" s="52" t="inlineStr">
        <is>
          <t>IR-3</t>
        </is>
      </c>
      <c r="C326" s="18" t="inlineStr">
        <is>
          <t>IR</t>
        </is>
      </c>
      <c r="D326" s="19" t="inlineStr">
        <is>
          <t>Documentation</t>
        </is>
      </c>
      <c r="E326" s="18">
        <f>IFERROR(TRACKER!G326,"Not Started")</f>
        <v/>
      </c>
      <c r="F326" s="53">
        <f>IFERROR('[Documentation.xlsx]IR-3'!B21,"")</f>
        <v/>
      </c>
      <c r="G326" s="53" t="inlineStr"/>
      <c r="H326" s="53" t="inlineStr"/>
      <c r="I326" s="18" t="inlineStr"/>
      <c r="J326" s="19" t="inlineStr"/>
      <c r="K326" s="22" t="inlineStr"/>
      <c r="L326" s="18" t="inlineStr">
        <is>
          <t>Not Started</t>
        </is>
      </c>
    </row>
    <row r="327" ht="42" customHeight="1">
      <c r="A327" s="11" t="n">
        <v>325</v>
      </c>
      <c r="B327" s="50" t="inlineStr">
        <is>
          <t>IR-3(2)</t>
        </is>
      </c>
      <c r="C327" s="11" t="inlineStr">
        <is>
          <t>IR</t>
        </is>
      </c>
      <c r="D327" s="12" t="inlineStr">
        <is>
          <t>Documentation</t>
        </is>
      </c>
      <c r="E327" s="11">
        <f>IFERROR(TRACKER!G327,"Not Started")</f>
        <v/>
      </c>
      <c r="F327" s="51">
        <f>IFERROR('[Documentation.xlsx]IR-3-2'!B21,"")</f>
        <v/>
      </c>
      <c r="G327" s="51" t="inlineStr"/>
      <c r="H327" s="51" t="inlineStr"/>
      <c r="I327" s="11" t="inlineStr"/>
      <c r="J327" s="12" t="inlineStr"/>
      <c r="K327" s="17" t="inlineStr"/>
      <c r="L327" s="11" t="inlineStr">
        <is>
          <t>Not Started</t>
        </is>
      </c>
    </row>
    <row r="328" ht="42" customHeight="1">
      <c r="A328" s="18" t="n">
        <v>326</v>
      </c>
      <c r="B328" s="52" t="inlineStr">
        <is>
          <t>IR-4</t>
        </is>
      </c>
      <c r="C328" s="18" t="inlineStr">
        <is>
          <t>IR</t>
        </is>
      </c>
      <c r="D328" s="19" t="inlineStr">
        <is>
          <t>Documentation</t>
        </is>
      </c>
      <c r="E328" s="18">
        <f>IFERROR(TRACKER!G328,"Not Started")</f>
        <v/>
      </c>
      <c r="F328" s="53">
        <f>IFERROR('[Documentation.xlsx]IR-4'!B21,"")</f>
        <v/>
      </c>
      <c r="G328" s="53" t="inlineStr"/>
      <c r="H328" s="53" t="inlineStr"/>
      <c r="I328" s="18" t="inlineStr"/>
      <c r="J328" s="19" t="inlineStr"/>
      <c r="K328" s="22" t="inlineStr"/>
      <c r="L328" s="18" t="inlineStr">
        <is>
          <t>Not Started</t>
        </is>
      </c>
    </row>
    <row r="329" ht="42" customHeight="1">
      <c r="A329" s="11" t="n">
        <v>327</v>
      </c>
      <c r="B329" s="50" t="inlineStr">
        <is>
          <t>IR-4(3)</t>
        </is>
      </c>
      <c r="C329" s="11" t="inlineStr">
        <is>
          <t>IR</t>
        </is>
      </c>
      <c r="D329" s="12" t="inlineStr">
        <is>
          <t>Documentation</t>
        </is>
      </c>
      <c r="E329" s="11">
        <f>IFERROR(TRACKER!G329,"Not Started")</f>
        <v/>
      </c>
      <c r="F329" s="51">
        <f>IFERROR('[Documentation.xlsx]IR-4-3'!B21,"")</f>
        <v/>
      </c>
      <c r="G329" s="51" t="inlineStr"/>
      <c r="H329" s="51" t="inlineStr"/>
      <c r="I329" s="11" t="inlineStr"/>
      <c r="J329" s="12" t="inlineStr"/>
      <c r="K329" s="17" t="inlineStr"/>
      <c r="L329" s="11" t="inlineStr">
        <is>
          <t>Not Started</t>
        </is>
      </c>
    </row>
    <row r="330" ht="42" customHeight="1">
      <c r="A330" s="18" t="n">
        <v>328</v>
      </c>
      <c r="B330" s="52" t="inlineStr">
        <is>
          <t>IR-5</t>
        </is>
      </c>
      <c r="C330" s="18" t="inlineStr">
        <is>
          <t>IR</t>
        </is>
      </c>
      <c r="D330" s="19" t="inlineStr">
        <is>
          <t>Documentation</t>
        </is>
      </c>
      <c r="E330" s="18">
        <f>IFERROR(TRACKER!G330,"Not Started")</f>
        <v/>
      </c>
      <c r="F330" s="53">
        <f>IFERROR('[Documentation.xlsx]IR-5'!B21,"")</f>
        <v/>
      </c>
      <c r="G330" s="53" t="inlineStr"/>
      <c r="H330" s="53" t="inlineStr"/>
      <c r="I330" s="18" t="inlineStr"/>
      <c r="J330" s="19" t="inlineStr"/>
      <c r="K330" s="22" t="inlineStr"/>
      <c r="L330" s="18" t="inlineStr">
        <is>
          <t>Not Started</t>
        </is>
      </c>
    </row>
    <row r="331" ht="42" customHeight="1">
      <c r="A331" s="11" t="n">
        <v>329</v>
      </c>
      <c r="B331" s="50" t="inlineStr">
        <is>
          <t>IR-6</t>
        </is>
      </c>
      <c r="C331" s="11" t="inlineStr">
        <is>
          <t>IR</t>
        </is>
      </c>
      <c r="D331" s="12" t="inlineStr">
        <is>
          <t>Documentation</t>
        </is>
      </c>
      <c r="E331" s="11">
        <f>IFERROR(TRACKER!G331,"Not Started")</f>
        <v/>
      </c>
      <c r="F331" s="51">
        <f>IFERROR('[Documentation.xlsx]IR-6'!B21,"")</f>
        <v/>
      </c>
      <c r="G331" s="51" t="inlineStr"/>
      <c r="H331" s="51" t="inlineStr"/>
      <c r="I331" s="11" t="inlineStr"/>
      <c r="J331" s="12" t="inlineStr"/>
      <c r="K331" s="17" t="inlineStr"/>
      <c r="L331" s="11" t="inlineStr">
        <is>
          <t>Not Started</t>
        </is>
      </c>
    </row>
    <row r="332" ht="42" customHeight="1">
      <c r="A332" s="18" t="n">
        <v>330</v>
      </c>
      <c r="B332" s="52" t="inlineStr">
        <is>
          <t>IR-7</t>
        </is>
      </c>
      <c r="C332" s="18" t="inlineStr">
        <is>
          <t>IR</t>
        </is>
      </c>
      <c r="D332" s="19" t="inlineStr">
        <is>
          <t>Documentation</t>
        </is>
      </c>
      <c r="E332" s="18">
        <f>IFERROR(TRACKER!G332,"Not Started")</f>
        <v/>
      </c>
      <c r="F332" s="53">
        <f>IFERROR('[Documentation.xlsx]IR-7'!B21,"")</f>
        <v/>
      </c>
      <c r="G332" s="53" t="inlineStr"/>
      <c r="H332" s="53" t="inlineStr"/>
      <c r="I332" s="18" t="inlineStr"/>
      <c r="J332" s="19" t="inlineStr"/>
      <c r="K332" s="22" t="inlineStr"/>
      <c r="L332" s="18" t="inlineStr">
        <is>
          <t>Not Started</t>
        </is>
      </c>
    </row>
    <row r="333" ht="42" customHeight="1">
      <c r="A333" s="11" t="n">
        <v>331</v>
      </c>
      <c r="B333" s="50" t="inlineStr">
        <is>
          <t>IR-7(2)</t>
        </is>
      </c>
      <c r="C333" s="11" t="inlineStr">
        <is>
          <t>IR</t>
        </is>
      </c>
      <c r="D333" s="12" t="inlineStr">
        <is>
          <t>Documentation</t>
        </is>
      </c>
      <c r="E333" s="11">
        <f>IFERROR(TRACKER!G333,"Not Started")</f>
        <v/>
      </c>
      <c r="F333" s="51">
        <f>IFERROR('[Documentation.xlsx]IR-7-2'!B21,"")</f>
        <v/>
      </c>
      <c r="G333" s="51" t="inlineStr"/>
      <c r="H333" s="51" t="inlineStr"/>
      <c r="I333" s="11" t="inlineStr"/>
      <c r="J333" s="12" t="inlineStr"/>
      <c r="K333" s="17" t="inlineStr"/>
      <c r="L333" s="11" t="inlineStr">
        <is>
          <t>Not Started</t>
        </is>
      </c>
    </row>
    <row r="334" ht="42" customHeight="1">
      <c r="A334" s="18" t="n">
        <v>332</v>
      </c>
      <c r="B334" s="52" t="inlineStr">
        <is>
          <t>IR-8</t>
        </is>
      </c>
      <c r="C334" s="18" t="inlineStr">
        <is>
          <t>IR</t>
        </is>
      </c>
      <c r="D334" s="19" t="inlineStr">
        <is>
          <t>Documentation</t>
        </is>
      </c>
      <c r="E334" s="18">
        <f>IFERROR(TRACKER!G334,"Not Started")</f>
        <v/>
      </c>
      <c r="F334" s="53">
        <f>IFERROR('[Documentation.xlsx]IR-8'!B21,"")</f>
        <v/>
      </c>
      <c r="G334" s="53" t="inlineStr"/>
      <c r="H334" s="53" t="inlineStr"/>
      <c r="I334" s="18" t="inlineStr"/>
      <c r="J334" s="19" t="inlineStr"/>
      <c r="K334" s="22" t="inlineStr"/>
      <c r="L334" s="18" t="inlineStr">
        <is>
          <t>Not Started</t>
        </is>
      </c>
    </row>
    <row r="335" ht="42" customHeight="1">
      <c r="A335" s="11" t="n">
        <v>333</v>
      </c>
      <c r="B335" s="50" t="inlineStr">
        <is>
          <t>IR-9</t>
        </is>
      </c>
      <c r="C335" s="11" t="inlineStr">
        <is>
          <t>IR</t>
        </is>
      </c>
      <c r="D335" s="12" t="inlineStr">
        <is>
          <t>Documentation</t>
        </is>
      </c>
      <c r="E335" s="11">
        <f>IFERROR(TRACKER!G335,"Not Started")</f>
        <v/>
      </c>
      <c r="F335" s="51">
        <f>IFERROR('[Documentation.xlsx]IR-9'!B21,"")</f>
        <v/>
      </c>
      <c r="G335" s="51" t="inlineStr"/>
      <c r="H335" s="51" t="inlineStr"/>
      <c r="I335" s="11" t="inlineStr"/>
      <c r="J335" s="12" t="inlineStr"/>
      <c r="K335" s="17" t="inlineStr"/>
      <c r="L335" s="11" t="inlineStr">
        <is>
          <t>Not Started</t>
        </is>
      </c>
    </row>
    <row r="336" ht="42" customHeight="1">
      <c r="A336" s="18" t="n">
        <v>334</v>
      </c>
      <c r="B336" s="52" t="inlineStr">
        <is>
          <t>IR-9(1)</t>
        </is>
      </c>
      <c r="C336" s="18" t="inlineStr">
        <is>
          <t>IR</t>
        </is>
      </c>
      <c r="D336" s="19" t="inlineStr">
        <is>
          <t>Documentation</t>
        </is>
      </c>
      <c r="E336" s="18">
        <f>IFERROR(TRACKER!G336,"Not Started")</f>
        <v/>
      </c>
      <c r="F336" s="53">
        <f>IFERROR('[Documentation.xlsx]IR-9-1'!B21,"")</f>
        <v/>
      </c>
      <c r="G336" s="53" t="inlineStr"/>
      <c r="H336" s="53" t="inlineStr"/>
      <c r="I336" s="18" t="inlineStr"/>
      <c r="J336" s="19" t="inlineStr"/>
      <c r="K336" s="22" t="inlineStr"/>
      <c r="L336" s="18" t="inlineStr">
        <is>
          <t>Not Started</t>
        </is>
      </c>
    </row>
    <row r="337" ht="42" customHeight="1">
      <c r="A337" s="11" t="n">
        <v>335</v>
      </c>
      <c r="B337" s="50" t="inlineStr">
        <is>
          <t>IR-9(2)</t>
        </is>
      </c>
      <c r="C337" s="11" t="inlineStr">
        <is>
          <t>IR</t>
        </is>
      </c>
      <c r="D337" s="12" t="inlineStr">
        <is>
          <t>Documentation</t>
        </is>
      </c>
      <c r="E337" s="11">
        <f>IFERROR(TRACKER!G337,"Not Started")</f>
        <v/>
      </c>
      <c r="F337" s="51">
        <f>IFERROR('[Documentation.xlsx]IR-9-2'!B21,"")</f>
        <v/>
      </c>
      <c r="G337" s="51" t="inlineStr"/>
      <c r="H337" s="51" t="inlineStr"/>
      <c r="I337" s="11" t="inlineStr"/>
      <c r="J337" s="12" t="inlineStr"/>
      <c r="K337" s="17" t="inlineStr"/>
      <c r="L337" s="11" t="inlineStr">
        <is>
          <t>Not Started</t>
        </is>
      </c>
    </row>
    <row r="338" ht="42" customHeight="1">
      <c r="A338" s="18" t="n">
        <v>336</v>
      </c>
      <c r="B338" s="52" t="inlineStr">
        <is>
          <t>IR-9(3)</t>
        </is>
      </c>
      <c r="C338" s="18" t="inlineStr">
        <is>
          <t>IR</t>
        </is>
      </c>
      <c r="D338" s="19" t="inlineStr">
        <is>
          <t>Documentation</t>
        </is>
      </c>
      <c r="E338" s="18">
        <f>IFERROR(TRACKER!G338,"Not Started")</f>
        <v/>
      </c>
      <c r="F338" s="53">
        <f>IFERROR('[Documentation.xlsx]IR-9-3'!B21,"")</f>
        <v/>
      </c>
      <c r="G338" s="53" t="inlineStr"/>
      <c r="H338" s="53" t="inlineStr"/>
      <c r="I338" s="18" t="inlineStr"/>
      <c r="J338" s="19" t="inlineStr"/>
      <c r="K338" s="22" t="inlineStr"/>
      <c r="L338" s="18" t="inlineStr">
        <is>
          <t>Not Started</t>
        </is>
      </c>
    </row>
    <row r="339" ht="42" customHeight="1">
      <c r="A339" s="11" t="n">
        <v>337</v>
      </c>
      <c r="B339" s="50" t="inlineStr">
        <is>
          <t>IR-9(4)</t>
        </is>
      </c>
      <c r="C339" s="11" t="inlineStr">
        <is>
          <t>IR</t>
        </is>
      </c>
      <c r="D339" s="12" t="inlineStr">
        <is>
          <t>Documentation</t>
        </is>
      </c>
      <c r="E339" s="11">
        <f>IFERROR(TRACKER!G339,"Not Started")</f>
        <v/>
      </c>
      <c r="F339" s="51">
        <f>IFERROR('[Documentation.xlsx]IR-9-4'!B21,"")</f>
        <v/>
      </c>
      <c r="G339" s="51" t="inlineStr"/>
      <c r="H339" s="51" t="inlineStr"/>
      <c r="I339" s="11" t="inlineStr"/>
      <c r="J339" s="12" t="inlineStr"/>
      <c r="K339" s="17" t="inlineStr"/>
      <c r="L339" s="11" t="inlineStr">
        <is>
          <t>Not Started</t>
        </is>
      </c>
    </row>
    <row r="340" ht="42" customHeight="1">
      <c r="A340" s="18" t="n">
        <v>338</v>
      </c>
      <c r="B340" s="52" t="inlineStr">
        <is>
          <t>MA-1</t>
        </is>
      </c>
      <c r="C340" s="18" t="inlineStr">
        <is>
          <t>MA</t>
        </is>
      </c>
      <c r="D340" s="19" t="inlineStr">
        <is>
          <t>Documentation</t>
        </is>
      </c>
      <c r="E340" s="18">
        <f>IFERROR(TRACKER!G340,"Not Started")</f>
        <v/>
      </c>
      <c r="F340" s="53">
        <f>IFERROR('[Documentation.xlsx]MA-1'!B21,"")</f>
        <v/>
      </c>
      <c r="G340" s="53" t="inlineStr"/>
      <c r="H340" s="53" t="inlineStr"/>
      <c r="I340" s="18" t="inlineStr"/>
      <c r="J340" s="19" t="inlineStr"/>
      <c r="K340" s="22" t="inlineStr"/>
      <c r="L340" s="18" t="inlineStr">
        <is>
          <t>Not Started</t>
        </is>
      </c>
    </row>
    <row r="341" ht="42" customHeight="1">
      <c r="A341" s="11" t="n">
        <v>339</v>
      </c>
      <c r="B341" s="50" t="inlineStr">
        <is>
          <t>MA-2</t>
        </is>
      </c>
      <c r="C341" s="11" t="inlineStr">
        <is>
          <t>MA</t>
        </is>
      </c>
      <c r="D341" s="12" t="inlineStr">
        <is>
          <t>Documentation</t>
        </is>
      </c>
      <c r="E341" s="11">
        <f>IFERROR(TRACKER!G341,"Not Started")</f>
        <v/>
      </c>
      <c r="F341" s="51">
        <f>IFERROR('[Documentation.xlsx]MA-2'!B21,"")</f>
        <v/>
      </c>
      <c r="G341" s="51" t="inlineStr"/>
      <c r="H341" s="51" t="inlineStr"/>
      <c r="I341" s="11" t="inlineStr"/>
      <c r="J341" s="12" t="inlineStr"/>
      <c r="K341" s="17" t="inlineStr"/>
      <c r="L341" s="11" t="inlineStr">
        <is>
          <t>Not Started</t>
        </is>
      </c>
    </row>
    <row r="342" ht="42" customHeight="1">
      <c r="A342" s="18" t="n">
        <v>340</v>
      </c>
      <c r="B342" s="52" t="inlineStr">
        <is>
          <t>MA-3</t>
        </is>
      </c>
      <c r="C342" s="18" t="inlineStr">
        <is>
          <t>MA</t>
        </is>
      </c>
      <c r="D342" s="19" t="inlineStr">
        <is>
          <t>Documentation</t>
        </is>
      </c>
      <c r="E342" s="18">
        <f>IFERROR(TRACKER!G342,"Not Started")</f>
        <v/>
      </c>
      <c r="F342" s="53">
        <f>IFERROR('[Documentation.xlsx]MA-3'!B21,"")</f>
        <v/>
      </c>
      <c r="G342" s="53" t="inlineStr"/>
      <c r="H342" s="53" t="inlineStr"/>
      <c r="I342" s="18" t="inlineStr"/>
      <c r="J342" s="19" t="inlineStr"/>
      <c r="K342" s="22" t="inlineStr"/>
      <c r="L342" s="18" t="inlineStr">
        <is>
          <t>Not Started</t>
        </is>
      </c>
    </row>
    <row r="343" ht="42" customHeight="1">
      <c r="A343" s="11" t="n">
        <v>341</v>
      </c>
      <c r="B343" s="50" t="inlineStr">
        <is>
          <t>MA-3(1)</t>
        </is>
      </c>
      <c r="C343" s="11" t="inlineStr">
        <is>
          <t>MA</t>
        </is>
      </c>
      <c r="D343" s="12" t="inlineStr">
        <is>
          <t>Documentation</t>
        </is>
      </c>
      <c r="E343" s="11">
        <f>IFERROR(TRACKER!G343,"Not Started")</f>
        <v/>
      </c>
      <c r="F343" s="51">
        <f>IFERROR('[Documentation.xlsx]MA-3-1'!B21,"")</f>
        <v/>
      </c>
      <c r="G343" s="51" t="inlineStr"/>
      <c r="H343" s="51" t="inlineStr"/>
      <c r="I343" s="11" t="inlineStr"/>
      <c r="J343" s="12" t="inlineStr"/>
      <c r="K343" s="17" t="inlineStr"/>
      <c r="L343" s="11" t="inlineStr">
        <is>
          <t>Not Started</t>
        </is>
      </c>
    </row>
    <row r="344" ht="42" customHeight="1">
      <c r="A344" s="18" t="n">
        <v>342</v>
      </c>
      <c r="B344" s="52" t="inlineStr">
        <is>
          <t>MA-3(2)</t>
        </is>
      </c>
      <c r="C344" s="18" t="inlineStr">
        <is>
          <t>MA</t>
        </is>
      </c>
      <c r="D344" s="19" t="inlineStr">
        <is>
          <t>Documentation</t>
        </is>
      </c>
      <c r="E344" s="18">
        <f>IFERROR(TRACKER!G344,"Not Started")</f>
        <v/>
      </c>
      <c r="F344" s="53">
        <f>IFERROR('[Documentation.xlsx]MA-3-2'!B21,"")</f>
        <v/>
      </c>
      <c r="G344" s="53" t="inlineStr"/>
      <c r="H344" s="53" t="inlineStr"/>
      <c r="I344" s="18" t="inlineStr"/>
      <c r="J344" s="19" t="inlineStr"/>
      <c r="K344" s="22" t="inlineStr"/>
      <c r="L344" s="18" t="inlineStr">
        <is>
          <t>Not Started</t>
        </is>
      </c>
    </row>
    <row r="345" ht="42" customHeight="1">
      <c r="A345" s="11" t="n">
        <v>343</v>
      </c>
      <c r="B345" s="50" t="inlineStr">
        <is>
          <t>MA-3(3)</t>
        </is>
      </c>
      <c r="C345" s="11" t="inlineStr">
        <is>
          <t>MA</t>
        </is>
      </c>
      <c r="D345" s="12" t="inlineStr">
        <is>
          <t>Documentation</t>
        </is>
      </c>
      <c r="E345" s="11">
        <f>IFERROR(TRACKER!G345,"Not Started")</f>
        <v/>
      </c>
      <c r="F345" s="51">
        <f>IFERROR('[Documentation.xlsx]MA-3-3'!B21,"")</f>
        <v/>
      </c>
      <c r="G345" s="51" t="inlineStr"/>
      <c r="H345" s="51" t="inlineStr"/>
      <c r="I345" s="11" t="inlineStr"/>
      <c r="J345" s="12" t="inlineStr"/>
      <c r="K345" s="17" t="inlineStr"/>
      <c r="L345" s="11" t="inlineStr">
        <is>
          <t>Not Started</t>
        </is>
      </c>
    </row>
    <row r="346" ht="42" customHeight="1">
      <c r="A346" s="18" t="n">
        <v>344</v>
      </c>
      <c r="B346" s="52" t="inlineStr">
        <is>
          <t>MA-4</t>
        </is>
      </c>
      <c r="C346" s="18" t="inlineStr">
        <is>
          <t>MA</t>
        </is>
      </c>
      <c r="D346" s="19" t="inlineStr">
        <is>
          <t>Documentation</t>
        </is>
      </c>
      <c r="E346" s="18">
        <f>IFERROR(TRACKER!G346,"Not Started")</f>
        <v/>
      </c>
      <c r="F346" s="53">
        <f>IFERROR('[Documentation.xlsx]MA-4'!B21,"")</f>
        <v/>
      </c>
      <c r="G346" s="53" t="inlineStr"/>
      <c r="H346" s="53" t="inlineStr"/>
      <c r="I346" s="18" t="inlineStr"/>
      <c r="J346" s="19" t="inlineStr"/>
      <c r="K346" s="22" t="inlineStr"/>
      <c r="L346" s="18" t="inlineStr">
        <is>
          <t>Not Started</t>
        </is>
      </c>
    </row>
    <row r="347" ht="42" customHeight="1">
      <c r="A347" s="11" t="n">
        <v>345</v>
      </c>
      <c r="B347" s="50" t="inlineStr">
        <is>
          <t>MA-4(1)</t>
        </is>
      </c>
      <c r="C347" s="11" t="inlineStr">
        <is>
          <t>MA</t>
        </is>
      </c>
      <c r="D347" s="12" t="inlineStr">
        <is>
          <t>Documentation</t>
        </is>
      </c>
      <c r="E347" s="11">
        <f>IFERROR(TRACKER!G347,"Not Started")</f>
        <v/>
      </c>
      <c r="F347" s="51">
        <f>IFERROR('[Documentation.xlsx]MA-4-1'!B21,"")</f>
        <v/>
      </c>
      <c r="G347" s="51" t="inlineStr"/>
      <c r="H347" s="51" t="inlineStr"/>
      <c r="I347" s="11" t="inlineStr"/>
      <c r="J347" s="12" t="inlineStr"/>
      <c r="K347" s="17" t="inlineStr"/>
      <c r="L347" s="11" t="inlineStr">
        <is>
          <t>Not Started</t>
        </is>
      </c>
    </row>
    <row r="348" ht="42" customHeight="1">
      <c r="A348" s="18" t="n">
        <v>346</v>
      </c>
      <c r="B348" s="52" t="inlineStr">
        <is>
          <t>MA-4(2)</t>
        </is>
      </c>
      <c r="C348" s="18" t="inlineStr">
        <is>
          <t>MA</t>
        </is>
      </c>
      <c r="D348" s="19" t="inlineStr">
        <is>
          <t>Documentation</t>
        </is>
      </c>
      <c r="E348" s="18">
        <f>IFERROR(TRACKER!G348,"Not Started")</f>
        <v/>
      </c>
      <c r="F348" s="53">
        <f>IFERROR('[Documentation.xlsx]MA-4-2'!B21,"")</f>
        <v/>
      </c>
      <c r="G348" s="53" t="inlineStr"/>
      <c r="H348" s="53" t="inlineStr"/>
      <c r="I348" s="18" t="inlineStr"/>
      <c r="J348" s="19" t="inlineStr"/>
      <c r="K348" s="22" t="inlineStr"/>
      <c r="L348" s="18" t="inlineStr">
        <is>
          <t>Not Started</t>
        </is>
      </c>
    </row>
    <row r="349" ht="42" customHeight="1">
      <c r="A349" s="11" t="n">
        <v>347</v>
      </c>
      <c r="B349" s="50" t="inlineStr">
        <is>
          <t>MA-4(3)</t>
        </is>
      </c>
      <c r="C349" s="11" t="inlineStr">
        <is>
          <t>MA</t>
        </is>
      </c>
      <c r="D349" s="12" t="inlineStr">
        <is>
          <t>Documentation</t>
        </is>
      </c>
      <c r="E349" s="11">
        <f>IFERROR(TRACKER!G349,"Not Started")</f>
        <v/>
      </c>
      <c r="F349" s="51">
        <f>IFERROR('[Documentation.xlsx]MA-4-3'!B21,"")</f>
        <v/>
      </c>
      <c r="G349" s="51" t="inlineStr"/>
      <c r="H349" s="51" t="inlineStr"/>
      <c r="I349" s="11" t="inlineStr"/>
      <c r="J349" s="12" t="inlineStr"/>
      <c r="K349" s="17" t="inlineStr"/>
      <c r="L349" s="11" t="inlineStr">
        <is>
          <t>Not Started</t>
        </is>
      </c>
    </row>
    <row r="350" ht="42" customHeight="1">
      <c r="A350" s="18" t="n">
        <v>348</v>
      </c>
      <c r="B350" s="52" t="inlineStr">
        <is>
          <t>MA-5</t>
        </is>
      </c>
      <c r="C350" s="18" t="inlineStr">
        <is>
          <t>MA</t>
        </is>
      </c>
      <c r="D350" s="19" t="inlineStr">
        <is>
          <t>Documentation</t>
        </is>
      </c>
      <c r="E350" s="18">
        <f>IFERROR(TRACKER!G350,"Not Started")</f>
        <v/>
      </c>
      <c r="F350" s="53">
        <f>IFERROR('[Documentation.xlsx]MA-5'!B21,"")</f>
        <v/>
      </c>
      <c r="G350" s="53" t="inlineStr"/>
      <c r="H350" s="53" t="inlineStr"/>
      <c r="I350" s="18" t="inlineStr"/>
      <c r="J350" s="19" t="inlineStr"/>
      <c r="K350" s="22" t="inlineStr"/>
      <c r="L350" s="18" t="inlineStr">
        <is>
          <t>Not Started</t>
        </is>
      </c>
    </row>
    <row r="351" ht="42" customHeight="1">
      <c r="A351" s="11" t="n">
        <v>349</v>
      </c>
      <c r="B351" s="50" t="inlineStr">
        <is>
          <t>MA-5(1)</t>
        </is>
      </c>
      <c r="C351" s="11" t="inlineStr">
        <is>
          <t>MA</t>
        </is>
      </c>
      <c r="D351" s="12" t="inlineStr">
        <is>
          <t>Documentation</t>
        </is>
      </c>
      <c r="E351" s="11">
        <f>IFERROR(TRACKER!G351,"Not Started")</f>
        <v/>
      </c>
      <c r="F351" s="51">
        <f>IFERROR('[Documentation.xlsx]MA-5-1'!B21,"")</f>
        <v/>
      </c>
      <c r="G351" s="51" t="inlineStr"/>
      <c r="H351" s="51" t="inlineStr"/>
      <c r="I351" s="11" t="inlineStr"/>
      <c r="J351" s="12" t="inlineStr"/>
      <c r="K351" s="17" t="inlineStr"/>
      <c r="L351" s="11" t="inlineStr">
        <is>
          <t>Not Started</t>
        </is>
      </c>
    </row>
    <row r="352" ht="42" customHeight="1">
      <c r="A352" s="18" t="n">
        <v>350</v>
      </c>
      <c r="B352" s="52" t="inlineStr">
        <is>
          <t>MP-1</t>
        </is>
      </c>
      <c r="C352" s="18" t="inlineStr">
        <is>
          <t>MP</t>
        </is>
      </c>
      <c r="D352" s="19" t="inlineStr">
        <is>
          <t>Documentation</t>
        </is>
      </c>
      <c r="E352" s="18">
        <f>IFERROR(TRACKER!G352,"Not Started")</f>
        <v/>
      </c>
      <c r="F352" s="53">
        <f>IFERROR('[Documentation.xlsx]MP-1'!B21,"")</f>
        <v/>
      </c>
      <c r="G352" s="53" t="inlineStr"/>
      <c r="H352" s="53" t="inlineStr"/>
      <c r="I352" s="18" t="inlineStr"/>
      <c r="J352" s="19" t="inlineStr"/>
      <c r="K352" s="22" t="inlineStr"/>
      <c r="L352" s="18" t="inlineStr">
        <is>
          <t>Not Started</t>
        </is>
      </c>
    </row>
    <row r="353" ht="42" customHeight="1">
      <c r="A353" s="11" t="n">
        <v>351</v>
      </c>
      <c r="B353" s="50" t="inlineStr">
        <is>
          <t>MP-2</t>
        </is>
      </c>
      <c r="C353" s="11" t="inlineStr">
        <is>
          <t>MP</t>
        </is>
      </c>
      <c r="D353" s="12" t="inlineStr">
        <is>
          <t>Documentation</t>
        </is>
      </c>
      <c r="E353" s="11">
        <f>IFERROR(TRACKER!G353,"Not Started")</f>
        <v/>
      </c>
      <c r="F353" s="51">
        <f>IFERROR('[Documentation.xlsx]MP-2'!B21,"")</f>
        <v/>
      </c>
      <c r="G353" s="51" t="inlineStr"/>
      <c r="H353" s="51" t="inlineStr"/>
      <c r="I353" s="11" t="inlineStr"/>
      <c r="J353" s="12" t="inlineStr"/>
      <c r="K353" s="17" t="inlineStr"/>
      <c r="L353" s="11" t="inlineStr">
        <is>
          <t>Not Started</t>
        </is>
      </c>
    </row>
    <row r="354" ht="42" customHeight="1">
      <c r="A354" s="18" t="n">
        <v>352</v>
      </c>
      <c r="B354" s="52" t="inlineStr">
        <is>
          <t>MP-3</t>
        </is>
      </c>
      <c r="C354" s="18" t="inlineStr">
        <is>
          <t>MP</t>
        </is>
      </c>
      <c r="D354" s="19" t="inlineStr">
        <is>
          <t>Documentation</t>
        </is>
      </c>
      <c r="E354" s="18">
        <f>IFERROR(TRACKER!G354,"Not Started")</f>
        <v/>
      </c>
      <c r="F354" s="53">
        <f>IFERROR('[Documentation.xlsx]MP-3'!B21,"")</f>
        <v/>
      </c>
      <c r="G354" s="53" t="inlineStr"/>
      <c r="H354" s="53" t="inlineStr"/>
      <c r="I354" s="18" t="inlineStr"/>
      <c r="J354" s="19" t="inlineStr"/>
      <c r="K354" s="22" t="inlineStr"/>
      <c r="L354" s="18" t="inlineStr">
        <is>
          <t>Not Started</t>
        </is>
      </c>
    </row>
    <row r="355" ht="42" customHeight="1">
      <c r="A355" s="11" t="n">
        <v>353</v>
      </c>
      <c r="B355" s="50" t="inlineStr">
        <is>
          <t>MP-6</t>
        </is>
      </c>
      <c r="C355" s="11" t="inlineStr">
        <is>
          <t>MP</t>
        </is>
      </c>
      <c r="D355" s="12" t="inlineStr">
        <is>
          <t>Documentation</t>
        </is>
      </c>
      <c r="E355" s="11">
        <f>IFERROR(TRACKER!G355,"Not Started")</f>
        <v/>
      </c>
      <c r="F355" s="51">
        <f>IFERROR('[Documentation.xlsx]MP-6'!B21,"")</f>
        <v/>
      </c>
      <c r="G355" s="51" t="inlineStr"/>
      <c r="H355" s="51" t="inlineStr"/>
      <c r="I355" s="11" t="inlineStr"/>
      <c r="J355" s="12" t="inlineStr"/>
      <c r="K355" s="17" t="inlineStr"/>
      <c r="L355" s="11" t="inlineStr">
        <is>
          <t>Not Started</t>
        </is>
      </c>
    </row>
    <row r="356" ht="42" customHeight="1">
      <c r="A356" s="18" t="n">
        <v>354</v>
      </c>
      <c r="B356" s="52" t="inlineStr">
        <is>
          <t>MP-6(1)</t>
        </is>
      </c>
      <c r="C356" s="18" t="inlineStr">
        <is>
          <t>MP</t>
        </is>
      </c>
      <c r="D356" s="19" t="inlineStr">
        <is>
          <t>Documentation</t>
        </is>
      </c>
      <c r="E356" s="18">
        <f>IFERROR(TRACKER!G356,"Not Started")</f>
        <v/>
      </c>
      <c r="F356" s="53">
        <f>IFERROR('[Documentation.xlsx]MP-6-1'!B21,"")</f>
        <v/>
      </c>
      <c r="G356" s="53" t="inlineStr"/>
      <c r="H356" s="53" t="inlineStr"/>
      <c r="I356" s="18" t="inlineStr"/>
      <c r="J356" s="19" t="inlineStr"/>
      <c r="K356" s="22" t="inlineStr"/>
      <c r="L356" s="18" t="inlineStr">
        <is>
          <t>Not Started</t>
        </is>
      </c>
    </row>
    <row r="357" ht="42" customHeight="1">
      <c r="A357" s="11" t="n">
        <v>355</v>
      </c>
      <c r="B357" s="50" t="inlineStr">
        <is>
          <t>MP-8</t>
        </is>
      </c>
      <c r="C357" s="11" t="inlineStr">
        <is>
          <t>MP</t>
        </is>
      </c>
      <c r="D357" s="12" t="inlineStr">
        <is>
          <t>Documentation</t>
        </is>
      </c>
      <c r="E357" s="11">
        <f>IFERROR(TRACKER!G357,"Not Started")</f>
        <v/>
      </c>
      <c r="F357" s="51">
        <f>IFERROR('[Documentation.xlsx]MP-8'!B21,"")</f>
        <v/>
      </c>
      <c r="G357" s="51" t="inlineStr"/>
      <c r="H357" s="51" t="inlineStr"/>
      <c r="I357" s="11" t="inlineStr"/>
      <c r="J357" s="12" t="inlineStr"/>
      <c r="K357" s="17" t="inlineStr"/>
      <c r="L357" s="11" t="inlineStr">
        <is>
          <t>Not Started</t>
        </is>
      </c>
    </row>
    <row r="358" ht="42" customHeight="1">
      <c r="A358" s="18" t="n">
        <v>356</v>
      </c>
      <c r="B358" s="52" t="inlineStr">
        <is>
          <t>MP-8(1)</t>
        </is>
      </c>
      <c r="C358" s="18" t="inlineStr">
        <is>
          <t>MP</t>
        </is>
      </c>
      <c r="D358" s="19" t="inlineStr">
        <is>
          <t>Documentation</t>
        </is>
      </c>
      <c r="E358" s="18">
        <f>IFERROR(TRACKER!G358,"Not Started")</f>
        <v/>
      </c>
      <c r="F358" s="53">
        <f>IFERROR('[Documentation.xlsx]MP-8-1'!B21,"")</f>
        <v/>
      </c>
      <c r="G358" s="53" t="inlineStr"/>
      <c r="H358" s="53" t="inlineStr"/>
      <c r="I358" s="18" t="inlineStr"/>
      <c r="J358" s="19" t="inlineStr"/>
      <c r="K358" s="22" t="inlineStr"/>
      <c r="L358" s="18" t="inlineStr">
        <is>
          <t>Not Started</t>
        </is>
      </c>
    </row>
    <row r="359" ht="42" customHeight="1">
      <c r="A359" s="11" t="n">
        <v>357</v>
      </c>
      <c r="B359" s="50" t="inlineStr">
        <is>
          <t>PL-1</t>
        </is>
      </c>
      <c r="C359" s="11" t="inlineStr">
        <is>
          <t>PL</t>
        </is>
      </c>
      <c r="D359" s="12" t="inlineStr">
        <is>
          <t>Documentation</t>
        </is>
      </c>
      <c r="E359" s="11">
        <f>IFERROR(TRACKER!G359,"Not Started")</f>
        <v/>
      </c>
      <c r="F359" s="51">
        <f>IFERROR('[Documentation.xlsx]PL-1'!B21,"")</f>
        <v/>
      </c>
      <c r="G359" s="51" t="inlineStr"/>
      <c r="H359" s="51" t="inlineStr"/>
      <c r="I359" s="11" t="inlineStr"/>
      <c r="J359" s="12" t="inlineStr"/>
      <c r="K359" s="17" t="inlineStr"/>
      <c r="L359" s="11" t="inlineStr">
        <is>
          <t>Not Started</t>
        </is>
      </c>
    </row>
    <row r="360" ht="42" customHeight="1">
      <c r="A360" s="18" t="n">
        <v>358</v>
      </c>
      <c r="B360" s="52" t="inlineStr">
        <is>
          <t>PL-2</t>
        </is>
      </c>
      <c r="C360" s="18" t="inlineStr">
        <is>
          <t>PL</t>
        </is>
      </c>
      <c r="D360" s="19" t="inlineStr">
        <is>
          <t>Documentation</t>
        </is>
      </c>
      <c r="E360" s="18">
        <f>IFERROR(TRACKER!G360,"Not Started")</f>
        <v/>
      </c>
      <c r="F360" s="53">
        <f>IFERROR('[Documentation.xlsx]PL-2'!B21,"")</f>
        <v/>
      </c>
      <c r="G360" s="53" t="inlineStr"/>
      <c r="H360" s="53" t="inlineStr"/>
      <c r="I360" s="18" t="inlineStr"/>
      <c r="J360" s="19" t="inlineStr"/>
      <c r="K360" s="22" t="inlineStr"/>
      <c r="L360" s="18" t="inlineStr">
        <is>
          <t>Not Started</t>
        </is>
      </c>
    </row>
    <row r="361" ht="42" customHeight="1">
      <c r="A361" s="11" t="n">
        <v>359</v>
      </c>
      <c r="B361" s="50" t="inlineStr">
        <is>
          <t>PL-2(3)</t>
        </is>
      </c>
      <c r="C361" s="11" t="inlineStr">
        <is>
          <t>PL</t>
        </is>
      </c>
      <c r="D361" s="12" t="inlineStr">
        <is>
          <t>Documentation</t>
        </is>
      </c>
      <c r="E361" s="11">
        <f>IFERROR(TRACKER!G361,"Not Started")</f>
        <v/>
      </c>
      <c r="F361" s="51">
        <f>IFERROR('[Documentation.xlsx]PL-2-3'!B21,"")</f>
        <v/>
      </c>
      <c r="G361" s="51" t="inlineStr"/>
      <c r="H361" s="51" t="inlineStr"/>
      <c r="I361" s="11" t="inlineStr"/>
      <c r="J361" s="12" t="inlineStr"/>
      <c r="K361" s="17" t="inlineStr"/>
      <c r="L361" s="11" t="inlineStr">
        <is>
          <t>Not Started</t>
        </is>
      </c>
    </row>
    <row r="362" ht="42" customHeight="1">
      <c r="A362" s="18" t="n">
        <v>360</v>
      </c>
      <c r="B362" s="52" t="inlineStr">
        <is>
          <t>PL-4</t>
        </is>
      </c>
      <c r="C362" s="18" t="inlineStr">
        <is>
          <t>PL</t>
        </is>
      </c>
      <c r="D362" s="19" t="inlineStr">
        <is>
          <t>Documentation</t>
        </is>
      </c>
      <c r="E362" s="18">
        <f>IFERROR(TRACKER!G362,"Not Started")</f>
        <v/>
      </c>
      <c r="F362" s="53">
        <f>IFERROR('[Documentation.xlsx]PL-4'!B21,"")</f>
        <v/>
      </c>
      <c r="G362" s="53" t="inlineStr"/>
      <c r="H362" s="53" t="inlineStr"/>
      <c r="I362" s="18" t="inlineStr"/>
      <c r="J362" s="19" t="inlineStr"/>
      <c r="K362" s="22" t="inlineStr"/>
      <c r="L362" s="18" t="inlineStr">
        <is>
          <t>Not Started</t>
        </is>
      </c>
    </row>
    <row r="363" ht="42" customHeight="1">
      <c r="A363" s="11" t="n">
        <v>361</v>
      </c>
      <c r="B363" s="50" t="inlineStr">
        <is>
          <t>PL-4(1)</t>
        </is>
      </c>
      <c r="C363" s="11" t="inlineStr">
        <is>
          <t>PL</t>
        </is>
      </c>
      <c r="D363" s="12" t="inlineStr">
        <is>
          <t>Documentation</t>
        </is>
      </c>
      <c r="E363" s="11">
        <f>IFERROR(TRACKER!G363,"Not Started")</f>
        <v/>
      </c>
      <c r="F363" s="51">
        <f>IFERROR('[Documentation.xlsx]PL-4-1'!B21,"")</f>
        <v/>
      </c>
      <c r="G363" s="51" t="inlineStr"/>
      <c r="H363" s="51" t="inlineStr"/>
      <c r="I363" s="11" t="inlineStr"/>
      <c r="J363" s="12" t="inlineStr"/>
      <c r="K363" s="17" t="inlineStr"/>
      <c r="L363" s="11" t="inlineStr">
        <is>
          <t>Not Started</t>
        </is>
      </c>
    </row>
    <row r="364" ht="42" customHeight="1">
      <c r="A364" s="18" t="n">
        <v>362</v>
      </c>
      <c r="B364" s="52" t="inlineStr">
        <is>
          <t>PL-8</t>
        </is>
      </c>
      <c r="C364" s="18" t="inlineStr">
        <is>
          <t>PL</t>
        </is>
      </c>
      <c r="D364" s="19" t="inlineStr">
        <is>
          <t>Documentation</t>
        </is>
      </c>
      <c r="E364" s="18">
        <f>IFERROR(TRACKER!G364,"Not Started")</f>
        <v/>
      </c>
      <c r="F364" s="53">
        <f>IFERROR('[Documentation.xlsx]PL-8'!B21,"")</f>
        <v/>
      </c>
      <c r="G364" s="53" t="inlineStr"/>
      <c r="H364" s="53" t="inlineStr"/>
      <c r="I364" s="18" t="inlineStr"/>
      <c r="J364" s="19" t="inlineStr"/>
      <c r="K364" s="22" t="inlineStr"/>
      <c r="L364" s="18" t="inlineStr">
        <is>
          <t>Not Started</t>
        </is>
      </c>
    </row>
    <row r="365" ht="42" customHeight="1">
      <c r="A365" s="11" t="n">
        <v>363</v>
      </c>
      <c r="B365" s="50" t="inlineStr">
        <is>
          <t>PS-1</t>
        </is>
      </c>
      <c r="C365" s="11" t="inlineStr">
        <is>
          <t>PS</t>
        </is>
      </c>
      <c r="D365" s="12" t="inlineStr">
        <is>
          <t>Documentation</t>
        </is>
      </c>
      <c r="E365" s="11">
        <f>IFERROR(TRACKER!G365,"Not Started")</f>
        <v/>
      </c>
      <c r="F365" s="51">
        <f>IFERROR('[Documentation.xlsx]PS-1'!B21,"")</f>
        <v/>
      </c>
      <c r="G365" s="51" t="inlineStr"/>
      <c r="H365" s="51" t="inlineStr"/>
      <c r="I365" s="11" t="inlineStr"/>
      <c r="J365" s="12" t="inlineStr"/>
      <c r="K365" s="17" t="inlineStr"/>
      <c r="L365" s="11" t="inlineStr">
        <is>
          <t>Not Started</t>
        </is>
      </c>
    </row>
    <row r="366" ht="42" customHeight="1">
      <c r="A366" s="18" t="n">
        <v>364</v>
      </c>
      <c r="B366" s="52" t="inlineStr">
        <is>
          <t>PS-2</t>
        </is>
      </c>
      <c r="C366" s="18" t="inlineStr">
        <is>
          <t>PS</t>
        </is>
      </c>
      <c r="D366" s="19" t="inlineStr">
        <is>
          <t>Documentation</t>
        </is>
      </c>
      <c r="E366" s="18">
        <f>IFERROR(TRACKER!G366,"Not Started")</f>
        <v/>
      </c>
      <c r="F366" s="53">
        <f>IFERROR('[Documentation.xlsx]PS-2'!B21,"")</f>
        <v/>
      </c>
      <c r="G366" s="53" t="inlineStr"/>
      <c r="H366" s="53" t="inlineStr"/>
      <c r="I366" s="18" t="inlineStr"/>
      <c r="J366" s="19" t="inlineStr"/>
      <c r="K366" s="22" t="inlineStr"/>
      <c r="L366" s="18" t="inlineStr">
        <is>
          <t>Not Started</t>
        </is>
      </c>
    </row>
    <row r="367" ht="42" customHeight="1">
      <c r="A367" s="11" t="n">
        <v>365</v>
      </c>
      <c r="B367" s="50" t="inlineStr">
        <is>
          <t>PS-3</t>
        </is>
      </c>
      <c r="C367" s="11" t="inlineStr">
        <is>
          <t>PS</t>
        </is>
      </c>
      <c r="D367" s="12" t="inlineStr">
        <is>
          <t>Documentation</t>
        </is>
      </c>
      <c r="E367" s="11">
        <f>IFERROR(TRACKER!G367,"Not Started")</f>
        <v/>
      </c>
      <c r="F367" s="51">
        <f>IFERROR('[Documentation.xlsx]PS-3'!B21,"")</f>
        <v/>
      </c>
      <c r="G367" s="51" t="inlineStr"/>
      <c r="H367" s="51" t="inlineStr"/>
      <c r="I367" s="11" t="inlineStr"/>
      <c r="J367" s="12" t="inlineStr"/>
      <c r="K367" s="17" t="inlineStr"/>
      <c r="L367" s="11" t="inlineStr">
        <is>
          <t>Not Started</t>
        </is>
      </c>
    </row>
    <row r="368" ht="42" customHeight="1">
      <c r="A368" s="18" t="n">
        <v>366</v>
      </c>
      <c r="B368" s="52" t="inlineStr">
        <is>
          <t>PS-3(3)</t>
        </is>
      </c>
      <c r="C368" s="18" t="inlineStr">
        <is>
          <t>PS</t>
        </is>
      </c>
      <c r="D368" s="19" t="inlineStr">
        <is>
          <t>Documentation</t>
        </is>
      </c>
      <c r="E368" s="18">
        <f>IFERROR(TRACKER!G368,"Not Started")</f>
        <v/>
      </c>
      <c r="F368" s="53">
        <f>IFERROR('[Documentation.xlsx]PS-3-3'!B21,"")</f>
        <v/>
      </c>
      <c r="G368" s="53" t="inlineStr"/>
      <c r="H368" s="53" t="inlineStr"/>
      <c r="I368" s="18" t="inlineStr"/>
      <c r="J368" s="19" t="inlineStr"/>
      <c r="K368" s="22" t="inlineStr"/>
      <c r="L368" s="18" t="inlineStr">
        <is>
          <t>Not Started</t>
        </is>
      </c>
    </row>
    <row r="369" ht="42" customHeight="1">
      <c r="A369" s="11" t="n">
        <v>367</v>
      </c>
      <c r="B369" s="50" t="inlineStr">
        <is>
          <t>PS-4</t>
        </is>
      </c>
      <c r="C369" s="11" t="inlineStr">
        <is>
          <t>PS</t>
        </is>
      </c>
      <c r="D369" s="12" t="inlineStr">
        <is>
          <t>Documentation</t>
        </is>
      </c>
      <c r="E369" s="11">
        <f>IFERROR(TRACKER!G369,"Not Started")</f>
        <v/>
      </c>
      <c r="F369" s="51">
        <f>IFERROR('[Documentation.xlsx]PS-4'!B21,"")</f>
        <v/>
      </c>
      <c r="G369" s="51" t="inlineStr"/>
      <c r="H369" s="51" t="inlineStr"/>
      <c r="I369" s="11" t="inlineStr"/>
      <c r="J369" s="12" t="inlineStr"/>
      <c r="K369" s="17" t="inlineStr"/>
      <c r="L369" s="11" t="inlineStr">
        <is>
          <t>Not Started</t>
        </is>
      </c>
    </row>
    <row r="370" ht="42" customHeight="1">
      <c r="A370" s="18" t="n">
        <v>368</v>
      </c>
      <c r="B370" s="52" t="inlineStr">
        <is>
          <t>PS-5</t>
        </is>
      </c>
      <c r="C370" s="18" t="inlineStr">
        <is>
          <t>PS</t>
        </is>
      </c>
      <c r="D370" s="19" t="inlineStr">
        <is>
          <t>Documentation</t>
        </is>
      </c>
      <c r="E370" s="18">
        <f>IFERROR(TRACKER!G370,"Not Started")</f>
        <v/>
      </c>
      <c r="F370" s="53">
        <f>IFERROR('[Documentation.xlsx]PS-5'!B21,"")</f>
        <v/>
      </c>
      <c r="G370" s="53" t="inlineStr"/>
      <c r="H370" s="53" t="inlineStr"/>
      <c r="I370" s="18" t="inlineStr"/>
      <c r="J370" s="19" t="inlineStr"/>
      <c r="K370" s="22" t="inlineStr"/>
      <c r="L370" s="18" t="inlineStr">
        <is>
          <t>Not Started</t>
        </is>
      </c>
    </row>
    <row r="371" ht="42" customHeight="1">
      <c r="A371" s="11" t="n">
        <v>369</v>
      </c>
      <c r="B371" s="50" t="inlineStr">
        <is>
          <t>PS-6</t>
        </is>
      </c>
      <c r="C371" s="11" t="inlineStr">
        <is>
          <t>PS</t>
        </is>
      </c>
      <c r="D371" s="12" t="inlineStr">
        <is>
          <t>Documentation</t>
        </is>
      </c>
      <c r="E371" s="11">
        <f>IFERROR(TRACKER!G371,"Not Started")</f>
        <v/>
      </c>
      <c r="F371" s="51">
        <f>IFERROR('[Documentation.xlsx]PS-6'!B21,"")</f>
        <v/>
      </c>
      <c r="G371" s="51" t="inlineStr"/>
      <c r="H371" s="51" t="inlineStr"/>
      <c r="I371" s="11" t="inlineStr"/>
      <c r="J371" s="12" t="inlineStr"/>
      <c r="K371" s="17" t="inlineStr"/>
      <c r="L371" s="11" t="inlineStr">
        <is>
          <t>Not Started</t>
        </is>
      </c>
    </row>
    <row r="372" ht="42" customHeight="1">
      <c r="A372" s="18" t="n">
        <v>370</v>
      </c>
      <c r="B372" s="52" t="inlineStr">
        <is>
          <t>PS-7</t>
        </is>
      </c>
      <c r="C372" s="18" t="inlineStr">
        <is>
          <t>PS</t>
        </is>
      </c>
      <c r="D372" s="19" t="inlineStr">
        <is>
          <t>Documentation</t>
        </is>
      </c>
      <c r="E372" s="18">
        <f>IFERROR(TRACKER!G372,"Not Started")</f>
        <v/>
      </c>
      <c r="F372" s="53">
        <f>IFERROR('[Documentation.xlsx]PS-7'!B21,"")</f>
        <v/>
      </c>
      <c r="G372" s="53" t="inlineStr"/>
      <c r="H372" s="53" t="inlineStr"/>
      <c r="I372" s="18" t="inlineStr"/>
      <c r="J372" s="19" t="inlineStr"/>
      <c r="K372" s="22" t="inlineStr"/>
      <c r="L372" s="18" t="inlineStr">
        <is>
          <t>Not Started</t>
        </is>
      </c>
    </row>
    <row r="373" ht="42" customHeight="1">
      <c r="A373" s="11" t="n">
        <v>371</v>
      </c>
      <c r="B373" s="50" t="inlineStr">
        <is>
          <t>PS-8</t>
        </is>
      </c>
      <c r="C373" s="11" t="inlineStr">
        <is>
          <t>PS</t>
        </is>
      </c>
      <c r="D373" s="12" t="inlineStr">
        <is>
          <t>Documentation</t>
        </is>
      </c>
      <c r="E373" s="11">
        <f>IFERROR(TRACKER!G373,"Not Started")</f>
        <v/>
      </c>
      <c r="F373" s="51">
        <f>IFERROR('[Documentation.xlsx]PS-8'!B21,"")</f>
        <v/>
      </c>
      <c r="G373" s="51" t="inlineStr"/>
      <c r="H373" s="51" t="inlineStr"/>
      <c r="I373" s="11" t="inlineStr"/>
      <c r="J373" s="12" t="inlineStr"/>
      <c r="K373" s="17" t="inlineStr"/>
      <c r="L373" s="11" t="inlineStr">
        <is>
          <t>Not Started</t>
        </is>
      </c>
    </row>
    <row r="374" ht="42" customHeight="1">
      <c r="A374" s="18" t="n">
        <v>372</v>
      </c>
      <c r="B374" s="52" t="inlineStr">
        <is>
          <t>RA-1</t>
        </is>
      </c>
      <c r="C374" s="18" t="inlineStr">
        <is>
          <t>RA</t>
        </is>
      </c>
      <c r="D374" s="19" t="inlineStr">
        <is>
          <t>Documentation</t>
        </is>
      </c>
      <c r="E374" s="18">
        <f>IFERROR(TRACKER!G374,"Not Started")</f>
        <v/>
      </c>
      <c r="F374" s="53">
        <f>IFERROR('[Documentation.xlsx]RA-1'!B21,"")</f>
        <v/>
      </c>
      <c r="G374" s="53" t="inlineStr"/>
      <c r="H374" s="53" t="inlineStr"/>
      <c r="I374" s="18" t="inlineStr"/>
      <c r="J374" s="19" t="inlineStr"/>
      <c r="K374" s="22" t="inlineStr"/>
      <c r="L374" s="18" t="inlineStr">
        <is>
          <t>Not Started</t>
        </is>
      </c>
    </row>
    <row r="375" ht="42" customHeight="1">
      <c r="A375" s="11" t="n">
        <v>373</v>
      </c>
      <c r="B375" s="50" t="inlineStr">
        <is>
          <t>RA-2</t>
        </is>
      </c>
      <c r="C375" s="11" t="inlineStr">
        <is>
          <t>RA</t>
        </is>
      </c>
      <c r="D375" s="12" t="inlineStr">
        <is>
          <t>Documentation</t>
        </is>
      </c>
      <c r="E375" s="11">
        <f>IFERROR(TRACKER!G375,"Not Started")</f>
        <v/>
      </c>
      <c r="F375" s="51">
        <f>IFERROR('[Documentation.xlsx]RA-2'!B21,"")</f>
        <v/>
      </c>
      <c r="G375" s="51" t="inlineStr"/>
      <c r="H375" s="51" t="inlineStr"/>
      <c r="I375" s="11" t="inlineStr"/>
      <c r="J375" s="12" t="inlineStr"/>
      <c r="K375" s="17" t="inlineStr"/>
      <c r="L375" s="11" t="inlineStr">
        <is>
          <t>Not Started</t>
        </is>
      </c>
    </row>
    <row r="376" ht="42" customHeight="1">
      <c r="A376" s="18" t="n">
        <v>374</v>
      </c>
      <c r="B376" s="52" t="inlineStr">
        <is>
          <t>RA-3</t>
        </is>
      </c>
      <c r="C376" s="18" t="inlineStr">
        <is>
          <t>RA</t>
        </is>
      </c>
      <c r="D376" s="19" t="inlineStr">
        <is>
          <t>Documentation</t>
        </is>
      </c>
      <c r="E376" s="18">
        <f>IFERROR(TRACKER!G376,"Not Started")</f>
        <v/>
      </c>
      <c r="F376" s="53">
        <f>IFERROR('[Documentation.xlsx]RA-3'!B21,"")</f>
        <v/>
      </c>
      <c r="G376" s="53" t="inlineStr"/>
      <c r="H376" s="53" t="inlineStr"/>
      <c r="I376" s="18" t="inlineStr"/>
      <c r="J376" s="19" t="inlineStr"/>
      <c r="K376" s="22" t="inlineStr"/>
      <c r="L376" s="18" t="inlineStr">
        <is>
          <t>Not Started</t>
        </is>
      </c>
    </row>
    <row r="377" ht="42" customHeight="1">
      <c r="A377" s="11" t="n">
        <v>375</v>
      </c>
      <c r="B377" s="50" t="inlineStr">
        <is>
          <t>RA-5</t>
        </is>
      </c>
      <c r="C377" s="11" t="inlineStr">
        <is>
          <t>RA</t>
        </is>
      </c>
      <c r="D377" s="12" t="inlineStr">
        <is>
          <t>Documentation</t>
        </is>
      </c>
      <c r="E377" s="11">
        <f>IFERROR(TRACKER!G377,"Not Started")</f>
        <v/>
      </c>
      <c r="F377" s="51">
        <f>IFERROR('[Documentation.xlsx]RA-5'!B21,"")</f>
        <v/>
      </c>
      <c r="G377" s="51" t="inlineStr"/>
      <c r="H377" s="51" t="inlineStr"/>
      <c r="I377" s="11" t="inlineStr"/>
      <c r="J377" s="12" t="inlineStr"/>
      <c r="K377" s="17" t="inlineStr"/>
      <c r="L377" s="11" t="inlineStr">
        <is>
          <t>Not Started</t>
        </is>
      </c>
    </row>
    <row r="378" ht="42" customHeight="1">
      <c r="A378" s="18" t="n">
        <v>376</v>
      </c>
      <c r="B378" s="52" t="inlineStr">
        <is>
          <t>SA-1</t>
        </is>
      </c>
      <c r="C378" s="18" t="inlineStr">
        <is>
          <t>SA</t>
        </is>
      </c>
      <c r="D378" s="19" t="inlineStr">
        <is>
          <t>Documentation</t>
        </is>
      </c>
      <c r="E378" s="18">
        <f>IFERROR(TRACKER!G378,"Not Started")</f>
        <v/>
      </c>
      <c r="F378" s="53">
        <f>IFERROR('[Documentation.xlsx]SA-1'!B21,"")</f>
        <v/>
      </c>
      <c r="G378" s="53" t="inlineStr"/>
      <c r="H378" s="53" t="inlineStr"/>
      <c r="I378" s="18" t="inlineStr"/>
      <c r="J378" s="19" t="inlineStr"/>
      <c r="K378" s="22" t="inlineStr"/>
      <c r="L378" s="18" t="inlineStr">
        <is>
          <t>Not Started</t>
        </is>
      </c>
    </row>
    <row r="379" ht="42" customHeight="1">
      <c r="A379" s="11" t="n">
        <v>377</v>
      </c>
      <c r="B379" s="50" t="inlineStr">
        <is>
          <t>SA-2</t>
        </is>
      </c>
      <c r="C379" s="11" t="inlineStr">
        <is>
          <t>SA</t>
        </is>
      </c>
      <c r="D379" s="12" t="inlineStr">
        <is>
          <t>Documentation</t>
        </is>
      </c>
      <c r="E379" s="11">
        <f>IFERROR(TRACKER!G379,"Not Started")</f>
        <v/>
      </c>
      <c r="F379" s="51">
        <f>IFERROR('[Documentation.xlsx]SA-2'!B21,"")</f>
        <v/>
      </c>
      <c r="G379" s="51" t="inlineStr"/>
      <c r="H379" s="51" t="inlineStr"/>
      <c r="I379" s="11" t="inlineStr"/>
      <c r="J379" s="12" t="inlineStr"/>
      <c r="K379" s="17" t="inlineStr"/>
      <c r="L379" s="11" t="inlineStr">
        <is>
          <t>Not Started</t>
        </is>
      </c>
    </row>
    <row r="380" ht="42" customHeight="1">
      <c r="A380" s="18" t="n">
        <v>378</v>
      </c>
      <c r="B380" s="52" t="inlineStr">
        <is>
          <t>SA-3</t>
        </is>
      </c>
      <c r="C380" s="18" t="inlineStr">
        <is>
          <t>SA</t>
        </is>
      </c>
      <c r="D380" s="19" t="inlineStr">
        <is>
          <t>Documentation</t>
        </is>
      </c>
      <c r="E380" s="18">
        <f>IFERROR(TRACKER!G380,"Not Started")</f>
        <v/>
      </c>
      <c r="F380" s="53">
        <f>IFERROR('[Documentation.xlsx]SA-3'!B21,"")</f>
        <v/>
      </c>
      <c r="G380" s="53" t="inlineStr"/>
      <c r="H380" s="53" t="inlineStr"/>
      <c r="I380" s="18" t="inlineStr"/>
      <c r="J380" s="19" t="inlineStr"/>
      <c r="K380" s="22" t="inlineStr"/>
      <c r="L380" s="18" t="inlineStr">
        <is>
          <t>Not Started</t>
        </is>
      </c>
    </row>
    <row r="381" ht="42" customHeight="1">
      <c r="A381" s="11" t="n">
        <v>379</v>
      </c>
      <c r="B381" s="50" t="inlineStr">
        <is>
          <t>SA-4</t>
        </is>
      </c>
      <c r="C381" s="11" t="inlineStr">
        <is>
          <t>SA</t>
        </is>
      </c>
      <c r="D381" s="12" t="inlineStr">
        <is>
          <t>Documentation</t>
        </is>
      </c>
      <c r="E381" s="11">
        <f>IFERROR(TRACKER!G381,"Not Started")</f>
        <v/>
      </c>
      <c r="F381" s="51">
        <f>IFERROR('[Documentation.xlsx]SA-4'!B21,"")</f>
        <v/>
      </c>
      <c r="G381" s="51" t="inlineStr"/>
      <c r="H381" s="51" t="inlineStr"/>
      <c r="I381" s="11" t="inlineStr"/>
      <c r="J381" s="12" t="inlineStr"/>
      <c r="K381" s="17" t="inlineStr"/>
      <c r="L381" s="11" t="inlineStr">
        <is>
          <t>Not Started</t>
        </is>
      </c>
    </row>
    <row r="382" ht="42" customHeight="1">
      <c r="A382" s="18" t="n">
        <v>380</v>
      </c>
      <c r="B382" s="52" t="inlineStr">
        <is>
          <t>SA-4(1)</t>
        </is>
      </c>
      <c r="C382" s="18" t="inlineStr">
        <is>
          <t>SA</t>
        </is>
      </c>
      <c r="D382" s="19" t="inlineStr">
        <is>
          <t>Documentation</t>
        </is>
      </c>
      <c r="E382" s="18">
        <f>IFERROR(TRACKER!G382,"Not Started")</f>
        <v/>
      </c>
      <c r="F382" s="53">
        <f>IFERROR('[Documentation.xlsx]SA-4-1'!B21,"")</f>
        <v/>
      </c>
      <c r="G382" s="53" t="inlineStr"/>
      <c r="H382" s="53" t="inlineStr"/>
      <c r="I382" s="18" t="inlineStr"/>
      <c r="J382" s="19" t="inlineStr"/>
      <c r="K382" s="22" t="inlineStr"/>
      <c r="L382" s="18" t="inlineStr">
        <is>
          <t>Not Started</t>
        </is>
      </c>
    </row>
    <row r="383" ht="42" customHeight="1">
      <c r="A383" s="11" t="n">
        <v>381</v>
      </c>
      <c r="B383" s="50" t="inlineStr">
        <is>
          <t>SA-4(2)</t>
        </is>
      </c>
      <c r="C383" s="11" t="inlineStr">
        <is>
          <t>SA</t>
        </is>
      </c>
      <c r="D383" s="12" t="inlineStr">
        <is>
          <t>Documentation</t>
        </is>
      </c>
      <c r="E383" s="11">
        <f>IFERROR(TRACKER!G383,"Not Started")</f>
        <v/>
      </c>
      <c r="F383" s="51">
        <f>IFERROR('[Documentation.xlsx]SA-4-2'!B21,"")</f>
        <v/>
      </c>
      <c r="G383" s="51" t="inlineStr"/>
      <c r="H383" s="51" t="inlineStr"/>
      <c r="I383" s="11" t="inlineStr"/>
      <c r="J383" s="12" t="inlineStr"/>
      <c r="K383" s="17" t="inlineStr"/>
      <c r="L383" s="11" t="inlineStr">
        <is>
          <t>Not Started</t>
        </is>
      </c>
    </row>
    <row r="384" ht="42" customHeight="1">
      <c r="A384" s="18" t="n">
        <v>382</v>
      </c>
      <c r="B384" s="52" t="inlineStr">
        <is>
          <t>SA-4(8)</t>
        </is>
      </c>
      <c r="C384" s="18" t="inlineStr">
        <is>
          <t>SA</t>
        </is>
      </c>
      <c r="D384" s="19" t="inlineStr">
        <is>
          <t>Documentation</t>
        </is>
      </c>
      <c r="E384" s="18">
        <f>IFERROR(TRACKER!G384,"Not Started")</f>
        <v/>
      </c>
      <c r="F384" s="53">
        <f>IFERROR('[Documentation.xlsx]SA-4-8'!B21,"")</f>
        <v/>
      </c>
      <c r="G384" s="53" t="inlineStr"/>
      <c r="H384" s="53" t="inlineStr"/>
      <c r="I384" s="18" t="inlineStr"/>
      <c r="J384" s="19" t="inlineStr"/>
      <c r="K384" s="22" t="inlineStr"/>
      <c r="L384" s="18" t="inlineStr">
        <is>
          <t>Not Started</t>
        </is>
      </c>
    </row>
    <row r="385" ht="42" customHeight="1">
      <c r="A385" s="11" t="n">
        <v>383</v>
      </c>
      <c r="B385" s="50" t="inlineStr">
        <is>
          <t>SA-4(9)</t>
        </is>
      </c>
      <c r="C385" s="11" t="inlineStr">
        <is>
          <t>SA</t>
        </is>
      </c>
      <c r="D385" s="12" t="inlineStr">
        <is>
          <t>Documentation</t>
        </is>
      </c>
      <c r="E385" s="11">
        <f>IFERROR(TRACKER!G385,"Not Started")</f>
        <v/>
      </c>
      <c r="F385" s="51">
        <f>IFERROR('[Documentation.xlsx]SA-4-9'!B21,"")</f>
        <v/>
      </c>
      <c r="G385" s="51" t="inlineStr"/>
      <c r="H385" s="51" t="inlineStr"/>
      <c r="I385" s="11" t="inlineStr"/>
      <c r="J385" s="12" t="inlineStr"/>
      <c r="K385" s="17" t="inlineStr"/>
      <c r="L385" s="11" t="inlineStr">
        <is>
          <t>Not Started</t>
        </is>
      </c>
    </row>
    <row r="386" ht="42" customHeight="1">
      <c r="A386" s="18" t="n">
        <v>384</v>
      </c>
      <c r="B386" s="52" t="inlineStr">
        <is>
          <t>SA-5</t>
        </is>
      </c>
      <c r="C386" s="18" t="inlineStr">
        <is>
          <t>SA</t>
        </is>
      </c>
      <c r="D386" s="19" t="inlineStr">
        <is>
          <t>Documentation</t>
        </is>
      </c>
      <c r="E386" s="18">
        <f>IFERROR(TRACKER!G386,"Not Started")</f>
        <v/>
      </c>
      <c r="F386" s="53">
        <f>IFERROR('[Documentation.xlsx]SA-5'!B21,"")</f>
        <v/>
      </c>
      <c r="G386" s="53" t="inlineStr"/>
      <c r="H386" s="53" t="inlineStr"/>
      <c r="I386" s="18" t="inlineStr"/>
      <c r="J386" s="19" t="inlineStr"/>
      <c r="K386" s="22" t="inlineStr"/>
      <c r="L386" s="18" t="inlineStr">
        <is>
          <t>Not Started</t>
        </is>
      </c>
    </row>
    <row r="387" ht="42" customHeight="1">
      <c r="A387" s="11" t="n">
        <v>385</v>
      </c>
      <c r="B387" s="50" t="inlineStr">
        <is>
          <t>SA-8</t>
        </is>
      </c>
      <c r="C387" s="11" t="inlineStr">
        <is>
          <t>SA</t>
        </is>
      </c>
      <c r="D387" s="12" t="inlineStr">
        <is>
          <t>Documentation</t>
        </is>
      </c>
      <c r="E387" s="11">
        <f>IFERROR(TRACKER!G387,"Not Started")</f>
        <v/>
      </c>
      <c r="F387" s="51">
        <f>IFERROR('[Documentation.xlsx]SA-8'!B21,"")</f>
        <v/>
      </c>
      <c r="G387" s="51" t="inlineStr"/>
      <c r="H387" s="51" t="inlineStr"/>
      <c r="I387" s="11" t="inlineStr"/>
      <c r="J387" s="12" t="inlineStr"/>
      <c r="K387" s="17" t="inlineStr"/>
      <c r="L387" s="11" t="inlineStr">
        <is>
          <t>Not Started</t>
        </is>
      </c>
    </row>
    <row r="388" ht="42" customHeight="1">
      <c r="A388" s="18" t="n">
        <v>386</v>
      </c>
      <c r="B388" s="52" t="inlineStr">
        <is>
          <t>SA-9</t>
        </is>
      </c>
      <c r="C388" s="18" t="inlineStr">
        <is>
          <t>SA</t>
        </is>
      </c>
      <c r="D388" s="19" t="inlineStr">
        <is>
          <t>Documentation</t>
        </is>
      </c>
      <c r="E388" s="18">
        <f>IFERROR(TRACKER!G388,"Not Started")</f>
        <v/>
      </c>
      <c r="F388" s="53">
        <f>IFERROR('[Documentation.xlsx]SA-9'!B21,"")</f>
        <v/>
      </c>
      <c r="G388" s="53" t="inlineStr"/>
      <c r="H388" s="53" t="inlineStr"/>
      <c r="I388" s="18" t="inlineStr"/>
      <c r="J388" s="19" t="inlineStr"/>
      <c r="K388" s="22" t="inlineStr"/>
      <c r="L388" s="18" t="inlineStr">
        <is>
          <t>Not Started</t>
        </is>
      </c>
    </row>
    <row r="389" ht="42" customHeight="1">
      <c r="A389" s="11" t="n">
        <v>387</v>
      </c>
      <c r="B389" s="50" t="inlineStr">
        <is>
          <t>SA-9(1)</t>
        </is>
      </c>
      <c r="C389" s="11" t="inlineStr">
        <is>
          <t>SA</t>
        </is>
      </c>
      <c r="D389" s="12" t="inlineStr">
        <is>
          <t>Documentation</t>
        </is>
      </c>
      <c r="E389" s="11">
        <f>IFERROR(TRACKER!G389,"Not Started")</f>
        <v/>
      </c>
      <c r="F389" s="51">
        <f>IFERROR('[Documentation.xlsx]SA-9-1'!B21,"")</f>
        <v/>
      </c>
      <c r="G389" s="51" t="inlineStr"/>
      <c r="H389" s="51" t="inlineStr"/>
      <c r="I389" s="11" t="inlineStr"/>
      <c r="J389" s="12" t="inlineStr"/>
      <c r="K389" s="17" t="inlineStr"/>
      <c r="L389" s="11" t="inlineStr">
        <is>
          <t>Not Started</t>
        </is>
      </c>
    </row>
    <row r="390" ht="42" customHeight="1">
      <c r="A390" s="18" t="n">
        <v>388</v>
      </c>
      <c r="B390" s="52" t="inlineStr">
        <is>
          <t>SA-9(2)</t>
        </is>
      </c>
      <c r="C390" s="18" t="inlineStr">
        <is>
          <t>SA</t>
        </is>
      </c>
      <c r="D390" s="19" t="inlineStr">
        <is>
          <t>Documentation</t>
        </is>
      </c>
      <c r="E390" s="18">
        <f>IFERROR(TRACKER!G390,"Not Started")</f>
        <v/>
      </c>
      <c r="F390" s="53">
        <f>IFERROR('[Documentation.xlsx]SA-9-2'!B21,"")</f>
        <v/>
      </c>
      <c r="G390" s="53" t="inlineStr"/>
      <c r="H390" s="53" t="inlineStr"/>
      <c r="I390" s="18" t="inlineStr"/>
      <c r="J390" s="19" t="inlineStr"/>
      <c r="K390" s="22" t="inlineStr"/>
      <c r="L390" s="18" t="inlineStr">
        <is>
          <t>Not Started</t>
        </is>
      </c>
    </row>
    <row r="391" ht="42" customHeight="1">
      <c r="A391" s="11" t="n">
        <v>389</v>
      </c>
      <c r="B391" s="50" t="inlineStr">
        <is>
          <t>SA-9(4)</t>
        </is>
      </c>
      <c r="C391" s="11" t="inlineStr">
        <is>
          <t>SA</t>
        </is>
      </c>
      <c r="D391" s="12" t="inlineStr">
        <is>
          <t>Documentation</t>
        </is>
      </c>
      <c r="E391" s="11">
        <f>IFERROR(TRACKER!G391,"Not Started")</f>
        <v/>
      </c>
      <c r="F391" s="51">
        <f>IFERROR('[Documentation.xlsx]SA-9-4'!B21,"")</f>
        <v/>
      </c>
      <c r="G391" s="51" t="inlineStr"/>
      <c r="H391" s="51" t="inlineStr"/>
      <c r="I391" s="11" t="inlineStr"/>
      <c r="J391" s="12" t="inlineStr"/>
      <c r="K391" s="17" t="inlineStr"/>
      <c r="L391" s="11" t="inlineStr">
        <is>
          <t>Not Started</t>
        </is>
      </c>
    </row>
    <row r="392" ht="42" customHeight="1">
      <c r="A392" s="18" t="n">
        <v>390</v>
      </c>
      <c r="B392" s="52" t="inlineStr">
        <is>
          <t>SA-9(5)</t>
        </is>
      </c>
      <c r="C392" s="18" t="inlineStr">
        <is>
          <t>SA</t>
        </is>
      </c>
      <c r="D392" s="19" t="inlineStr">
        <is>
          <t>Documentation</t>
        </is>
      </c>
      <c r="E392" s="18">
        <f>IFERROR(TRACKER!G392,"Not Started")</f>
        <v/>
      </c>
      <c r="F392" s="53">
        <f>IFERROR('[Documentation.xlsx]SA-9-5'!B21,"")</f>
        <v/>
      </c>
      <c r="G392" s="53" t="inlineStr"/>
      <c r="H392" s="53" t="inlineStr"/>
      <c r="I392" s="18" t="inlineStr"/>
      <c r="J392" s="19" t="inlineStr"/>
      <c r="K392" s="22" t="inlineStr"/>
      <c r="L392" s="18" t="inlineStr">
        <is>
          <t>Not Started</t>
        </is>
      </c>
    </row>
    <row r="393" ht="42" customHeight="1">
      <c r="A393" s="11" t="n">
        <v>391</v>
      </c>
      <c r="B393" s="50" t="inlineStr">
        <is>
          <t>SA-10</t>
        </is>
      </c>
      <c r="C393" s="11" t="inlineStr">
        <is>
          <t>SA</t>
        </is>
      </c>
      <c r="D393" s="12" t="inlineStr">
        <is>
          <t>Documentation</t>
        </is>
      </c>
      <c r="E393" s="11">
        <f>IFERROR(TRACKER!G393,"Not Started")</f>
        <v/>
      </c>
      <c r="F393" s="51">
        <f>IFERROR('[Documentation.xlsx]SA-10'!B21,"")</f>
        <v/>
      </c>
      <c r="G393" s="51" t="inlineStr"/>
      <c r="H393" s="51" t="inlineStr"/>
      <c r="I393" s="11" t="inlineStr"/>
      <c r="J393" s="12" t="inlineStr"/>
      <c r="K393" s="17" t="inlineStr"/>
      <c r="L393" s="11" t="inlineStr">
        <is>
          <t>Not Started</t>
        </is>
      </c>
    </row>
    <row r="394" ht="42" customHeight="1">
      <c r="A394" s="18" t="n">
        <v>392</v>
      </c>
      <c r="B394" s="52" t="inlineStr">
        <is>
          <t>SA-11</t>
        </is>
      </c>
      <c r="C394" s="18" t="inlineStr">
        <is>
          <t>SA</t>
        </is>
      </c>
      <c r="D394" s="19" t="inlineStr">
        <is>
          <t>Documentation</t>
        </is>
      </c>
      <c r="E394" s="18">
        <f>IFERROR(TRACKER!G394,"Not Started")</f>
        <v/>
      </c>
      <c r="F394" s="53">
        <f>IFERROR('[Documentation.xlsx]SA-11'!B21,"")</f>
        <v/>
      </c>
      <c r="G394" s="53" t="inlineStr"/>
      <c r="H394" s="53" t="inlineStr"/>
      <c r="I394" s="18" t="inlineStr"/>
      <c r="J394" s="19" t="inlineStr"/>
      <c r="K394" s="22" t="inlineStr"/>
      <c r="L394" s="18" t="inlineStr">
        <is>
          <t>Not Started</t>
        </is>
      </c>
    </row>
    <row r="395" ht="42" customHeight="1">
      <c r="A395" s="11" t="n">
        <v>393</v>
      </c>
      <c r="B395" s="50" t="inlineStr">
        <is>
          <t>SA-15</t>
        </is>
      </c>
      <c r="C395" s="11" t="inlineStr">
        <is>
          <t>SA</t>
        </is>
      </c>
      <c r="D395" s="12" t="inlineStr">
        <is>
          <t>Documentation</t>
        </is>
      </c>
      <c r="E395" s="11">
        <f>IFERROR(TRACKER!G395,"Not Started")</f>
        <v/>
      </c>
      <c r="F395" s="51">
        <f>IFERROR('[Documentation.xlsx]SA-15'!B21,"")</f>
        <v/>
      </c>
      <c r="G395" s="51" t="inlineStr"/>
      <c r="H395" s="51" t="inlineStr"/>
      <c r="I395" s="11" t="inlineStr"/>
      <c r="J395" s="12" t="inlineStr"/>
      <c r="K395" s="17" t="inlineStr"/>
      <c r="L395" s="11" t="inlineStr">
        <is>
          <t>Not Started</t>
        </is>
      </c>
    </row>
    <row r="396" ht="42" customHeight="1">
      <c r="A396" s="18" t="n">
        <v>394</v>
      </c>
      <c r="B396" s="52" t="inlineStr">
        <is>
          <t>SC-1</t>
        </is>
      </c>
      <c r="C396" s="18" t="inlineStr">
        <is>
          <t>SC</t>
        </is>
      </c>
      <c r="D396" s="19" t="inlineStr">
        <is>
          <t>Documentation</t>
        </is>
      </c>
      <c r="E396" s="18">
        <f>IFERROR(TRACKER!G396,"Not Started")</f>
        <v/>
      </c>
      <c r="F396" s="53">
        <f>IFERROR('[Documentation.xlsx]SC-1'!B21,"")</f>
        <v/>
      </c>
      <c r="G396" s="53" t="inlineStr"/>
      <c r="H396" s="53" t="inlineStr"/>
      <c r="I396" s="18" t="inlineStr"/>
      <c r="J396" s="19" t="inlineStr"/>
      <c r="K396" s="22" t="inlineStr"/>
      <c r="L396" s="18" t="inlineStr">
        <is>
          <t>Not Started</t>
        </is>
      </c>
    </row>
    <row r="397" ht="42" customHeight="1">
      <c r="A397" s="11" t="n">
        <v>395</v>
      </c>
      <c r="B397" s="50" t="inlineStr">
        <is>
          <t>SC-7(3)</t>
        </is>
      </c>
      <c r="C397" s="11" t="inlineStr">
        <is>
          <t>SC</t>
        </is>
      </c>
      <c r="D397" s="12" t="inlineStr">
        <is>
          <t>Documentation</t>
        </is>
      </c>
      <c r="E397" s="11">
        <f>IFERROR(TRACKER!G397,"Not Started")</f>
        <v/>
      </c>
      <c r="F397" s="51">
        <f>IFERROR('[Documentation.xlsx]SC-7-3'!B21,"")</f>
        <v/>
      </c>
      <c r="G397" s="51" t="inlineStr"/>
      <c r="H397" s="51" t="inlineStr"/>
      <c r="I397" s="11" t="inlineStr"/>
      <c r="J397" s="12" t="inlineStr"/>
      <c r="K397" s="17" t="inlineStr"/>
      <c r="L397" s="11" t="inlineStr">
        <is>
          <t>Not Started</t>
        </is>
      </c>
    </row>
    <row r="398" ht="42" customHeight="1">
      <c r="A398" s="18" t="n">
        <v>396</v>
      </c>
      <c r="B398" s="52" t="inlineStr">
        <is>
          <t>SC-7(4)</t>
        </is>
      </c>
      <c r="C398" s="18" t="inlineStr">
        <is>
          <t>SC</t>
        </is>
      </c>
      <c r="D398" s="19" t="inlineStr">
        <is>
          <t>Documentation</t>
        </is>
      </c>
      <c r="E398" s="18">
        <f>IFERROR(TRACKER!G398,"Not Started")</f>
        <v/>
      </c>
      <c r="F398" s="53">
        <f>IFERROR('[Documentation.xlsx]SC-7-4'!B21,"")</f>
        <v/>
      </c>
      <c r="G398" s="53" t="inlineStr"/>
      <c r="H398" s="53" t="inlineStr"/>
      <c r="I398" s="18" t="inlineStr"/>
      <c r="J398" s="19" t="inlineStr"/>
      <c r="K398" s="22" t="inlineStr"/>
      <c r="L398" s="18" t="inlineStr">
        <is>
          <t>Not Started</t>
        </is>
      </c>
    </row>
    <row r="399" ht="42" customHeight="1">
      <c r="A399" s="11" t="n">
        <v>397</v>
      </c>
      <c r="B399" s="50" t="inlineStr">
        <is>
          <t>SC-18</t>
        </is>
      </c>
      <c r="C399" s="11" t="inlineStr">
        <is>
          <t>SC</t>
        </is>
      </c>
      <c r="D399" s="12" t="inlineStr">
        <is>
          <t>Documentation</t>
        </is>
      </c>
      <c r="E399" s="11">
        <f>IFERROR(TRACKER!G399,"Not Started")</f>
        <v/>
      </c>
      <c r="F399" s="51">
        <f>IFERROR('[Documentation.xlsx]SC-18'!B21,"")</f>
        <v/>
      </c>
      <c r="G399" s="51" t="inlineStr"/>
      <c r="H399" s="51" t="inlineStr"/>
      <c r="I399" s="11" t="inlineStr"/>
      <c r="J399" s="12" t="inlineStr"/>
      <c r="K399" s="17" t="inlineStr"/>
      <c r="L399" s="11" t="inlineStr">
        <is>
          <t>Not Started</t>
        </is>
      </c>
    </row>
    <row r="400" ht="42" customHeight="1">
      <c r="A400" s="18" t="n">
        <v>398</v>
      </c>
      <c r="B400" s="52" t="inlineStr">
        <is>
          <t>SC-19</t>
        </is>
      </c>
      <c r="C400" s="18" t="inlineStr">
        <is>
          <t>SC</t>
        </is>
      </c>
      <c r="D400" s="19" t="inlineStr">
        <is>
          <t>Documentation</t>
        </is>
      </c>
      <c r="E400" s="18">
        <f>IFERROR(TRACKER!G400,"Not Started")</f>
        <v/>
      </c>
      <c r="F400" s="53">
        <f>IFERROR('[Documentation.xlsx]SC-19'!B21,"")</f>
        <v/>
      </c>
      <c r="G400" s="53" t="inlineStr"/>
      <c r="H400" s="53" t="inlineStr"/>
      <c r="I400" s="18" t="inlineStr"/>
      <c r="J400" s="19" t="inlineStr"/>
      <c r="K400" s="22" t="inlineStr"/>
      <c r="L400" s="18" t="inlineStr">
        <is>
          <t>Not Started</t>
        </is>
      </c>
    </row>
    <row r="401" ht="42" customHeight="1">
      <c r="A401" s="11" t="n">
        <v>399</v>
      </c>
      <c r="B401" s="50" t="inlineStr">
        <is>
          <t>SC-28</t>
        </is>
      </c>
      <c r="C401" s="11" t="inlineStr">
        <is>
          <t>SC</t>
        </is>
      </c>
      <c r="D401" s="12" t="inlineStr">
        <is>
          <t>Documentation</t>
        </is>
      </c>
      <c r="E401" s="11">
        <f>IFERROR(TRACKER!G401,"Not Started")</f>
        <v/>
      </c>
      <c r="F401" s="51">
        <f>IFERROR('[Documentation.xlsx]SC-28'!B21,"")</f>
        <v/>
      </c>
      <c r="G401" s="51" t="inlineStr"/>
      <c r="H401" s="51" t="inlineStr"/>
      <c r="I401" s="11" t="inlineStr"/>
      <c r="J401" s="12" t="inlineStr"/>
      <c r="K401" s="17" t="inlineStr"/>
      <c r="L401" s="11" t="inlineStr">
        <is>
          <t>Not Started</t>
        </is>
      </c>
    </row>
    <row r="402" ht="42" customHeight="1">
      <c r="A402" s="18" t="n">
        <v>400</v>
      </c>
      <c r="B402" s="52" t="inlineStr">
        <is>
          <t>SI-1</t>
        </is>
      </c>
      <c r="C402" s="18" t="inlineStr">
        <is>
          <t>SI</t>
        </is>
      </c>
      <c r="D402" s="19" t="inlineStr">
        <is>
          <t>Documentation</t>
        </is>
      </c>
      <c r="E402" s="18">
        <f>IFERROR(TRACKER!G402,"Not Started")</f>
        <v/>
      </c>
      <c r="F402" s="53">
        <f>IFERROR('[Documentation.xlsx]SI-1'!B21,"")</f>
        <v/>
      </c>
      <c r="G402" s="53" t="inlineStr"/>
      <c r="H402" s="53" t="inlineStr"/>
      <c r="I402" s="18" t="inlineStr"/>
      <c r="J402" s="19" t="inlineStr"/>
      <c r="K402" s="22" t="inlineStr"/>
      <c r="L402" s="18" t="inlineStr">
        <is>
          <t>Not Started</t>
        </is>
      </c>
    </row>
    <row r="403" ht="42" customHeight="1">
      <c r="A403" s="11" t="n">
        <v>401</v>
      </c>
      <c r="B403" s="50" t="inlineStr">
        <is>
          <t>SI-2</t>
        </is>
      </c>
      <c r="C403" s="11" t="inlineStr">
        <is>
          <t>SI</t>
        </is>
      </c>
      <c r="D403" s="12" t="inlineStr">
        <is>
          <t>Documentation</t>
        </is>
      </c>
      <c r="E403" s="11">
        <f>IFERROR(TRACKER!G403,"Not Started")</f>
        <v/>
      </c>
      <c r="F403" s="51">
        <f>IFERROR('[Documentation.xlsx]SI-2'!B21,"")</f>
        <v/>
      </c>
      <c r="G403" s="51" t="inlineStr"/>
      <c r="H403" s="51" t="inlineStr"/>
      <c r="I403" s="11" t="inlineStr"/>
      <c r="J403" s="12" t="inlineStr"/>
      <c r="K403" s="17" t="inlineStr"/>
      <c r="L403" s="11" t="inlineStr">
        <is>
          <t>Not Started</t>
        </is>
      </c>
    </row>
    <row r="404" ht="42" customHeight="1">
      <c r="A404" s="18" t="n">
        <v>402</v>
      </c>
      <c r="B404" s="52" t="inlineStr">
        <is>
          <t>SI-2(3)</t>
        </is>
      </c>
      <c r="C404" s="18" t="inlineStr">
        <is>
          <t>SI</t>
        </is>
      </c>
      <c r="D404" s="19" t="inlineStr">
        <is>
          <t>Documentation</t>
        </is>
      </c>
      <c r="E404" s="18">
        <f>IFERROR(TRACKER!G404,"Not Started")</f>
        <v/>
      </c>
      <c r="F404" s="53">
        <f>IFERROR('[Documentation.xlsx]SI-2-3'!B21,"")</f>
        <v/>
      </c>
      <c r="G404" s="53" t="inlineStr"/>
      <c r="H404" s="53" t="inlineStr"/>
      <c r="I404" s="18" t="inlineStr"/>
      <c r="J404" s="19" t="inlineStr"/>
      <c r="K404" s="22" t="inlineStr"/>
      <c r="L404" s="18" t="inlineStr">
        <is>
          <t>Not Started</t>
        </is>
      </c>
    </row>
    <row r="405" ht="42" customHeight="1">
      <c r="A405" s="11" t="n">
        <v>403</v>
      </c>
      <c r="B405" s="50" t="inlineStr">
        <is>
          <t>SI-3</t>
        </is>
      </c>
      <c r="C405" s="11" t="inlineStr">
        <is>
          <t>SI</t>
        </is>
      </c>
      <c r="D405" s="12" t="inlineStr">
        <is>
          <t>Documentation</t>
        </is>
      </c>
      <c r="E405" s="11">
        <f>IFERROR(TRACKER!G405,"Not Started")</f>
        <v/>
      </c>
      <c r="F405" s="51">
        <f>IFERROR('[Documentation.xlsx]SI-3'!B21,"")</f>
        <v/>
      </c>
      <c r="G405" s="51" t="inlineStr"/>
      <c r="H405" s="51" t="inlineStr"/>
      <c r="I405" s="11" t="inlineStr"/>
      <c r="J405" s="12" t="inlineStr"/>
      <c r="K405" s="17" t="inlineStr"/>
      <c r="L405" s="11" t="inlineStr">
        <is>
          <t>Not Started</t>
        </is>
      </c>
    </row>
    <row r="406" ht="42" customHeight="1">
      <c r="A406" s="18" t="n">
        <v>404</v>
      </c>
      <c r="B406" s="52" t="inlineStr">
        <is>
          <t>SI-4</t>
        </is>
      </c>
      <c r="C406" s="18" t="inlineStr">
        <is>
          <t>SI</t>
        </is>
      </c>
      <c r="D406" s="19" t="inlineStr">
        <is>
          <t>Documentation</t>
        </is>
      </c>
      <c r="E406" s="18">
        <f>IFERROR(TRACKER!G406,"Not Started")</f>
        <v/>
      </c>
      <c r="F406" s="53">
        <f>IFERROR('[Documentation.xlsx]SI-4'!B21,"")</f>
        <v/>
      </c>
      <c r="G406" s="53" t="inlineStr"/>
      <c r="H406" s="53" t="inlineStr"/>
      <c r="I406" s="18" t="inlineStr"/>
      <c r="J406" s="19" t="inlineStr"/>
      <c r="K406" s="22" t="inlineStr"/>
      <c r="L406" s="18" t="inlineStr">
        <is>
          <t>Not Started</t>
        </is>
      </c>
    </row>
    <row r="407" ht="42" customHeight="1">
      <c r="A407" s="11" t="n">
        <v>405</v>
      </c>
      <c r="B407" s="50" t="inlineStr">
        <is>
          <t>SI-4(5)</t>
        </is>
      </c>
      <c r="C407" s="11" t="inlineStr">
        <is>
          <t>SI</t>
        </is>
      </c>
      <c r="D407" s="12" t="inlineStr">
        <is>
          <t>Documentation</t>
        </is>
      </c>
      <c r="E407" s="11">
        <f>IFERROR(TRACKER!G407,"Not Started")</f>
        <v/>
      </c>
      <c r="F407" s="51">
        <f>IFERROR('[Documentation.xlsx]SI-4-5'!B21,"")</f>
        <v/>
      </c>
      <c r="G407" s="51" t="inlineStr"/>
      <c r="H407" s="51" t="inlineStr"/>
      <c r="I407" s="11" t="inlineStr"/>
      <c r="J407" s="12" t="inlineStr"/>
      <c r="K407" s="17" t="inlineStr"/>
      <c r="L407" s="11" t="inlineStr">
        <is>
          <t>Not Started</t>
        </is>
      </c>
    </row>
    <row r="408" ht="42" customHeight="1">
      <c r="A408" s="18" t="n">
        <v>406</v>
      </c>
      <c r="B408" s="52" t="inlineStr">
        <is>
          <t>SI-4(7)</t>
        </is>
      </c>
      <c r="C408" s="18" t="inlineStr">
        <is>
          <t>SI</t>
        </is>
      </c>
      <c r="D408" s="19" t="inlineStr">
        <is>
          <t>Documentation</t>
        </is>
      </c>
      <c r="E408" s="18">
        <f>IFERROR(TRACKER!G408,"Not Started")</f>
        <v/>
      </c>
      <c r="F408" s="53">
        <f>IFERROR('[Documentation.xlsx]SI-4-7'!B21,"")</f>
        <v/>
      </c>
      <c r="G408" s="53" t="inlineStr"/>
      <c r="H408" s="53" t="inlineStr"/>
      <c r="I408" s="18" t="inlineStr"/>
      <c r="J408" s="19" t="inlineStr"/>
      <c r="K408" s="22" t="inlineStr"/>
      <c r="L408" s="18" t="inlineStr">
        <is>
          <t>Not Started</t>
        </is>
      </c>
    </row>
    <row r="409" ht="42" customHeight="1">
      <c r="A409" s="11" t="n">
        <v>407</v>
      </c>
      <c r="B409" s="50" t="inlineStr">
        <is>
          <t>SI-4(16)</t>
        </is>
      </c>
      <c r="C409" s="11" t="inlineStr">
        <is>
          <t>SI</t>
        </is>
      </c>
      <c r="D409" s="12" t="inlineStr">
        <is>
          <t>Documentation</t>
        </is>
      </c>
      <c r="E409" s="11">
        <f>IFERROR(TRACKER!G409,"Not Started")</f>
        <v/>
      </c>
      <c r="F409" s="51">
        <f>IFERROR('[Documentation.xlsx]SI-4-16'!B21,"")</f>
        <v/>
      </c>
      <c r="G409" s="51" t="inlineStr"/>
      <c r="H409" s="51" t="inlineStr"/>
      <c r="I409" s="11" t="inlineStr"/>
      <c r="J409" s="12" t="inlineStr"/>
      <c r="K409" s="17" t="inlineStr"/>
      <c r="L409" s="11" t="inlineStr">
        <is>
          <t>Not Started</t>
        </is>
      </c>
    </row>
    <row r="410" ht="42" customHeight="1">
      <c r="A410" s="18" t="n">
        <v>408</v>
      </c>
      <c r="B410" s="52" t="inlineStr">
        <is>
          <t>SI-4(20)</t>
        </is>
      </c>
      <c r="C410" s="18" t="inlineStr">
        <is>
          <t>SI</t>
        </is>
      </c>
      <c r="D410" s="19" t="inlineStr">
        <is>
          <t>Documentation</t>
        </is>
      </c>
      <c r="E410" s="18">
        <f>IFERROR(TRACKER!G410,"Not Started")</f>
        <v/>
      </c>
      <c r="F410" s="53">
        <f>IFERROR('[Documentation.xlsx]SI-4-20'!B21,"")</f>
        <v/>
      </c>
      <c r="G410" s="53" t="inlineStr"/>
      <c r="H410" s="53" t="inlineStr"/>
      <c r="I410" s="18" t="inlineStr"/>
      <c r="J410" s="19" t="inlineStr"/>
      <c r="K410" s="22" t="inlineStr"/>
      <c r="L410" s="18" t="inlineStr">
        <is>
          <t>Not Started</t>
        </is>
      </c>
    </row>
    <row r="411" ht="42" customHeight="1">
      <c r="A411" s="11" t="n">
        <v>409</v>
      </c>
      <c r="B411" s="50" t="inlineStr">
        <is>
          <t>SI-5</t>
        </is>
      </c>
      <c r="C411" s="11" t="inlineStr">
        <is>
          <t>SI</t>
        </is>
      </c>
      <c r="D411" s="12" t="inlineStr">
        <is>
          <t>Documentation</t>
        </is>
      </c>
      <c r="E411" s="11">
        <f>IFERROR(TRACKER!G411,"Not Started")</f>
        <v/>
      </c>
      <c r="F411" s="51">
        <f>IFERROR('[Documentation.xlsx]SI-5'!B21,"")</f>
        <v/>
      </c>
      <c r="G411" s="51" t="inlineStr"/>
      <c r="H411" s="51" t="inlineStr"/>
      <c r="I411" s="11" t="inlineStr"/>
      <c r="J411" s="12" t="inlineStr"/>
      <c r="K411" s="17" t="inlineStr"/>
      <c r="L411" s="11" t="inlineStr">
        <is>
          <t>Not Started</t>
        </is>
      </c>
    </row>
    <row r="412" ht="42" customHeight="1">
      <c r="A412" s="18" t="n">
        <v>410</v>
      </c>
      <c r="B412" s="52" t="inlineStr">
        <is>
          <t>SI-6</t>
        </is>
      </c>
      <c r="C412" s="18" t="inlineStr">
        <is>
          <t>SI</t>
        </is>
      </c>
      <c r="D412" s="19" t="inlineStr">
        <is>
          <t>Documentation</t>
        </is>
      </c>
      <c r="E412" s="18">
        <f>IFERROR(TRACKER!G412,"Not Started")</f>
        <v/>
      </c>
      <c r="F412" s="53">
        <f>IFERROR('[Documentation.xlsx]SI-6'!B21,"")</f>
        <v/>
      </c>
      <c r="G412" s="53" t="inlineStr"/>
      <c r="H412" s="53" t="inlineStr"/>
      <c r="I412" s="18" t="inlineStr"/>
      <c r="J412" s="19" t="inlineStr"/>
      <c r="K412" s="22" t="inlineStr"/>
      <c r="L412" s="18" t="inlineStr">
        <is>
          <t>Not Started</t>
        </is>
      </c>
    </row>
    <row r="413" ht="42" customHeight="1">
      <c r="A413" s="11" t="n">
        <v>411</v>
      </c>
      <c r="B413" s="50" t="inlineStr">
        <is>
          <t>SI-7(7)</t>
        </is>
      </c>
      <c r="C413" s="11" t="inlineStr">
        <is>
          <t>SI</t>
        </is>
      </c>
      <c r="D413" s="12" t="inlineStr">
        <is>
          <t>Documentation</t>
        </is>
      </c>
      <c r="E413" s="11">
        <f>IFERROR(TRACKER!G413,"Not Started")</f>
        <v/>
      </c>
      <c r="F413" s="51">
        <f>IFERROR('[Documentation.xlsx]SI-7-7'!B21,"")</f>
        <v/>
      </c>
      <c r="G413" s="51" t="inlineStr"/>
      <c r="H413" s="51" t="inlineStr"/>
      <c r="I413" s="11" t="inlineStr"/>
      <c r="J413" s="12" t="inlineStr"/>
      <c r="K413" s="17" t="inlineStr"/>
      <c r="L413" s="11" t="inlineStr">
        <is>
          <t>Not Started</t>
        </is>
      </c>
    </row>
    <row r="414" ht="42" customHeight="1">
      <c r="A414" s="18" t="n">
        <v>412</v>
      </c>
      <c r="B414" s="52" t="inlineStr">
        <is>
          <t>SI-12</t>
        </is>
      </c>
      <c r="C414" s="18" t="inlineStr">
        <is>
          <t>SI</t>
        </is>
      </c>
      <c r="D414" s="19" t="inlineStr">
        <is>
          <t>Documentation</t>
        </is>
      </c>
      <c r="E414" s="18">
        <f>IFERROR(TRACKER!G414,"Not Started")</f>
        <v/>
      </c>
      <c r="F414" s="53">
        <f>IFERROR('[Documentation.xlsx]SI-12'!B21,"")</f>
        <v/>
      </c>
      <c r="G414" s="53" t="inlineStr"/>
      <c r="H414" s="53" t="inlineStr"/>
      <c r="I414" s="18" t="inlineStr"/>
      <c r="J414" s="19" t="inlineStr"/>
      <c r="K414" s="22" t="inlineStr"/>
      <c r="L414" s="18" t="inlineStr">
        <is>
          <t>Not Started</t>
        </is>
      </c>
    </row>
    <row r="415" ht="42" customHeight="1">
      <c r="A415" s="11" t="n">
        <v>413</v>
      </c>
      <c r="B415" s="50" t="inlineStr">
        <is>
          <t>AC-2(4)</t>
        </is>
      </c>
      <c r="C415" s="11" t="inlineStr">
        <is>
          <t>AC</t>
        </is>
      </c>
      <c r="D415" s="12" t="inlineStr">
        <is>
          <t>Hybrid + Multicloud</t>
        </is>
      </c>
      <c r="E415" s="11">
        <f>IFERROR(TRACKER!G415,"Not Started")</f>
        <v/>
      </c>
      <c r="F415" s="51">
        <f>IFERROR('[Hybrid_and_Multicloud.xlsx]AC-2-4'!B21,"")</f>
        <v/>
      </c>
      <c r="G415" s="51" t="inlineStr"/>
      <c r="H415" s="51" t="inlineStr"/>
      <c r="I415" s="11" t="inlineStr"/>
      <c r="J415" s="12" t="inlineStr"/>
      <c r="K415" s="17" t="inlineStr"/>
      <c r="L415" s="11" t="inlineStr">
        <is>
          <t>Not Started</t>
        </is>
      </c>
    </row>
    <row r="416" ht="42" customHeight="1">
      <c r="A416" s="18" t="n">
        <v>414</v>
      </c>
      <c r="B416" s="52" t="inlineStr">
        <is>
          <t>AC-2(5)</t>
        </is>
      </c>
      <c r="C416" s="18" t="inlineStr">
        <is>
          <t>AC</t>
        </is>
      </c>
      <c r="D416" s="19" t="inlineStr">
        <is>
          <t>Hybrid + Multicloud</t>
        </is>
      </c>
      <c r="E416" s="18">
        <f>IFERROR(TRACKER!G416,"Not Started")</f>
        <v/>
      </c>
      <c r="F416" s="53">
        <f>IFERROR('[Hybrid_and_Multicloud.xlsx]AC-2-5'!B21,"")</f>
        <v/>
      </c>
      <c r="G416" s="53" t="inlineStr"/>
      <c r="H416" s="53" t="inlineStr"/>
      <c r="I416" s="18" t="inlineStr"/>
      <c r="J416" s="19" t="inlineStr"/>
      <c r="K416" s="22" t="inlineStr"/>
      <c r="L416" s="18" t="inlineStr">
        <is>
          <t>Not Started</t>
        </is>
      </c>
    </row>
    <row r="417" ht="42" customHeight="1">
      <c r="A417" s="11" t="n">
        <v>415</v>
      </c>
      <c r="B417" s="50" t="inlineStr">
        <is>
          <t>AC-2(7)</t>
        </is>
      </c>
      <c r="C417" s="11" t="inlineStr">
        <is>
          <t>AC</t>
        </is>
      </c>
      <c r="D417" s="12" t="inlineStr">
        <is>
          <t>Hybrid + Multicloud</t>
        </is>
      </c>
      <c r="E417" s="11">
        <f>IFERROR(TRACKER!G417,"Not Started")</f>
        <v/>
      </c>
      <c r="F417" s="51">
        <f>IFERROR('[Hybrid_and_Multicloud.xlsx]AC-2-7'!B21,"")</f>
        <v/>
      </c>
      <c r="G417" s="51" t="inlineStr"/>
      <c r="H417" s="51" t="inlineStr"/>
      <c r="I417" s="11" t="inlineStr"/>
      <c r="J417" s="12" t="inlineStr"/>
      <c r="K417" s="17" t="inlineStr"/>
      <c r="L417" s="11" t="inlineStr">
        <is>
          <t>Not Started</t>
        </is>
      </c>
    </row>
    <row r="418" ht="42" customHeight="1">
      <c r="A418" s="18" t="n">
        <v>416</v>
      </c>
      <c r="B418" s="52" t="inlineStr">
        <is>
          <t>AC-6</t>
        </is>
      </c>
      <c r="C418" s="18" t="inlineStr">
        <is>
          <t>AC</t>
        </is>
      </c>
      <c r="D418" s="19" t="inlineStr">
        <is>
          <t>Hybrid + Multicloud</t>
        </is>
      </c>
      <c r="E418" s="18">
        <f>IFERROR(TRACKER!G418,"Not Started")</f>
        <v/>
      </c>
      <c r="F418" s="53">
        <f>IFERROR('[Hybrid_and_Multicloud.xlsx]AC-6'!B21,"")</f>
        <v/>
      </c>
      <c r="G418" s="53" t="inlineStr"/>
      <c r="H418" s="53" t="inlineStr"/>
      <c r="I418" s="18" t="inlineStr"/>
      <c r="J418" s="19" t="inlineStr"/>
      <c r="K418" s="22" t="inlineStr"/>
      <c r="L418" s="18" t="inlineStr">
        <is>
          <t>Not Started</t>
        </is>
      </c>
    </row>
    <row r="419" ht="42" customHeight="1">
      <c r="A419" s="11" t="n">
        <v>417</v>
      </c>
      <c r="B419" s="50" t="inlineStr">
        <is>
          <t>AC-6(1)</t>
        </is>
      </c>
      <c r="C419" s="11" t="inlineStr">
        <is>
          <t>AC</t>
        </is>
      </c>
      <c r="D419" s="12" t="inlineStr">
        <is>
          <t>Hybrid + Multicloud</t>
        </is>
      </c>
      <c r="E419" s="11">
        <f>IFERROR(TRACKER!G419,"Not Started")</f>
        <v/>
      </c>
      <c r="F419" s="51">
        <f>IFERROR('[Hybrid_and_Multicloud.xlsx]AC-6-1'!B21,"")</f>
        <v/>
      </c>
      <c r="G419" s="51" t="inlineStr"/>
      <c r="H419" s="51" t="inlineStr"/>
      <c r="I419" s="11" t="inlineStr"/>
      <c r="J419" s="12" t="inlineStr"/>
      <c r="K419" s="17" t="inlineStr"/>
      <c r="L419" s="11" t="inlineStr">
        <is>
          <t>Not Started</t>
        </is>
      </c>
    </row>
    <row r="420" ht="42" customHeight="1">
      <c r="A420" s="18" t="n">
        <v>418</v>
      </c>
      <c r="B420" s="52" t="inlineStr">
        <is>
          <t>AC-6(9)</t>
        </is>
      </c>
      <c r="C420" s="18" t="inlineStr">
        <is>
          <t>AC</t>
        </is>
      </c>
      <c r="D420" s="19" t="inlineStr">
        <is>
          <t>Hybrid + Multicloud</t>
        </is>
      </c>
      <c r="E420" s="18">
        <f>IFERROR(TRACKER!G420,"Not Started")</f>
        <v/>
      </c>
      <c r="F420" s="53">
        <f>IFERROR('[Hybrid_and_Multicloud.xlsx]AC-6-9'!B21,"")</f>
        <v/>
      </c>
      <c r="G420" s="53" t="inlineStr"/>
      <c r="H420" s="53" t="inlineStr"/>
      <c r="I420" s="18" t="inlineStr"/>
      <c r="J420" s="19" t="inlineStr"/>
      <c r="K420" s="22" t="inlineStr"/>
      <c r="L420" s="18" t="inlineStr">
        <is>
          <t>Not Started</t>
        </is>
      </c>
    </row>
    <row r="421" ht="42" customHeight="1">
      <c r="A421" s="11" t="n">
        <v>419</v>
      </c>
      <c r="B421" s="50" t="inlineStr">
        <is>
          <t>AC-17(1)</t>
        </is>
      </c>
      <c r="C421" s="11" t="inlineStr">
        <is>
          <t>AC</t>
        </is>
      </c>
      <c r="D421" s="12" t="inlineStr">
        <is>
          <t>Hybrid + Multicloud</t>
        </is>
      </c>
      <c r="E421" s="11">
        <f>IFERROR(TRACKER!G421,"Not Started")</f>
        <v/>
      </c>
      <c r="F421" s="51">
        <f>IFERROR('[Hybrid_and_Multicloud.xlsx]AC-17-1'!B21,"")</f>
        <v/>
      </c>
      <c r="G421" s="51" t="inlineStr"/>
      <c r="H421" s="51" t="inlineStr"/>
      <c r="I421" s="11" t="inlineStr"/>
      <c r="J421" s="12" t="inlineStr"/>
      <c r="K421" s="17" t="inlineStr"/>
      <c r="L421" s="11" t="inlineStr">
        <is>
          <t>Not Started</t>
        </is>
      </c>
    </row>
    <row r="422" ht="42" customHeight="1">
      <c r="A422" s="18" t="n">
        <v>420</v>
      </c>
      <c r="B422" s="52" t="inlineStr">
        <is>
          <t>AU-2</t>
        </is>
      </c>
      <c r="C422" s="18" t="inlineStr">
        <is>
          <t>AU</t>
        </is>
      </c>
      <c r="D422" s="19" t="inlineStr">
        <is>
          <t>Hybrid + Multicloud</t>
        </is>
      </c>
      <c r="E422" s="18">
        <f>IFERROR(TRACKER!G422,"Not Started")</f>
        <v/>
      </c>
      <c r="F422" s="53">
        <f>IFERROR('[Hybrid_and_Multicloud.xlsx]AU-2'!B21,"")</f>
        <v/>
      </c>
      <c r="G422" s="53" t="inlineStr"/>
      <c r="H422" s="53" t="inlineStr"/>
      <c r="I422" s="18" t="inlineStr"/>
      <c r="J422" s="19" t="inlineStr"/>
      <c r="K422" s="22" t="inlineStr"/>
      <c r="L422" s="18" t="inlineStr">
        <is>
          <t>Not Started</t>
        </is>
      </c>
    </row>
    <row r="423" ht="42" customHeight="1">
      <c r="A423" s="11" t="n">
        <v>421</v>
      </c>
      <c r="B423" s="50" t="inlineStr">
        <is>
          <t>AU-3</t>
        </is>
      </c>
      <c r="C423" s="11" t="inlineStr">
        <is>
          <t>AU</t>
        </is>
      </c>
      <c r="D423" s="12" t="inlineStr">
        <is>
          <t>Hybrid + Multicloud</t>
        </is>
      </c>
      <c r="E423" s="11">
        <f>IFERROR(TRACKER!G423,"Not Started")</f>
        <v/>
      </c>
      <c r="F423" s="51">
        <f>IFERROR('[Hybrid_and_Multicloud.xlsx]AU-3'!B21,"")</f>
        <v/>
      </c>
      <c r="G423" s="51" t="inlineStr"/>
      <c r="H423" s="51" t="inlineStr"/>
      <c r="I423" s="11" t="inlineStr"/>
      <c r="J423" s="12" t="inlineStr"/>
      <c r="K423" s="17" t="inlineStr"/>
      <c r="L423" s="11" t="inlineStr">
        <is>
          <t>Not Started</t>
        </is>
      </c>
    </row>
    <row r="424" ht="42" customHeight="1">
      <c r="A424" s="18" t="n">
        <v>422</v>
      </c>
      <c r="B424" s="52" t="inlineStr">
        <is>
          <t>AU-3(1)</t>
        </is>
      </c>
      <c r="C424" s="18" t="inlineStr">
        <is>
          <t>AU</t>
        </is>
      </c>
      <c r="D424" s="19" t="inlineStr">
        <is>
          <t>Hybrid + Multicloud</t>
        </is>
      </c>
      <c r="E424" s="18">
        <f>IFERROR(TRACKER!G424,"Not Started")</f>
        <v/>
      </c>
      <c r="F424" s="53">
        <f>IFERROR('[Hybrid_and_Multicloud.xlsx]AU-3-1'!B21,"")</f>
        <v/>
      </c>
      <c r="G424" s="53" t="inlineStr"/>
      <c r="H424" s="53" t="inlineStr"/>
      <c r="I424" s="18" t="inlineStr"/>
      <c r="J424" s="19" t="inlineStr"/>
      <c r="K424" s="22" t="inlineStr"/>
      <c r="L424" s="18" t="inlineStr">
        <is>
          <t>Not Started</t>
        </is>
      </c>
    </row>
    <row r="425" ht="42" customHeight="1">
      <c r="A425" s="11" t="n">
        <v>423</v>
      </c>
      <c r="B425" s="50" t="inlineStr">
        <is>
          <t>AU-5</t>
        </is>
      </c>
      <c r="C425" s="11" t="inlineStr">
        <is>
          <t>AU</t>
        </is>
      </c>
      <c r="D425" s="12" t="inlineStr">
        <is>
          <t>Hybrid + Multicloud</t>
        </is>
      </c>
      <c r="E425" s="11">
        <f>IFERROR(TRACKER!G425,"Not Started")</f>
        <v/>
      </c>
      <c r="F425" s="51">
        <f>IFERROR('[Hybrid_and_Multicloud.xlsx]AU-5'!B21,"")</f>
        <v/>
      </c>
      <c r="G425" s="51" t="inlineStr"/>
      <c r="H425" s="51" t="inlineStr"/>
      <c r="I425" s="11" t="inlineStr"/>
      <c r="J425" s="12" t="inlineStr"/>
      <c r="K425" s="17" t="inlineStr"/>
      <c r="L425" s="11" t="inlineStr">
        <is>
          <t>Not Started</t>
        </is>
      </c>
    </row>
    <row r="426" ht="42" customHeight="1">
      <c r="A426" s="18" t="n">
        <v>424</v>
      </c>
      <c r="B426" s="52" t="inlineStr">
        <is>
          <t>AU-6(1)</t>
        </is>
      </c>
      <c r="C426" s="18" t="inlineStr">
        <is>
          <t>AU</t>
        </is>
      </c>
      <c r="D426" s="19" t="inlineStr">
        <is>
          <t>Hybrid + Multicloud</t>
        </is>
      </c>
      <c r="E426" s="18">
        <f>IFERROR(TRACKER!G426,"Not Started")</f>
        <v/>
      </c>
      <c r="F426" s="53">
        <f>IFERROR('[Hybrid_and_Multicloud.xlsx]AU-6-1'!B21,"")</f>
        <v/>
      </c>
      <c r="G426" s="53" t="inlineStr"/>
      <c r="H426" s="53" t="inlineStr"/>
      <c r="I426" s="18" t="inlineStr"/>
      <c r="J426" s="19" t="inlineStr"/>
      <c r="K426" s="22" t="inlineStr"/>
      <c r="L426" s="18" t="inlineStr">
        <is>
          <t>Not Started</t>
        </is>
      </c>
    </row>
    <row r="427" ht="42" customHeight="1">
      <c r="A427" s="11" t="n">
        <v>425</v>
      </c>
      <c r="B427" s="50" t="inlineStr">
        <is>
          <t>AU-6(3)</t>
        </is>
      </c>
      <c r="C427" s="11" t="inlineStr">
        <is>
          <t>AU</t>
        </is>
      </c>
      <c r="D427" s="12" t="inlineStr">
        <is>
          <t>Hybrid + Multicloud</t>
        </is>
      </c>
      <c r="E427" s="11">
        <f>IFERROR(TRACKER!G427,"Not Started")</f>
        <v/>
      </c>
      <c r="F427" s="51">
        <f>IFERROR('[Hybrid_and_Multicloud.xlsx]AU-6-3'!B21,"")</f>
        <v/>
      </c>
      <c r="G427" s="51" t="inlineStr"/>
      <c r="H427" s="51" t="inlineStr"/>
      <c r="I427" s="11" t="inlineStr"/>
      <c r="J427" s="12" t="inlineStr"/>
      <c r="K427" s="17" t="inlineStr"/>
      <c r="L427" s="11" t="inlineStr">
        <is>
          <t>Not Started</t>
        </is>
      </c>
    </row>
    <row r="428" ht="42" customHeight="1">
      <c r="A428" s="18" t="n">
        <v>426</v>
      </c>
      <c r="B428" s="52" t="inlineStr">
        <is>
          <t>AU-7</t>
        </is>
      </c>
      <c r="C428" s="18" t="inlineStr">
        <is>
          <t>AU</t>
        </is>
      </c>
      <c r="D428" s="19" t="inlineStr">
        <is>
          <t>Hybrid + Multicloud</t>
        </is>
      </c>
      <c r="E428" s="18">
        <f>IFERROR(TRACKER!G428,"Not Started")</f>
        <v/>
      </c>
      <c r="F428" s="53">
        <f>IFERROR('[Hybrid_and_Multicloud.xlsx]AU-7'!B21,"")</f>
        <v/>
      </c>
      <c r="G428" s="53" t="inlineStr"/>
      <c r="H428" s="53" t="inlineStr"/>
      <c r="I428" s="18" t="inlineStr"/>
      <c r="J428" s="19" t="inlineStr"/>
      <c r="K428" s="22" t="inlineStr"/>
      <c r="L428" s="18" t="inlineStr">
        <is>
          <t>Not Started</t>
        </is>
      </c>
    </row>
    <row r="429" ht="42" customHeight="1">
      <c r="A429" s="11" t="n">
        <v>427</v>
      </c>
      <c r="B429" s="50" t="inlineStr">
        <is>
          <t>AU-7(1)</t>
        </is>
      </c>
      <c r="C429" s="11" t="inlineStr">
        <is>
          <t>AU</t>
        </is>
      </c>
      <c r="D429" s="12" t="inlineStr">
        <is>
          <t>Hybrid + Multicloud</t>
        </is>
      </c>
      <c r="E429" s="11">
        <f>IFERROR(TRACKER!G429,"Not Started")</f>
        <v/>
      </c>
      <c r="F429" s="51">
        <f>IFERROR('[Hybrid_and_Multicloud.xlsx]AU-7-1'!B21,"")</f>
        <v/>
      </c>
      <c r="G429" s="51" t="inlineStr"/>
      <c r="H429" s="51" t="inlineStr"/>
      <c r="I429" s="11" t="inlineStr"/>
      <c r="J429" s="12" t="inlineStr"/>
      <c r="K429" s="17" t="inlineStr"/>
      <c r="L429" s="11" t="inlineStr">
        <is>
          <t>Not Started</t>
        </is>
      </c>
    </row>
    <row r="430" ht="42" customHeight="1">
      <c r="A430" s="18" t="n">
        <v>428</v>
      </c>
      <c r="B430" s="52" t="inlineStr">
        <is>
          <t>AU-8</t>
        </is>
      </c>
      <c r="C430" s="18" t="inlineStr">
        <is>
          <t>AU</t>
        </is>
      </c>
      <c r="D430" s="19" t="inlineStr">
        <is>
          <t>Hybrid + Multicloud</t>
        </is>
      </c>
      <c r="E430" s="18">
        <f>IFERROR(TRACKER!G430,"Not Started")</f>
        <v/>
      </c>
      <c r="F430" s="53">
        <f>IFERROR('[Hybrid_and_Multicloud.xlsx]AU-8'!B21,"")</f>
        <v/>
      </c>
      <c r="G430" s="53" t="inlineStr"/>
      <c r="H430" s="53" t="inlineStr"/>
      <c r="I430" s="18" t="inlineStr"/>
      <c r="J430" s="19" t="inlineStr"/>
      <c r="K430" s="22" t="inlineStr"/>
      <c r="L430" s="18" t="inlineStr">
        <is>
          <t>Not Started</t>
        </is>
      </c>
    </row>
    <row r="431" ht="42" customHeight="1">
      <c r="A431" s="11" t="n">
        <v>429</v>
      </c>
      <c r="B431" s="50" t="inlineStr">
        <is>
          <t>AU-8(1)</t>
        </is>
      </c>
      <c r="C431" s="11" t="inlineStr">
        <is>
          <t>AU</t>
        </is>
      </c>
      <c r="D431" s="12" t="inlineStr">
        <is>
          <t>Hybrid + Multicloud</t>
        </is>
      </c>
      <c r="E431" s="11">
        <f>IFERROR(TRACKER!G431,"Not Started")</f>
        <v/>
      </c>
      <c r="F431" s="51">
        <f>IFERROR('[Hybrid_and_Multicloud.xlsx]AU-8-1'!B21,"")</f>
        <v/>
      </c>
      <c r="G431" s="51" t="inlineStr"/>
      <c r="H431" s="51" t="inlineStr"/>
      <c r="I431" s="11" t="inlineStr"/>
      <c r="J431" s="12" t="inlineStr"/>
      <c r="K431" s="17" t="inlineStr"/>
      <c r="L431" s="11" t="inlineStr">
        <is>
          <t>Not Started</t>
        </is>
      </c>
    </row>
    <row r="432" ht="42" customHeight="1">
      <c r="A432" s="18" t="n">
        <v>430</v>
      </c>
      <c r="B432" s="52" t="inlineStr">
        <is>
          <t>AU-9</t>
        </is>
      </c>
      <c r="C432" s="18" t="inlineStr">
        <is>
          <t>AU</t>
        </is>
      </c>
      <c r="D432" s="19" t="inlineStr">
        <is>
          <t>Hybrid + Multicloud</t>
        </is>
      </c>
      <c r="E432" s="18">
        <f>IFERROR(TRACKER!G432,"Not Started")</f>
        <v/>
      </c>
      <c r="F432" s="53">
        <f>IFERROR('[Hybrid_and_Multicloud.xlsx]AU-9'!B21,"")</f>
        <v/>
      </c>
      <c r="G432" s="53" t="inlineStr"/>
      <c r="H432" s="53" t="inlineStr"/>
      <c r="I432" s="18" t="inlineStr"/>
      <c r="J432" s="19" t="inlineStr"/>
      <c r="K432" s="22" t="inlineStr"/>
      <c r="L432" s="18" t="inlineStr">
        <is>
          <t>Not Started</t>
        </is>
      </c>
    </row>
    <row r="433" ht="42" customHeight="1">
      <c r="A433" s="11" t="n">
        <v>431</v>
      </c>
      <c r="B433" s="50" t="inlineStr">
        <is>
          <t>AU-9(2)</t>
        </is>
      </c>
      <c r="C433" s="11" t="inlineStr">
        <is>
          <t>AU</t>
        </is>
      </c>
      <c r="D433" s="12" t="inlineStr">
        <is>
          <t>Hybrid + Multicloud</t>
        </is>
      </c>
      <c r="E433" s="11">
        <f>IFERROR(TRACKER!G433,"Not Started")</f>
        <v/>
      </c>
      <c r="F433" s="51">
        <f>IFERROR('[Hybrid_and_Multicloud.xlsx]AU-9-2'!B21,"")</f>
        <v/>
      </c>
      <c r="G433" s="51" t="inlineStr"/>
      <c r="H433" s="51" t="inlineStr"/>
      <c r="I433" s="11" t="inlineStr"/>
      <c r="J433" s="12" t="inlineStr"/>
      <c r="K433" s="17" t="inlineStr"/>
      <c r="L433" s="11" t="inlineStr">
        <is>
          <t>Not Started</t>
        </is>
      </c>
    </row>
    <row r="434" ht="42" customHeight="1">
      <c r="A434" s="18" t="n">
        <v>432</v>
      </c>
      <c r="B434" s="52" t="inlineStr">
        <is>
          <t>AU-9(4)</t>
        </is>
      </c>
      <c r="C434" s="18" t="inlineStr">
        <is>
          <t>AU</t>
        </is>
      </c>
      <c r="D434" s="19" t="inlineStr">
        <is>
          <t>Hybrid + Multicloud</t>
        </is>
      </c>
      <c r="E434" s="18">
        <f>IFERROR(TRACKER!G434,"Not Started")</f>
        <v/>
      </c>
      <c r="F434" s="53">
        <f>IFERROR('[Hybrid_and_Multicloud.xlsx]AU-9-4'!B21,"")</f>
        <v/>
      </c>
      <c r="G434" s="53" t="inlineStr"/>
      <c r="H434" s="53" t="inlineStr"/>
      <c r="I434" s="18" t="inlineStr"/>
      <c r="J434" s="19" t="inlineStr"/>
      <c r="K434" s="22" t="inlineStr"/>
      <c r="L434" s="18" t="inlineStr">
        <is>
          <t>Not Started</t>
        </is>
      </c>
    </row>
    <row r="435" ht="42" customHeight="1">
      <c r="A435" s="11" t="n">
        <v>433</v>
      </c>
      <c r="B435" s="50" t="inlineStr">
        <is>
          <t>AU-11</t>
        </is>
      </c>
      <c r="C435" s="11" t="inlineStr">
        <is>
          <t>AU</t>
        </is>
      </c>
      <c r="D435" s="12" t="inlineStr">
        <is>
          <t>Hybrid + Multicloud</t>
        </is>
      </c>
      <c r="E435" s="11">
        <f>IFERROR(TRACKER!G435,"Not Started")</f>
        <v/>
      </c>
      <c r="F435" s="51">
        <f>IFERROR('[Hybrid_and_Multicloud.xlsx]AU-11'!B21,"")</f>
        <v/>
      </c>
      <c r="G435" s="51" t="inlineStr"/>
      <c r="H435" s="51" t="inlineStr"/>
      <c r="I435" s="11" t="inlineStr"/>
      <c r="J435" s="12" t="inlineStr"/>
      <c r="K435" s="17" t="inlineStr"/>
      <c r="L435" s="11" t="inlineStr">
        <is>
          <t>Not Started</t>
        </is>
      </c>
    </row>
    <row r="436" ht="42" customHeight="1">
      <c r="A436" s="18" t="n">
        <v>434</v>
      </c>
      <c r="B436" s="52" t="inlineStr">
        <is>
          <t>AU-12</t>
        </is>
      </c>
      <c r="C436" s="18" t="inlineStr">
        <is>
          <t>AU</t>
        </is>
      </c>
      <c r="D436" s="19" t="inlineStr">
        <is>
          <t>Hybrid + Multicloud</t>
        </is>
      </c>
      <c r="E436" s="18">
        <f>IFERROR(TRACKER!G436,"Not Started")</f>
        <v/>
      </c>
      <c r="F436" s="53">
        <f>IFERROR('[Hybrid_and_Multicloud.xlsx]AU-12'!B21,"")</f>
        <v/>
      </c>
      <c r="G436" s="53" t="inlineStr"/>
      <c r="H436" s="53" t="inlineStr"/>
      <c r="I436" s="18" t="inlineStr"/>
      <c r="J436" s="19" t="inlineStr"/>
      <c r="K436" s="22" t="inlineStr"/>
      <c r="L436" s="18" t="inlineStr">
        <is>
          <t>Not Started</t>
        </is>
      </c>
    </row>
    <row r="437" ht="42" customHeight="1">
      <c r="A437" s="11" t="n">
        <v>435</v>
      </c>
      <c r="B437" s="50" t="inlineStr">
        <is>
          <t>CA-9</t>
        </is>
      </c>
      <c r="C437" s="11" t="inlineStr">
        <is>
          <t>CA</t>
        </is>
      </c>
      <c r="D437" s="12" t="inlineStr">
        <is>
          <t>Hybrid + Multicloud</t>
        </is>
      </c>
      <c r="E437" s="11">
        <f>IFERROR(TRACKER!G437,"Not Started")</f>
        <v/>
      </c>
      <c r="F437" s="51">
        <f>IFERROR('[Hybrid_and_Multicloud.xlsx]CA-9'!B21,"")</f>
        <v/>
      </c>
      <c r="G437" s="51" t="inlineStr"/>
      <c r="H437" s="51" t="inlineStr"/>
      <c r="I437" s="11" t="inlineStr"/>
      <c r="J437" s="12" t="inlineStr"/>
      <c r="K437" s="17" t="inlineStr"/>
      <c r="L437" s="11" t="inlineStr">
        <is>
          <t>Not Started</t>
        </is>
      </c>
    </row>
    <row r="438" ht="42" customHeight="1">
      <c r="A438" s="18" t="n">
        <v>436</v>
      </c>
      <c r="B438" s="52" t="inlineStr">
        <is>
          <t>CM-5(1)</t>
        </is>
      </c>
      <c r="C438" s="18" t="inlineStr">
        <is>
          <t>CM</t>
        </is>
      </c>
      <c r="D438" s="19" t="inlineStr">
        <is>
          <t>Hybrid + Multicloud</t>
        </is>
      </c>
      <c r="E438" s="18">
        <f>IFERROR(TRACKER!G438,"Not Started")</f>
        <v/>
      </c>
      <c r="F438" s="53">
        <f>IFERROR('[Hybrid_and_Multicloud.xlsx]CM-5-1'!B21,"")</f>
        <v/>
      </c>
      <c r="G438" s="53" t="inlineStr"/>
      <c r="H438" s="53" t="inlineStr"/>
      <c r="I438" s="18" t="inlineStr"/>
      <c r="J438" s="19" t="inlineStr"/>
      <c r="K438" s="22" t="inlineStr"/>
      <c r="L438" s="18" t="inlineStr">
        <is>
          <t>Not Started</t>
        </is>
      </c>
    </row>
    <row r="439" ht="42" customHeight="1">
      <c r="A439" s="11" t="n">
        <v>437</v>
      </c>
      <c r="B439" s="50" t="inlineStr">
        <is>
          <t>CM-5(6)</t>
        </is>
      </c>
      <c r="C439" s="11" t="inlineStr">
        <is>
          <t>CM</t>
        </is>
      </c>
      <c r="D439" s="12" t="inlineStr">
        <is>
          <t>Hybrid + Multicloud</t>
        </is>
      </c>
      <c r="E439" s="11">
        <f>IFERROR(TRACKER!G439,"Not Started")</f>
        <v/>
      </c>
      <c r="F439" s="51">
        <f>IFERROR('[Hybrid_and_Multicloud.xlsx]CM-5-6'!B21,"")</f>
        <v/>
      </c>
      <c r="G439" s="51" t="inlineStr"/>
      <c r="H439" s="51" t="inlineStr"/>
      <c r="I439" s="11" t="inlineStr"/>
      <c r="J439" s="12" t="inlineStr"/>
      <c r="K439" s="17" t="inlineStr"/>
      <c r="L439" s="11" t="inlineStr">
        <is>
          <t>Not Started</t>
        </is>
      </c>
    </row>
    <row r="440" ht="42" customHeight="1">
      <c r="A440" s="18" t="n">
        <v>438</v>
      </c>
      <c r="B440" s="52" t="inlineStr">
        <is>
          <t>CM-6</t>
        </is>
      </c>
      <c r="C440" s="18" t="inlineStr">
        <is>
          <t>CM</t>
        </is>
      </c>
      <c r="D440" s="19" t="inlineStr">
        <is>
          <t>Hybrid + Multicloud</t>
        </is>
      </c>
      <c r="E440" s="18">
        <f>IFERROR(TRACKER!G440,"Not Started")</f>
        <v/>
      </c>
      <c r="F440" s="53">
        <f>IFERROR('[Hybrid_and_Multicloud.xlsx]CM-6'!B21,"")</f>
        <v/>
      </c>
      <c r="G440" s="53" t="inlineStr"/>
      <c r="H440" s="53" t="inlineStr"/>
      <c r="I440" s="18" t="inlineStr"/>
      <c r="J440" s="19" t="inlineStr"/>
      <c r="K440" s="22" t="inlineStr"/>
      <c r="L440" s="18" t="inlineStr">
        <is>
          <t>Not Started</t>
        </is>
      </c>
    </row>
    <row r="441" ht="42" customHeight="1">
      <c r="A441" s="11" t="n">
        <v>439</v>
      </c>
      <c r="B441" s="50" t="inlineStr">
        <is>
          <t>CM-7</t>
        </is>
      </c>
      <c r="C441" s="11" t="inlineStr">
        <is>
          <t>CM</t>
        </is>
      </c>
      <c r="D441" s="12" t="inlineStr">
        <is>
          <t>Hybrid + Multicloud</t>
        </is>
      </c>
      <c r="E441" s="11">
        <f>IFERROR(TRACKER!G441,"Not Started")</f>
        <v/>
      </c>
      <c r="F441" s="51">
        <f>IFERROR('[Hybrid_and_Multicloud.xlsx]CM-7'!B21,"")</f>
        <v/>
      </c>
      <c r="G441" s="51" t="inlineStr"/>
      <c r="H441" s="51" t="inlineStr"/>
      <c r="I441" s="11" t="inlineStr"/>
      <c r="J441" s="12" t="inlineStr"/>
      <c r="K441" s="17" t="inlineStr"/>
      <c r="L441" s="11" t="inlineStr">
        <is>
          <t>Not Started</t>
        </is>
      </c>
    </row>
    <row r="442" ht="42" customHeight="1">
      <c r="A442" s="18" t="n">
        <v>440</v>
      </c>
      <c r="B442" s="52" t="inlineStr">
        <is>
          <t>CM-7(1)</t>
        </is>
      </c>
      <c r="C442" s="18" t="inlineStr">
        <is>
          <t>CM</t>
        </is>
      </c>
      <c r="D442" s="19" t="inlineStr">
        <is>
          <t>Hybrid + Multicloud</t>
        </is>
      </c>
      <c r="E442" s="18">
        <f>IFERROR(TRACKER!G442,"Not Started")</f>
        <v/>
      </c>
      <c r="F442" s="53">
        <f>IFERROR('[Hybrid_and_Multicloud.xlsx]CM-7-1'!B21,"")</f>
        <v/>
      </c>
      <c r="G442" s="53" t="inlineStr"/>
      <c r="H442" s="53" t="inlineStr"/>
      <c r="I442" s="18" t="inlineStr"/>
      <c r="J442" s="19" t="inlineStr"/>
      <c r="K442" s="22" t="inlineStr"/>
      <c r="L442" s="18" t="inlineStr">
        <is>
          <t>Not Started</t>
        </is>
      </c>
    </row>
    <row r="443" ht="42" customHeight="1">
      <c r="A443" s="11" t="n">
        <v>441</v>
      </c>
      <c r="B443" s="50" t="inlineStr">
        <is>
          <t>CP-6</t>
        </is>
      </c>
      <c r="C443" s="11" t="inlineStr">
        <is>
          <t>CP</t>
        </is>
      </c>
      <c r="D443" s="12" t="inlineStr">
        <is>
          <t>Hybrid + Multicloud</t>
        </is>
      </c>
      <c r="E443" s="11">
        <f>IFERROR(TRACKER!G443,"Not Started")</f>
        <v/>
      </c>
      <c r="F443" s="51">
        <f>IFERROR('[Hybrid_and_Multicloud.xlsx]CP-6'!B21,"")</f>
        <v/>
      </c>
      <c r="G443" s="51" t="inlineStr"/>
      <c r="H443" s="51" t="inlineStr"/>
      <c r="I443" s="11" t="inlineStr"/>
      <c r="J443" s="12" t="inlineStr"/>
      <c r="K443" s="17" t="inlineStr"/>
      <c r="L443" s="11" t="inlineStr">
        <is>
          <t>Not Started</t>
        </is>
      </c>
    </row>
    <row r="444" ht="42" customHeight="1">
      <c r="A444" s="18" t="n">
        <v>442</v>
      </c>
      <c r="B444" s="52" t="inlineStr">
        <is>
          <t>CP-6(2)</t>
        </is>
      </c>
      <c r="C444" s="18" t="inlineStr">
        <is>
          <t>CP</t>
        </is>
      </c>
      <c r="D444" s="19" t="inlineStr">
        <is>
          <t>Hybrid + Multicloud</t>
        </is>
      </c>
      <c r="E444" s="18">
        <f>IFERROR(TRACKER!G444,"Not Started")</f>
        <v/>
      </c>
      <c r="F444" s="53">
        <f>IFERROR('[Hybrid_and_Multicloud.xlsx]CP-6-2'!B21,"")</f>
        <v/>
      </c>
      <c r="G444" s="53" t="inlineStr"/>
      <c r="H444" s="53" t="inlineStr"/>
      <c r="I444" s="18" t="inlineStr"/>
      <c r="J444" s="19" t="inlineStr"/>
      <c r="K444" s="22" t="inlineStr"/>
      <c r="L444" s="18" t="inlineStr">
        <is>
          <t>Not Started</t>
        </is>
      </c>
    </row>
    <row r="445" ht="42" customHeight="1">
      <c r="A445" s="11" t="n">
        <v>443</v>
      </c>
      <c r="B445" s="50" t="inlineStr">
        <is>
          <t>CP-7</t>
        </is>
      </c>
      <c r="C445" s="11" t="inlineStr">
        <is>
          <t>CP</t>
        </is>
      </c>
      <c r="D445" s="12" t="inlineStr">
        <is>
          <t>Hybrid + Multicloud</t>
        </is>
      </c>
      <c r="E445" s="11">
        <f>IFERROR(TRACKER!G445,"Not Started")</f>
        <v/>
      </c>
      <c r="F445" s="51">
        <f>IFERROR('[Hybrid_and_Multicloud.xlsx]CP-7'!B21,"")</f>
        <v/>
      </c>
      <c r="G445" s="51" t="inlineStr"/>
      <c r="H445" s="51" t="inlineStr"/>
      <c r="I445" s="11" t="inlineStr"/>
      <c r="J445" s="12" t="inlineStr"/>
      <c r="K445" s="17" t="inlineStr"/>
      <c r="L445" s="11" t="inlineStr">
        <is>
          <t>Not Started</t>
        </is>
      </c>
    </row>
    <row r="446" ht="42" customHeight="1">
      <c r="A446" s="18" t="n">
        <v>444</v>
      </c>
      <c r="B446" s="52" t="inlineStr">
        <is>
          <t>CP-7(4)</t>
        </is>
      </c>
      <c r="C446" s="18" t="inlineStr">
        <is>
          <t>CP</t>
        </is>
      </c>
      <c r="D446" s="19" t="inlineStr">
        <is>
          <t>Hybrid + Multicloud</t>
        </is>
      </c>
      <c r="E446" s="18">
        <f>IFERROR(TRACKER!G446,"Not Started")</f>
        <v/>
      </c>
      <c r="F446" s="53">
        <f>IFERROR('[Hybrid_and_Multicloud.xlsx]CP-7-4'!B21,"")</f>
        <v/>
      </c>
      <c r="G446" s="53" t="inlineStr"/>
      <c r="H446" s="53" t="inlineStr"/>
      <c r="I446" s="18" t="inlineStr"/>
      <c r="J446" s="19" t="inlineStr"/>
      <c r="K446" s="22" t="inlineStr"/>
      <c r="L446" s="18" t="inlineStr">
        <is>
          <t>Not Started</t>
        </is>
      </c>
    </row>
    <row r="447" ht="42" customHeight="1">
      <c r="A447" s="11" t="n">
        <v>445</v>
      </c>
      <c r="B447" s="50" t="inlineStr">
        <is>
          <t>CP-9</t>
        </is>
      </c>
      <c r="C447" s="11" t="inlineStr">
        <is>
          <t>CP</t>
        </is>
      </c>
      <c r="D447" s="12" t="inlineStr">
        <is>
          <t>Hybrid + Multicloud</t>
        </is>
      </c>
      <c r="E447" s="11">
        <f>IFERROR(TRACKER!G447,"Not Started")</f>
        <v/>
      </c>
      <c r="F447" s="51">
        <f>IFERROR('[Hybrid_and_Multicloud.xlsx]CP-9'!B21,"")</f>
        <v/>
      </c>
      <c r="G447" s="51" t="inlineStr"/>
      <c r="H447" s="51" t="inlineStr"/>
      <c r="I447" s="11" t="inlineStr"/>
      <c r="J447" s="12" t="inlineStr"/>
      <c r="K447" s="17" t="inlineStr"/>
      <c r="L447" s="11" t="inlineStr">
        <is>
          <t>Not Started</t>
        </is>
      </c>
    </row>
    <row r="448" ht="42" customHeight="1">
      <c r="A448" s="18" t="n">
        <v>446</v>
      </c>
      <c r="B448" s="52" t="inlineStr">
        <is>
          <t>CP-9(1)</t>
        </is>
      </c>
      <c r="C448" s="18" t="inlineStr">
        <is>
          <t>CP</t>
        </is>
      </c>
      <c r="D448" s="19" t="inlineStr">
        <is>
          <t>Hybrid + Multicloud</t>
        </is>
      </c>
      <c r="E448" s="18">
        <f>IFERROR(TRACKER!G448,"Not Started")</f>
        <v/>
      </c>
      <c r="F448" s="53">
        <f>IFERROR('[Hybrid_and_Multicloud.xlsx]CP-9-1'!B21,"")</f>
        <v/>
      </c>
      <c r="G448" s="53" t="inlineStr"/>
      <c r="H448" s="53" t="inlineStr"/>
      <c r="I448" s="18" t="inlineStr"/>
      <c r="J448" s="19" t="inlineStr"/>
      <c r="K448" s="22" t="inlineStr"/>
      <c r="L448" s="18" t="inlineStr">
        <is>
          <t>Not Started</t>
        </is>
      </c>
    </row>
    <row r="449" ht="42" customHeight="1">
      <c r="A449" s="11" t="n">
        <v>447</v>
      </c>
      <c r="B449" s="50" t="inlineStr">
        <is>
          <t>CP-9(2)</t>
        </is>
      </c>
      <c r="C449" s="11" t="inlineStr">
        <is>
          <t>CP</t>
        </is>
      </c>
      <c r="D449" s="12" t="inlineStr">
        <is>
          <t>Hybrid + Multicloud</t>
        </is>
      </c>
      <c r="E449" s="11">
        <f>IFERROR(TRACKER!G449,"Not Started")</f>
        <v/>
      </c>
      <c r="F449" s="51">
        <f>IFERROR('[Hybrid_and_Multicloud.xlsx]CP-9-2'!B21,"")</f>
        <v/>
      </c>
      <c r="G449" s="51" t="inlineStr"/>
      <c r="H449" s="51" t="inlineStr"/>
      <c r="I449" s="11" t="inlineStr"/>
      <c r="J449" s="12" t="inlineStr"/>
      <c r="K449" s="17" t="inlineStr"/>
      <c r="L449" s="11" t="inlineStr">
        <is>
          <t>Not Started</t>
        </is>
      </c>
    </row>
    <row r="450" ht="42" customHeight="1">
      <c r="A450" s="18" t="n">
        <v>448</v>
      </c>
      <c r="B450" s="52" t="inlineStr">
        <is>
          <t>CP-9(5)</t>
        </is>
      </c>
      <c r="C450" s="18" t="inlineStr">
        <is>
          <t>CP</t>
        </is>
      </c>
      <c r="D450" s="19" t="inlineStr">
        <is>
          <t>Hybrid + Multicloud</t>
        </is>
      </c>
      <c r="E450" s="18">
        <f>IFERROR(TRACKER!G450,"Not Started")</f>
        <v/>
      </c>
      <c r="F450" s="53">
        <f>IFERROR('[Hybrid_and_Multicloud.xlsx]CP-9-5'!B21,"")</f>
        <v/>
      </c>
      <c r="G450" s="53" t="inlineStr"/>
      <c r="H450" s="53" t="inlineStr"/>
      <c r="I450" s="18" t="inlineStr"/>
      <c r="J450" s="19" t="inlineStr"/>
      <c r="K450" s="22" t="inlineStr"/>
      <c r="L450" s="18" t="inlineStr">
        <is>
          <t>Not Started</t>
        </is>
      </c>
    </row>
    <row r="451" ht="42" customHeight="1">
      <c r="A451" s="11" t="n">
        <v>449</v>
      </c>
      <c r="B451" s="50" t="inlineStr">
        <is>
          <t>CP-10</t>
        </is>
      </c>
      <c r="C451" s="11" t="inlineStr">
        <is>
          <t>CP</t>
        </is>
      </c>
      <c r="D451" s="12" t="inlineStr">
        <is>
          <t>Hybrid + Multicloud</t>
        </is>
      </c>
      <c r="E451" s="11">
        <f>IFERROR(TRACKER!G451,"Not Started")</f>
        <v/>
      </c>
      <c r="F451" s="51">
        <f>IFERROR('[Hybrid_and_Multicloud.xlsx]CP-10'!B21,"")</f>
        <v/>
      </c>
      <c r="G451" s="51" t="inlineStr"/>
      <c r="H451" s="51" t="inlineStr"/>
      <c r="I451" s="11" t="inlineStr"/>
      <c r="J451" s="12" t="inlineStr"/>
      <c r="K451" s="17" t="inlineStr"/>
      <c r="L451" s="11" t="inlineStr">
        <is>
          <t>Not Started</t>
        </is>
      </c>
    </row>
    <row r="452" ht="42" customHeight="1">
      <c r="A452" s="18" t="n">
        <v>450</v>
      </c>
      <c r="B452" s="52" t="inlineStr">
        <is>
          <t>CP-10(2)</t>
        </is>
      </c>
      <c r="C452" s="18" t="inlineStr">
        <is>
          <t>CP</t>
        </is>
      </c>
      <c r="D452" s="19" t="inlineStr">
        <is>
          <t>Hybrid + Multicloud</t>
        </is>
      </c>
      <c r="E452" s="18">
        <f>IFERROR(TRACKER!G452,"Not Started")</f>
        <v/>
      </c>
      <c r="F452" s="53">
        <f>IFERROR('[Hybrid_and_Multicloud.xlsx]CP-10-2'!B21,"")</f>
        <v/>
      </c>
      <c r="G452" s="53" t="inlineStr"/>
      <c r="H452" s="53" t="inlineStr"/>
      <c r="I452" s="18" t="inlineStr"/>
      <c r="J452" s="19" t="inlineStr"/>
      <c r="K452" s="22" t="inlineStr"/>
      <c r="L452" s="18" t="inlineStr">
        <is>
          <t>Not Started</t>
        </is>
      </c>
    </row>
    <row r="453" ht="42" customHeight="1">
      <c r="A453" s="11" t="n">
        <v>451</v>
      </c>
      <c r="B453" s="50" t="inlineStr">
        <is>
          <t>CP-10(4)</t>
        </is>
      </c>
      <c r="C453" s="11" t="inlineStr">
        <is>
          <t>CP</t>
        </is>
      </c>
      <c r="D453" s="12" t="inlineStr">
        <is>
          <t>Hybrid + Multicloud</t>
        </is>
      </c>
      <c r="E453" s="11">
        <f>IFERROR(TRACKER!G453,"Not Started")</f>
        <v/>
      </c>
      <c r="F453" s="51">
        <f>IFERROR('[Hybrid_and_Multicloud.xlsx]CP-10-4'!B21,"")</f>
        <v/>
      </c>
      <c r="G453" s="51" t="inlineStr"/>
      <c r="H453" s="51" t="inlineStr"/>
      <c r="I453" s="11" t="inlineStr"/>
      <c r="J453" s="12" t="inlineStr"/>
      <c r="K453" s="17" t="inlineStr"/>
      <c r="L453" s="11" t="inlineStr">
        <is>
          <t>Not Started</t>
        </is>
      </c>
    </row>
    <row r="454" ht="42" customHeight="1">
      <c r="A454" s="18" t="n">
        <v>452</v>
      </c>
      <c r="B454" s="52" t="inlineStr">
        <is>
          <t>IA-5(7)</t>
        </is>
      </c>
      <c r="C454" s="18" t="inlineStr">
        <is>
          <t>IA</t>
        </is>
      </c>
      <c r="D454" s="19" t="inlineStr">
        <is>
          <t>Hybrid + Multicloud</t>
        </is>
      </c>
      <c r="E454" s="18">
        <f>IFERROR(TRACKER!G454,"Not Started")</f>
        <v/>
      </c>
      <c r="F454" s="53">
        <f>IFERROR('[Hybrid_and_Multicloud.xlsx]IA-5-7'!B21,"")</f>
        <v/>
      </c>
      <c r="G454" s="53" t="inlineStr"/>
      <c r="H454" s="53" t="inlineStr"/>
      <c r="I454" s="18" t="inlineStr"/>
      <c r="J454" s="19" t="inlineStr"/>
      <c r="K454" s="22" t="inlineStr"/>
      <c r="L454" s="18" t="inlineStr">
        <is>
          <t>Not Started</t>
        </is>
      </c>
    </row>
    <row r="455" ht="42" customHeight="1">
      <c r="A455" s="11" t="n">
        <v>453</v>
      </c>
      <c r="B455" s="50" t="inlineStr">
        <is>
          <t>RA-5</t>
        </is>
      </c>
      <c r="C455" s="11" t="inlineStr">
        <is>
          <t>RA</t>
        </is>
      </c>
      <c r="D455" s="12" t="inlineStr">
        <is>
          <t>Hybrid + Multicloud</t>
        </is>
      </c>
      <c r="E455" s="11">
        <f>IFERROR(TRACKER!G455,"Not Started")</f>
        <v/>
      </c>
      <c r="F455" s="51">
        <f>IFERROR('[Hybrid_and_Multicloud.xlsx]RA-5'!B21,"")</f>
        <v/>
      </c>
      <c r="G455" s="51" t="inlineStr"/>
      <c r="H455" s="51" t="inlineStr"/>
      <c r="I455" s="11" t="inlineStr"/>
      <c r="J455" s="12" t="inlineStr"/>
      <c r="K455" s="17" t="inlineStr"/>
      <c r="L455" s="11" t="inlineStr">
        <is>
          <t>Not Started</t>
        </is>
      </c>
    </row>
    <row r="456" ht="42" customHeight="1">
      <c r="A456" s="18" t="n">
        <v>454</v>
      </c>
      <c r="B456" s="52" t="inlineStr">
        <is>
          <t>RA-5(1)</t>
        </is>
      </c>
      <c r="C456" s="18" t="inlineStr">
        <is>
          <t>RA</t>
        </is>
      </c>
      <c r="D456" s="19" t="inlineStr">
        <is>
          <t>Hybrid + Multicloud</t>
        </is>
      </c>
      <c r="E456" s="18">
        <f>IFERROR(TRACKER!G456,"Not Started")</f>
        <v/>
      </c>
      <c r="F456" s="53">
        <f>IFERROR('[Hybrid_and_Multicloud.xlsx]RA-5-1'!B21,"")</f>
        <v/>
      </c>
      <c r="G456" s="53" t="inlineStr"/>
      <c r="H456" s="53" t="inlineStr"/>
      <c r="I456" s="18" t="inlineStr"/>
      <c r="J456" s="19" t="inlineStr"/>
      <c r="K456" s="22" t="inlineStr"/>
      <c r="L456" s="18" t="inlineStr">
        <is>
          <t>Not Started</t>
        </is>
      </c>
    </row>
    <row r="457" ht="42" customHeight="1">
      <c r="A457" s="11" t="n">
        <v>455</v>
      </c>
      <c r="B457" s="50" t="inlineStr">
        <is>
          <t>RA-5(2)</t>
        </is>
      </c>
      <c r="C457" s="11" t="inlineStr">
        <is>
          <t>RA</t>
        </is>
      </c>
      <c r="D457" s="12" t="inlineStr">
        <is>
          <t>Hybrid + Multicloud</t>
        </is>
      </c>
      <c r="E457" s="11">
        <f>IFERROR(TRACKER!G457,"Not Started")</f>
        <v/>
      </c>
      <c r="F457" s="51">
        <f>IFERROR('[Hybrid_and_Multicloud.xlsx]RA-5-2'!B21,"")</f>
        <v/>
      </c>
      <c r="G457" s="51" t="inlineStr"/>
      <c r="H457" s="51" t="inlineStr"/>
      <c r="I457" s="11" t="inlineStr"/>
      <c r="J457" s="12" t="inlineStr"/>
      <c r="K457" s="17" t="inlineStr"/>
      <c r="L457" s="11" t="inlineStr">
        <is>
          <t>Not Started</t>
        </is>
      </c>
    </row>
    <row r="458" ht="42" customHeight="1">
      <c r="A458" s="18" t="n">
        <v>456</v>
      </c>
      <c r="B458" s="52" t="inlineStr">
        <is>
          <t>RA-5(3)</t>
        </is>
      </c>
      <c r="C458" s="18" t="inlineStr">
        <is>
          <t>RA</t>
        </is>
      </c>
      <c r="D458" s="19" t="inlineStr">
        <is>
          <t>Hybrid + Multicloud</t>
        </is>
      </c>
      <c r="E458" s="18">
        <f>IFERROR(TRACKER!G458,"Not Started")</f>
        <v/>
      </c>
      <c r="F458" s="53">
        <f>IFERROR('[Hybrid_and_Multicloud.xlsx]RA-5-3'!B21,"")</f>
        <v/>
      </c>
      <c r="G458" s="53" t="inlineStr"/>
      <c r="H458" s="53" t="inlineStr"/>
      <c r="I458" s="18" t="inlineStr"/>
      <c r="J458" s="19" t="inlineStr"/>
      <c r="K458" s="22" t="inlineStr"/>
      <c r="L458" s="18" t="inlineStr">
        <is>
          <t>Not Started</t>
        </is>
      </c>
    </row>
    <row r="459" ht="42" customHeight="1">
      <c r="A459" s="11" t="n">
        <v>457</v>
      </c>
      <c r="B459" s="50" t="inlineStr">
        <is>
          <t>RA-5(5)</t>
        </is>
      </c>
      <c r="C459" s="11" t="inlineStr">
        <is>
          <t>RA</t>
        </is>
      </c>
      <c r="D459" s="12" t="inlineStr">
        <is>
          <t>Hybrid + Multicloud</t>
        </is>
      </c>
      <c r="E459" s="11">
        <f>IFERROR(TRACKER!G459,"Not Started")</f>
        <v/>
      </c>
      <c r="F459" s="51">
        <f>IFERROR('[Hybrid_and_Multicloud.xlsx]RA-5-5'!B21,"")</f>
        <v/>
      </c>
      <c r="G459" s="51" t="inlineStr"/>
      <c r="H459" s="51" t="inlineStr"/>
      <c r="I459" s="11" t="inlineStr"/>
      <c r="J459" s="12" t="inlineStr"/>
      <c r="K459" s="17" t="inlineStr"/>
      <c r="L459" s="11" t="inlineStr">
        <is>
          <t>Not Started</t>
        </is>
      </c>
    </row>
    <row r="460" ht="42" customHeight="1">
      <c r="A460" s="18" t="n">
        <v>458</v>
      </c>
      <c r="B460" s="52" t="inlineStr">
        <is>
          <t>RA-5(6)</t>
        </is>
      </c>
      <c r="C460" s="18" t="inlineStr">
        <is>
          <t>RA</t>
        </is>
      </c>
      <c r="D460" s="19" t="inlineStr">
        <is>
          <t>Hybrid + Multicloud</t>
        </is>
      </c>
      <c r="E460" s="18">
        <f>IFERROR(TRACKER!G460,"Not Started")</f>
        <v/>
      </c>
      <c r="F460" s="53">
        <f>IFERROR('[Hybrid_and_Multicloud.xlsx]RA-5-6'!B21,"")</f>
        <v/>
      </c>
      <c r="G460" s="53" t="inlineStr"/>
      <c r="H460" s="53" t="inlineStr"/>
      <c r="I460" s="18" t="inlineStr"/>
      <c r="J460" s="19" t="inlineStr"/>
      <c r="K460" s="22" t="inlineStr"/>
      <c r="L460" s="18" t="inlineStr">
        <is>
          <t>Not Started</t>
        </is>
      </c>
    </row>
    <row r="461" ht="42" customHeight="1">
      <c r="A461" s="11" t="n">
        <v>459</v>
      </c>
      <c r="B461" s="50" t="inlineStr">
        <is>
          <t>RA-5(8)</t>
        </is>
      </c>
      <c r="C461" s="11" t="inlineStr">
        <is>
          <t>RA</t>
        </is>
      </c>
      <c r="D461" s="12" t="inlineStr">
        <is>
          <t>Hybrid + Multicloud</t>
        </is>
      </c>
      <c r="E461" s="11">
        <f>IFERROR(TRACKER!G461,"Not Started")</f>
        <v/>
      </c>
      <c r="F461" s="51">
        <f>IFERROR('[Hybrid_and_Multicloud.xlsx]RA-5-8'!B21,"")</f>
        <v/>
      </c>
      <c r="G461" s="51" t="inlineStr"/>
      <c r="H461" s="51" t="inlineStr"/>
      <c r="I461" s="11" t="inlineStr"/>
      <c r="J461" s="12" t="inlineStr"/>
      <c r="K461" s="17" t="inlineStr"/>
      <c r="L461" s="11" t="inlineStr">
        <is>
          <t>Not Started</t>
        </is>
      </c>
    </row>
    <row r="462" ht="42" customHeight="1">
      <c r="A462" s="18" t="n">
        <v>460</v>
      </c>
      <c r="B462" s="52" t="inlineStr">
        <is>
          <t>SA-9(5)</t>
        </is>
      </c>
      <c r="C462" s="18" t="inlineStr">
        <is>
          <t>SA</t>
        </is>
      </c>
      <c r="D462" s="19" t="inlineStr">
        <is>
          <t>Hybrid + Multicloud</t>
        </is>
      </c>
      <c r="E462" s="18">
        <f>IFERROR(TRACKER!G462,"Not Started")</f>
        <v/>
      </c>
      <c r="F462" s="53">
        <f>IFERROR('[Hybrid_and_Multicloud.xlsx]SA-9-5'!B21,"")</f>
        <v/>
      </c>
      <c r="G462" s="53" t="inlineStr"/>
      <c r="H462" s="53" t="inlineStr"/>
      <c r="I462" s="18" t="inlineStr"/>
      <c r="J462" s="19" t="inlineStr"/>
      <c r="K462" s="22" t="inlineStr"/>
      <c r="L462" s="18" t="inlineStr">
        <is>
          <t>Not Started</t>
        </is>
      </c>
    </row>
    <row r="463" ht="42" customHeight="1">
      <c r="A463" s="11" t="n">
        <v>461</v>
      </c>
      <c r="B463" s="50" t="inlineStr">
        <is>
          <t>SA-11(1)</t>
        </is>
      </c>
      <c r="C463" s="11" t="inlineStr">
        <is>
          <t>SA</t>
        </is>
      </c>
      <c r="D463" s="12" t="inlineStr">
        <is>
          <t>Hybrid + Multicloud</t>
        </is>
      </c>
      <c r="E463" s="11">
        <f>IFERROR(TRACKER!G463,"Not Started")</f>
        <v/>
      </c>
      <c r="F463" s="51">
        <f>IFERROR('[Hybrid_and_Multicloud.xlsx]SA-11-1'!B21,"")</f>
        <v/>
      </c>
      <c r="G463" s="51" t="inlineStr"/>
      <c r="H463" s="51" t="inlineStr"/>
      <c r="I463" s="11" t="inlineStr"/>
      <c r="J463" s="12" t="inlineStr"/>
      <c r="K463" s="17" t="inlineStr"/>
      <c r="L463" s="11" t="inlineStr">
        <is>
          <t>Not Started</t>
        </is>
      </c>
    </row>
    <row r="464" ht="42" customHeight="1">
      <c r="A464" s="18" t="n">
        <v>462</v>
      </c>
      <c r="B464" s="52" t="inlineStr">
        <is>
          <t>SA-11(8)</t>
        </is>
      </c>
      <c r="C464" s="18" t="inlineStr">
        <is>
          <t>SA</t>
        </is>
      </c>
      <c r="D464" s="19" t="inlineStr">
        <is>
          <t>Hybrid + Multicloud</t>
        </is>
      </c>
      <c r="E464" s="18">
        <f>IFERROR(TRACKER!G464,"Not Started")</f>
        <v/>
      </c>
      <c r="F464" s="53">
        <f>IFERROR('[Hybrid_and_Multicloud.xlsx]SA-11-8'!B21,"")</f>
        <v/>
      </c>
      <c r="G464" s="53" t="inlineStr"/>
      <c r="H464" s="53" t="inlineStr"/>
      <c r="I464" s="18" t="inlineStr"/>
      <c r="J464" s="19" t="inlineStr"/>
      <c r="K464" s="22" t="inlineStr"/>
      <c r="L464" s="18" t="inlineStr">
        <is>
          <t>Not Started</t>
        </is>
      </c>
    </row>
    <row r="465" ht="42" customHeight="1">
      <c r="A465" s="11" t="n">
        <v>463</v>
      </c>
      <c r="B465" s="50" t="inlineStr">
        <is>
          <t>SC-5</t>
        </is>
      </c>
      <c r="C465" s="11" t="inlineStr">
        <is>
          <t>SC</t>
        </is>
      </c>
      <c r="D465" s="12" t="inlineStr">
        <is>
          <t>Hybrid + Multicloud</t>
        </is>
      </c>
      <c r="E465" s="11">
        <f>IFERROR(TRACKER!G465,"Not Started")</f>
        <v/>
      </c>
      <c r="F465" s="51">
        <f>IFERROR('[Hybrid_and_Multicloud.xlsx]SC-5'!B21,"")</f>
        <v/>
      </c>
      <c r="G465" s="51" t="inlineStr"/>
      <c r="H465" s="51" t="inlineStr"/>
      <c r="I465" s="11" t="inlineStr"/>
      <c r="J465" s="12" t="inlineStr"/>
      <c r="K465" s="17" t="inlineStr"/>
      <c r="L465" s="11" t="inlineStr">
        <is>
          <t>Not Started</t>
        </is>
      </c>
    </row>
    <row r="466" ht="42" customHeight="1">
      <c r="A466" s="18" t="n">
        <v>464</v>
      </c>
      <c r="B466" s="52" t="inlineStr">
        <is>
          <t>SC-7</t>
        </is>
      </c>
      <c r="C466" s="18" t="inlineStr">
        <is>
          <t>SC</t>
        </is>
      </c>
      <c r="D466" s="19" t="inlineStr">
        <is>
          <t>Hybrid + Multicloud</t>
        </is>
      </c>
      <c r="E466" s="18">
        <f>IFERROR(TRACKER!G466,"Not Started")</f>
        <v/>
      </c>
      <c r="F466" s="53">
        <f>IFERROR('[Hybrid_and_Multicloud.xlsx]SC-7'!B21,"")</f>
        <v/>
      </c>
      <c r="G466" s="53" t="inlineStr"/>
      <c r="H466" s="53" t="inlineStr"/>
      <c r="I466" s="18" t="inlineStr"/>
      <c r="J466" s="19" t="inlineStr"/>
      <c r="K466" s="22" t="inlineStr"/>
      <c r="L466" s="18" t="inlineStr">
        <is>
          <t>Not Started</t>
        </is>
      </c>
    </row>
    <row r="467" ht="42" customHeight="1">
      <c r="A467" s="11" t="n">
        <v>465</v>
      </c>
      <c r="B467" s="50" t="inlineStr">
        <is>
          <t>SC-13</t>
        </is>
      </c>
      <c r="C467" s="11" t="inlineStr">
        <is>
          <t>SC</t>
        </is>
      </c>
      <c r="D467" s="12" t="inlineStr">
        <is>
          <t>Hybrid + Multicloud</t>
        </is>
      </c>
      <c r="E467" s="11">
        <f>IFERROR(TRACKER!G467,"Not Started")</f>
        <v/>
      </c>
      <c r="F467" s="51">
        <f>IFERROR('[Hybrid_and_Multicloud.xlsx]SC-13'!B21,"")</f>
        <v/>
      </c>
      <c r="G467" s="51" t="inlineStr"/>
      <c r="H467" s="51" t="inlineStr"/>
      <c r="I467" s="11" t="inlineStr"/>
      <c r="J467" s="12" t="inlineStr"/>
      <c r="K467" s="17" t="inlineStr"/>
      <c r="L467" s="11" t="inlineStr">
        <is>
          <t>Not Started</t>
        </is>
      </c>
    </row>
    <row r="468" ht="42" customHeight="1">
      <c r="A468" s="18" t="n">
        <v>466</v>
      </c>
      <c r="B468" s="52" t="inlineStr">
        <is>
          <t>SC-28</t>
        </is>
      </c>
      <c r="C468" s="18" t="inlineStr">
        <is>
          <t>SC</t>
        </is>
      </c>
      <c r="D468" s="19" t="inlineStr">
        <is>
          <t>Hybrid + Multicloud</t>
        </is>
      </c>
      <c r="E468" s="18">
        <f>IFERROR(TRACKER!G468,"Not Started")</f>
        <v/>
      </c>
      <c r="F468" s="53">
        <f>IFERROR('[Hybrid_and_Multicloud.xlsx]SC-28'!B21,"")</f>
        <v/>
      </c>
      <c r="G468" s="53" t="inlineStr"/>
      <c r="H468" s="53" t="inlineStr"/>
      <c r="I468" s="18" t="inlineStr"/>
      <c r="J468" s="19" t="inlineStr"/>
      <c r="K468" s="22" t="inlineStr"/>
      <c r="L468" s="18" t="inlineStr">
        <is>
          <t>Not Started</t>
        </is>
      </c>
    </row>
    <row r="469" ht="42" customHeight="1">
      <c r="A469" s="11" t="n">
        <v>467</v>
      </c>
      <c r="B469" s="50" t="inlineStr">
        <is>
          <t>SC-28(1)</t>
        </is>
      </c>
      <c r="C469" s="11" t="inlineStr">
        <is>
          <t>SC</t>
        </is>
      </c>
      <c r="D469" s="12" t="inlineStr">
        <is>
          <t>Hybrid + Multicloud</t>
        </is>
      </c>
      <c r="E469" s="11">
        <f>IFERROR(TRACKER!G469,"Not Started")</f>
        <v/>
      </c>
      <c r="F469" s="51">
        <f>IFERROR('[Hybrid_and_Multicloud.xlsx]SC-28-1'!B21,"")</f>
        <v/>
      </c>
      <c r="G469" s="51" t="inlineStr"/>
      <c r="H469" s="51" t="inlineStr"/>
      <c r="I469" s="11" t="inlineStr"/>
      <c r="J469" s="12" t="inlineStr"/>
      <c r="K469" s="17" t="inlineStr"/>
      <c r="L469" s="11" t="inlineStr">
        <is>
          <t>Not Started</t>
        </is>
      </c>
    </row>
    <row r="470" ht="42" customHeight="1">
      <c r="A470" s="18" t="n">
        <v>468</v>
      </c>
      <c r="B470" s="52" t="inlineStr">
        <is>
          <t>SI-2</t>
        </is>
      </c>
      <c r="C470" s="18" t="inlineStr">
        <is>
          <t>SI</t>
        </is>
      </c>
      <c r="D470" s="19" t="inlineStr">
        <is>
          <t>Hybrid + Multicloud</t>
        </is>
      </c>
      <c r="E470" s="18">
        <f>IFERROR(TRACKER!G470,"Not Started")</f>
        <v/>
      </c>
      <c r="F470" s="53">
        <f>IFERROR('[Hybrid_and_Multicloud.xlsx]SI-2'!B21,"")</f>
        <v/>
      </c>
      <c r="G470" s="53" t="inlineStr"/>
      <c r="H470" s="53" t="inlineStr"/>
      <c r="I470" s="18" t="inlineStr"/>
      <c r="J470" s="19" t="inlineStr"/>
      <c r="K470" s="22" t="inlineStr"/>
      <c r="L470" s="18" t="inlineStr">
        <is>
          <t>Not Started</t>
        </is>
      </c>
    </row>
    <row r="471" ht="42" customHeight="1">
      <c r="A471" s="11" t="n">
        <v>469</v>
      </c>
      <c r="B471" s="50" t="inlineStr">
        <is>
          <t>SI-2(2)</t>
        </is>
      </c>
      <c r="C471" s="11" t="inlineStr">
        <is>
          <t>SI</t>
        </is>
      </c>
      <c r="D471" s="12" t="inlineStr">
        <is>
          <t>Hybrid + Multicloud</t>
        </is>
      </c>
      <c r="E471" s="11">
        <f>IFERROR(TRACKER!G471,"Not Started")</f>
        <v/>
      </c>
      <c r="F471" s="51">
        <f>IFERROR('[Hybrid_and_Multicloud.xlsx]SI-2-2'!B21,"")</f>
        <v/>
      </c>
      <c r="G471" s="51" t="inlineStr"/>
      <c r="H471" s="51" t="inlineStr"/>
      <c r="I471" s="11" t="inlineStr"/>
      <c r="J471" s="12" t="inlineStr"/>
      <c r="K471" s="17" t="inlineStr"/>
      <c r="L471" s="11" t="inlineStr">
        <is>
          <t>Not Started</t>
        </is>
      </c>
    </row>
    <row r="472" ht="42" customHeight="1">
      <c r="A472" s="18" t="n">
        <v>470</v>
      </c>
      <c r="B472" s="52" t="inlineStr">
        <is>
          <t>SI-3</t>
        </is>
      </c>
      <c r="C472" s="18" t="inlineStr">
        <is>
          <t>SI</t>
        </is>
      </c>
      <c r="D472" s="19" t="inlineStr">
        <is>
          <t>Hybrid + Multicloud</t>
        </is>
      </c>
      <c r="E472" s="18">
        <f>IFERROR(TRACKER!G472,"Not Started")</f>
        <v/>
      </c>
      <c r="F472" s="53">
        <f>IFERROR('[Hybrid_and_Multicloud.xlsx]SI-3'!B21,"")</f>
        <v/>
      </c>
      <c r="G472" s="53" t="inlineStr"/>
      <c r="H472" s="53" t="inlineStr"/>
      <c r="I472" s="18" t="inlineStr"/>
      <c r="J472" s="19" t="inlineStr"/>
      <c r="K472" s="22" t="inlineStr"/>
      <c r="L472" s="18" t="inlineStr">
        <is>
          <t>Not Started</t>
        </is>
      </c>
    </row>
    <row r="473" ht="42" customHeight="1">
      <c r="A473" s="11" t="n">
        <v>471</v>
      </c>
      <c r="B473" s="50" t="inlineStr">
        <is>
          <t>SI-3(1)</t>
        </is>
      </c>
      <c r="C473" s="11" t="inlineStr">
        <is>
          <t>SI</t>
        </is>
      </c>
      <c r="D473" s="12" t="inlineStr">
        <is>
          <t>Hybrid + Multicloud</t>
        </is>
      </c>
      <c r="E473" s="11">
        <f>IFERROR(TRACKER!G473,"Not Started")</f>
        <v/>
      </c>
      <c r="F473" s="51">
        <f>IFERROR('[Hybrid_and_Multicloud.xlsx]SI-3-1'!B21,"")</f>
        <v/>
      </c>
      <c r="G473" s="51" t="inlineStr"/>
      <c r="H473" s="51" t="inlineStr"/>
      <c r="I473" s="11" t="inlineStr"/>
      <c r="J473" s="12" t="inlineStr"/>
      <c r="K473" s="17" t="inlineStr"/>
      <c r="L473" s="11" t="inlineStr">
        <is>
          <t>Not Started</t>
        </is>
      </c>
    </row>
    <row r="474" ht="42" customHeight="1">
      <c r="A474" s="18" t="n">
        <v>472</v>
      </c>
      <c r="B474" s="52" t="inlineStr">
        <is>
          <t>SI-3(2)</t>
        </is>
      </c>
      <c r="C474" s="18" t="inlineStr">
        <is>
          <t>SI</t>
        </is>
      </c>
      <c r="D474" s="19" t="inlineStr">
        <is>
          <t>Hybrid + Multicloud</t>
        </is>
      </c>
      <c r="E474" s="18">
        <f>IFERROR(TRACKER!G474,"Not Started")</f>
        <v/>
      </c>
      <c r="F474" s="53">
        <f>IFERROR('[Hybrid_and_Multicloud.xlsx]SI-3-2'!B21,"")</f>
        <v/>
      </c>
      <c r="G474" s="53" t="inlineStr"/>
      <c r="H474" s="53" t="inlineStr"/>
      <c r="I474" s="18" t="inlineStr"/>
      <c r="J474" s="19" t="inlineStr"/>
      <c r="K474" s="22" t="inlineStr"/>
      <c r="L474" s="18" t="inlineStr">
        <is>
          <t>Not Started</t>
        </is>
      </c>
    </row>
    <row r="475" ht="42" customHeight="1">
      <c r="A475" s="11" t="n">
        <v>473</v>
      </c>
      <c r="B475" s="50" t="inlineStr">
        <is>
          <t>SI-3(7)</t>
        </is>
      </c>
      <c r="C475" s="11" t="inlineStr">
        <is>
          <t>SI</t>
        </is>
      </c>
      <c r="D475" s="12" t="inlineStr">
        <is>
          <t>Hybrid + Multicloud</t>
        </is>
      </c>
      <c r="E475" s="11">
        <f>IFERROR(TRACKER!G475,"Not Started")</f>
        <v/>
      </c>
      <c r="F475" s="51">
        <f>IFERROR('[Hybrid_and_Multicloud.xlsx]SI-3-7'!B21,"")</f>
        <v/>
      </c>
      <c r="G475" s="51" t="inlineStr"/>
      <c r="H475" s="51" t="inlineStr"/>
      <c r="I475" s="11" t="inlineStr"/>
      <c r="J475" s="12" t="inlineStr"/>
      <c r="K475" s="17" t="inlineStr"/>
      <c r="L475" s="11" t="inlineStr">
        <is>
          <t>Not Started</t>
        </is>
      </c>
    </row>
    <row r="476" ht="42" customHeight="1">
      <c r="A476" s="18" t="n">
        <v>474</v>
      </c>
      <c r="B476" s="52" t="inlineStr">
        <is>
          <t>SI-4</t>
        </is>
      </c>
      <c r="C476" s="18" t="inlineStr">
        <is>
          <t>SI</t>
        </is>
      </c>
      <c r="D476" s="19" t="inlineStr">
        <is>
          <t>Hybrid + Multicloud</t>
        </is>
      </c>
      <c r="E476" s="18">
        <f>IFERROR(TRACKER!G476,"Not Started")</f>
        <v/>
      </c>
      <c r="F476" s="53">
        <f>IFERROR('[Hybrid_and_Multicloud.xlsx]SI-4'!B21,"")</f>
        <v/>
      </c>
      <c r="G476" s="53" t="inlineStr"/>
      <c r="H476" s="53" t="inlineStr"/>
      <c r="I476" s="18" t="inlineStr"/>
      <c r="J476" s="19" t="inlineStr"/>
      <c r="K476" s="22" t="inlineStr"/>
      <c r="L476" s="18" t="inlineStr">
        <is>
          <t>Not Started</t>
        </is>
      </c>
    </row>
    <row r="477" ht="42" customHeight="1">
      <c r="A477" s="11" t="n">
        <v>475</v>
      </c>
      <c r="B477" s="50" t="inlineStr">
        <is>
          <t>SI-4(1)</t>
        </is>
      </c>
      <c r="C477" s="11" t="inlineStr">
        <is>
          <t>SI</t>
        </is>
      </c>
      <c r="D477" s="12" t="inlineStr">
        <is>
          <t>Hybrid + Multicloud</t>
        </is>
      </c>
      <c r="E477" s="11">
        <f>IFERROR(TRACKER!G477,"Not Started")</f>
        <v/>
      </c>
      <c r="F477" s="51">
        <f>IFERROR('[Hybrid_and_Multicloud.xlsx]SI-4-1'!B21,"")</f>
        <v/>
      </c>
      <c r="G477" s="51" t="inlineStr"/>
      <c r="H477" s="51" t="inlineStr"/>
      <c r="I477" s="11" t="inlineStr"/>
      <c r="J477" s="12" t="inlineStr"/>
      <c r="K477" s="17" t="inlineStr"/>
      <c r="L477" s="11" t="inlineStr">
        <is>
          <t>Not Started</t>
        </is>
      </c>
    </row>
    <row r="478" ht="42" customHeight="1">
      <c r="A478" s="18" t="n">
        <v>476</v>
      </c>
      <c r="B478" s="52" t="inlineStr">
        <is>
          <t>SI-4(2)</t>
        </is>
      </c>
      <c r="C478" s="18" t="inlineStr">
        <is>
          <t>SI</t>
        </is>
      </c>
      <c r="D478" s="19" t="inlineStr">
        <is>
          <t>Hybrid + Multicloud</t>
        </is>
      </c>
      <c r="E478" s="18">
        <f>IFERROR(TRACKER!G478,"Not Started")</f>
        <v/>
      </c>
      <c r="F478" s="53">
        <f>IFERROR('[Hybrid_and_Multicloud.xlsx]SI-4-2'!B21,"")</f>
        <v/>
      </c>
      <c r="G478" s="53" t="inlineStr"/>
      <c r="H478" s="53" t="inlineStr"/>
      <c r="I478" s="18" t="inlineStr"/>
      <c r="J478" s="19" t="inlineStr"/>
      <c r="K478" s="22" t="inlineStr"/>
      <c r="L478" s="18" t="inlineStr">
        <is>
          <t>Not Started</t>
        </is>
      </c>
    </row>
    <row r="479" ht="42" customHeight="1">
      <c r="A479" s="11" t="n">
        <v>477</v>
      </c>
      <c r="B479" s="50" t="inlineStr">
        <is>
          <t>SI-4(4)</t>
        </is>
      </c>
      <c r="C479" s="11" t="inlineStr">
        <is>
          <t>SI</t>
        </is>
      </c>
      <c r="D479" s="12" t="inlineStr">
        <is>
          <t>Hybrid + Multicloud</t>
        </is>
      </c>
      <c r="E479" s="11">
        <f>IFERROR(TRACKER!G479,"Not Started")</f>
        <v/>
      </c>
      <c r="F479" s="51">
        <f>IFERROR('[Hybrid_and_Multicloud.xlsx]SI-4-4'!B21,"")</f>
        <v/>
      </c>
      <c r="G479" s="51" t="inlineStr"/>
      <c r="H479" s="51" t="inlineStr"/>
      <c r="I479" s="11" t="inlineStr"/>
      <c r="J479" s="12" t="inlineStr"/>
      <c r="K479" s="17" t="inlineStr"/>
      <c r="L479" s="11" t="inlineStr">
        <is>
          <t>Not Started</t>
        </is>
      </c>
    </row>
    <row r="480" ht="42" customHeight="1">
      <c r="A480" s="18" t="n">
        <v>478</v>
      </c>
      <c r="B480" s="52" t="inlineStr">
        <is>
          <t>SI-4(5)</t>
        </is>
      </c>
      <c r="C480" s="18" t="inlineStr">
        <is>
          <t>SI</t>
        </is>
      </c>
      <c r="D480" s="19" t="inlineStr">
        <is>
          <t>Hybrid + Multicloud</t>
        </is>
      </c>
      <c r="E480" s="18">
        <f>IFERROR(TRACKER!G480,"Not Started")</f>
        <v/>
      </c>
      <c r="F480" s="53">
        <f>IFERROR('[Hybrid_and_Multicloud.xlsx]SI-4-5'!B21,"")</f>
        <v/>
      </c>
      <c r="G480" s="53" t="inlineStr"/>
      <c r="H480" s="53" t="inlineStr"/>
      <c r="I480" s="18" t="inlineStr"/>
      <c r="J480" s="19" t="inlineStr"/>
      <c r="K480" s="22" t="inlineStr"/>
      <c r="L480" s="18" t="inlineStr">
        <is>
          <t>Not Started</t>
        </is>
      </c>
    </row>
    <row r="481" ht="42" customHeight="1">
      <c r="A481" s="11" t="n">
        <v>479</v>
      </c>
      <c r="B481" s="50" t="inlineStr">
        <is>
          <t>SI-4(11)</t>
        </is>
      </c>
      <c r="C481" s="11" t="inlineStr">
        <is>
          <t>SI</t>
        </is>
      </c>
      <c r="D481" s="12" t="inlineStr">
        <is>
          <t>Hybrid + Multicloud</t>
        </is>
      </c>
      <c r="E481" s="11">
        <f>IFERROR(TRACKER!G481,"Not Started")</f>
        <v/>
      </c>
      <c r="F481" s="51">
        <f>IFERROR('[Hybrid_and_Multicloud.xlsx]SI-4-11'!B21,"")</f>
        <v/>
      </c>
      <c r="G481" s="51" t="inlineStr"/>
      <c r="H481" s="51" t="inlineStr"/>
      <c r="I481" s="11" t="inlineStr"/>
      <c r="J481" s="12" t="inlineStr"/>
      <c r="K481" s="17" t="inlineStr"/>
      <c r="L481" s="11" t="inlineStr">
        <is>
          <t>Not Started</t>
        </is>
      </c>
    </row>
    <row r="482" ht="42" customHeight="1">
      <c r="A482" s="18" t="n">
        <v>480</v>
      </c>
      <c r="B482" s="52" t="inlineStr">
        <is>
          <t>SI-6</t>
        </is>
      </c>
      <c r="C482" s="18" t="inlineStr">
        <is>
          <t>SI</t>
        </is>
      </c>
      <c r="D482" s="19" t="inlineStr">
        <is>
          <t>Hybrid + Multicloud</t>
        </is>
      </c>
      <c r="E482" s="18">
        <f>IFERROR(TRACKER!G482,"Not Started")</f>
        <v/>
      </c>
      <c r="F482" s="53">
        <f>IFERROR('[Hybrid_and_Multicloud.xlsx]SI-6'!B21,"")</f>
        <v/>
      </c>
      <c r="G482" s="53" t="inlineStr"/>
      <c r="H482" s="53" t="inlineStr"/>
      <c r="I482" s="18" t="inlineStr"/>
      <c r="J482" s="19" t="inlineStr"/>
      <c r="K482" s="22" t="inlineStr"/>
      <c r="L482" s="18" t="inlineStr">
        <is>
          <t>Not Started</t>
        </is>
      </c>
    </row>
    <row r="483" ht="42" customHeight="1">
      <c r="A483" s="11" t="n">
        <v>481</v>
      </c>
      <c r="B483" s="50" t="inlineStr">
        <is>
          <t>SI-7(7)</t>
        </is>
      </c>
      <c r="C483" s="11" t="inlineStr">
        <is>
          <t>SI</t>
        </is>
      </c>
      <c r="D483" s="12" t="inlineStr">
        <is>
          <t>Hybrid + Multicloud</t>
        </is>
      </c>
      <c r="E483" s="11">
        <f>IFERROR(TRACKER!G483,"Not Started")</f>
        <v/>
      </c>
      <c r="F483" s="51">
        <f>IFERROR('[Hybrid_and_Multicloud.xlsx]SI-7-7'!B21,"")</f>
        <v/>
      </c>
      <c r="G483" s="51" t="inlineStr"/>
      <c r="H483" s="51" t="inlineStr"/>
      <c r="I483" s="11" t="inlineStr"/>
      <c r="J483" s="12" t="inlineStr"/>
      <c r="K483" s="17" t="inlineStr"/>
      <c r="L483" s="11" t="inlineStr">
        <is>
          <t>Not Started</t>
        </is>
      </c>
    </row>
    <row r="484" ht="42" customHeight="1">
      <c r="A484" s="18" t="n">
        <v>482</v>
      </c>
      <c r="B484" s="52" t="inlineStr">
        <is>
          <t>SI-11</t>
        </is>
      </c>
      <c r="C484" s="18" t="inlineStr">
        <is>
          <t>SI</t>
        </is>
      </c>
      <c r="D484" s="19" t="inlineStr">
        <is>
          <t>Hybrid + Multicloud</t>
        </is>
      </c>
      <c r="E484" s="18">
        <f>IFERROR(TRACKER!G484,"Not Started")</f>
        <v/>
      </c>
      <c r="F484" s="53">
        <f>IFERROR('[Hybrid_and_Multicloud.xlsx]SI-11'!B21,"")</f>
        <v/>
      </c>
      <c r="G484" s="53" t="inlineStr"/>
      <c r="H484" s="53" t="inlineStr"/>
      <c r="I484" s="18" t="inlineStr"/>
      <c r="J484" s="19" t="inlineStr"/>
      <c r="K484" s="22" t="inlineStr"/>
      <c r="L484" s="18" t="inlineStr">
        <is>
          <t>Not Started</t>
        </is>
      </c>
    </row>
    <row r="485" ht="42" customHeight="1">
      <c r="A485" s="11" t="n">
        <v>483</v>
      </c>
      <c r="B485" s="50" t="inlineStr">
        <is>
          <t>AC-2</t>
        </is>
      </c>
      <c r="C485" s="11" t="inlineStr">
        <is>
          <t>AC</t>
        </is>
      </c>
      <c r="D485" s="12" t="inlineStr">
        <is>
          <t>Identity</t>
        </is>
      </c>
      <c r="E485" s="11">
        <f>IFERROR(TRACKER!G485,"Not Started")</f>
        <v/>
      </c>
      <c r="F485" s="51">
        <f>IFERROR('[Identity.xlsx]AC-2'!B21,"")</f>
        <v/>
      </c>
      <c r="G485" s="51" t="inlineStr"/>
      <c r="H485" s="51" t="inlineStr"/>
      <c r="I485" s="11" t="inlineStr"/>
      <c r="J485" s="12" t="inlineStr"/>
      <c r="K485" s="17" t="inlineStr"/>
      <c r="L485" s="11" t="inlineStr">
        <is>
          <t>Not Started</t>
        </is>
      </c>
    </row>
    <row r="486" ht="42" customHeight="1">
      <c r="A486" s="18" t="n">
        <v>484</v>
      </c>
      <c r="B486" s="52" t="inlineStr">
        <is>
          <t>AC-2(1)</t>
        </is>
      </c>
      <c r="C486" s="18" t="inlineStr">
        <is>
          <t>AC</t>
        </is>
      </c>
      <c r="D486" s="19" t="inlineStr">
        <is>
          <t>Identity</t>
        </is>
      </c>
      <c r="E486" s="18">
        <f>IFERROR(TRACKER!G486,"Not Started")</f>
        <v/>
      </c>
      <c r="F486" s="53">
        <f>IFERROR('[Identity.xlsx]AC-2-1'!B21,"")</f>
        <v/>
      </c>
      <c r="G486" s="53" t="inlineStr"/>
      <c r="H486" s="53" t="inlineStr"/>
      <c r="I486" s="18" t="inlineStr"/>
      <c r="J486" s="19" t="inlineStr"/>
      <c r="K486" s="22" t="inlineStr"/>
      <c r="L486" s="18" t="inlineStr">
        <is>
          <t>Not Started</t>
        </is>
      </c>
    </row>
    <row r="487" ht="42" customHeight="1">
      <c r="A487" s="11" t="n">
        <v>485</v>
      </c>
      <c r="B487" s="50" t="inlineStr">
        <is>
          <t>AC-2(2)</t>
        </is>
      </c>
      <c r="C487" s="11" t="inlineStr">
        <is>
          <t>AC</t>
        </is>
      </c>
      <c r="D487" s="12" t="inlineStr">
        <is>
          <t>Identity</t>
        </is>
      </c>
      <c r="E487" s="11">
        <f>IFERROR(TRACKER!G487,"Not Started")</f>
        <v/>
      </c>
      <c r="F487" s="51">
        <f>IFERROR('[Identity.xlsx]AC-2-2'!B21,"")</f>
        <v/>
      </c>
      <c r="G487" s="51" t="inlineStr"/>
      <c r="H487" s="51" t="inlineStr"/>
      <c r="I487" s="11" t="inlineStr"/>
      <c r="J487" s="12" t="inlineStr"/>
      <c r="K487" s="17" t="inlineStr"/>
      <c r="L487" s="11" t="inlineStr">
        <is>
          <t>Not Started</t>
        </is>
      </c>
    </row>
    <row r="488" ht="42" customHeight="1">
      <c r="A488" s="18" t="n">
        <v>486</v>
      </c>
      <c r="B488" s="52" t="inlineStr">
        <is>
          <t>AC-2(3)</t>
        </is>
      </c>
      <c r="C488" s="18" t="inlineStr">
        <is>
          <t>AC</t>
        </is>
      </c>
      <c r="D488" s="19" t="inlineStr">
        <is>
          <t>Identity</t>
        </is>
      </c>
      <c r="E488" s="18">
        <f>IFERROR(TRACKER!G488,"Not Started")</f>
        <v/>
      </c>
      <c r="F488" s="53">
        <f>IFERROR('[Identity.xlsx]AC-2-3'!B21,"")</f>
        <v/>
      </c>
      <c r="G488" s="53" t="inlineStr"/>
      <c r="H488" s="53" t="inlineStr"/>
      <c r="I488" s="18" t="inlineStr"/>
      <c r="J488" s="19" t="inlineStr"/>
      <c r="K488" s="22" t="inlineStr"/>
      <c r="L488" s="18" t="inlineStr">
        <is>
          <t>Not Started</t>
        </is>
      </c>
    </row>
    <row r="489" ht="42" customHeight="1">
      <c r="A489" s="11" t="n">
        <v>487</v>
      </c>
      <c r="B489" s="50" t="inlineStr">
        <is>
          <t>AC-2(4)</t>
        </is>
      </c>
      <c r="C489" s="11" t="inlineStr">
        <is>
          <t>AC</t>
        </is>
      </c>
      <c r="D489" s="12" t="inlineStr">
        <is>
          <t>Identity</t>
        </is>
      </c>
      <c r="E489" s="11">
        <f>IFERROR(TRACKER!G489,"Not Started")</f>
        <v/>
      </c>
      <c r="F489" s="51">
        <f>IFERROR('[Identity.xlsx]AC-2-4'!B21,"")</f>
        <v/>
      </c>
      <c r="G489" s="51" t="inlineStr"/>
      <c r="H489" s="51" t="inlineStr"/>
      <c r="I489" s="11" t="inlineStr"/>
      <c r="J489" s="12" t="inlineStr"/>
      <c r="K489" s="17" t="inlineStr"/>
      <c r="L489" s="11" t="inlineStr">
        <is>
          <t>Not Started</t>
        </is>
      </c>
    </row>
    <row r="490" ht="42" customHeight="1">
      <c r="A490" s="18" t="n">
        <v>488</v>
      </c>
      <c r="B490" s="52" t="inlineStr">
        <is>
          <t>AC-2(5)</t>
        </is>
      </c>
      <c r="C490" s="18" t="inlineStr">
        <is>
          <t>AC</t>
        </is>
      </c>
      <c r="D490" s="19" t="inlineStr">
        <is>
          <t>Identity</t>
        </is>
      </c>
      <c r="E490" s="18">
        <f>IFERROR(TRACKER!G490,"Not Started")</f>
        <v/>
      </c>
      <c r="F490" s="53">
        <f>IFERROR('[Identity.xlsx]AC-2-5'!B21,"")</f>
        <v/>
      </c>
      <c r="G490" s="53" t="inlineStr"/>
      <c r="H490" s="53" t="inlineStr"/>
      <c r="I490" s="18" t="inlineStr"/>
      <c r="J490" s="19" t="inlineStr"/>
      <c r="K490" s="22" t="inlineStr"/>
      <c r="L490" s="18" t="inlineStr">
        <is>
          <t>Not Started</t>
        </is>
      </c>
    </row>
    <row r="491" ht="42" customHeight="1">
      <c r="A491" s="11" t="n">
        <v>489</v>
      </c>
      <c r="B491" s="50" t="inlineStr">
        <is>
          <t>AC-2(7)</t>
        </is>
      </c>
      <c r="C491" s="11" t="inlineStr">
        <is>
          <t>AC</t>
        </is>
      </c>
      <c r="D491" s="12" t="inlineStr">
        <is>
          <t>Identity</t>
        </is>
      </c>
      <c r="E491" s="11">
        <f>IFERROR(TRACKER!G491,"Not Started")</f>
        <v/>
      </c>
      <c r="F491" s="51">
        <f>IFERROR('[Identity.xlsx]AC-2-7'!B21,"")</f>
        <v/>
      </c>
      <c r="G491" s="51" t="inlineStr"/>
      <c r="H491" s="51" t="inlineStr"/>
      <c r="I491" s="11" t="inlineStr"/>
      <c r="J491" s="12" t="inlineStr"/>
      <c r="K491" s="17" t="inlineStr"/>
      <c r="L491" s="11" t="inlineStr">
        <is>
          <t>Not Started</t>
        </is>
      </c>
    </row>
    <row r="492" ht="42" customHeight="1">
      <c r="A492" s="18" t="n">
        <v>490</v>
      </c>
      <c r="B492" s="52" t="inlineStr">
        <is>
          <t>AC-3</t>
        </is>
      </c>
      <c r="C492" s="18" t="inlineStr">
        <is>
          <t>AC</t>
        </is>
      </c>
      <c r="D492" s="19" t="inlineStr">
        <is>
          <t>Identity</t>
        </is>
      </c>
      <c r="E492" s="18">
        <f>IFERROR(TRACKER!G492,"Not Started")</f>
        <v/>
      </c>
      <c r="F492" s="53">
        <f>IFERROR('[Identity.xlsx]AC-3'!B21,"")</f>
        <v/>
      </c>
      <c r="G492" s="53" t="inlineStr"/>
      <c r="H492" s="53" t="inlineStr"/>
      <c r="I492" s="18" t="inlineStr"/>
      <c r="J492" s="19" t="inlineStr"/>
      <c r="K492" s="22" t="inlineStr"/>
      <c r="L492" s="18" t="inlineStr">
        <is>
          <t>Not Started</t>
        </is>
      </c>
    </row>
    <row r="493" ht="42" customHeight="1">
      <c r="A493" s="11" t="n">
        <v>491</v>
      </c>
      <c r="B493" s="50" t="inlineStr">
        <is>
          <t>AC-6</t>
        </is>
      </c>
      <c r="C493" s="11" t="inlineStr">
        <is>
          <t>AC</t>
        </is>
      </c>
      <c r="D493" s="12" t="inlineStr">
        <is>
          <t>Identity</t>
        </is>
      </c>
      <c r="E493" s="11">
        <f>IFERROR(TRACKER!G493,"Not Started")</f>
        <v/>
      </c>
      <c r="F493" s="51">
        <f>IFERROR('[Identity.xlsx]AC-6'!B21,"")</f>
        <v/>
      </c>
      <c r="G493" s="51" t="inlineStr"/>
      <c r="H493" s="51" t="inlineStr"/>
      <c r="I493" s="11" t="inlineStr"/>
      <c r="J493" s="12" t="inlineStr"/>
      <c r="K493" s="17" t="inlineStr"/>
      <c r="L493" s="11" t="inlineStr">
        <is>
          <t>Not Started</t>
        </is>
      </c>
    </row>
    <row r="494" ht="42" customHeight="1">
      <c r="A494" s="18" t="n">
        <v>492</v>
      </c>
      <c r="B494" s="52" t="inlineStr">
        <is>
          <t>AC-6(1)</t>
        </is>
      </c>
      <c r="C494" s="18" t="inlineStr">
        <is>
          <t>AC</t>
        </is>
      </c>
      <c r="D494" s="19" t="inlineStr">
        <is>
          <t>Identity</t>
        </is>
      </c>
      <c r="E494" s="18">
        <f>IFERROR(TRACKER!G494,"Not Started")</f>
        <v/>
      </c>
      <c r="F494" s="53">
        <f>IFERROR('[Identity.xlsx]AC-6-1'!B21,"")</f>
        <v/>
      </c>
      <c r="G494" s="53" t="inlineStr"/>
      <c r="H494" s="53" t="inlineStr"/>
      <c r="I494" s="18" t="inlineStr"/>
      <c r="J494" s="19" t="inlineStr"/>
      <c r="K494" s="22" t="inlineStr"/>
      <c r="L494" s="18" t="inlineStr">
        <is>
          <t>Not Started</t>
        </is>
      </c>
    </row>
    <row r="495" ht="42" customHeight="1">
      <c r="A495" s="11" t="n">
        <v>493</v>
      </c>
      <c r="B495" s="50" t="inlineStr">
        <is>
          <t>AC-6(9)</t>
        </is>
      </c>
      <c r="C495" s="11" t="inlineStr">
        <is>
          <t>AC</t>
        </is>
      </c>
      <c r="D495" s="12" t="inlineStr">
        <is>
          <t>Identity</t>
        </is>
      </c>
      <c r="E495" s="11">
        <f>IFERROR(TRACKER!G495,"Not Started")</f>
        <v/>
      </c>
      <c r="F495" s="51">
        <f>IFERROR('[Identity.xlsx]AC-6-9'!B21,"")</f>
        <v/>
      </c>
      <c r="G495" s="51" t="inlineStr"/>
      <c r="H495" s="51" t="inlineStr"/>
      <c r="I495" s="11" t="inlineStr"/>
      <c r="J495" s="12" t="inlineStr"/>
      <c r="K495" s="17" t="inlineStr"/>
      <c r="L495" s="11" t="inlineStr">
        <is>
          <t>Not Started</t>
        </is>
      </c>
    </row>
    <row r="496" ht="42" customHeight="1">
      <c r="A496" s="18" t="n">
        <v>494</v>
      </c>
      <c r="B496" s="52" t="inlineStr">
        <is>
          <t>AC-6(10)</t>
        </is>
      </c>
      <c r="C496" s="18" t="inlineStr">
        <is>
          <t>AC</t>
        </is>
      </c>
      <c r="D496" s="19" t="inlineStr">
        <is>
          <t>Identity</t>
        </is>
      </c>
      <c r="E496" s="18">
        <f>IFERROR(TRACKER!G496,"Not Started")</f>
        <v/>
      </c>
      <c r="F496" s="53">
        <f>IFERROR('[Identity.xlsx]AC-6-10'!B21,"")</f>
        <v/>
      </c>
      <c r="G496" s="53" t="inlineStr"/>
      <c r="H496" s="53" t="inlineStr"/>
      <c r="I496" s="18" t="inlineStr"/>
      <c r="J496" s="19" t="inlineStr"/>
      <c r="K496" s="22" t="inlineStr"/>
      <c r="L496" s="18" t="inlineStr">
        <is>
          <t>Not Started</t>
        </is>
      </c>
    </row>
    <row r="497" ht="42" customHeight="1">
      <c r="A497" s="11" t="n">
        <v>495</v>
      </c>
      <c r="B497" s="50" t="inlineStr">
        <is>
          <t>AC-7</t>
        </is>
      </c>
      <c r="C497" s="11" t="inlineStr">
        <is>
          <t>AC</t>
        </is>
      </c>
      <c r="D497" s="12" t="inlineStr">
        <is>
          <t>Identity</t>
        </is>
      </c>
      <c r="E497" s="11">
        <f>IFERROR(TRACKER!G497,"Not Started")</f>
        <v/>
      </c>
      <c r="F497" s="51">
        <f>IFERROR('[Identity.xlsx]AC-7'!B21,"")</f>
        <v/>
      </c>
      <c r="G497" s="51" t="inlineStr"/>
      <c r="H497" s="51" t="inlineStr"/>
      <c r="I497" s="11" t="inlineStr"/>
      <c r="J497" s="12" t="inlineStr"/>
      <c r="K497" s="17" t="inlineStr"/>
      <c r="L497" s="11" t="inlineStr">
        <is>
          <t>Not Started</t>
        </is>
      </c>
    </row>
    <row r="498" ht="42" customHeight="1">
      <c r="A498" s="18" t="n">
        <v>496</v>
      </c>
      <c r="B498" s="52" t="inlineStr">
        <is>
          <t>AC-10</t>
        </is>
      </c>
      <c r="C498" s="18" t="inlineStr">
        <is>
          <t>AC</t>
        </is>
      </c>
      <c r="D498" s="19" t="inlineStr">
        <is>
          <t>Identity</t>
        </is>
      </c>
      <c r="E498" s="18">
        <f>IFERROR(TRACKER!G498,"Not Started")</f>
        <v/>
      </c>
      <c r="F498" s="53">
        <f>IFERROR('[Identity.xlsx]AC-10'!B21,"")</f>
        <v/>
      </c>
      <c r="G498" s="53" t="inlineStr"/>
      <c r="H498" s="53" t="inlineStr"/>
      <c r="I498" s="18" t="inlineStr"/>
      <c r="J498" s="19" t="inlineStr"/>
      <c r="K498" s="22" t="inlineStr"/>
      <c r="L498" s="18" t="inlineStr">
        <is>
          <t>Not Started</t>
        </is>
      </c>
    </row>
    <row r="499" ht="42" customHeight="1">
      <c r="A499" s="11" t="n">
        <v>497</v>
      </c>
      <c r="B499" s="50" t="inlineStr">
        <is>
          <t>AC-11</t>
        </is>
      </c>
      <c r="C499" s="11" t="inlineStr">
        <is>
          <t>AC</t>
        </is>
      </c>
      <c r="D499" s="12" t="inlineStr">
        <is>
          <t>Identity</t>
        </is>
      </c>
      <c r="E499" s="11">
        <f>IFERROR(TRACKER!G499,"Not Started")</f>
        <v/>
      </c>
      <c r="F499" s="51">
        <f>IFERROR('[Identity.xlsx]AC-11'!B21,"")</f>
        <v/>
      </c>
      <c r="G499" s="51" t="inlineStr"/>
      <c r="H499" s="51" t="inlineStr"/>
      <c r="I499" s="11" t="inlineStr"/>
      <c r="J499" s="12" t="inlineStr"/>
      <c r="K499" s="17" t="inlineStr"/>
      <c r="L499" s="11" t="inlineStr">
        <is>
          <t>Not Started</t>
        </is>
      </c>
    </row>
    <row r="500" ht="42" customHeight="1">
      <c r="A500" s="18" t="n">
        <v>498</v>
      </c>
      <c r="B500" s="52" t="inlineStr">
        <is>
          <t>AC-17(1)</t>
        </is>
      </c>
      <c r="C500" s="18" t="inlineStr">
        <is>
          <t>AC</t>
        </is>
      </c>
      <c r="D500" s="19" t="inlineStr">
        <is>
          <t>Identity</t>
        </is>
      </c>
      <c r="E500" s="18">
        <f>IFERROR(TRACKER!G500,"Not Started")</f>
        <v/>
      </c>
      <c r="F500" s="53">
        <f>IFERROR('[Identity.xlsx]AC-17-1'!B21,"")</f>
        <v/>
      </c>
      <c r="G500" s="53" t="inlineStr"/>
      <c r="H500" s="53" t="inlineStr"/>
      <c r="I500" s="18" t="inlineStr"/>
      <c r="J500" s="19" t="inlineStr"/>
      <c r="K500" s="22" t="inlineStr"/>
      <c r="L500" s="18" t="inlineStr">
        <is>
          <t>Not Started</t>
        </is>
      </c>
    </row>
    <row r="501" ht="42" customHeight="1">
      <c r="A501" s="11" t="n">
        <v>499</v>
      </c>
      <c r="B501" s="50" t="inlineStr">
        <is>
          <t>AC-17(9)</t>
        </is>
      </c>
      <c r="C501" s="11" t="inlineStr">
        <is>
          <t>AC</t>
        </is>
      </c>
      <c r="D501" s="12" t="inlineStr">
        <is>
          <t>Identity</t>
        </is>
      </c>
      <c r="E501" s="11">
        <f>IFERROR(TRACKER!G501,"Not Started")</f>
        <v/>
      </c>
      <c r="F501" s="51">
        <f>IFERROR('[Identity.xlsx]AC-17-9'!B21,"")</f>
        <v/>
      </c>
      <c r="G501" s="51" t="inlineStr"/>
      <c r="H501" s="51" t="inlineStr"/>
      <c r="I501" s="11" t="inlineStr"/>
      <c r="J501" s="12" t="inlineStr"/>
      <c r="K501" s="17" t="inlineStr"/>
      <c r="L501" s="11" t="inlineStr">
        <is>
          <t>Not Started</t>
        </is>
      </c>
    </row>
    <row r="502" ht="42" customHeight="1">
      <c r="A502" s="18" t="n">
        <v>500</v>
      </c>
      <c r="B502" s="52" t="inlineStr">
        <is>
          <t>AC-21</t>
        </is>
      </c>
      <c r="C502" s="18" t="inlineStr">
        <is>
          <t>AC</t>
        </is>
      </c>
      <c r="D502" s="19" t="inlineStr">
        <is>
          <t>Identity</t>
        </is>
      </c>
      <c r="E502" s="18">
        <f>IFERROR(TRACKER!G502,"Not Started")</f>
        <v/>
      </c>
      <c r="F502" s="53">
        <f>IFERROR('[Identity.xlsx]AC-21'!B21,"")</f>
        <v/>
      </c>
      <c r="G502" s="53" t="inlineStr"/>
      <c r="H502" s="53" t="inlineStr"/>
      <c r="I502" s="18" t="inlineStr"/>
      <c r="J502" s="19" t="inlineStr"/>
      <c r="K502" s="22" t="inlineStr"/>
      <c r="L502" s="18" t="inlineStr">
        <is>
          <t>Not Started</t>
        </is>
      </c>
    </row>
    <row r="503" ht="42" customHeight="1">
      <c r="A503" s="11" t="n">
        <v>501</v>
      </c>
      <c r="B503" s="50" t="inlineStr">
        <is>
          <t>AU-2</t>
        </is>
      </c>
      <c r="C503" s="11" t="inlineStr">
        <is>
          <t>AU</t>
        </is>
      </c>
      <c r="D503" s="12" t="inlineStr">
        <is>
          <t>Identity</t>
        </is>
      </c>
      <c r="E503" s="11">
        <f>IFERROR(TRACKER!G503,"Not Started")</f>
        <v/>
      </c>
      <c r="F503" s="51">
        <f>IFERROR('[Identity.xlsx]AU-2'!B21,"")</f>
        <v/>
      </c>
      <c r="G503" s="51" t="inlineStr"/>
      <c r="H503" s="51" t="inlineStr"/>
      <c r="I503" s="11" t="inlineStr"/>
      <c r="J503" s="12" t="inlineStr"/>
      <c r="K503" s="17" t="inlineStr"/>
      <c r="L503" s="11" t="inlineStr">
        <is>
          <t>Not Started</t>
        </is>
      </c>
    </row>
    <row r="504" ht="42" customHeight="1">
      <c r="A504" s="18" t="n">
        <v>502</v>
      </c>
      <c r="B504" s="52" t="inlineStr">
        <is>
          <t>AU-3</t>
        </is>
      </c>
      <c r="C504" s="18" t="inlineStr">
        <is>
          <t>AU</t>
        </is>
      </c>
      <c r="D504" s="19" t="inlineStr">
        <is>
          <t>Identity</t>
        </is>
      </c>
      <c r="E504" s="18">
        <f>IFERROR(TRACKER!G504,"Not Started")</f>
        <v/>
      </c>
      <c r="F504" s="53">
        <f>IFERROR('[Identity.xlsx]AU-3'!B21,"")</f>
        <v/>
      </c>
      <c r="G504" s="53" t="inlineStr"/>
      <c r="H504" s="53" t="inlineStr"/>
      <c r="I504" s="18" t="inlineStr"/>
      <c r="J504" s="19" t="inlineStr"/>
      <c r="K504" s="22" t="inlineStr"/>
      <c r="L504" s="18" t="inlineStr">
        <is>
          <t>Not Started</t>
        </is>
      </c>
    </row>
    <row r="505" ht="42" customHeight="1">
      <c r="A505" s="11" t="n">
        <v>503</v>
      </c>
      <c r="B505" s="50" t="inlineStr">
        <is>
          <t>AU-3(1)</t>
        </is>
      </c>
      <c r="C505" s="11" t="inlineStr">
        <is>
          <t>AU</t>
        </is>
      </c>
      <c r="D505" s="12" t="inlineStr">
        <is>
          <t>Identity</t>
        </is>
      </c>
      <c r="E505" s="11">
        <f>IFERROR(TRACKER!G505,"Not Started")</f>
        <v/>
      </c>
      <c r="F505" s="51">
        <f>IFERROR('[Identity.xlsx]AU-3-1'!B21,"")</f>
        <v/>
      </c>
      <c r="G505" s="51" t="inlineStr"/>
      <c r="H505" s="51" t="inlineStr"/>
      <c r="I505" s="11" t="inlineStr"/>
      <c r="J505" s="12" t="inlineStr"/>
      <c r="K505" s="17" t="inlineStr"/>
      <c r="L505" s="11" t="inlineStr">
        <is>
          <t>Not Started</t>
        </is>
      </c>
    </row>
    <row r="506" ht="42" customHeight="1">
      <c r="A506" s="18" t="n">
        <v>504</v>
      </c>
      <c r="B506" s="52" t="inlineStr">
        <is>
          <t>AU-9</t>
        </is>
      </c>
      <c r="C506" s="18" t="inlineStr">
        <is>
          <t>AU</t>
        </is>
      </c>
      <c r="D506" s="19" t="inlineStr">
        <is>
          <t>Identity</t>
        </is>
      </c>
      <c r="E506" s="18">
        <f>IFERROR(TRACKER!G506,"Not Started")</f>
        <v/>
      </c>
      <c r="F506" s="53">
        <f>IFERROR('[Identity.xlsx]AU-9'!B21,"")</f>
        <v/>
      </c>
      <c r="G506" s="53" t="inlineStr"/>
      <c r="H506" s="53" t="inlineStr"/>
      <c r="I506" s="18" t="inlineStr"/>
      <c r="J506" s="19" t="inlineStr"/>
      <c r="K506" s="22" t="inlineStr"/>
      <c r="L506" s="18" t="inlineStr">
        <is>
          <t>Not Started</t>
        </is>
      </c>
    </row>
    <row r="507" ht="42" customHeight="1">
      <c r="A507" s="11" t="n">
        <v>505</v>
      </c>
      <c r="B507" s="50" t="inlineStr">
        <is>
          <t>AU-9(2)</t>
        </is>
      </c>
      <c r="C507" s="11" t="inlineStr">
        <is>
          <t>AU</t>
        </is>
      </c>
      <c r="D507" s="12" t="inlineStr">
        <is>
          <t>Identity</t>
        </is>
      </c>
      <c r="E507" s="11">
        <f>IFERROR(TRACKER!G507,"Not Started")</f>
        <v/>
      </c>
      <c r="F507" s="51">
        <f>IFERROR('[Identity.xlsx]AU-9-2'!B21,"")</f>
        <v/>
      </c>
      <c r="G507" s="51" t="inlineStr"/>
      <c r="H507" s="51" t="inlineStr"/>
      <c r="I507" s="11" t="inlineStr"/>
      <c r="J507" s="12" t="inlineStr"/>
      <c r="K507" s="17" t="inlineStr"/>
      <c r="L507" s="11" t="inlineStr">
        <is>
          <t>Not Started</t>
        </is>
      </c>
    </row>
    <row r="508" ht="42" customHeight="1">
      <c r="A508" s="18" t="n">
        <v>506</v>
      </c>
      <c r="B508" s="52" t="inlineStr">
        <is>
          <t>AU-9(4)</t>
        </is>
      </c>
      <c r="C508" s="18" t="inlineStr">
        <is>
          <t>AU</t>
        </is>
      </c>
      <c r="D508" s="19" t="inlineStr">
        <is>
          <t>Identity</t>
        </is>
      </c>
      <c r="E508" s="18">
        <f>IFERROR(TRACKER!G508,"Not Started")</f>
        <v/>
      </c>
      <c r="F508" s="53">
        <f>IFERROR('[Identity.xlsx]AU-9-4'!B21,"")</f>
        <v/>
      </c>
      <c r="G508" s="53" t="inlineStr"/>
      <c r="H508" s="53" t="inlineStr"/>
      <c r="I508" s="18" t="inlineStr"/>
      <c r="J508" s="19" t="inlineStr"/>
      <c r="K508" s="22" t="inlineStr"/>
      <c r="L508" s="18" t="inlineStr">
        <is>
          <t>Not Started</t>
        </is>
      </c>
    </row>
    <row r="509" ht="42" customHeight="1">
      <c r="A509" s="11" t="n">
        <v>507</v>
      </c>
      <c r="B509" s="50" t="inlineStr">
        <is>
          <t>AU-12</t>
        </is>
      </c>
      <c r="C509" s="11" t="inlineStr">
        <is>
          <t>AU</t>
        </is>
      </c>
      <c r="D509" s="12" t="inlineStr">
        <is>
          <t>Identity</t>
        </is>
      </c>
      <c r="E509" s="11">
        <f>IFERROR(TRACKER!G509,"Not Started")</f>
        <v/>
      </c>
      <c r="F509" s="51">
        <f>IFERROR('[Identity.xlsx]AU-12'!B21,"")</f>
        <v/>
      </c>
      <c r="G509" s="51" t="inlineStr"/>
      <c r="H509" s="51" t="inlineStr"/>
      <c r="I509" s="11" t="inlineStr"/>
      <c r="J509" s="12" t="inlineStr"/>
      <c r="K509" s="17" t="inlineStr"/>
      <c r="L509" s="11" t="inlineStr">
        <is>
          <t>Not Started</t>
        </is>
      </c>
    </row>
    <row r="510" ht="42" customHeight="1">
      <c r="A510" s="18" t="n">
        <v>508</v>
      </c>
      <c r="B510" s="52" t="inlineStr">
        <is>
          <t>CM-5(1)</t>
        </is>
      </c>
      <c r="C510" s="18" t="inlineStr">
        <is>
          <t>CM</t>
        </is>
      </c>
      <c r="D510" s="19" t="inlineStr">
        <is>
          <t>Identity</t>
        </is>
      </c>
      <c r="E510" s="18">
        <f>IFERROR(TRACKER!G510,"Not Started")</f>
        <v/>
      </c>
      <c r="F510" s="53">
        <f>IFERROR('[Identity.xlsx]CM-5-1'!B21,"")</f>
        <v/>
      </c>
      <c r="G510" s="53" t="inlineStr"/>
      <c r="H510" s="53" t="inlineStr"/>
      <c r="I510" s="18" t="inlineStr"/>
      <c r="J510" s="19" t="inlineStr"/>
      <c r="K510" s="22" t="inlineStr"/>
      <c r="L510" s="18" t="inlineStr">
        <is>
          <t>Not Started</t>
        </is>
      </c>
    </row>
    <row r="511" ht="42" customHeight="1">
      <c r="A511" s="11" t="n">
        <v>509</v>
      </c>
      <c r="B511" s="50" t="inlineStr">
        <is>
          <t>CM-5(5)</t>
        </is>
      </c>
      <c r="C511" s="11" t="inlineStr">
        <is>
          <t>CM</t>
        </is>
      </c>
      <c r="D511" s="12" t="inlineStr">
        <is>
          <t>Identity</t>
        </is>
      </c>
      <c r="E511" s="11">
        <f>IFERROR(TRACKER!G511,"Not Started")</f>
        <v/>
      </c>
      <c r="F511" s="51">
        <f>IFERROR('[Identity.xlsx]CM-5-5'!B21,"")</f>
        <v/>
      </c>
      <c r="G511" s="51" t="inlineStr"/>
      <c r="H511" s="51" t="inlineStr"/>
      <c r="I511" s="11" t="inlineStr"/>
      <c r="J511" s="12" t="inlineStr"/>
      <c r="K511" s="17" t="inlineStr"/>
      <c r="L511" s="11" t="inlineStr">
        <is>
          <t>Not Started</t>
        </is>
      </c>
    </row>
    <row r="512" ht="42" customHeight="1">
      <c r="A512" s="18" t="n">
        <v>510</v>
      </c>
      <c r="B512" s="52" t="inlineStr">
        <is>
          <t>CM-5(6)</t>
        </is>
      </c>
      <c r="C512" s="18" t="inlineStr">
        <is>
          <t>CM</t>
        </is>
      </c>
      <c r="D512" s="19" t="inlineStr">
        <is>
          <t>Identity</t>
        </is>
      </c>
      <c r="E512" s="18">
        <f>IFERROR(TRACKER!G512,"Not Started")</f>
        <v/>
      </c>
      <c r="F512" s="53">
        <f>IFERROR('[Identity.xlsx]CM-5-6'!B21,"")</f>
        <v/>
      </c>
      <c r="G512" s="53" t="inlineStr"/>
      <c r="H512" s="53" t="inlineStr"/>
      <c r="I512" s="18" t="inlineStr"/>
      <c r="J512" s="19" t="inlineStr"/>
      <c r="K512" s="22" t="inlineStr"/>
      <c r="L512" s="18" t="inlineStr">
        <is>
          <t>Not Started</t>
        </is>
      </c>
    </row>
    <row r="513" ht="42" customHeight="1">
      <c r="A513" s="11" t="n">
        <v>511</v>
      </c>
      <c r="B513" s="50" t="inlineStr">
        <is>
          <t>CM-6</t>
        </is>
      </c>
      <c r="C513" s="11" t="inlineStr">
        <is>
          <t>CM</t>
        </is>
      </c>
      <c r="D513" s="12" t="inlineStr">
        <is>
          <t>Identity</t>
        </is>
      </c>
      <c r="E513" s="11">
        <f>IFERROR(TRACKER!G513,"Not Started")</f>
        <v/>
      </c>
      <c r="F513" s="51">
        <f>IFERROR('[Identity.xlsx]CM-6'!B21,"")</f>
        <v/>
      </c>
      <c r="G513" s="51" t="inlineStr"/>
      <c r="H513" s="51" t="inlineStr"/>
      <c r="I513" s="11" t="inlineStr"/>
      <c r="J513" s="12" t="inlineStr"/>
      <c r="K513" s="17" t="inlineStr"/>
      <c r="L513" s="11" t="inlineStr">
        <is>
          <t>Not Started</t>
        </is>
      </c>
    </row>
    <row r="514" ht="42" customHeight="1">
      <c r="A514" s="18" t="n">
        <v>512</v>
      </c>
      <c r="B514" s="52" t="inlineStr">
        <is>
          <t>CM-7</t>
        </is>
      </c>
      <c r="C514" s="18" t="inlineStr">
        <is>
          <t>CM</t>
        </is>
      </c>
      <c r="D514" s="19" t="inlineStr">
        <is>
          <t>Identity</t>
        </is>
      </c>
      <c r="E514" s="18">
        <f>IFERROR(TRACKER!G514,"Not Started")</f>
        <v/>
      </c>
      <c r="F514" s="53">
        <f>IFERROR('[Identity.xlsx]CM-7'!B21,"")</f>
        <v/>
      </c>
      <c r="G514" s="53" t="inlineStr"/>
      <c r="H514" s="53" t="inlineStr"/>
      <c r="I514" s="18" t="inlineStr"/>
      <c r="J514" s="19" t="inlineStr"/>
      <c r="K514" s="22" t="inlineStr"/>
      <c r="L514" s="18" t="inlineStr">
        <is>
          <t>Not Started</t>
        </is>
      </c>
    </row>
    <row r="515" ht="42" customHeight="1">
      <c r="A515" s="11" t="n">
        <v>513</v>
      </c>
      <c r="B515" s="50" t="inlineStr">
        <is>
          <t>CM-7(1)</t>
        </is>
      </c>
      <c r="C515" s="11" t="inlineStr">
        <is>
          <t>CM</t>
        </is>
      </c>
      <c r="D515" s="12" t="inlineStr">
        <is>
          <t>Identity</t>
        </is>
      </c>
      <c r="E515" s="11">
        <f>IFERROR(TRACKER!G515,"Not Started")</f>
        <v/>
      </c>
      <c r="F515" s="51">
        <f>IFERROR('[Identity.xlsx]CM-7-1'!B21,"")</f>
        <v/>
      </c>
      <c r="G515" s="51" t="inlineStr"/>
      <c r="H515" s="51" t="inlineStr"/>
      <c r="I515" s="11" t="inlineStr"/>
      <c r="J515" s="12" t="inlineStr"/>
      <c r="K515" s="17" t="inlineStr"/>
      <c r="L515" s="11" t="inlineStr">
        <is>
          <t>Not Started</t>
        </is>
      </c>
    </row>
    <row r="516" ht="42" customHeight="1">
      <c r="A516" s="18" t="n">
        <v>514</v>
      </c>
      <c r="B516" s="52" t="inlineStr">
        <is>
          <t>CP-7</t>
        </is>
      </c>
      <c r="C516" s="18" t="inlineStr">
        <is>
          <t>CP</t>
        </is>
      </c>
      <c r="D516" s="19" t="inlineStr">
        <is>
          <t>Identity</t>
        </is>
      </c>
      <c r="E516" s="18">
        <f>IFERROR(TRACKER!G516,"Not Started")</f>
        <v/>
      </c>
      <c r="F516" s="53">
        <f>IFERROR('[Identity.xlsx]CP-7'!B21,"")</f>
        <v/>
      </c>
      <c r="G516" s="53" t="inlineStr"/>
      <c r="H516" s="53" t="inlineStr"/>
      <c r="I516" s="18" t="inlineStr"/>
      <c r="J516" s="19" t="inlineStr"/>
      <c r="K516" s="22" t="inlineStr"/>
      <c r="L516" s="18" t="inlineStr">
        <is>
          <t>Not Started</t>
        </is>
      </c>
    </row>
    <row r="517" ht="42" customHeight="1">
      <c r="A517" s="11" t="n">
        <v>515</v>
      </c>
      <c r="B517" s="50" t="inlineStr">
        <is>
          <t>CP-7(4)</t>
        </is>
      </c>
      <c r="C517" s="11" t="inlineStr">
        <is>
          <t>CP</t>
        </is>
      </c>
      <c r="D517" s="12" t="inlineStr">
        <is>
          <t>Identity</t>
        </is>
      </c>
      <c r="E517" s="11">
        <f>IFERROR(TRACKER!G517,"Not Started")</f>
        <v/>
      </c>
      <c r="F517" s="51">
        <f>IFERROR('[Identity.xlsx]CP-7-4'!B21,"")</f>
        <v/>
      </c>
      <c r="G517" s="51" t="inlineStr"/>
      <c r="H517" s="51" t="inlineStr"/>
      <c r="I517" s="11" t="inlineStr"/>
      <c r="J517" s="12" t="inlineStr"/>
      <c r="K517" s="17" t="inlineStr"/>
      <c r="L517" s="11" t="inlineStr">
        <is>
          <t>Not Started</t>
        </is>
      </c>
    </row>
    <row r="518" ht="42" customHeight="1">
      <c r="A518" s="18" t="n">
        <v>516</v>
      </c>
      <c r="B518" s="52" t="inlineStr">
        <is>
          <t>CP-10</t>
        </is>
      </c>
      <c r="C518" s="18" t="inlineStr">
        <is>
          <t>CP</t>
        </is>
      </c>
      <c r="D518" s="19" t="inlineStr">
        <is>
          <t>Identity</t>
        </is>
      </c>
      <c r="E518" s="18">
        <f>IFERROR(TRACKER!G518,"Not Started")</f>
        <v/>
      </c>
      <c r="F518" s="53">
        <f>IFERROR('[Identity.xlsx]CP-10'!B21,"")</f>
        <v/>
      </c>
      <c r="G518" s="53" t="inlineStr"/>
      <c r="H518" s="53" t="inlineStr"/>
      <c r="I518" s="18" t="inlineStr"/>
      <c r="J518" s="19" t="inlineStr"/>
      <c r="K518" s="22" t="inlineStr"/>
      <c r="L518" s="18" t="inlineStr">
        <is>
          <t>Not Started</t>
        </is>
      </c>
    </row>
    <row r="519" ht="42" customHeight="1">
      <c r="A519" s="11" t="n">
        <v>517</v>
      </c>
      <c r="B519" s="50" t="inlineStr">
        <is>
          <t>CP-10(4)</t>
        </is>
      </c>
      <c r="C519" s="11" t="inlineStr">
        <is>
          <t>CP</t>
        </is>
      </c>
      <c r="D519" s="12" t="inlineStr">
        <is>
          <t>Identity</t>
        </is>
      </c>
      <c r="E519" s="11">
        <f>IFERROR(TRACKER!G519,"Not Started")</f>
        <v/>
      </c>
      <c r="F519" s="51">
        <f>IFERROR('[Identity.xlsx]CP-10-4'!B21,"")</f>
        <v/>
      </c>
      <c r="G519" s="51" t="inlineStr"/>
      <c r="H519" s="51" t="inlineStr"/>
      <c r="I519" s="11" t="inlineStr"/>
      <c r="J519" s="12" t="inlineStr"/>
      <c r="K519" s="17" t="inlineStr"/>
      <c r="L519" s="11" t="inlineStr">
        <is>
          <t>Not Started</t>
        </is>
      </c>
    </row>
    <row r="520" ht="42" customHeight="1">
      <c r="A520" s="18" t="n">
        <v>518</v>
      </c>
      <c r="B520" s="52" t="inlineStr">
        <is>
          <t>IA-2</t>
        </is>
      </c>
      <c r="C520" s="18" t="inlineStr">
        <is>
          <t>IA</t>
        </is>
      </c>
      <c r="D520" s="19" t="inlineStr">
        <is>
          <t>Identity</t>
        </is>
      </c>
      <c r="E520" s="18">
        <f>IFERROR(TRACKER!G520,"Not Started")</f>
        <v/>
      </c>
      <c r="F520" s="53">
        <f>IFERROR('[Identity.xlsx]IA-2'!B21,"")</f>
        <v/>
      </c>
      <c r="G520" s="53" t="inlineStr"/>
      <c r="H520" s="53" t="inlineStr"/>
      <c r="I520" s="18" t="inlineStr"/>
      <c r="J520" s="19" t="inlineStr"/>
      <c r="K520" s="22" t="inlineStr"/>
      <c r="L520" s="18" t="inlineStr">
        <is>
          <t>Not Started</t>
        </is>
      </c>
    </row>
    <row r="521" ht="42" customHeight="1">
      <c r="A521" s="11" t="n">
        <v>519</v>
      </c>
      <c r="B521" s="50" t="inlineStr">
        <is>
          <t>IA-2(1)</t>
        </is>
      </c>
      <c r="C521" s="11" t="inlineStr">
        <is>
          <t>IA</t>
        </is>
      </c>
      <c r="D521" s="12" t="inlineStr">
        <is>
          <t>Identity</t>
        </is>
      </c>
      <c r="E521" s="11">
        <f>IFERROR(TRACKER!G521,"Not Started")</f>
        <v/>
      </c>
      <c r="F521" s="51">
        <f>IFERROR('[Identity.xlsx]IA-2-1'!B21,"")</f>
        <v/>
      </c>
      <c r="G521" s="51" t="inlineStr"/>
      <c r="H521" s="51" t="inlineStr"/>
      <c r="I521" s="11" t="inlineStr"/>
      <c r="J521" s="12" t="inlineStr"/>
      <c r="K521" s="17" t="inlineStr"/>
      <c r="L521" s="11" t="inlineStr">
        <is>
          <t>Not Started</t>
        </is>
      </c>
    </row>
    <row r="522" ht="42" customHeight="1">
      <c r="A522" s="18" t="n">
        <v>520</v>
      </c>
      <c r="B522" s="52" t="inlineStr">
        <is>
          <t>IA-2(3)</t>
        </is>
      </c>
      <c r="C522" s="18" t="inlineStr">
        <is>
          <t>IA</t>
        </is>
      </c>
      <c r="D522" s="19" t="inlineStr">
        <is>
          <t>Identity</t>
        </is>
      </c>
      <c r="E522" s="18">
        <f>IFERROR(TRACKER!G522,"Not Started")</f>
        <v/>
      </c>
      <c r="F522" s="53">
        <f>IFERROR('[Identity.xlsx]IA-2-3'!B21,"")</f>
        <v/>
      </c>
      <c r="G522" s="53" t="inlineStr"/>
      <c r="H522" s="53" t="inlineStr"/>
      <c r="I522" s="18" t="inlineStr"/>
      <c r="J522" s="19" t="inlineStr"/>
      <c r="K522" s="22" t="inlineStr"/>
      <c r="L522" s="18" t="inlineStr">
        <is>
          <t>Not Started</t>
        </is>
      </c>
    </row>
    <row r="523" ht="42" customHeight="1">
      <c r="A523" s="11" t="n">
        <v>521</v>
      </c>
      <c r="B523" s="50" t="inlineStr">
        <is>
          <t>IA-2(6)</t>
        </is>
      </c>
      <c r="C523" s="11" t="inlineStr">
        <is>
          <t>IA</t>
        </is>
      </c>
      <c r="D523" s="12" t="inlineStr">
        <is>
          <t>Identity</t>
        </is>
      </c>
      <c r="E523" s="11">
        <f>IFERROR(TRACKER!G523,"Not Started")</f>
        <v/>
      </c>
      <c r="F523" s="51">
        <f>IFERROR('[Identity.xlsx]IA-2-6'!B21,"")</f>
        <v/>
      </c>
      <c r="G523" s="51" t="inlineStr"/>
      <c r="H523" s="51" t="inlineStr"/>
      <c r="I523" s="11" t="inlineStr"/>
      <c r="J523" s="12" t="inlineStr"/>
      <c r="K523" s="17" t="inlineStr"/>
      <c r="L523" s="11" t="inlineStr">
        <is>
          <t>Not Started</t>
        </is>
      </c>
    </row>
    <row r="524" ht="42" customHeight="1">
      <c r="A524" s="18" t="n">
        <v>522</v>
      </c>
      <c r="B524" s="52" t="inlineStr">
        <is>
          <t>IA-2(8)</t>
        </is>
      </c>
      <c r="C524" s="18" t="inlineStr">
        <is>
          <t>IA</t>
        </is>
      </c>
      <c r="D524" s="19" t="inlineStr">
        <is>
          <t>Identity</t>
        </is>
      </c>
      <c r="E524" s="18">
        <f>IFERROR(TRACKER!G524,"Not Started")</f>
        <v/>
      </c>
      <c r="F524" s="53">
        <f>IFERROR('[Identity.xlsx]IA-2-8'!B21,"")</f>
        <v/>
      </c>
      <c r="G524" s="53" t="inlineStr"/>
      <c r="H524" s="53" t="inlineStr"/>
      <c r="I524" s="18" t="inlineStr"/>
      <c r="J524" s="19" t="inlineStr"/>
      <c r="K524" s="22" t="inlineStr"/>
      <c r="L524" s="18" t="inlineStr">
        <is>
          <t>Not Started</t>
        </is>
      </c>
    </row>
    <row r="525" ht="42" customHeight="1">
      <c r="A525" s="11" t="n">
        <v>523</v>
      </c>
      <c r="B525" s="50" t="inlineStr">
        <is>
          <t>IA-2(11)</t>
        </is>
      </c>
      <c r="C525" s="11" t="inlineStr">
        <is>
          <t>IA</t>
        </is>
      </c>
      <c r="D525" s="12" t="inlineStr">
        <is>
          <t>Identity</t>
        </is>
      </c>
      <c r="E525" s="11">
        <f>IFERROR(TRACKER!G525,"Not Started")</f>
        <v/>
      </c>
      <c r="F525" s="51">
        <f>IFERROR('[Identity.xlsx]IA-2-11'!B21,"")</f>
        <v/>
      </c>
      <c r="G525" s="51" t="inlineStr"/>
      <c r="H525" s="51" t="inlineStr"/>
      <c r="I525" s="11" t="inlineStr"/>
      <c r="J525" s="12" t="inlineStr"/>
      <c r="K525" s="17" t="inlineStr"/>
      <c r="L525" s="11" t="inlineStr">
        <is>
          <t>Not Started</t>
        </is>
      </c>
    </row>
    <row r="526" ht="42" customHeight="1">
      <c r="A526" s="18" t="n">
        <v>524</v>
      </c>
      <c r="B526" s="52" t="inlineStr">
        <is>
          <t>IA-4</t>
        </is>
      </c>
      <c r="C526" s="18" t="inlineStr">
        <is>
          <t>IA</t>
        </is>
      </c>
      <c r="D526" s="19" t="inlineStr">
        <is>
          <t>Identity</t>
        </is>
      </c>
      <c r="E526" s="18">
        <f>IFERROR(TRACKER!G526,"Not Started")</f>
        <v/>
      </c>
      <c r="F526" s="53">
        <f>IFERROR('[Identity.xlsx]IA-4'!B21,"")</f>
        <v/>
      </c>
      <c r="G526" s="53" t="inlineStr"/>
      <c r="H526" s="53" t="inlineStr"/>
      <c r="I526" s="18" t="inlineStr"/>
      <c r="J526" s="19" t="inlineStr"/>
      <c r="K526" s="22" t="inlineStr"/>
      <c r="L526" s="18" t="inlineStr">
        <is>
          <t>Not Started</t>
        </is>
      </c>
    </row>
    <row r="527" ht="42" customHeight="1">
      <c r="A527" s="11" t="n">
        <v>525</v>
      </c>
      <c r="B527" s="50" t="inlineStr">
        <is>
          <t>IA-5</t>
        </is>
      </c>
      <c r="C527" s="11" t="inlineStr">
        <is>
          <t>IA</t>
        </is>
      </c>
      <c r="D527" s="12" t="inlineStr">
        <is>
          <t>Identity</t>
        </is>
      </c>
      <c r="E527" s="11">
        <f>IFERROR(TRACKER!G527,"Not Started")</f>
        <v/>
      </c>
      <c r="F527" s="51">
        <f>IFERROR('[Identity.xlsx]IA-5'!B21,"")</f>
        <v/>
      </c>
      <c r="G527" s="51" t="inlineStr"/>
      <c r="H527" s="51" t="inlineStr"/>
      <c r="I527" s="11" t="inlineStr"/>
      <c r="J527" s="12" t="inlineStr"/>
      <c r="K527" s="17" t="inlineStr"/>
      <c r="L527" s="11" t="inlineStr">
        <is>
          <t>Not Started</t>
        </is>
      </c>
    </row>
    <row r="528" ht="42" customHeight="1">
      <c r="A528" s="18" t="n">
        <v>526</v>
      </c>
      <c r="B528" s="52" t="inlineStr">
        <is>
          <t>IA-5(1)</t>
        </is>
      </c>
      <c r="C528" s="18" t="inlineStr">
        <is>
          <t>IA</t>
        </is>
      </c>
      <c r="D528" s="19" t="inlineStr">
        <is>
          <t>Identity</t>
        </is>
      </c>
      <c r="E528" s="18">
        <f>IFERROR(TRACKER!G528,"Not Started")</f>
        <v/>
      </c>
      <c r="F528" s="53">
        <f>IFERROR('[Identity.xlsx]IA-5-1'!B21,"")</f>
        <v/>
      </c>
      <c r="G528" s="53" t="inlineStr"/>
      <c r="H528" s="53" t="inlineStr"/>
      <c r="I528" s="18" t="inlineStr"/>
      <c r="J528" s="19" t="inlineStr"/>
      <c r="K528" s="22" t="inlineStr"/>
      <c r="L528" s="18" t="inlineStr">
        <is>
          <t>Not Started</t>
        </is>
      </c>
    </row>
    <row r="529" ht="42" customHeight="1">
      <c r="A529" s="11" t="n">
        <v>527</v>
      </c>
      <c r="B529" s="50" t="inlineStr">
        <is>
          <t>IA-5(2)</t>
        </is>
      </c>
      <c r="C529" s="11" t="inlineStr">
        <is>
          <t>IA</t>
        </is>
      </c>
      <c r="D529" s="12" t="inlineStr">
        <is>
          <t>Identity</t>
        </is>
      </c>
      <c r="E529" s="11">
        <f>IFERROR(TRACKER!G529,"Not Started")</f>
        <v/>
      </c>
      <c r="F529" s="51">
        <f>IFERROR('[Identity.xlsx]IA-5-2'!B21,"")</f>
        <v/>
      </c>
      <c r="G529" s="51" t="inlineStr"/>
      <c r="H529" s="51" t="inlineStr"/>
      <c r="I529" s="11" t="inlineStr"/>
      <c r="J529" s="12" t="inlineStr"/>
      <c r="K529" s="17" t="inlineStr"/>
      <c r="L529" s="11" t="inlineStr">
        <is>
          <t>Not Started</t>
        </is>
      </c>
    </row>
    <row r="530" ht="42" customHeight="1">
      <c r="A530" s="18" t="n">
        <v>528</v>
      </c>
      <c r="B530" s="52" t="inlineStr">
        <is>
          <t>IA-5(4)</t>
        </is>
      </c>
      <c r="C530" s="18" t="inlineStr">
        <is>
          <t>IA</t>
        </is>
      </c>
      <c r="D530" s="19" t="inlineStr">
        <is>
          <t>Identity</t>
        </is>
      </c>
      <c r="E530" s="18">
        <f>IFERROR(TRACKER!G530,"Not Started")</f>
        <v/>
      </c>
      <c r="F530" s="53">
        <f>IFERROR('[Identity.xlsx]IA-5-4'!B21,"")</f>
        <v/>
      </c>
      <c r="G530" s="53" t="inlineStr"/>
      <c r="H530" s="53" t="inlineStr"/>
      <c r="I530" s="18" t="inlineStr"/>
      <c r="J530" s="19" t="inlineStr"/>
      <c r="K530" s="22" t="inlineStr"/>
      <c r="L530" s="18" t="inlineStr">
        <is>
          <t>Not Started</t>
        </is>
      </c>
    </row>
    <row r="531" ht="42" customHeight="1">
      <c r="A531" s="11" t="n">
        <v>529</v>
      </c>
      <c r="B531" s="50" t="inlineStr">
        <is>
          <t>IA-5(6)</t>
        </is>
      </c>
      <c r="C531" s="11" t="inlineStr">
        <is>
          <t>IA</t>
        </is>
      </c>
      <c r="D531" s="12" t="inlineStr">
        <is>
          <t>Identity</t>
        </is>
      </c>
      <c r="E531" s="11">
        <f>IFERROR(TRACKER!G531,"Not Started")</f>
        <v/>
      </c>
      <c r="F531" s="51">
        <f>IFERROR('[Identity.xlsx]IA-5-6'!B21,"")</f>
        <v/>
      </c>
      <c r="G531" s="51" t="inlineStr"/>
      <c r="H531" s="51" t="inlineStr"/>
      <c r="I531" s="11" t="inlineStr"/>
      <c r="J531" s="12" t="inlineStr"/>
      <c r="K531" s="17" t="inlineStr"/>
      <c r="L531" s="11" t="inlineStr">
        <is>
          <t>Not Started</t>
        </is>
      </c>
    </row>
    <row r="532" ht="42" customHeight="1">
      <c r="A532" s="18" t="n">
        <v>530</v>
      </c>
      <c r="B532" s="52" t="inlineStr">
        <is>
          <t>IA-6</t>
        </is>
      </c>
      <c r="C532" s="18" t="inlineStr">
        <is>
          <t>IA</t>
        </is>
      </c>
      <c r="D532" s="19" t="inlineStr">
        <is>
          <t>Identity</t>
        </is>
      </c>
      <c r="E532" s="18">
        <f>IFERROR(TRACKER!G532,"Not Started")</f>
        <v/>
      </c>
      <c r="F532" s="53">
        <f>IFERROR('[Identity.xlsx]IA-6'!B21,"")</f>
        <v/>
      </c>
      <c r="G532" s="53" t="inlineStr"/>
      <c r="H532" s="53" t="inlineStr"/>
      <c r="I532" s="18" t="inlineStr"/>
      <c r="J532" s="19" t="inlineStr"/>
      <c r="K532" s="22" t="inlineStr"/>
      <c r="L532" s="18" t="inlineStr">
        <is>
          <t>Not Started</t>
        </is>
      </c>
    </row>
    <row r="533" ht="42" customHeight="1">
      <c r="A533" s="11" t="n">
        <v>531</v>
      </c>
      <c r="B533" s="50" t="inlineStr">
        <is>
          <t>IA-7</t>
        </is>
      </c>
      <c r="C533" s="11" t="inlineStr">
        <is>
          <t>IA</t>
        </is>
      </c>
      <c r="D533" s="12" t="inlineStr">
        <is>
          <t>Identity</t>
        </is>
      </c>
      <c r="E533" s="11">
        <f>IFERROR(TRACKER!G533,"Not Started")</f>
        <v/>
      </c>
      <c r="F533" s="51">
        <f>IFERROR('[Identity.xlsx]IA-7'!B21,"")</f>
        <v/>
      </c>
      <c r="G533" s="51" t="inlineStr"/>
      <c r="H533" s="51" t="inlineStr"/>
      <c r="I533" s="11" t="inlineStr"/>
      <c r="J533" s="12" t="inlineStr"/>
      <c r="K533" s="17" t="inlineStr"/>
      <c r="L533" s="11" t="inlineStr">
        <is>
          <t>Not Started</t>
        </is>
      </c>
    </row>
    <row r="534" ht="42" customHeight="1">
      <c r="A534" s="18" t="n">
        <v>532</v>
      </c>
      <c r="B534" s="52" t="inlineStr">
        <is>
          <t>IA-8</t>
        </is>
      </c>
      <c r="C534" s="18" t="inlineStr">
        <is>
          <t>IA</t>
        </is>
      </c>
      <c r="D534" s="19" t="inlineStr">
        <is>
          <t>Identity</t>
        </is>
      </c>
      <c r="E534" s="18">
        <f>IFERROR(TRACKER!G534,"Not Started")</f>
        <v/>
      </c>
      <c r="F534" s="53">
        <f>IFERROR('[Identity.xlsx]IA-8'!B21,"")</f>
        <v/>
      </c>
      <c r="G534" s="53" t="inlineStr"/>
      <c r="H534" s="53" t="inlineStr"/>
      <c r="I534" s="18" t="inlineStr"/>
      <c r="J534" s="19" t="inlineStr"/>
      <c r="K534" s="22" t="inlineStr"/>
      <c r="L534" s="18" t="inlineStr">
        <is>
          <t>Not Started</t>
        </is>
      </c>
    </row>
    <row r="535" ht="42" customHeight="1">
      <c r="A535" s="11" t="n">
        <v>533</v>
      </c>
      <c r="B535" s="50" t="inlineStr">
        <is>
          <t>MA-4</t>
        </is>
      </c>
      <c r="C535" s="11" t="inlineStr">
        <is>
          <t>MA</t>
        </is>
      </c>
      <c r="D535" s="12" t="inlineStr">
        <is>
          <t>Identity</t>
        </is>
      </c>
      <c r="E535" s="11">
        <f>IFERROR(TRACKER!G535,"Not Started")</f>
        <v/>
      </c>
      <c r="F535" s="51">
        <f>IFERROR('[Identity.xlsx]MA-4'!B21,"")</f>
        <v/>
      </c>
      <c r="G535" s="51" t="inlineStr"/>
      <c r="H535" s="51" t="inlineStr"/>
      <c r="I535" s="11" t="inlineStr"/>
      <c r="J535" s="12" t="inlineStr"/>
      <c r="K535" s="17" t="inlineStr"/>
      <c r="L535" s="11" t="inlineStr">
        <is>
          <t>Not Started</t>
        </is>
      </c>
    </row>
    <row r="536" ht="42" customHeight="1">
      <c r="A536" s="18" t="n">
        <v>534</v>
      </c>
      <c r="B536" s="52" t="inlineStr">
        <is>
          <t>SA-9(5)</t>
        </is>
      </c>
      <c r="C536" s="18" t="inlineStr">
        <is>
          <t>SA</t>
        </is>
      </c>
      <c r="D536" s="19" t="inlineStr">
        <is>
          <t>Identity</t>
        </is>
      </c>
      <c r="E536" s="18">
        <f>IFERROR(TRACKER!G536,"Not Started")</f>
        <v/>
      </c>
      <c r="F536" s="53">
        <f>IFERROR('[Identity.xlsx]SA-9-5'!B21,"")</f>
        <v/>
      </c>
      <c r="G536" s="53" t="inlineStr"/>
      <c r="H536" s="53" t="inlineStr"/>
      <c r="I536" s="18" t="inlineStr"/>
      <c r="J536" s="19" t="inlineStr"/>
      <c r="K536" s="22" t="inlineStr"/>
      <c r="L536" s="18" t="inlineStr">
        <is>
          <t>Not Started</t>
        </is>
      </c>
    </row>
    <row r="537" ht="42" customHeight="1">
      <c r="A537" s="11" t="n">
        <v>535</v>
      </c>
      <c r="B537" s="50" t="inlineStr">
        <is>
          <t>SC-13</t>
        </is>
      </c>
      <c r="C537" s="11" t="inlineStr">
        <is>
          <t>SC</t>
        </is>
      </c>
      <c r="D537" s="12" t="inlineStr">
        <is>
          <t>Identity</t>
        </is>
      </c>
      <c r="E537" s="11">
        <f>IFERROR(TRACKER!G537,"Not Started")</f>
        <v/>
      </c>
      <c r="F537" s="51">
        <f>IFERROR('[Identity.xlsx]SC-13'!B21,"")</f>
        <v/>
      </c>
      <c r="G537" s="51" t="inlineStr"/>
      <c r="H537" s="51" t="inlineStr"/>
      <c r="I537" s="11" t="inlineStr"/>
      <c r="J537" s="12" t="inlineStr"/>
      <c r="K537" s="17" t="inlineStr"/>
      <c r="L537" s="11" t="inlineStr">
        <is>
          <t>Not Started</t>
        </is>
      </c>
    </row>
    <row r="538" ht="42" customHeight="1">
      <c r="A538" s="18" t="n">
        <v>536</v>
      </c>
      <c r="B538" s="52" t="inlineStr">
        <is>
          <t>SI-4(2)</t>
        </is>
      </c>
      <c r="C538" s="18" t="inlineStr">
        <is>
          <t>SI</t>
        </is>
      </c>
      <c r="D538" s="19" t="inlineStr">
        <is>
          <t>Identity</t>
        </is>
      </c>
      <c r="E538" s="18">
        <f>IFERROR(TRACKER!G538,"Not Started")</f>
        <v/>
      </c>
      <c r="F538" s="53">
        <f>IFERROR('[Identity.xlsx]SI-4-2'!B21,"")</f>
        <v/>
      </c>
      <c r="G538" s="53" t="inlineStr"/>
      <c r="H538" s="53" t="inlineStr"/>
      <c r="I538" s="18" t="inlineStr"/>
      <c r="J538" s="19" t="inlineStr"/>
      <c r="K538" s="22" t="inlineStr"/>
      <c r="L538" s="18" t="inlineStr">
        <is>
          <t>Not Started</t>
        </is>
      </c>
    </row>
    <row r="539" ht="42" customHeight="1">
      <c r="A539" s="11" t="n">
        <v>537</v>
      </c>
      <c r="B539" s="50" t="inlineStr">
        <is>
          <t>SI-6</t>
        </is>
      </c>
      <c r="C539" s="11" t="inlineStr">
        <is>
          <t>SI</t>
        </is>
      </c>
      <c r="D539" s="12" t="inlineStr">
        <is>
          <t>Identity</t>
        </is>
      </c>
      <c r="E539" s="11">
        <f>IFERROR(TRACKER!G539,"Not Started")</f>
        <v/>
      </c>
      <c r="F539" s="51">
        <f>IFERROR('[Identity.xlsx]SI-6'!B21,"")</f>
        <v/>
      </c>
      <c r="G539" s="51" t="inlineStr"/>
      <c r="H539" s="51" t="inlineStr"/>
      <c r="I539" s="11" t="inlineStr"/>
      <c r="J539" s="12" t="inlineStr"/>
      <c r="K539" s="17" t="inlineStr"/>
      <c r="L539" s="11" t="inlineStr">
        <is>
          <t>Not Started</t>
        </is>
      </c>
    </row>
    <row r="540" ht="42" customHeight="1">
      <c r="A540" s="18" t="n">
        <v>538</v>
      </c>
      <c r="B540" s="52" t="inlineStr">
        <is>
          <t>AC-2(1)</t>
        </is>
      </c>
      <c r="C540" s="18" t="inlineStr">
        <is>
          <t>AC</t>
        </is>
      </c>
      <c r="D540" s="19" t="inlineStr">
        <is>
          <t>Management and Governance</t>
        </is>
      </c>
      <c r="E540" s="18">
        <f>IFERROR(TRACKER!G540,"Not Started")</f>
        <v/>
      </c>
      <c r="F540" s="53">
        <f>IFERROR('[Management_and_Governance.xlsx]AC-2-1'!B21,"")</f>
        <v/>
      </c>
      <c r="G540" s="53" t="inlineStr"/>
      <c r="H540" s="53" t="inlineStr"/>
      <c r="I540" s="18" t="inlineStr"/>
      <c r="J540" s="19" t="inlineStr"/>
      <c r="K540" s="22" t="inlineStr"/>
      <c r="L540" s="18" t="inlineStr">
        <is>
          <t>Not Started</t>
        </is>
      </c>
    </row>
    <row r="541" ht="42" customHeight="1">
      <c r="A541" s="11" t="n">
        <v>539</v>
      </c>
      <c r="B541" s="50" t="inlineStr">
        <is>
          <t>AC-2(2)</t>
        </is>
      </c>
      <c r="C541" s="11" t="inlineStr">
        <is>
          <t>AC</t>
        </is>
      </c>
      <c r="D541" s="12" t="inlineStr">
        <is>
          <t>Management and Governance</t>
        </is>
      </c>
      <c r="E541" s="11">
        <f>IFERROR(TRACKER!G541,"Not Started")</f>
        <v/>
      </c>
      <c r="F541" s="51">
        <f>IFERROR('[Management_and_Governance.xlsx]AC-2-2'!B21,"")</f>
        <v/>
      </c>
      <c r="G541" s="51" t="inlineStr"/>
      <c r="H541" s="51" t="inlineStr"/>
      <c r="I541" s="11" t="inlineStr"/>
      <c r="J541" s="12" t="inlineStr"/>
      <c r="K541" s="17" t="inlineStr"/>
      <c r="L541" s="11" t="inlineStr">
        <is>
          <t>Not Started</t>
        </is>
      </c>
    </row>
    <row r="542" ht="42" customHeight="1">
      <c r="A542" s="18" t="n">
        <v>540</v>
      </c>
      <c r="B542" s="52" t="inlineStr">
        <is>
          <t>AC-2(3)</t>
        </is>
      </c>
      <c r="C542" s="18" t="inlineStr">
        <is>
          <t>AC</t>
        </is>
      </c>
      <c r="D542" s="19" t="inlineStr">
        <is>
          <t>Management and Governance</t>
        </is>
      </c>
      <c r="E542" s="18">
        <f>IFERROR(TRACKER!G542,"Not Started")</f>
        <v/>
      </c>
      <c r="F542" s="53">
        <f>IFERROR('[Management_and_Governance.xlsx]AC-2-3'!B21,"")</f>
        <v/>
      </c>
      <c r="G542" s="53" t="inlineStr"/>
      <c r="H542" s="53" t="inlineStr"/>
      <c r="I542" s="18" t="inlineStr"/>
      <c r="J542" s="19" t="inlineStr"/>
      <c r="K542" s="22" t="inlineStr"/>
      <c r="L542" s="18" t="inlineStr">
        <is>
          <t>Not Started</t>
        </is>
      </c>
    </row>
    <row r="543" ht="42" customHeight="1">
      <c r="A543" s="11" t="n">
        <v>541</v>
      </c>
      <c r="B543" s="50" t="inlineStr">
        <is>
          <t>AC-2(4)</t>
        </is>
      </c>
      <c r="C543" s="11" t="inlineStr">
        <is>
          <t>AC</t>
        </is>
      </c>
      <c r="D543" s="12" t="inlineStr">
        <is>
          <t>Management and Governance</t>
        </is>
      </c>
      <c r="E543" s="11">
        <f>IFERROR(TRACKER!G543,"Not Started")</f>
        <v/>
      </c>
      <c r="F543" s="51">
        <f>IFERROR('[Management_and_Governance.xlsx]AC-2-4'!B21,"")</f>
        <v/>
      </c>
      <c r="G543" s="51" t="inlineStr"/>
      <c r="H543" s="51" t="inlineStr"/>
      <c r="I543" s="11" t="inlineStr"/>
      <c r="J543" s="12" t="inlineStr"/>
      <c r="K543" s="17" t="inlineStr"/>
      <c r="L543" s="11" t="inlineStr">
        <is>
          <t>Not Started</t>
        </is>
      </c>
    </row>
    <row r="544" ht="42" customHeight="1">
      <c r="A544" s="18" t="n">
        <v>542</v>
      </c>
      <c r="B544" s="52" t="inlineStr">
        <is>
          <t>AC-2(5)</t>
        </is>
      </c>
      <c r="C544" s="18" t="inlineStr">
        <is>
          <t>AC</t>
        </is>
      </c>
      <c r="D544" s="19" t="inlineStr">
        <is>
          <t>Management and Governance</t>
        </is>
      </c>
      <c r="E544" s="18">
        <f>IFERROR(TRACKER!G544,"Not Started")</f>
        <v/>
      </c>
      <c r="F544" s="53">
        <f>IFERROR('[Management_and_Governance.xlsx]AC-2-5'!B21,"")</f>
        <v/>
      </c>
      <c r="G544" s="53" t="inlineStr"/>
      <c r="H544" s="53" t="inlineStr"/>
      <c r="I544" s="18" t="inlineStr"/>
      <c r="J544" s="19" t="inlineStr"/>
      <c r="K544" s="22" t="inlineStr"/>
      <c r="L544" s="18" t="inlineStr">
        <is>
          <t>Not Started</t>
        </is>
      </c>
    </row>
    <row r="545" ht="42" customHeight="1">
      <c r="A545" s="11" t="n">
        <v>543</v>
      </c>
      <c r="B545" s="50" t="inlineStr">
        <is>
          <t>AC-2(7)</t>
        </is>
      </c>
      <c r="C545" s="11" t="inlineStr">
        <is>
          <t>AC</t>
        </is>
      </c>
      <c r="D545" s="12" t="inlineStr">
        <is>
          <t>Management and Governance</t>
        </is>
      </c>
      <c r="E545" s="11">
        <f>IFERROR(TRACKER!G545,"Not Started")</f>
        <v/>
      </c>
      <c r="F545" s="51">
        <f>IFERROR('[Management_and_Governance.xlsx]AC-2-7'!B21,"")</f>
        <v/>
      </c>
      <c r="G545" s="51" t="inlineStr"/>
      <c r="H545" s="51" t="inlineStr"/>
      <c r="I545" s="11" t="inlineStr"/>
      <c r="J545" s="12" t="inlineStr"/>
      <c r="K545" s="17" t="inlineStr"/>
      <c r="L545" s="11" t="inlineStr">
        <is>
          <t>Not Started</t>
        </is>
      </c>
    </row>
    <row r="546" ht="42" customHeight="1">
      <c r="A546" s="18" t="n">
        <v>544</v>
      </c>
      <c r="B546" s="52" t="inlineStr">
        <is>
          <t>AC-6</t>
        </is>
      </c>
      <c r="C546" s="18" t="inlineStr">
        <is>
          <t>AC</t>
        </is>
      </c>
      <c r="D546" s="19" t="inlineStr">
        <is>
          <t>Management and Governance</t>
        </is>
      </c>
      <c r="E546" s="18">
        <f>IFERROR(TRACKER!G546,"Not Started")</f>
        <v/>
      </c>
      <c r="F546" s="53">
        <f>IFERROR('[Management_and_Governance.xlsx]AC-6'!B21,"")</f>
        <v/>
      </c>
      <c r="G546" s="53" t="inlineStr"/>
      <c r="H546" s="53" t="inlineStr"/>
      <c r="I546" s="18" t="inlineStr"/>
      <c r="J546" s="19" t="inlineStr"/>
      <c r="K546" s="22" t="inlineStr"/>
      <c r="L546" s="18" t="inlineStr">
        <is>
          <t>Not Started</t>
        </is>
      </c>
    </row>
    <row r="547" ht="42" customHeight="1">
      <c r="A547" s="11" t="n">
        <v>545</v>
      </c>
      <c r="B547" s="50" t="inlineStr">
        <is>
          <t>AC-6(1)</t>
        </is>
      </c>
      <c r="C547" s="11" t="inlineStr">
        <is>
          <t>AC</t>
        </is>
      </c>
      <c r="D547" s="12" t="inlineStr">
        <is>
          <t>Management and Governance</t>
        </is>
      </c>
      <c r="E547" s="11">
        <f>IFERROR(TRACKER!G547,"Not Started")</f>
        <v/>
      </c>
      <c r="F547" s="51">
        <f>IFERROR('[Management_and_Governance.xlsx]AC-6-1'!B21,"")</f>
        <v/>
      </c>
      <c r="G547" s="51" t="inlineStr"/>
      <c r="H547" s="51" t="inlineStr"/>
      <c r="I547" s="11" t="inlineStr"/>
      <c r="J547" s="12" t="inlineStr"/>
      <c r="K547" s="17" t="inlineStr"/>
      <c r="L547" s="11" t="inlineStr">
        <is>
          <t>Not Started</t>
        </is>
      </c>
    </row>
    <row r="548" ht="42" customHeight="1">
      <c r="A548" s="18" t="n">
        <v>546</v>
      </c>
      <c r="B548" s="52" t="inlineStr">
        <is>
          <t>AC-6(9)</t>
        </is>
      </c>
      <c r="C548" s="18" t="inlineStr">
        <is>
          <t>AC</t>
        </is>
      </c>
      <c r="D548" s="19" t="inlineStr">
        <is>
          <t>Management and Governance</t>
        </is>
      </c>
      <c r="E548" s="18">
        <f>IFERROR(TRACKER!G548,"Not Started")</f>
        <v/>
      </c>
      <c r="F548" s="53">
        <f>IFERROR('[Management_and_Governance.xlsx]AC-6-9'!B21,"")</f>
        <v/>
      </c>
      <c r="G548" s="53" t="inlineStr"/>
      <c r="H548" s="53" t="inlineStr"/>
      <c r="I548" s="18" t="inlineStr"/>
      <c r="J548" s="19" t="inlineStr"/>
      <c r="K548" s="22" t="inlineStr"/>
      <c r="L548" s="18" t="inlineStr">
        <is>
          <t>Not Started</t>
        </is>
      </c>
    </row>
    <row r="549" ht="42" customHeight="1">
      <c r="A549" s="11" t="n">
        <v>547</v>
      </c>
      <c r="B549" s="50" t="inlineStr">
        <is>
          <t>AC-6(10)</t>
        </is>
      </c>
      <c r="C549" s="11" t="inlineStr">
        <is>
          <t>AC</t>
        </is>
      </c>
      <c r="D549" s="12" t="inlineStr">
        <is>
          <t>Management and Governance</t>
        </is>
      </c>
      <c r="E549" s="11">
        <f>IFERROR(TRACKER!G549,"Not Started")</f>
        <v/>
      </c>
      <c r="F549" s="51">
        <f>IFERROR('[Management_and_Governance.xlsx]AC-6-10'!B21,"")</f>
        <v/>
      </c>
      <c r="G549" s="51" t="inlineStr"/>
      <c r="H549" s="51" t="inlineStr"/>
      <c r="I549" s="11" t="inlineStr"/>
      <c r="J549" s="12" t="inlineStr"/>
      <c r="K549" s="17" t="inlineStr"/>
      <c r="L549" s="11" t="inlineStr">
        <is>
          <t>Not Started</t>
        </is>
      </c>
    </row>
    <row r="550" ht="42" customHeight="1">
      <c r="A550" s="18" t="n">
        <v>548</v>
      </c>
      <c r="B550" s="52" t="inlineStr">
        <is>
          <t>AC-17(1)</t>
        </is>
      </c>
      <c r="C550" s="18" t="inlineStr">
        <is>
          <t>AC</t>
        </is>
      </c>
      <c r="D550" s="19" t="inlineStr">
        <is>
          <t>Management and Governance</t>
        </is>
      </c>
      <c r="E550" s="18">
        <f>IFERROR(TRACKER!G550,"Not Started")</f>
        <v/>
      </c>
      <c r="F550" s="53">
        <f>IFERROR('[Management_and_Governance.xlsx]AC-17-1'!B21,"")</f>
        <v/>
      </c>
      <c r="G550" s="53" t="inlineStr"/>
      <c r="H550" s="53" t="inlineStr"/>
      <c r="I550" s="18" t="inlineStr"/>
      <c r="J550" s="19" t="inlineStr"/>
      <c r="K550" s="22" t="inlineStr"/>
      <c r="L550" s="18" t="inlineStr">
        <is>
          <t>Not Started</t>
        </is>
      </c>
    </row>
    <row r="551" ht="42" customHeight="1">
      <c r="A551" s="11" t="n">
        <v>549</v>
      </c>
      <c r="B551" s="50" t="inlineStr">
        <is>
          <t>AC-17(2)</t>
        </is>
      </c>
      <c r="C551" s="11" t="inlineStr">
        <is>
          <t>AC</t>
        </is>
      </c>
      <c r="D551" s="12" t="inlineStr">
        <is>
          <t>Management and Governance</t>
        </is>
      </c>
      <c r="E551" s="11">
        <f>IFERROR(TRACKER!G551,"Not Started")</f>
        <v/>
      </c>
      <c r="F551" s="51">
        <f>IFERROR('[Management_and_Governance.xlsx]AC-17-2'!B21,"")</f>
        <v/>
      </c>
      <c r="G551" s="51" t="inlineStr"/>
      <c r="H551" s="51" t="inlineStr"/>
      <c r="I551" s="11" t="inlineStr"/>
      <c r="J551" s="12" t="inlineStr"/>
      <c r="K551" s="17" t="inlineStr"/>
      <c r="L551" s="11" t="inlineStr">
        <is>
          <t>Not Started</t>
        </is>
      </c>
    </row>
    <row r="552" ht="42" customHeight="1">
      <c r="A552" s="18" t="n">
        <v>550</v>
      </c>
      <c r="B552" s="52" t="inlineStr">
        <is>
          <t>AU-2</t>
        </is>
      </c>
      <c r="C552" s="18" t="inlineStr">
        <is>
          <t>AU</t>
        </is>
      </c>
      <c r="D552" s="19" t="inlineStr">
        <is>
          <t>Management and Governance</t>
        </is>
      </c>
      <c r="E552" s="18">
        <f>IFERROR(TRACKER!G552,"Not Started")</f>
        <v/>
      </c>
      <c r="F552" s="53">
        <f>IFERROR('[Management_and_Governance.xlsx]AU-2'!B21,"")</f>
        <v/>
      </c>
      <c r="G552" s="53" t="inlineStr"/>
      <c r="H552" s="53" t="inlineStr"/>
      <c r="I552" s="18" t="inlineStr"/>
      <c r="J552" s="19" t="inlineStr"/>
      <c r="K552" s="22" t="inlineStr"/>
      <c r="L552" s="18" t="inlineStr">
        <is>
          <t>Not Started</t>
        </is>
      </c>
    </row>
    <row r="553" ht="42" customHeight="1">
      <c r="A553" s="11" t="n">
        <v>551</v>
      </c>
      <c r="B553" s="50" t="inlineStr">
        <is>
          <t>AU-3</t>
        </is>
      </c>
      <c r="C553" s="11" t="inlineStr">
        <is>
          <t>AU</t>
        </is>
      </c>
      <c r="D553" s="12" t="inlineStr">
        <is>
          <t>Management and Governance</t>
        </is>
      </c>
      <c r="E553" s="11">
        <f>IFERROR(TRACKER!G553,"Not Started")</f>
        <v/>
      </c>
      <c r="F553" s="51">
        <f>IFERROR('[Management_and_Governance.xlsx]AU-3'!B21,"")</f>
        <v/>
      </c>
      <c r="G553" s="51" t="inlineStr"/>
      <c r="H553" s="51" t="inlineStr"/>
      <c r="I553" s="11" t="inlineStr"/>
      <c r="J553" s="12" t="inlineStr"/>
      <c r="K553" s="17" t="inlineStr"/>
      <c r="L553" s="11" t="inlineStr">
        <is>
          <t>Not Started</t>
        </is>
      </c>
    </row>
    <row r="554" ht="42" customHeight="1">
      <c r="A554" s="18" t="n">
        <v>552</v>
      </c>
      <c r="B554" s="52" t="inlineStr">
        <is>
          <t>AU-3(1)</t>
        </is>
      </c>
      <c r="C554" s="18" t="inlineStr">
        <is>
          <t>AU</t>
        </is>
      </c>
      <c r="D554" s="19" t="inlineStr">
        <is>
          <t>Management and Governance</t>
        </is>
      </c>
      <c r="E554" s="18">
        <f>IFERROR(TRACKER!G554,"Not Started")</f>
        <v/>
      </c>
      <c r="F554" s="53">
        <f>IFERROR('[Management_and_Governance.xlsx]AU-3-1'!B21,"")</f>
        <v/>
      </c>
      <c r="G554" s="53" t="inlineStr"/>
      <c r="H554" s="53" t="inlineStr"/>
      <c r="I554" s="18" t="inlineStr"/>
      <c r="J554" s="19" t="inlineStr"/>
      <c r="K554" s="22" t="inlineStr"/>
      <c r="L554" s="18" t="inlineStr">
        <is>
          <t>Not Started</t>
        </is>
      </c>
    </row>
    <row r="555" ht="42" customHeight="1">
      <c r="A555" s="11" t="n">
        <v>553</v>
      </c>
      <c r="B555" s="50" t="inlineStr">
        <is>
          <t>AU-5</t>
        </is>
      </c>
      <c r="C555" s="11" t="inlineStr">
        <is>
          <t>AU</t>
        </is>
      </c>
      <c r="D555" s="12" t="inlineStr">
        <is>
          <t>Management and Governance</t>
        </is>
      </c>
      <c r="E555" s="11">
        <f>IFERROR(TRACKER!G555,"Not Started")</f>
        <v/>
      </c>
      <c r="F555" s="51">
        <f>IFERROR('[Management_and_Governance.xlsx]AU-5'!B21,"")</f>
        <v/>
      </c>
      <c r="G555" s="51" t="inlineStr"/>
      <c r="H555" s="51" t="inlineStr"/>
      <c r="I555" s="11" t="inlineStr"/>
      <c r="J555" s="12" t="inlineStr"/>
      <c r="K555" s="17" t="inlineStr"/>
      <c r="L555" s="11" t="inlineStr">
        <is>
          <t>Not Started</t>
        </is>
      </c>
    </row>
    <row r="556" ht="42" customHeight="1">
      <c r="A556" s="18" t="n">
        <v>554</v>
      </c>
      <c r="B556" s="52" t="inlineStr">
        <is>
          <t>AU-6(1)</t>
        </is>
      </c>
      <c r="C556" s="18" t="inlineStr">
        <is>
          <t>AU</t>
        </is>
      </c>
      <c r="D556" s="19" t="inlineStr">
        <is>
          <t>Management and Governance</t>
        </is>
      </c>
      <c r="E556" s="18">
        <f>IFERROR(TRACKER!G556,"Not Started")</f>
        <v/>
      </c>
      <c r="F556" s="53">
        <f>IFERROR('[Management_and_Governance.xlsx]AU-6-1'!B21,"")</f>
        <v/>
      </c>
      <c r="G556" s="53" t="inlineStr"/>
      <c r="H556" s="53" t="inlineStr"/>
      <c r="I556" s="18" t="inlineStr"/>
      <c r="J556" s="19" t="inlineStr"/>
      <c r="K556" s="22" t="inlineStr"/>
      <c r="L556" s="18" t="inlineStr">
        <is>
          <t>Not Started</t>
        </is>
      </c>
    </row>
    <row r="557" ht="42" customHeight="1">
      <c r="A557" s="11" t="n">
        <v>555</v>
      </c>
      <c r="B557" s="50" t="inlineStr">
        <is>
          <t>AU-6(3)</t>
        </is>
      </c>
      <c r="C557" s="11" t="inlineStr">
        <is>
          <t>AU</t>
        </is>
      </c>
      <c r="D557" s="12" t="inlineStr">
        <is>
          <t>Management and Governance</t>
        </is>
      </c>
      <c r="E557" s="11">
        <f>IFERROR(TRACKER!G557,"Not Started")</f>
        <v/>
      </c>
      <c r="F557" s="51">
        <f>IFERROR('[Management_and_Governance.xlsx]AU-6-3'!B21,"")</f>
        <v/>
      </c>
      <c r="G557" s="51" t="inlineStr"/>
      <c r="H557" s="51" t="inlineStr"/>
      <c r="I557" s="11" t="inlineStr"/>
      <c r="J557" s="12" t="inlineStr"/>
      <c r="K557" s="17" t="inlineStr"/>
      <c r="L557" s="11" t="inlineStr">
        <is>
          <t>Not Started</t>
        </is>
      </c>
    </row>
    <row r="558" ht="42" customHeight="1">
      <c r="A558" s="18" t="n">
        <v>556</v>
      </c>
      <c r="B558" s="52" t="inlineStr">
        <is>
          <t>AU-7</t>
        </is>
      </c>
      <c r="C558" s="18" t="inlineStr">
        <is>
          <t>AU</t>
        </is>
      </c>
      <c r="D558" s="19" t="inlineStr">
        <is>
          <t>Management and Governance</t>
        </is>
      </c>
      <c r="E558" s="18">
        <f>IFERROR(TRACKER!G558,"Not Started")</f>
        <v/>
      </c>
      <c r="F558" s="53">
        <f>IFERROR('[Management_and_Governance.xlsx]AU-7'!B21,"")</f>
        <v/>
      </c>
      <c r="G558" s="53" t="inlineStr"/>
      <c r="H558" s="53" t="inlineStr"/>
      <c r="I558" s="18" t="inlineStr"/>
      <c r="J558" s="19" t="inlineStr"/>
      <c r="K558" s="22" t="inlineStr"/>
      <c r="L558" s="18" t="inlineStr">
        <is>
          <t>Not Started</t>
        </is>
      </c>
    </row>
    <row r="559" ht="42" customHeight="1">
      <c r="A559" s="11" t="n">
        <v>557</v>
      </c>
      <c r="B559" s="50" t="inlineStr">
        <is>
          <t>AU-7(1)</t>
        </is>
      </c>
      <c r="C559" s="11" t="inlineStr">
        <is>
          <t>AU</t>
        </is>
      </c>
      <c r="D559" s="12" t="inlineStr">
        <is>
          <t>Management and Governance</t>
        </is>
      </c>
      <c r="E559" s="11">
        <f>IFERROR(TRACKER!G559,"Not Started")</f>
        <v/>
      </c>
      <c r="F559" s="51">
        <f>IFERROR('[Management_and_Governance.xlsx]AU-7-1'!B21,"")</f>
        <v/>
      </c>
      <c r="G559" s="51" t="inlineStr"/>
      <c r="H559" s="51" t="inlineStr"/>
      <c r="I559" s="11" t="inlineStr"/>
      <c r="J559" s="12" t="inlineStr"/>
      <c r="K559" s="17" t="inlineStr"/>
      <c r="L559" s="11" t="inlineStr">
        <is>
          <t>Not Started</t>
        </is>
      </c>
    </row>
    <row r="560" ht="42" customHeight="1">
      <c r="A560" s="18" t="n">
        <v>558</v>
      </c>
      <c r="B560" s="52" t="inlineStr">
        <is>
          <t>AU-8</t>
        </is>
      </c>
      <c r="C560" s="18" t="inlineStr">
        <is>
          <t>AU</t>
        </is>
      </c>
      <c r="D560" s="19" t="inlineStr">
        <is>
          <t>Management and Governance</t>
        </is>
      </c>
      <c r="E560" s="18">
        <f>IFERROR(TRACKER!G560,"Not Started")</f>
        <v/>
      </c>
      <c r="F560" s="53">
        <f>IFERROR('[Management_and_Governance.xlsx]AU-8'!B21,"")</f>
        <v/>
      </c>
      <c r="G560" s="53" t="inlineStr"/>
      <c r="H560" s="53" t="inlineStr"/>
      <c r="I560" s="18" t="inlineStr"/>
      <c r="J560" s="19" t="inlineStr"/>
      <c r="K560" s="22" t="inlineStr"/>
      <c r="L560" s="18" t="inlineStr">
        <is>
          <t>Not Started</t>
        </is>
      </c>
    </row>
    <row r="561" ht="42" customHeight="1">
      <c r="A561" s="11" t="n">
        <v>559</v>
      </c>
      <c r="B561" s="50" t="inlineStr">
        <is>
          <t>AU-8(1)</t>
        </is>
      </c>
      <c r="C561" s="11" t="inlineStr">
        <is>
          <t>AU</t>
        </is>
      </c>
      <c r="D561" s="12" t="inlineStr">
        <is>
          <t>Management and Governance</t>
        </is>
      </c>
      <c r="E561" s="11">
        <f>IFERROR(TRACKER!G561,"Not Started")</f>
        <v/>
      </c>
      <c r="F561" s="51">
        <f>IFERROR('[Management_and_Governance.xlsx]AU-8-1'!B21,"")</f>
        <v/>
      </c>
      <c r="G561" s="51" t="inlineStr"/>
      <c r="H561" s="51" t="inlineStr"/>
      <c r="I561" s="11" t="inlineStr"/>
      <c r="J561" s="12" t="inlineStr"/>
      <c r="K561" s="17" t="inlineStr"/>
      <c r="L561" s="11" t="inlineStr">
        <is>
          <t>Not Started</t>
        </is>
      </c>
    </row>
    <row r="562" ht="42" customHeight="1">
      <c r="A562" s="18" t="n">
        <v>560</v>
      </c>
      <c r="B562" s="52" t="inlineStr">
        <is>
          <t>AU-9</t>
        </is>
      </c>
      <c r="C562" s="18" t="inlineStr">
        <is>
          <t>AU</t>
        </is>
      </c>
      <c r="D562" s="19" t="inlineStr">
        <is>
          <t>Management and Governance</t>
        </is>
      </c>
      <c r="E562" s="18">
        <f>IFERROR(TRACKER!G562,"Not Started")</f>
        <v/>
      </c>
      <c r="F562" s="53">
        <f>IFERROR('[Management_and_Governance.xlsx]AU-9'!B21,"")</f>
        <v/>
      </c>
      <c r="G562" s="53" t="inlineStr"/>
      <c r="H562" s="53" t="inlineStr"/>
      <c r="I562" s="18" t="inlineStr"/>
      <c r="J562" s="19" t="inlineStr"/>
      <c r="K562" s="22" t="inlineStr"/>
      <c r="L562" s="18" t="inlineStr">
        <is>
          <t>Not Started</t>
        </is>
      </c>
    </row>
    <row r="563" ht="42" customHeight="1">
      <c r="A563" s="11" t="n">
        <v>561</v>
      </c>
      <c r="B563" s="50" t="inlineStr">
        <is>
          <t>AU-9(2)</t>
        </is>
      </c>
      <c r="C563" s="11" t="inlineStr">
        <is>
          <t>AU</t>
        </is>
      </c>
      <c r="D563" s="12" t="inlineStr">
        <is>
          <t>Management and Governance</t>
        </is>
      </c>
      <c r="E563" s="11">
        <f>IFERROR(TRACKER!G563,"Not Started")</f>
        <v/>
      </c>
      <c r="F563" s="51">
        <f>IFERROR('[Management_and_Governance.xlsx]AU-9-2'!B21,"")</f>
        <v/>
      </c>
      <c r="G563" s="51" t="inlineStr"/>
      <c r="H563" s="51" t="inlineStr"/>
      <c r="I563" s="11" t="inlineStr"/>
      <c r="J563" s="12" t="inlineStr"/>
      <c r="K563" s="17" t="inlineStr"/>
      <c r="L563" s="11" t="inlineStr">
        <is>
          <t>Not Started</t>
        </is>
      </c>
    </row>
    <row r="564" ht="42" customHeight="1">
      <c r="A564" s="18" t="n">
        <v>562</v>
      </c>
      <c r="B564" s="52" t="inlineStr">
        <is>
          <t>AU-9(4)</t>
        </is>
      </c>
      <c r="C564" s="18" t="inlineStr">
        <is>
          <t>AU</t>
        </is>
      </c>
      <c r="D564" s="19" t="inlineStr">
        <is>
          <t>Management and Governance</t>
        </is>
      </c>
      <c r="E564" s="18">
        <f>IFERROR(TRACKER!G564,"Not Started")</f>
        <v/>
      </c>
      <c r="F564" s="53">
        <f>IFERROR('[Management_and_Governance.xlsx]AU-9-4'!B21,"")</f>
        <v/>
      </c>
      <c r="G564" s="53" t="inlineStr"/>
      <c r="H564" s="53" t="inlineStr"/>
      <c r="I564" s="18" t="inlineStr"/>
      <c r="J564" s="19" t="inlineStr"/>
      <c r="K564" s="22" t="inlineStr"/>
      <c r="L564" s="18" t="inlineStr">
        <is>
          <t>Not Started</t>
        </is>
      </c>
    </row>
    <row r="565" ht="42" customHeight="1">
      <c r="A565" s="11" t="n">
        <v>563</v>
      </c>
      <c r="B565" s="50" t="inlineStr">
        <is>
          <t>AU-11</t>
        </is>
      </c>
      <c r="C565" s="11" t="inlineStr">
        <is>
          <t>AU</t>
        </is>
      </c>
      <c r="D565" s="12" t="inlineStr">
        <is>
          <t>Management and Governance</t>
        </is>
      </c>
      <c r="E565" s="11">
        <f>IFERROR(TRACKER!G565,"Not Started")</f>
        <v/>
      </c>
      <c r="F565" s="51">
        <f>IFERROR('[Management_and_Governance.xlsx]AU-11'!B21,"")</f>
        <v/>
      </c>
      <c r="G565" s="51" t="inlineStr"/>
      <c r="H565" s="51" t="inlineStr"/>
      <c r="I565" s="11" t="inlineStr"/>
      <c r="J565" s="12" t="inlineStr"/>
      <c r="K565" s="17" t="inlineStr"/>
      <c r="L565" s="11" t="inlineStr">
        <is>
          <t>Not Started</t>
        </is>
      </c>
    </row>
    <row r="566" ht="42" customHeight="1">
      <c r="A566" s="18" t="n">
        <v>564</v>
      </c>
      <c r="B566" s="52" t="inlineStr">
        <is>
          <t>AU-12</t>
        </is>
      </c>
      <c r="C566" s="18" t="inlineStr">
        <is>
          <t>AU</t>
        </is>
      </c>
      <c r="D566" s="19" t="inlineStr">
        <is>
          <t>Management and Governance</t>
        </is>
      </c>
      <c r="E566" s="18">
        <f>IFERROR(TRACKER!G566,"Not Started")</f>
        <v/>
      </c>
      <c r="F566" s="53">
        <f>IFERROR('[Management_and_Governance.xlsx]AU-12'!B21,"")</f>
        <v/>
      </c>
      <c r="G566" s="53" t="inlineStr"/>
      <c r="H566" s="53" t="inlineStr"/>
      <c r="I566" s="18" t="inlineStr"/>
      <c r="J566" s="19" t="inlineStr"/>
      <c r="K566" s="22" t="inlineStr"/>
      <c r="L566" s="18" t="inlineStr">
        <is>
          <t>Not Started</t>
        </is>
      </c>
    </row>
    <row r="567" ht="42" customHeight="1">
      <c r="A567" s="11" t="n">
        <v>565</v>
      </c>
      <c r="B567" s="50" t="inlineStr">
        <is>
          <t>CA-9</t>
        </is>
      </c>
      <c r="C567" s="11" t="inlineStr">
        <is>
          <t>CA</t>
        </is>
      </c>
      <c r="D567" s="12" t="inlineStr">
        <is>
          <t>Management and Governance</t>
        </is>
      </c>
      <c r="E567" s="11">
        <f>IFERROR(TRACKER!G567,"Not Started")</f>
        <v/>
      </c>
      <c r="F567" s="51">
        <f>IFERROR('[Management_and_Governance.xlsx]CA-9'!B21,"")</f>
        <v/>
      </c>
      <c r="G567" s="51" t="inlineStr"/>
      <c r="H567" s="51" t="inlineStr"/>
      <c r="I567" s="11" t="inlineStr"/>
      <c r="J567" s="12" t="inlineStr"/>
      <c r="K567" s="17" t="inlineStr"/>
      <c r="L567" s="11" t="inlineStr">
        <is>
          <t>Not Started</t>
        </is>
      </c>
    </row>
    <row r="568" ht="42" customHeight="1">
      <c r="A568" s="18" t="n">
        <v>566</v>
      </c>
      <c r="B568" s="52" t="inlineStr">
        <is>
          <t>CM-2(2)</t>
        </is>
      </c>
      <c r="C568" s="18" t="inlineStr">
        <is>
          <t>CM</t>
        </is>
      </c>
      <c r="D568" s="19" t="inlineStr">
        <is>
          <t>Management and Governance</t>
        </is>
      </c>
      <c r="E568" s="18">
        <f>IFERROR(TRACKER!G568,"Not Started")</f>
        <v/>
      </c>
      <c r="F568" s="53">
        <f>IFERROR('[Management_and_Governance.xlsx]CM-2-2'!B21,"")</f>
        <v/>
      </c>
      <c r="G568" s="53" t="inlineStr"/>
      <c r="H568" s="53" t="inlineStr"/>
      <c r="I568" s="18" t="inlineStr"/>
      <c r="J568" s="19" t="inlineStr"/>
      <c r="K568" s="22" t="inlineStr"/>
      <c r="L568" s="18" t="inlineStr">
        <is>
          <t>Not Started</t>
        </is>
      </c>
    </row>
    <row r="569" ht="42" customHeight="1">
      <c r="A569" s="11" t="n">
        <v>567</v>
      </c>
      <c r="B569" s="50" t="inlineStr">
        <is>
          <t>CM-2(3)</t>
        </is>
      </c>
      <c r="C569" s="11" t="inlineStr">
        <is>
          <t>CM</t>
        </is>
      </c>
      <c r="D569" s="12" t="inlineStr">
        <is>
          <t>Management and Governance</t>
        </is>
      </c>
      <c r="E569" s="11">
        <f>IFERROR(TRACKER!G569,"Not Started")</f>
        <v/>
      </c>
      <c r="F569" s="51">
        <f>IFERROR('[Management_and_Governance.xlsx]CM-2-3'!B21,"")</f>
        <v/>
      </c>
      <c r="G569" s="51" t="inlineStr"/>
      <c r="H569" s="51" t="inlineStr"/>
      <c r="I569" s="11" t="inlineStr"/>
      <c r="J569" s="12" t="inlineStr"/>
      <c r="K569" s="17" t="inlineStr"/>
      <c r="L569" s="11" t="inlineStr">
        <is>
          <t>Not Started</t>
        </is>
      </c>
    </row>
    <row r="570" ht="42" customHeight="1">
      <c r="A570" s="18" t="n">
        <v>568</v>
      </c>
      <c r="B570" s="52" t="inlineStr">
        <is>
          <t>CM-3</t>
        </is>
      </c>
      <c r="C570" s="18" t="inlineStr">
        <is>
          <t>CM</t>
        </is>
      </c>
      <c r="D570" s="19" t="inlineStr">
        <is>
          <t>Management and Governance</t>
        </is>
      </c>
      <c r="E570" s="18">
        <f>IFERROR(TRACKER!G570,"Not Started")</f>
        <v/>
      </c>
      <c r="F570" s="53">
        <f>IFERROR('[Management_and_Governance.xlsx]CM-3'!B21,"")</f>
        <v/>
      </c>
      <c r="G570" s="53" t="inlineStr"/>
      <c r="H570" s="53" t="inlineStr"/>
      <c r="I570" s="18" t="inlineStr"/>
      <c r="J570" s="19" t="inlineStr"/>
      <c r="K570" s="22" t="inlineStr"/>
      <c r="L570" s="18" t="inlineStr">
        <is>
          <t>Not Started</t>
        </is>
      </c>
    </row>
    <row r="571" ht="42" customHeight="1">
      <c r="A571" s="11" t="n">
        <v>569</v>
      </c>
      <c r="B571" s="50" t="inlineStr">
        <is>
          <t>CM-3(6)</t>
        </is>
      </c>
      <c r="C571" s="11" t="inlineStr">
        <is>
          <t>CM</t>
        </is>
      </c>
      <c r="D571" s="12" t="inlineStr">
        <is>
          <t>Management and Governance</t>
        </is>
      </c>
      <c r="E571" s="11">
        <f>IFERROR(TRACKER!G571,"Not Started")</f>
        <v/>
      </c>
      <c r="F571" s="51">
        <f>IFERROR('[Management_and_Governance.xlsx]CM-3-6'!B21,"")</f>
        <v/>
      </c>
      <c r="G571" s="51" t="inlineStr"/>
      <c r="H571" s="51" t="inlineStr"/>
      <c r="I571" s="11" t="inlineStr"/>
      <c r="J571" s="12" t="inlineStr"/>
      <c r="K571" s="17" t="inlineStr"/>
      <c r="L571" s="11" t="inlineStr">
        <is>
          <t>Not Started</t>
        </is>
      </c>
    </row>
    <row r="572" ht="42" customHeight="1">
      <c r="A572" s="18" t="n">
        <v>570</v>
      </c>
      <c r="B572" s="52" t="inlineStr">
        <is>
          <t>CM-5(1)</t>
        </is>
      </c>
      <c r="C572" s="18" t="inlineStr">
        <is>
          <t>CM</t>
        </is>
      </c>
      <c r="D572" s="19" t="inlineStr">
        <is>
          <t>Management and Governance</t>
        </is>
      </c>
      <c r="E572" s="18">
        <f>IFERROR(TRACKER!G572,"Not Started")</f>
        <v/>
      </c>
      <c r="F572" s="53">
        <f>IFERROR('[Management_and_Governance.xlsx]CM-5-1'!B21,"")</f>
        <v/>
      </c>
      <c r="G572" s="53" t="inlineStr"/>
      <c r="H572" s="53" t="inlineStr"/>
      <c r="I572" s="18" t="inlineStr"/>
      <c r="J572" s="19" t="inlineStr"/>
      <c r="K572" s="22" t="inlineStr"/>
      <c r="L572" s="18" t="inlineStr">
        <is>
          <t>Not Started</t>
        </is>
      </c>
    </row>
    <row r="573" ht="42" customHeight="1">
      <c r="A573" s="11" t="n">
        <v>571</v>
      </c>
      <c r="B573" s="50" t="inlineStr">
        <is>
          <t>CM-6</t>
        </is>
      </c>
      <c r="C573" s="11" t="inlineStr">
        <is>
          <t>CM</t>
        </is>
      </c>
      <c r="D573" s="12" t="inlineStr">
        <is>
          <t>Management and Governance</t>
        </is>
      </c>
      <c r="E573" s="11">
        <f>IFERROR(TRACKER!G573,"Not Started")</f>
        <v/>
      </c>
      <c r="F573" s="51">
        <f>IFERROR('[Management_and_Governance.xlsx]CM-6'!B21,"")</f>
        <v/>
      </c>
      <c r="G573" s="51" t="inlineStr"/>
      <c r="H573" s="51" t="inlineStr"/>
      <c r="I573" s="11" t="inlineStr"/>
      <c r="J573" s="12" t="inlineStr"/>
      <c r="K573" s="17" t="inlineStr"/>
      <c r="L573" s="11" t="inlineStr">
        <is>
          <t>Not Started</t>
        </is>
      </c>
    </row>
    <row r="574" ht="42" customHeight="1">
      <c r="A574" s="18" t="n">
        <v>572</v>
      </c>
      <c r="B574" s="52" t="inlineStr">
        <is>
          <t>CM-6(1)</t>
        </is>
      </c>
      <c r="C574" s="18" t="inlineStr">
        <is>
          <t>CM</t>
        </is>
      </c>
      <c r="D574" s="19" t="inlineStr">
        <is>
          <t>Management and Governance</t>
        </is>
      </c>
      <c r="E574" s="18">
        <f>IFERROR(TRACKER!G574,"Not Started")</f>
        <v/>
      </c>
      <c r="F574" s="53">
        <f>IFERROR('[Management_and_Governance.xlsx]CM-6-1'!B21,"")</f>
        <v/>
      </c>
      <c r="G574" s="53" t="inlineStr"/>
      <c r="H574" s="53" t="inlineStr"/>
      <c r="I574" s="18" t="inlineStr"/>
      <c r="J574" s="19" t="inlineStr"/>
      <c r="K574" s="22" t="inlineStr"/>
      <c r="L574" s="18" t="inlineStr">
        <is>
          <t>Not Started</t>
        </is>
      </c>
    </row>
    <row r="575" ht="42" customHeight="1">
      <c r="A575" s="11" t="n">
        <v>573</v>
      </c>
      <c r="B575" s="50" t="inlineStr">
        <is>
          <t>CM-7</t>
        </is>
      </c>
      <c r="C575" s="11" t="inlineStr">
        <is>
          <t>CM</t>
        </is>
      </c>
      <c r="D575" s="12" t="inlineStr">
        <is>
          <t>Management and Governance</t>
        </is>
      </c>
      <c r="E575" s="11">
        <f>IFERROR(TRACKER!G575,"Not Started")</f>
        <v/>
      </c>
      <c r="F575" s="51">
        <f>IFERROR('[Management_and_Governance.xlsx]CM-7'!B21,"")</f>
        <v/>
      </c>
      <c r="G575" s="51" t="inlineStr"/>
      <c r="H575" s="51" t="inlineStr"/>
      <c r="I575" s="11" t="inlineStr"/>
      <c r="J575" s="12" t="inlineStr"/>
      <c r="K575" s="17" t="inlineStr"/>
      <c r="L575" s="11" t="inlineStr">
        <is>
          <t>Not Started</t>
        </is>
      </c>
    </row>
    <row r="576" ht="42" customHeight="1">
      <c r="A576" s="18" t="n">
        <v>574</v>
      </c>
      <c r="B576" s="52" t="inlineStr">
        <is>
          <t>CM-7(1)</t>
        </is>
      </c>
      <c r="C576" s="18" t="inlineStr">
        <is>
          <t>CM</t>
        </is>
      </c>
      <c r="D576" s="19" t="inlineStr">
        <is>
          <t>Management and Governance</t>
        </is>
      </c>
      <c r="E576" s="18">
        <f>IFERROR(TRACKER!G576,"Not Started")</f>
        <v/>
      </c>
      <c r="F576" s="53">
        <f>IFERROR('[Management_and_Governance.xlsx]CM-7-1'!B21,"")</f>
        <v/>
      </c>
      <c r="G576" s="53" t="inlineStr"/>
      <c r="H576" s="53" t="inlineStr"/>
      <c r="I576" s="18" t="inlineStr"/>
      <c r="J576" s="19" t="inlineStr"/>
      <c r="K576" s="22" t="inlineStr"/>
      <c r="L576" s="18" t="inlineStr">
        <is>
          <t>Not Started</t>
        </is>
      </c>
    </row>
    <row r="577" ht="42" customHeight="1">
      <c r="A577" s="11" t="n">
        <v>575</v>
      </c>
      <c r="B577" s="50" t="inlineStr">
        <is>
          <t>CM-8(2)</t>
        </is>
      </c>
      <c r="C577" s="11" t="inlineStr">
        <is>
          <t>CM</t>
        </is>
      </c>
      <c r="D577" s="12" t="inlineStr">
        <is>
          <t>Management and Governance</t>
        </is>
      </c>
      <c r="E577" s="11">
        <f>IFERROR(TRACKER!G577,"Not Started")</f>
        <v/>
      </c>
      <c r="F577" s="51">
        <f>IFERROR('[Management_and_Governance.xlsx]CM-8-2'!B21,"")</f>
        <v/>
      </c>
      <c r="G577" s="51" t="inlineStr"/>
      <c r="H577" s="51" t="inlineStr"/>
      <c r="I577" s="11" t="inlineStr"/>
      <c r="J577" s="12" t="inlineStr"/>
      <c r="K577" s="17" t="inlineStr"/>
      <c r="L577" s="11" t="inlineStr">
        <is>
          <t>Not Started</t>
        </is>
      </c>
    </row>
    <row r="578" ht="42" customHeight="1">
      <c r="A578" s="18" t="n">
        <v>576</v>
      </c>
      <c r="B578" s="52" t="inlineStr">
        <is>
          <t>CM-8(5)</t>
        </is>
      </c>
      <c r="C578" s="18" t="inlineStr">
        <is>
          <t>CM</t>
        </is>
      </c>
      <c r="D578" s="19" t="inlineStr">
        <is>
          <t>Management and Governance</t>
        </is>
      </c>
      <c r="E578" s="18">
        <f>IFERROR(TRACKER!G578,"Not Started")</f>
        <v/>
      </c>
      <c r="F578" s="53">
        <f>IFERROR('[Management_and_Governance.xlsx]CM-8-5'!B21,"")</f>
        <v/>
      </c>
      <c r="G578" s="53" t="inlineStr"/>
      <c r="H578" s="53" t="inlineStr"/>
      <c r="I578" s="18" t="inlineStr"/>
      <c r="J578" s="19" t="inlineStr"/>
      <c r="K578" s="22" t="inlineStr"/>
      <c r="L578" s="18" t="inlineStr">
        <is>
          <t>Not Started</t>
        </is>
      </c>
    </row>
    <row r="579" ht="42" customHeight="1">
      <c r="A579" s="11" t="n">
        <v>577</v>
      </c>
      <c r="B579" s="50" t="inlineStr">
        <is>
          <t>CP-6</t>
        </is>
      </c>
      <c r="C579" s="11" t="inlineStr">
        <is>
          <t>CP</t>
        </is>
      </c>
      <c r="D579" s="12" t="inlineStr">
        <is>
          <t>Management and Governance</t>
        </is>
      </c>
      <c r="E579" s="11">
        <f>IFERROR(TRACKER!G579,"Not Started")</f>
        <v/>
      </c>
      <c r="F579" s="51">
        <f>IFERROR('[Management_and_Governance.xlsx]CP-6'!B21,"")</f>
        <v/>
      </c>
      <c r="G579" s="51" t="inlineStr"/>
      <c r="H579" s="51" t="inlineStr"/>
      <c r="I579" s="11" t="inlineStr"/>
      <c r="J579" s="12" t="inlineStr"/>
      <c r="K579" s="17" t="inlineStr"/>
      <c r="L579" s="11" t="inlineStr">
        <is>
          <t>Not Started</t>
        </is>
      </c>
    </row>
    <row r="580" ht="42" customHeight="1">
      <c r="A580" s="18" t="n">
        <v>578</v>
      </c>
      <c r="B580" s="52" t="inlineStr">
        <is>
          <t>CP-6(2)</t>
        </is>
      </c>
      <c r="C580" s="18" t="inlineStr">
        <is>
          <t>CP</t>
        </is>
      </c>
      <c r="D580" s="19" t="inlineStr">
        <is>
          <t>Management and Governance</t>
        </is>
      </c>
      <c r="E580" s="18">
        <f>IFERROR(TRACKER!G580,"Not Started")</f>
        <v/>
      </c>
      <c r="F580" s="53">
        <f>IFERROR('[Management_and_Governance.xlsx]CP-6-2'!B21,"")</f>
        <v/>
      </c>
      <c r="G580" s="53" t="inlineStr"/>
      <c r="H580" s="53" t="inlineStr"/>
      <c r="I580" s="18" t="inlineStr"/>
      <c r="J580" s="19" t="inlineStr"/>
      <c r="K580" s="22" t="inlineStr"/>
      <c r="L580" s="18" t="inlineStr">
        <is>
          <t>Not Started</t>
        </is>
      </c>
    </row>
    <row r="581" ht="42" customHeight="1">
      <c r="A581" s="11" t="n">
        <v>579</v>
      </c>
      <c r="B581" s="50" t="inlineStr">
        <is>
          <t>CP-7</t>
        </is>
      </c>
      <c r="C581" s="11" t="inlineStr">
        <is>
          <t>CP</t>
        </is>
      </c>
      <c r="D581" s="12" t="inlineStr">
        <is>
          <t>Management and Governance</t>
        </is>
      </c>
      <c r="E581" s="11">
        <f>IFERROR(TRACKER!G581,"Not Started")</f>
        <v/>
      </c>
      <c r="F581" s="51">
        <f>IFERROR('[Management_and_Governance.xlsx]CP-7'!B21,"")</f>
        <v/>
      </c>
      <c r="G581" s="51" t="inlineStr"/>
      <c r="H581" s="51" t="inlineStr"/>
      <c r="I581" s="11" t="inlineStr"/>
      <c r="J581" s="12" t="inlineStr"/>
      <c r="K581" s="17" t="inlineStr"/>
      <c r="L581" s="11" t="inlineStr">
        <is>
          <t>Not Started</t>
        </is>
      </c>
    </row>
    <row r="582" ht="42" customHeight="1">
      <c r="A582" s="18" t="n">
        <v>580</v>
      </c>
      <c r="B582" s="52" t="inlineStr">
        <is>
          <t>CP-7(1)</t>
        </is>
      </c>
      <c r="C582" s="18" t="inlineStr">
        <is>
          <t>CP</t>
        </is>
      </c>
      <c r="D582" s="19" t="inlineStr">
        <is>
          <t>Management and Governance</t>
        </is>
      </c>
      <c r="E582" s="18">
        <f>IFERROR(TRACKER!G582,"Not Started")</f>
        <v/>
      </c>
      <c r="F582" s="53">
        <f>IFERROR('[Management_and_Governance.xlsx]CP-7-1'!B21,"")</f>
        <v/>
      </c>
      <c r="G582" s="53" t="inlineStr"/>
      <c r="H582" s="53" t="inlineStr"/>
      <c r="I582" s="18" t="inlineStr"/>
      <c r="J582" s="19" t="inlineStr"/>
      <c r="K582" s="22" t="inlineStr"/>
      <c r="L582" s="18" t="inlineStr">
        <is>
          <t>Not Started</t>
        </is>
      </c>
    </row>
    <row r="583" ht="42" customHeight="1">
      <c r="A583" s="11" t="n">
        <v>581</v>
      </c>
      <c r="B583" s="50" t="inlineStr">
        <is>
          <t>CP-7(4)</t>
        </is>
      </c>
      <c r="C583" s="11" t="inlineStr">
        <is>
          <t>CP</t>
        </is>
      </c>
      <c r="D583" s="12" t="inlineStr">
        <is>
          <t>Management and Governance</t>
        </is>
      </c>
      <c r="E583" s="11">
        <f>IFERROR(TRACKER!G583,"Not Started")</f>
        <v/>
      </c>
      <c r="F583" s="51">
        <f>IFERROR('[Management_and_Governance.xlsx]CP-7-4'!B21,"")</f>
        <v/>
      </c>
      <c r="G583" s="51" t="inlineStr"/>
      <c r="H583" s="51" t="inlineStr"/>
      <c r="I583" s="11" t="inlineStr"/>
      <c r="J583" s="12" t="inlineStr"/>
      <c r="K583" s="17" t="inlineStr"/>
      <c r="L583" s="11" t="inlineStr">
        <is>
          <t>Not Started</t>
        </is>
      </c>
    </row>
    <row r="584" ht="42" customHeight="1">
      <c r="A584" s="18" t="n">
        <v>582</v>
      </c>
      <c r="B584" s="52" t="inlineStr">
        <is>
          <t>CP-9</t>
        </is>
      </c>
      <c r="C584" s="18" t="inlineStr">
        <is>
          <t>CP</t>
        </is>
      </c>
      <c r="D584" s="19" t="inlineStr">
        <is>
          <t>Management and Governance</t>
        </is>
      </c>
      <c r="E584" s="18">
        <f>IFERROR(TRACKER!G584,"Not Started")</f>
        <v/>
      </c>
      <c r="F584" s="53">
        <f>IFERROR('[Management_and_Governance.xlsx]CP-9'!B21,"")</f>
        <v/>
      </c>
      <c r="G584" s="53" t="inlineStr"/>
      <c r="H584" s="53" t="inlineStr"/>
      <c r="I584" s="18" t="inlineStr"/>
      <c r="J584" s="19" t="inlineStr"/>
      <c r="K584" s="22" t="inlineStr"/>
      <c r="L584" s="18" t="inlineStr">
        <is>
          <t>Not Started</t>
        </is>
      </c>
    </row>
    <row r="585" ht="42" customHeight="1">
      <c r="A585" s="11" t="n">
        <v>583</v>
      </c>
      <c r="B585" s="50" t="inlineStr">
        <is>
          <t>CP-9(1)</t>
        </is>
      </c>
      <c r="C585" s="11" t="inlineStr">
        <is>
          <t>CP</t>
        </is>
      </c>
      <c r="D585" s="12" t="inlineStr">
        <is>
          <t>Management and Governance</t>
        </is>
      </c>
      <c r="E585" s="11">
        <f>IFERROR(TRACKER!G585,"Not Started")</f>
        <v/>
      </c>
      <c r="F585" s="51">
        <f>IFERROR('[Management_and_Governance.xlsx]CP-9-1'!B21,"")</f>
        <v/>
      </c>
      <c r="G585" s="51" t="inlineStr"/>
      <c r="H585" s="51" t="inlineStr"/>
      <c r="I585" s="11" t="inlineStr"/>
      <c r="J585" s="12" t="inlineStr"/>
      <c r="K585" s="17" t="inlineStr"/>
      <c r="L585" s="11" t="inlineStr">
        <is>
          <t>Not Started</t>
        </is>
      </c>
    </row>
    <row r="586" ht="42" customHeight="1">
      <c r="A586" s="18" t="n">
        <v>584</v>
      </c>
      <c r="B586" s="52" t="inlineStr">
        <is>
          <t>CP-9(2)</t>
        </is>
      </c>
      <c r="C586" s="18" t="inlineStr">
        <is>
          <t>CP</t>
        </is>
      </c>
      <c r="D586" s="19" t="inlineStr">
        <is>
          <t>Management and Governance</t>
        </is>
      </c>
      <c r="E586" s="18">
        <f>IFERROR(TRACKER!G586,"Not Started")</f>
        <v/>
      </c>
      <c r="F586" s="53">
        <f>IFERROR('[Management_and_Governance.xlsx]CP-9-2'!B21,"")</f>
        <v/>
      </c>
      <c r="G586" s="53" t="inlineStr"/>
      <c r="H586" s="53" t="inlineStr"/>
      <c r="I586" s="18" t="inlineStr"/>
      <c r="J586" s="19" t="inlineStr"/>
      <c r="K586" s="22" t="inlineStr"/>
      <c r="L586" s="18" t="inlineStr">
        <is>
          <t>Not Started</t>
        </is>
      </c>
    </row>
    <row r="587" ht="42" customHeight="1">
      <c r="A587" s="11" t="n">
        <v>585</v>
      </c>
      <c r="B587" s="50" t="inlineStr">
        <is>
          <t>CP-9(3)</t>
        </is>
      </c>
      <c r="C587" s="11" t="inlineStr">
        <is>
          <t>CP</t>
        </is>
      </c>
      <c r="D587" s="12" t="inlineStr">
        <is>
          <t>Management and Governance</t>
        </is>
      </c>
      <c r="E587" s="11">
        <f>IFERROR(TRACKER!G587,"Not Started")</f>
        <v/>
      </c>
      <c r="F587" s="51">
        <f>IFERROR('[Management_and_Governance.xlsx]CP-9-3'!B21,"")</f>
        <v/>
      </c>
      <c r="G587" s="51" t="inlineStr"/>
      <c r="H587" s="51" t="inlineStr"/>
      <c r="I587" s="11" t="inlineStr"/>
      <c r="J587" s="12" t="inlineStr"/>
      <c r="K587" s="17" t="inlineStr"/>
      <c r="L587" s="11" t="inlineStr">
        <is>
          <t>Not Started</t>
        </is>
      </c>
    </row>
    <row r="588" ht="42" customHeight="1">
      <c r="A588" s="18" t="n">
        <v>586</v>
      </c>
      <c r="B588" s="52" t="inlineStr">
        <is>
          <t>CP-9(5)</t>
        </is>
      </c>
      <c r="C588" s="18" t="inlineStr">
        <is>
          <t>CP</t>
        </is>
      </c>
      <c r="D588" s="19" t="inlineStr">
        <is>
          <t>Management and Governance</t>
        </is>
      </c>
      <c r="E588" s="18">
        <f>IFERROR(TRACKER!G588,"Not Started")</f>
        <v/>
      </c>
      <c r="F588" s="53">
        <f>IFERROR('[Management_and_Governance.xlsx]CP-9-5'!B21,"")</f>
        <v/>
      </c>
      <c r="G588" s="53" t="inlineStr"/>
      <c r="H588" s="53" t="inlineStr"/>
      <c r="I588" s="18" t="inlineStr"/>
      <c r="J588" s="19" t="inlineStr"/>
      <c r="K588" s="22" t="inlineStr"/>
      <c r="L588" s="18" t="inlineStr">
        <is>
          <t>Not Started</t>
        </is>
      </c>
    </row>
    <row r="589" ht="42" customHeight="1">
      <c r="A589" s="11" t="n">
        <v>587</v>
      </c>
      <c r="B589" s="50" t="inlineStr">
        <is>
          <t>CP-10</t>
        </is>
      </c>
      <c r="C589" s="11" t="inlineStr">
        <is>
          <t>CP</t>
        </is>
      </c>
      <c r="D589" s="12" t="inlineStr">
        <is>
          <t>Management and Governance</t>
        </is>
      </c>
      <c r="E589" s="11">
        <f>IFERROR(TRACKER!G589,"Not Started")</f>
        <v/>
      </c>
      <c r="F589" s="51">
        <f>IFERROR('[Management_and_Governance.xlsx]CP-10'!B21,"")</f>
        <v/>
      </c>
      <c r="G589" s="51" t="inlineStr"/>
      <c r="H589" s="51" t="inlineStr"/>
      <c r="I589" s="11" t="inlineStr"/>
      <c r="J589" s="12" t="inlineStr"/>
      <c r="K589" s="17" t="inlineStr"/>
      <c r="L589" s="11" t="inlineStr">
        <is>
          <t>Not Started</t>
        </is>
      </c>
    </row>
    <row r="590" ht="42" customHeight="1">
      <c r="A590" s="18" t="n">
        <v>588</v>
      </c>
      <c r="B590" s="52" t="inlineStr">
        <is>
          <t>CP-10(4)</t>
        </is>
      </c>
      <c r="C590" s="18" t="inlineStr">
        <is>
          <t>CP</t>
        </is>
      </c>
      <c r="D590" s="19" t="inlineStr">
        <is>
          <t>Management and Governance</t>
        </is>
      </c>
      <c r="E590" s="18">
        <f>IFERROR(TRACKER!G590,"Not Started")</f>
        <v/>
      </c>
      <c r="F590" s="53">
        <f>IFERROR('[Management_and_Governance.xlsx]CP-10-4'!B21,"")</f>
        <v/>
      </c>
      <c r="G590" s="53" t="inlineStr"/>
      <c r="H590" s="53" t="inlineStr"/>
      <c r="I590" s="18" t="inlineStr"/>
      <c r="J590" s="19" t="inlineStr"/>
      <c r="K590" s="22" t="inlineStr"/>
      <c r="L590" s="18" t="inlineStr">
        <is>
          <t>Not Started</t>
        </is>
      </c>
    </row>
    <row r="591" ht="42" customHeight="1">
      <c r="A591" s="11" t="n">
        <v>589</v>
      </c>
      <c r="B591" s="50" t="inlineStr">
        <is>
          <t>IA-5(7)</t>
        </is>
      </c>
      <c r="C591" s="11" t="inlineStr">
        <is>
          <t>IA</t>
        </is>
      </c>
      <c r="D591" s="12" t="inlineStr">
        <is>
          <t>Management and Governance</t>
        </is>
      </c>
      <c r="E591" s="11">
        <f>IFERROR(TRACKER!G591,"Not Started")</f>
        <v/>
      </c>
      <c r="F591" s="51">
        <f>IFERROR('[Management_and_Governance.xlsx]IA-5-7'!B21,"")</f>
        <v/>
      </c>
      <c r="G591" s="51" t="inlineStr"/>
      <c r="H591" s="51" t="inlineStr"/>
      <c r="I591" s="11" t="inlineStr"/>
      <c r="J591" s="12" t="inlineStr"/>
      <c r="K591" s="17" t="inlineStr"/>
      <c r="L591" s="11" t="inlineStr">
        <is>
          <t>Not Started</t>
        </is>
      </c>
    </row>
    <row r="592" ht="42" customHeight="1">
      <c r="A592" s="18" t="n">
        <v>590</v>
      </c>
      <c r="B592" s="52" t="inlineStr">
        <is>
          <t>MA-4</t>
        </is>
      </c>
      <c r="C592" s="18" t="inlineStr">
        <is>
          <t>MA</t>
        </is>
      </c>
      <c r="D592" s="19" t="inlineStr">
        <is>
          <t>Management and Governance</t>
        </is>
      </c>
      <c r="E592" s="18">
        <f>IFERROR(TRACKER!G592,"Not Started")</f>
        <v/>
      </c>
      <c r="F592" s="53">
        <f>IFERROR('[Management_and_Governance.xlsx]MA-4'!B21,"")</f>
        <v/>
      </c>
      <c r="G592" s="53" t="inlineStr"/>
      <c r="H592" s="53" t="inlineStr"/>
      <c r="I592" s="18" t="inlineStr"/>
      <c r="J592" s="19" t="inlineStr"/>
      <c r="K592" s="22" t="inlineStr"/>
      <c r="L592" s="18" t="inlineStr">
        <is>
          <t>Not Started</t>
        </is>
      </c>
    </row>
    <row r="593" ht="42" customHeight="1">
      <c r="A593" s="11" t="n">
        <v>591</v>
      </c>
      <c r="B593" s="50" t="inlineStr">
        <is>
          <t>MA-4(1)</t>
        </is>
      </c>
      <c r="C593" s="11" t="inlineStr">
        <is>
          <t>MA</t>
        </is>
      </c>
      <c r="D593" s="12" t="inlineStr">
        <is>
          <t>Management and Governance</t>
        </is>
      </c>
      <c r="E593" s="11">
        <f>IFERROR(TRACKER!G593,"Not Started")</f>
        <v/>
      </c>
      <c r="F593" s="51">
        <f>IFERROR('[Management_and_Governance.xlsx]MA-4-1'!B21,"")</f>
        <v/>
      </c>
      <c r="G593" s="51" t="inlineStr"/>
      <c r="H593" s="51" t="inlineStr"/>
      <c r="I593" s="11" t="inlineStr"/>
      <c r="J593" s="12" t="inlineStr"/>
      <c r="K593" s="17" t="inlineStr"/>
      <c r="L593" s="11" t="inlineStr">
        <is>
          <t>Not Started</t>
        </is>
      </c>
    </row>
    <row r="594" ht="42" customHeight="1">
      <c r="A594" s="18" t="n">
        <v>592</v>
      </c>
      <c r="B594" s="52" t="inlineStr">
        <is>
          <t>RA-5</t>
        </is>
      </c>
      <c r="C594" s="18" t="inlineStr">
        <is>
          <t>RA</t>
        </is>
      </c>
      <c r="D594" s="19" t="inlineStr">
        <is>
          <t>Management and Governance</t>
        </is>
      </c>
      <c r="E594" s="18">
        <f>IFERROR(TRACKER!G594,"Not Started")</f>
        <v/>
      </c>
      <c r="F594" s="53">
        <f>IFERROR('[Management_and_Governance.xlsx]RA-5'!B21,"")</f>
        <v/>
      </c>
      <c r="G594" s="53" t="inlineStr"/>
      <c r="H594" s="53" t="inlineStr"/>
      <c r="I594" s="18" t="inlineStr"/>
      <c r="J594" s="19" t="inlineStr"/>
      <c r="K594" s="22" t="inlineStr"/>
      <c r="L594" s="18" t="inlineStr">
        <is>
          <t>Not Started</t>
        </is>
      </c>
    </row>
    <row r="595" ht="42" customHeight="1">
      <c r="A595" s="11" t="n">
        <v>593</v>
      </c>
      <c r="B595" s="50" t="inlineStr">
        <is>
          <t>RA-5(8)</t>
        </is>
      </c>
      <c r="C595" s="11" t="inlineStr">
        <is>
          <t>RA</t>
        </is>
      </c>
      <c r="D595" s="12" t="inlineStr">
        <is>
          <t>Management and Governance</t>
        </is>
      </c>
      <c r="E595" s="11">
        <f>IFERROR(TRACKER!G595,"Not Started")</f>
        <v/>
      </c>
      <c r="F595" s="51">
        <f>IFERROR('[Management_and_Governance.xlsx]RA-5-8'!B21,"")</f>
        <v/>
      </c>
      <c r="G595" s="51" t="inlineStr"/>
      <c r="H595" s="51" t="inlineStr"/>
      <c r="I595" s="11" t="inlineStr"/>
      <c r="J595" s="12" t="inlineStr"/>
      <c r="K595" s="17" t="inlineStr"/>
      <c r="L595" s="11" t="inlineStr">
        <is>
          <t>Not Started</t>
        </is>
      </c>
    </row>
    <row r="596" ht="42" customHeight="1">
      <c r="A596" s="18" t="n">
        <v>594</v>
      </c>
      <c r="B596" s="52" t="inlineStr">
        <is>
          <t>SA-9(5)</t>
        </is>
      </c>
      <c r="C596" s="18" t="inlineStr">
        <is>
          <t>SA</t>
        </is>
      </c>
      <c r="D596" s="19" t="inlineStr">
        <is>
          <t>Management and Governance</t>
        </is>
      </c>
      <c r="E596" s="18">
        <f>IFERROR(TRACKER!G596,"Not Started")</f>
        <v/>
      </c>
      <c r="F596" s="53">
        <f>IFERROR('[Management_and_Governance.xlsx]SA-9-5'!B21,"")</f>
        <v/>
      </c>
      <c r="G596" s="53" t="inlineStr"/>
      <c r="H596" s="53" t="inlineStr"/>
      <c r="I596" s="18" t="inlineStr"/>
      <c r="J596" s="19" t="inlineStr"/>
      <c r="K596" s="22" t="inlineStr"/>
      <c r="L596" s="18" t="inlineStr">
        <is>
          <t>Not Started</t>
        </is>
      </c>
    </row>
    <row r="597" ht="42" customHeight="1">
      <c r="A597" s="11" t="n">
        <v>595</v>
      </c>
      <c r="B597" s="50" t="inlineStr">
        <is>
          <t>SC-7</t>
        </is>
      </c>
      <c r="C597" s="11" t="inlineStr">
        <is>
          <t>SC</t>
        </is>
      </c>
      <c r="D597" s="12" t="inlineStr">
        <is>
          <t>Management and Governance</t>
        </is>
      </c>
      <c r="E597" s="11">
        <f>IFERROR(TRACKER!G597,"Not Started")</f>
        <v/>
      </c>
      <c r="F597" s="51">
        <f>IFERROR('[Management_and_Governance.xlsx]SC-7'!B21,"")</f>
        <v/>
      </c>
      <c r="G597" s="51" t="inlineStr"/>
      <c r="H597" s="51" t="inlineStr"/>
      <c r="I597" s="11" t="inlineStr"/>
      <c r="J597" s="12" t="inlineStr"/>
      <c r="K597" s="17" t="inlineStr"/>
      <c r="L597" s="11" t="inlineStr">
        <is>
          <t>Not Started</t>
        </is>
      </c>
    </row>
    <row r="598" ht="42" customHeight="1">
      <c r="A598" s="18" t="n">
        <v>596</v>
      </c>
      <c r="B598" s="52" t="inlineStr">
        <is>
          <t>SC-13</t>
        </is>
      </c>
      <c r="C598" s="18" t="inlineStr">
        <is>
          <t>SC</t>
        </is>
      </c>
      <c r="D598" s="19" t="inlineStr">
        <is>
          <t>Management and Governance</t>
        </is>
      </c>
      <c r="E598" s="18">
        <f>IFERROR(TRACKER!G598,"Not Started")</f>
        <v/>
      </c>
      <c r="F598" s="53">
        <f>IFERROR('[Management_and_Governance.xlsx]SC-13'!B21,"")</f>
        <v/>
      </c>
      <c r="G598" s="53" t="inlineStr"/>
      <c r="H598" s="53" t="inlineStr"/>
      <c r="I598" s="18" t="inlineStr"/>
      <c r="J598" s="19" t="inlineStr"/>
      <c r="K598" s="22" t="inlineStr"/>
      <c r="L598" s="18" t="inlineStr">
        <is>
          <t>Not Started</t>
        </is>
      </c>
    </row>
    <row r="599" ht="42" customHeight="1">
      <c r="A599" s="11" t="n">
        <v>597</v>
      </c>
      <c r="B599" s="50" t="inlineStr">
        <is>
          <t>SC-18</t>
        </is>
      </c>
      <c r="C599" s="11" t="inlineStr">
        <is>
          <t>SC</t>
        </is>
      </c>
      <c r="D599" s="12" t="inlineStr">
        <is>
          <t>Management and Governance</t>
        </is>
      </c>
      <c r="E599" s="11">
        <f>IFERROR(TRACKER!G599,"Not Started")</f>
        <v/>
      </c>
      <c r="F599" s="51">
        <f>IFERROR('[Management_and_Governance.xlsx]SC-18'!B21,"")</f>
        <v/>
      </c>
      <c r="G599" s="51" t="inlineStr"/>
      <c r="H599" s="51" t="inlineStr"/>
      <c r="I599" s="11" t="inlineStr"/>
      <c r="J599" s="12" t="inlineStr"/>
      <c r="K599" s="17" t="inlineStr"/>
      <c r="L599" s="11" t="inlineStr">
        <is>
          <t>Not Started</t>
        </is>
      </c>
    </row>
    <row r="600" ht="42" customHeight="1">
      <c r="A600" s="18" t="n">
        <v>598</v>
      </c>
      <c r="B600" s="52" t="inlineStr">
        <is>
          <t>SC-28</t>
        </is>
      </c>
      <c r="C600" s="18" t="inlineStr">
        <is>
          <t>SC</t>
        </is>
      </c>
      <c r="D600" s="19" t="inlineStr">
        <is>
          <t>Management and Governance</t>
        </is>
      </c>
      <c r="E600" s="18">
        <f>IFERROR(TRACKER!G600,"Not Started")</f>
        <v/>
      </c>
      <c r="F600" s="53">
        <f>IFERROR('[Management_and_Governance.xlsx]SC-28'!B21,"")</f>
        <v/>
      </c>
      <c r="G600" s="53" t="inlineStr"/>
      <c r="H600" s="53" t="inlineStr"/>
      <c r="I600" s="18" t="inlineStr"/>
      <c r="J600" s="19" t="inlineStr"/>
      <c r="K600" s="22" t="inlineStr"/>
      <c r="L600" s="18" t="inlineStr">
        <is>
          <t>Not Started</t>
        </is>
      </c>
    </row>
    <row r="601" ht="42" customHeight="1">
      <c r="A601" s="11" t="n">
        <v>599</v>
      </c>
      <c r="B601" s="50" t="inlineStr">
        <is>
          <t>SC-28(1)</t>
        </is>
      </c>
      <c r="C601" s="11" t="inlineStr">
        <is>
          <t>SC</t>
        </is>
      </c>
      <c r="D601" s="12" t="inlineStr">
        <is>
          <t>Management and Governance</t>
        </is>
      </c>
      <c r="E601" s="11">
        <f>IFERROR(TRACKER!G601,"Not Started")</f>
        <v/>
      </c>
      <c r="F601" s="51">
        <f>IFERROR('[Management_and_Governance.xlsx]SC-28-1'!B21,"")</f>
        <v/>
      </c>
      <c r="G601" s="51" t="inlineStr"/>
      <c r="H601" s="51" t="inlineStr"/>
      <c r="I601" s="11" t="inlineStr"/>
      <c r="J601" s="12" t="inlineStr"/>
      <c r="K601" s="17" t="inlineStr"/>
      <c r="L601" s="11" t="inlineStr">
        <is>
          <t>Not Started</t>
        </is>
      </c>
    </row>
    <row r="602" ht="42" customHeight="1">
      <c r="A602" s="18" t="n">
        <v>600</v>
      </c>
      <c r="B602" s="52" t="inlineStr">
        <is>
          <t>SI-2(2)</t>
        </is>
      </c>
      <c r="C602" s="18" t="inlineStr">
        <is>
          <t>SI</t>
        </is>
      </c>
      <c r="D602" s="19" t="inlineStr">
        <is>
          <t>Management and Governance</t>
        </is>
      </c>
      <c r="E602" s="18">
        <f>IFERROR(TRACKER!G602,"Not Started")</f>
        <v/>
      </c>
      <c r="F602" s="53">
        <f>IFERROR('[Management_and_Governance.xlsx]SI-2-2'!B21,"")</f>
        <v/>
      </c>
      <c r="G602" s="53" t="inlineStr"/>
      <c r="H602" s="53" t="inlineStr"/>
      <c r="I602" s="18" t="inlineStr"/>
      <c r="J602" s="19" t="inlineStr"/>
      <c r="K602" s="22" t="inlineStr"/>
      <c r="L602" s="18" t="inlineStr">
        <is>
          <t>Not Started</t>
        </is>
      </c>
    </row>
    <row r="603" ht="42" customHeight="1">
      <c r="A603" s="11" t="n">
        <v>601</v>
      </c>
      <c r="B603" s="50" t="inlineStr">
        <is>
          <t>SI-3(1)</t>
        </is>
      </c>
      <c r="C603" s="11" t="inlineStr">
        <is>
          <t>SI</t>
        </is>
      </c>
      <c r="D603" s="12" t="inlineStr">
        <is>
          <t>Management and Governance</t>
        </is>
      </c>
      <c r="E603" s="11">
        <f>IFERROR(TRACKER!G603,"Not Started")</f>
        <v/>
      </c>
      <c r="F603" s="51">
        <f>IFERROR('[Management_and_Governance.xlsx]SI-3-1'!B21,"")</f>
        <v/>
      </c>
      <c r="G603" s="51" t="inlineStr"/>
      <c r="H603" s="51" t="inlineStr"/>
      <c r="I603" s="11" t="inlineStr"/>
      <c r="J603" s="12" t="inlineStr"/>
      <c r="K603" s="17" t="inlineStr"/>
      <c r="L603" s="11" t="inlineStr">
        <is>
          <t>Not Started</t>
        </is>
      </c>
    </row>
    <row r="604" ht="42" customHeight="1">
      <c r="A604" s="18" t="n">
        <v>602</v>
      </c>
      <c r="B604" s="52" t="inlineStr">
        <is>
          <t>SI-3(2)</t>
        </is>
      </c>
      <c r="C604" s="18" t="inlineStr">
        <is>
          <t>SI</t>
        </is>
      </c>
      <c r="D604" s="19" t="inlineStr">
        <is>
          <t>Management and Governance</t>
        </is>
      </c>
      <c r="E604" s="18">
        <f>IFERROR(TRACKER!G604,"Not Started")</f>
        <v/>
      </c>
      <c r="F604" s="53">
        <f>IFERROR('[Management_and_Governance.xlsx]SI-3-2'!B21,"")</f>
        <v/>
      </c>
      <c r="G604" s="53" t="inlineStr"/>
      <c r="H604" s="53" t="inlineStr"/>
      <c r="I604" s="18" t="inlineStr"/>
      <c r="J604" s="19" t="inlineStr"/>
      <c r="K604" s="22" t="inlineStr"/>
      <c r="L604" s="18" t="inlineStr">
        <is>
          <t>Not Started</t>
        </is>
      </c>
    </row>
    <row r="605" ht="42" customHeight="1">
      <c r="A605" s="11" t="n">
        <v>603</v>
      </c>
      <c r="B605" s="50" t="inlineStr">
        <is>
          <t>SI-4</t>
        </is>
      </c>
      <c r="C605" s="11" t="inlineStr">
        <is>
          <t>SI</t>
        </is>
      </c>
      <c r="D605" s="12" t="inlineStr">
        <is>
          <t>Management and Governance</t>
        </is>
      </c>
      <c r="E605" s="11">
        <f>IFERROR(TRACKER!G605,"Not Started")</f>
        <v/>
      </c>
      <c r="F605" s="51">
        <f>IFERROR('[Management_and_Governance.xlsx]SI-4'!B21,"")</f>
        <v/>
      </c>
      <c r="G605" s="51" t="inlineStr"/>
      <c r="H605" s="51" t="inlineStr"/>
      <c r="I605" s="11" t="inlineStr"/>
      <c r="J605" s="12" t="inlineStr"/>
      <c r="K605" s="17" t="inlineStr"/>
      <c r="L605" s="11" t="inlineStr">
        <is>
          <t>Not Started</t>
        </is>
      </c>
    </row>
    <row r="606" ht="42" customHeight="1">
      <c r="A606" s="18" t="n">
        <v>604</v>
      </c>
      <c r="B606" s="52" t="inlineStr">
        <is>
          <t>SI-4(1)</t>
        </is>
      </c>
      <c r="C606" s="18" t="inlineStr">
        <is>
          <t>SI</t>
        </is>
      </c>
      <c r="D606" s="19" t="inlineStr">
        <is>
          <t>Management and Governance</t>
        </is>
      </c>
      <c r="E606" s="18">
        <f>IFERROR(TRACKER!G606,"Not Started")</f>
        <v/>
      </c>
      <c r="F606" s="53">
        <f>IFERROR('[Management_and_Governance.xlsx]SI-4-1'!B21,"")</f>
        <v/>
      </c>
      <c r="G606" s="53" t="inlineStr"/>
      <c r="H606" s="53" t="inlineStr"/>
      <c r="I606" s="18" t="inlineStr"/>
      <c r="J606" s="19" t="inlineStr"/>
      <c r="K606" s="22" t="inlineStr"/>
      <c r="L606" s="18" t="inlineStr">
        <is>
          <t>Not Started</t>
        </is>
      </c>
    </row>
    <row r="607" ht="42" customHeight="1">
      <c r="A607" s="11" t="n">
        <v>605</v>
      </c>
      <c r="B607" s="50" t="inlineStr">
        <is>
          <t>SI-4(2)</t>
        </is>
      </c>
      <c r="C607" s="11" t="inlineStr">
        <is>
          <t>SI</t>
        </is>
      </c>
      <c r="D607" s="12" t="inlineStr">
        <is>
          <t>Management and Governance</t>
        </is>
      </c>
      <c r="E607" s="11">
        <f>IFERROR(TRACKER!G607,"Not Started")</f>
        <v/>
      </c>
      <c r="F607" s="51">
        <f>IFERROR('[Management_and_Governance.xlsx]SI-4-2'!B21,"")</f>
        <v/>
      </c>
      <c r="G607" s="51" t="inlineStr"/>
      <c r="H607" s="51" t="inlineStr"/>
      <c r="I607" s="11" t="inlineStr"/>
      <c r="J607" s="12" t="inlineStr"/>
      <c r="K607" s="17" t="inlineStr"/>
      <c r="L607" s="11" t="inlineStr">
        <is>
          <t>Not Started</t>
        </is>
      </c>
    </row>
    <row r="608" ht="42" customHeight="1">
      <c r="A608" s="18" t="n">
        <v>606</v>
      </c>
      <c r="B608" s="52" t="inlineStr">
        <is>
          <t>SI-4(4)</t>
        </is>
      </c>
      <c r="C608" s="18" t="inlineStr">
        <is>
          <t>SI</t>
        </is>
      </c>
      <c r="D608" s="19" t="inlineStr">
        <is>
          <t>Management and Governance</t>
        </is>
      </c>
      <c r="E608" s="18">
        <f>IFERROR(TRACKER!G608,"Not Started")</f>
        <v/>
      </c>
      <c r="F608" s="53">
        <f>IFERROR('[Management_and_Governance.xlsx]SI-4-4'!B21,"")</f>
        <v/>
      </c>
      <c r="G608" s="53" t="inlineStr"/>
      <c r="H608" s="53" t="inlineStr"/>
      <c r="I608" s="18" t="inlineStr"/>
      <c r="J608" s="19" t="inlineStr"/>
      <c r="K608" s="22" t="inlineStr"/>
      <c r="L608" s="18" t="inlineStr">
        <is>
          <t>Not Started</t>
        </is>
      </c>
    </row>
    <row r="609" ht="42" customHeight="1">
      <c r="A609" s="11" t="n">
        <v>607</v>
      </c>
      <c r="B609" s="50" t="inlineStr">
        <is>
          <t>SI-4(5)</t>
        </is>
      </c>
      <c r="C609" s="11" t="inlineStr">
        <is>
          <t>SI</t>
        </is>
      </c>
      <c r="D609" s="12" t="inlineStr">
        <is>
          <t>Management and Governance</t>
        </is>
      </c>
      <c r="E609" s="11">
        <f>IFERROR(TRACKER!G609,"Not Started")</f>
        <v/>
      </c>
      <c r="F609" s="51">
        <f>IFERROR('[Management_and_Governance.xlsx]SI-4-5'!B21,"")</f>
        <v/>
      </c>
      <c r="G609" s="51" t="inlineStr"/>
      <c r="H609" s="51" t="inlineStr"/>
      <c r="I609" s="11" t="inlineStr"/>
      <c r="J609" s="12" t="inlineStr"/>
      <c r="K609" s="17" t="inlineStr"/>
      <c r="L609" s="11" t="inlineStr">
        <is>
          <t>Not Started</t>
        </is>
      </c>
    </row>
    <row r="610" ht="42" customHeight="1">
      <c r="A610" s="18" t="n">
        <v>608</v>
      </c>
      <c r="B610" s="52" t="inlineStr">
        <is>
          <t>SI-4(11)</t>
        </is>
      </c>
      <c r="C610" s="18" t="inlineStr">
        <is>
          <t>SI</t>
        </is>
      </c>
      <c r="D610" s="19" t="inlineStr">
        <is>
          <t>Management and Governance</t>
        </is>
      </c>
      <c r="E610" s="18">
        <f>IFERROR(TRACKER!G610,"Not Started")</f>
        <v/>
      </c>
      <c r="F610" s="53">
        <f>IFERROR('[Management_and_Governance.xlsx]SI-4-11'!B21,"")</f>
        <v/>
      </c>
      <c r="G610" s="53" t="inlineStr"/>
      <c r="H610" s="53" t="inlineStr"/>
      <c r="I610" s="18" t="inlineStr"/>
      <c r="J610" s="19" t="inlineStr"/>
      <c r="K610" s="22" t="inlineStr"/>
      <c r="L610" s="18" t="inlineStr">
        <is>
          <t>Not Started</t>
        </is>
      </c>
    </row>
    <row r="611" ht="42" customHeight="1">
      <c r="A611" s="11" t="n">
        <v>609</v>
      </c>
      <c r="B611" s="50" t="inlineStr">
        <is>
          <t>SI-6</t>
        </is>
      </c>
      <c r="C611" s="11" t="inlineStr">
        <is>
          <t>SI</t>
        </is>
      </c>
      <c r="D611" s="12" t="inlineStr">
        <is>
          <t>Management and Governance</t>
        </is>
      </c>
      <c r="E611" s="11">
        <f>IFERROR(TRACKER!G611,"Not Started")</f>
        <v/>
      </c>
      <c r="F611" s="51">
        <f>IFERROR('[Management_and_Governance.xlsx]SI-6'!B21,"")</f>
        <v/>
      </c>
      <c r="G611" s="51" t="inlineStr"/>
      <c r="H611" s="51" t="inlineStr"/>
      <c r="I611" s="11" t="inlineStr"/>
      <c r="J611" s="12" t="inlineStr"/>
      <c r="K611" s="17" t="inlineStr"/>
      <c r="L611" s="11" t="inlineStr">
        <is>
          <t>Not Started</t>
        </is>
      </c>
    </row>
    <row r="612" ht="42" customHeight="1">
      <c r="A612" s="18" t="n">
        <v>610</v>
      </c>
      <c r="B612" s="52" t="inlineStr">
        <is>
          <t>SI-7(7)</t>
        </is>
      </c>
      <c r="C612" s="18" t="inlineStr">
        <is>
          <t>SI</t>
        </is>
      </c>
      <c r="D612" s="19" t="inlineStr">
        <is>
          <t>Management and Governance</t>
        </is>
      </c>
      <c r="E612" s="18">
        <f>IFERROR(TRACKER!G612,"Not Started")</f>
        <v/>
      </c>
      <c r="F612" s="53">
        <f>IFERROR('[Management_and_Governance.xlsx]SI-7-7'!B21,"")</f>
        <v/>
      </c>
      <c r="G612" s="53" t="inlineStr"/>
      <c r="H612" s="53" t="inlineStr"/>
      <c r="I612" s="18" t="inlineStr"/>
      <c r="J612" s="19" t="inlineStr"/>
      <c r="K612" s="22" t="inlineStr"/>
      <c r="L612" s="18" t="inlineStr">
        <is>
          <t>Not Started</t>
        </is>
      </c>
    </row>
    <row r="613" ht="42" customHeight="1">
      <c r="A613" s="11" t="n">
        <v>611</v>
      </c>
      <c r="B613" s="50" t="inlineStr">
        <is>
          <t>SI-11</t>
        </is>
      </c>
      <c r="C613" s="11" t="inlineStr">
        <is>
          <t>SI</t>
        </is>
      </c>
      <c r="D613" s="12" t="inlineStr">
        <is>
          <t>Management and Governance</t>
        </is>
      </c>
      <c r="E613" s="11">
        <f>IFERROR(TRACKER!G613,"Not Started")</f>
        <v/>
      </c>
      <c r="F613" s="51">
        <f>IFERROR('[Management_and_Governance.xlsx]SI-11'!B21,"")</f>
        <v/>
      </c>
      <c r="G613" s="51" t="inlineStr"/>
      <c r="H613" s="51" t="inlineStr"/>
      <c r="I613" s="11" t="inlineStr"/>
      <c r="J613" s="12" t="inlineStr"/>
      <c r="K613" s="17" t="inlineStr"/>
      <c r="L613" s="11" t="inlineStr">
        <is>
          <t>Not Started</t>
        </is>
      </c>
    </row>
    <row r="614" ht="42" customHeight="1">
      <c r="A614" s="18" t="n">
        <v>612</v>
      </c>
      <c r="B614" s="52" t="inlineStr">
        <is>
          <t>AC-18</t>
        </is>
      </c>
      <c r="C614" s="18" t="inlineStr">
        <is>
          <t>AC</t>
        </is>
      </c>
      <c r="D614" s="19" t="inlineStr">
        <is>
          <t>Microsoft-Descoped</t>
        </is>
      </c>
      <c r="E614" s="18">
        <f>IFERROR(TRACKER!G614,"Not Started")</f>
        <v/>
      </c>
      <c r="F614" s="53">
        <f>IFERROR('[Microsoft_Descoped.xlsx]AC-18'!B21,"")</f>
        <v/>
      </c>
      <c r="G614" s="53" t="inlineStr"/>
      <c r="H614" s="53" t="inlineStr"/>
      <c r="I614" s="18" t="inlineStr"/>
      <c r="J614" s="19" t="inlineStr"/>
      <c r="K614" s="22" t="inlineStr"/>
      <c r="L614" s="18" t="inlineStr">
        <is>
          <t>Not Started</t>
        </is>
      </c>
    </row>
    <row r="615" ht="42" customHeight="1">
      <c r="A615" s="11" t="n">
        <v>613</v>
      </c>
      <c r="B615" s="50" t="inlineStr">
        <is>
          <t>AC-18(1)</t>
        </is>
      </c>
      <c r="C615" s="11" t="inlineStr">
        <is>
          <t>AC</t>
        </is>
      </c>
      <c r="D615" s="12" t="inlineStr">
        <is>
          <t>Microsoft-Descoped</t>
        </is>
      </c>
      <c r="E615" s="11">
        <f>IFERROR(TRACKER!G615,"Not Started")</f>
        <v/>
      </c>
      <c r="F615" s="51">
        <f>IFERROR('[Microsoft_Descoped.xlsx]AC-18-1'!B21,"")</f>
        <v/>
      </c>
      <c r="G615" s="51" t="inlineStr"/>
      <c r="H615" s="51" t="inlineStr"/>
      <c r="I615" s="11" t="inlineStr"/>
      <c r="J615" s="12" t="inlineStr"/>
      <c r="K615" s="17" t="inlineStr"/>
      <c r="L615" s="11" t="inlineStr">
        <is>
          <t>Not Started</t>
        </is>
      </c>
    </row>
    <row r="616" ht="42" customHeight="1">
      <c r="A616" s="18" t="n">
        <v>614</v>
      </c>
      <c r="B616" s="52" t="inlineStr">
        <is>
          <t>AC-18(4)</t>
        </is>
      </c>
      <c r="C616" s="18" t="inlineStr">
        <is>
          <t>AC</t>
        </is>
      </c>
      <c r="D616" s="19" t="inlineStr">
        <is>
          <t>Microsoft-Descoped</t>
        </is>
      </c>
      <c r="E616" s="18">
        <f>IFERROR(TRACKER!G616,"Not Started")</f>
        <v/>
      </c>
      <c r="F616" s="53">
        <f>IFERROR('[Microsoft_Descoped.xlsx]AC-18-4'!B21,"")</f>
        <v/>
      </c>
      <c r="G616" s="53" t="inlineStr"/>
      <c r="H616" s="53" t="inlineStr"/>
      <c r="I616" s="18" t="inlineStr"/>
      <c r="J616" s="19" t="inlineStr"/>
      <c r="K616" s="22" t="inlineStr"/>
      <c r="L616" s="18" t="inlineStr">
        <is>
          <t>Not Started</t>
        </is>
      </c>
    </row>
    <row r="617" ht="42" customHeight="1">
      <c r="A617" s="11" t="n">
        <v>615</v>
      </c>
      <c r="B617" s="50" t="inlineStr">
        <is>
          <t>AC-19</t>
        </is>
      </c>
      <c r="C617" s="11" t="inlineStr">
        <is>
          <t>AC</t>
        </is>
      </c>
      <c r="D617" s="12" t="inlineStr">
        <is>
          <t>Microsoft-Descoped</t>
        </is>
      </c>
      <c r="E617" s="11">
        <f>IFERROR(TRACKER!G617,"Not Started")</f>
        <v/>
      </c>
      <c r="F617" s="51">
        <f>IFERROR('[Microsoft_Descoped.xlsx]AC-19'!B21,"")</f>
        <v/>
      </c>
      <c r="G617" s="51" t="inlineStr"/>
      <c r="H617" s="51" t="inlineStr"/>
      <c r="I617" s="11" t="inlineStr"/>
      <c r="J617" s="12" t="inlineStr"/>
      <c r="K617" s="17" t="inlineStr"/>
      <c r="L617" s="11" t="inlineStr">
        <is>
          <t>Not Started</t>
        </is>
      </c>
    </row>
    <row r="618" ht="42" customHeight="1">
      <c r="A618" s="18" t="n">
        <v>616</v>
      </c>
      <c r="B618" s="52" t="inlineStr">
        <is>
          <t>AC-20</t>
        </is>
      </c>
      <c r="C618" s="18" t="inlineStr">
        <is>
          <t>AC</t>
        </is>
      </c>
      <c r="D618" s="19" t="inlineStr">
        <is>
          <t>Microsoft-Descoped</t>
        </is>
      </c>
      <c r="E618" s="18">
        <f>IFERROR(TRACKER!G618,"Not Started")</f>
        <v/>
      </c>
      <c r="F618" s="53">
        <f>IFERROR('[Microsoft_Descoped.xlsx]AC-20'!B21,"")</f>
        <v/>
      </c>
      <c r="G618" s="53" t="inlineStr"/>
      <c r="H618" s="53" t="inlineStr"/>
      <c r="I618" s="18" t="inlineStr"/>
      <c r="J618" s="19" t="inlineStr"/>
      <c r="K618" s="22" t="inlineStr"/>
      <c r="L618" s="18" t="inlineStr">
        <is>
          <t>Not Started</t>
        </is>
      </c>
    </row>
    <row r="619" ht="42" customHeight="1">
      <c r="A619" s="11" t="n">
        <v>617</v>
      </c>
      <c r="B619" s="50" t="inlineStr">
        <is>
          <t>AC-20(1)</t>
        </is>
      </c>
      <c r="C619" s="11" t="inlineStr">
        <is>
          <t>AC</t>
        </is>
      </c>
      <c r="D619" s="12" t="inlineStr">
        <is>
          <t>Microsoft-Descoped</t>
        </is>
      </c>
      <c r="E619" s="11">
        <f>IFERROR(TRACKER!G619,"Not Started")</f>
        <v/>
      </c>
      <c r="F619" s="51">
        <f>IFERROR('[Microsoft_Descoped.xlsx]AC-20-1'!B21,"")</f>
        <v/>
      </c>
      <c r="G619" s="51" t="inlineStr"/>
      <c r="H619" s="51" t="inlineStr"/>
      <c r="I619" s="11" t="inlineStr"/>
      <c r="J619" s="12" t="inlineStr"/>
      <c r="K619" s="17" t="inlineStr"/>
      <c r="L619" s="11" t="inlineStr">
        <is>
          <t>Not Started</t>
        </is>
      </c>
    </row>
    <row r="620" ht="42" customHeight="1">
      <c r="A620" s="18" t="n">
        <v>618</v>
      </c>
      <c r="B620" s="52" t="inlineStr">
        <is>
          <t>AC-20(2)</t>
        </is>
      </c>
      <c r="C620" s="18" t="inlineStr">
        <is>
          <t>AC</t>
        </is>
      </c>
      <c r="D620" s="19" t="inlineStr">
        <is>
          <t>Microsoft-Descoped</t>
        </is>
      </c>
      <c r="E620" s="18">
        <f>IFERROR(TRACKER!G620,"Not Started")</f>
        <v/>
      </c>
      <c r="F620" s="53">
        <f>IFERROR('[Microsoft_Descoped.xlsx]AC-20-2'!B21,"")</f>
        <v/>
      </c>
      <c r="G620" s="53" t="inlineStr"/>
      <c r="H620" s="53" t="inlineStr"/>
      <c r="I620" s="18" t="inlineStr"/>
      <c r="J620" s="19" t="inlineStr"/>
      <c r="K620" s="22" t="inlineStr"/>
      <c r="L620" s="18" t="inlineStr">
        <is>
          <t>Not Started</t>
        </is>
      </c>
    </row>
    <row r="621" ht="42" customHeight="1">
      <c r="A621" s="11" t="n">
        <v>619</v>
      </c>
      <c r="B621" s="50" t="inlineStr">
        <is>
          <t>AU-11</t>
        </is>
      </c>
      <c r="C621" s="11" t="inlineStr">
        <is>
          <t>AU</t>
        </is>
      </c>
      <c r="D621" s="12" t="inlineStr">
        <is>
          <t>Microsoft-Descoped</t>
        </is>
      </c>
      <c r="E621" s="11">
        <f>IFERROR(TRACKER!G621,"Not Started")</f>
        <v/>
      </c>
      <c r="F621" s="51">
        <f>IFERROR('[Microsoft_Descoped.xlsx]AU-11'!B21,"")</f>
        <v/>
      </c>
      <c r="G621" s="51" t="inlineStr"/>
      <c r="H621" s="51" t="inlineStr"/>
      <c r="I621" s="11" t="inlineStr"/>
      <c r="J621" s="12" t="inlineStr"/>
      <c r="K621" s="17" t="inlineStr"/>
      <c r="L621" s="11" t="inlineStr">
        <is>
          <t>Not Started</t>
        </is>
      </c>
    </row>
    <row r="622" ht="42" customHeight="1">
      <c r="A622" s="18" t="n">
        <v>620</v>
      </c>
      <c r="B622" s="52" t="inlineStr">
        <is>
          <t>CA-2(3)</t>
        </is>
      </c>
      <c r="C622" s="18" t="inlineStr">
        <is>
          <t>CA</t>
        </is>
      </c>
      <c r="D622" s="19" t="inlineStr">
        <is>
          <t>Microsoft-Descoped</t>
        </is>
      </c>
      <c r="E622" s="18">
        <f>IFERROR(TRACKER!G622,"Not Started")</f>
        <v/>
      </c>
      <c r="F622" s="53">
        <f>IFERROR('[Microsoft_Descoped.xlsx]CA-2-3'!B21,"")</f>
        <v/>
      </c>
      <c r="G622" s="53" t="inlineStr"/>
      <c r="H622" s="53" t="inlineStr"/>
      <c r="I622" s="18" t="inlineStr"/>
      <c r="J622" s="19" t="inlineStr"/>
      <c r="K622" s="22" t="inlineStr"/>
      <c r="L622" s="18" t="inlineStr">
        <is>
          <t>Not Started</t>
        </is>
      </c>
    </row>
    <row r="623" ht="42" customHeight="1">
      <c r="A623" s="11" t="n">
        <v>621</v>
      </c>
      <c r="B623" s="50" t="inlineStr">
        <is>
          <t>CA-3</t>
        </is>
      </c>
      <c r="C623" s="11" t="inlineStr">
        <is>
          <t>CA</t>
        </is>
      </c>
      <c r="D623" s="12" t="inlineStr">
        <is>
          <t>Microsoft-Descoped</t>
        </is>
      </c>
      <c r="E623" s="11">
        <f>IFERROR(TRACKER!G623,"Not Started")</f>
        <v/>
      </c>
      <c r="F623" s="51">
        <f>IFERROR('[Microsoft_Descoped.xlsx]CA-3'!B21,"")</f>
        <v/>
      </c>
      <c r="G623" s="51" t="inlineStr"/>
      <c r="H623" s="51" t="inlineStr"/>
      <c r="I623" s="11" t="inlineStr"/>
      <c r="J623" s="12" t="inlineStr"/>
      <c r="K623" s="17" t="inlineStr"/>
      <c r="L623" s="11" t="inlineStr">
        <is>
          <t>Not Started</t>
        </is>
      </c>
    </row>
    <row r="624" ht="42" customHeight="1">
      <c r="A624" s="18" t="n">
        <v>622</v>
      </c>
      <c r="B624" s="52" t="inlineStr">
        <is>
          <t>CA-3(3)</t>
        </is>
      </c>
      <c r="C624" s="18" t="inlineStr">
        <is>
          <t>CA</t>
        </is>
      </c>
      <c r="D624" s="19" t="inlineStr">
        <is>
          <t>Microsoft-Descoped</t>
        </is>
      </c>
      <c r="E624" s="18">
        <f>IFERROR(TRACKER!G624,"Not Started")</f>
        <v/>
      </c>
      <c r="F624" s="53">
        <f>IFERROR('[Microsoft_Descoped.xlsx]CA-3-3'!B21,"")</f>
        <v/>
      </c>
      <c r="G624" s="53" t="inlineStr"/>
      <c r="H624" s="53" t="inlineStr"/>
      <c r="I624" s="18" t="inlineStr"/>
      <c r="J624" s="19" t="inlineStr"/>
      <c r="K624" s="22" t="inlineStr"/>
      <c r="L624" s="18" t="inlineStr">
        <is>
          <t>Not Started</t>
        </is>
      </c>
    </row>
    <row r="625" ht="42" customHeight="1">
      <c r="A625" s="11" t="n">
        <v>623</v>
      </c>
      <c r="B625" s="50" t="inlineStr">
        <is>
          <t>CA-8</t>
        </is>
      </c>
      <c r="C625" s="11" t="inlineStr">
        <is>
          <t>CA</t>
        </is>
      </c>
      <c r="D625" s="12" t="inlineStr">
        <is>
          <t>Microsoft-Descoped</t>
        </is>
      </c>
      <c r="E625" s="11">
        <f>IFERROR(TRACKER!G625,"Not Started")</f>
        <v/>
      </c>
      <c r="F625" s="51">
        <f>IFERROR('[Microsoft_Descoped.xlsx]CA-8'!B21,"")</f>
        <v/>
      </c>
      <c r="G625" s="51" t="inlineStr"/>
      <c r="H625" s="51" t="inlineStr"/>
      <c r="I625" s="11" t="inlineStr"/>
      <c r="J625" s="12" t="inlineStr"/>
      <c r="K625" s="17" t="inlineStr"/>
      <c r="L625" s="11" t="inlineStr">
        <is>
          <t>Not Started</t>
        </is>
      </c>
    </row>
    <row r="626" ht="42" customHeight="1">
      <c r="A626" s="18" t="n">
        <v>624</v>
      </c>
      <c r="B626" s="52" t="inlineStr">
        <is>
          <t>CA-8(1)</t>
        </is>
      </c>
      <c r="C626" s="18" t="inlineStr">
        <is>
          <t>CA</t>
        </is>
      </c>
      <c r="D626" s="19" t="inlineStr">
        <is>
          <t>Microsoft-Descoped</t>
        </is>
      </c>
      <c r="E626" s="18">
        <f>IFERROR(TRACKER!G626,"Not Started")</f>
        <v/>
      </c>
      <c r="F626" s="53">
        <f>IFERROR('[Microsoft_Descoped.xlsx]CA-8-1'!B21,"")</f>
        <v/>
      </c>
      <c r="G626" s="53" t="inlineStr"/>
      <c r="H626" s="53" t="inlineStr"/>
      <c r="I626" s="18" t="inlineStr"/>
      <c r="J626" s="19" t="inlineStr"/>
      <c r="K626" s="22" t="inlineStr"/>
      <c r="L626" s="18" t="inlineStr">
        <is>
          <t>Not Started</t>
        </is>
      </c>
    </row>
    <row r="627" ht="42" customHeight="1">
      <c r="A627" s="11" t="n">
        <v>625</v>
      </c>
      <c r="B627" s="50" t="inlineStr">
        <is>
          <t>CP-6(3)</t>
        </is>
      </c>
      <c r="C627" s="11" t="inlineStr">
        <is>
          <t>CP</t>
        </is>
      </c>
      <c r="D627" s="12" t="inlineStr">
        <is>
          <t>Microsoft-Descoped</t>
        </is>
      </c>
      <c r="E627" s="11">
        <f>IFERROR(TRACKER!G627,"Not Started")</f>
        <v/>
      </c>
      <c r="F627" s="51">
        <f>IFERROR('[Microsoft_Descoped.xlsx]CP-6-3'!B21,"")</f>
        <v/>
      </c>
      <c r="G627" s="51" t="inlineStr"/>
      <c r="H627" s="51" t="inlineStr"/>
      <c r="I627" s="11" t="inlineStr"/>
      <c r="J627" s="12" t="inlineStr"/>
      <c r="K627" s="17" t="inlineStr"/>
      <c r="L627" s="11" t="inlineStr">
        <is>
          <t>Not Started</t>
        </is>
      </c>
    </row>
    <row r="628" ht="42" customHeight="1">
      <c r="A628" s="18" t="n">
        <v>626</v>
      </c>
      <c r="B628" s="52" t="inlineStr">
        <is>
          <t>CP-7</t>
        </is>
      </c>
      <c r="C628" s="18" t="inlineStr">
        <is>
          <t>CP</t>
        </is>
      </c>
      <c r="D628" s="19" t="inlineStr">
        <is>
          <t>Microsoft-Descoped</t>
        </is>
      </c>
      <c r="E628" s="18">
        <f>IFERROR(TRACKER!G628,"Not Started")</f>
        <v/>
      </c>
      <c r="F628" s="53">
        <f>IFERROR('[Microsoft_Descoped.xlsx]CP-7'!B21,"")</f>
        <v/>
      </c>
      <c r="G628" s="53" t="inlineStr"/>
      <c r="H628" s="53" t="inlineStr"/>
      <c r="I628" s="18" t="inlineStr"/>
      <c r="J628" s="19" t="inlineStr"/>
      <c r="K628" s="22" t="inlineStr"/>
      <c r="L628" s="18" t="inlineStr">
        <is>
          <t>Not Started</t>
        </is>
      </c>
    </row>
    <row r="629" ht="42" customHeight="1">
      <c r="A629" s="11" t="n">
        <v>627</v>
      </c>
      <c r="B629" s="50" t="inlineStr">
        <is>
          <t>CP-7(2)</t>
        </is>
      </c>
      <c r="C629" s="11" t="inlineStr">
        <is>
          <t>CP</t>
        </is>
      </c>
      <c r="D629" s="12" t="inlineStr">
        <is>
          <t>Microsoft-Descoped</t>
        </is>
      </c>
      <c r="E629" s="11">
        <f>IFERROR(TRACKER!G629,"Not Started")</f>
        <v/>
      </c>
      <c r="F629" s="51">
        <f>IFERROR('[Microsoft_Descoped.xlsx]CP-7-2'!B21,"")</f>
        <v/>
      </c>
      <c r="G629" s="51" t="inlineStr"/>
      <c r="H629" s="51" t="inlineStr"/>
      <c r="I629" s="11" t="inlineStr"/>
      <c r="J629" s="12" t="inlineStr"/>
      <c r="K629" s="17" t="inlineStr"/>
      <c r="L629" s="11" t="inlineStr">
        <is>
          <t>Not Started</t>
        </is>
      </c>
    </row>
    <row r="630" ht="42" customHeight="1">
      <c r="A630" s="18" t="n">
        <v>628</v>
      </c>
      <c r="B630" s="52" t="inlineStr">
        <is>
          <t>CP-8</t>
        </is>
      </c>
      <c r="C630" s="18" t="inlineStr">
        <is>
          <t>CP</t>
        </is>
      </c>
      <c r="D630" s="19" t="inlineStr">
        <is>
          <t>Microsoft-Descoped</t>
        </is>
      </c>
      <c r="E630" s="18">
        <f>IFERROR(TRACKER!G630,"Not Started")</f>
        <v/>
      </c>
      <c r="F630" s="53">
        <f>IFERROR('[Microsoft_Descoped.xlsx]CP-8'!B21,"")</f>
        <v/>
      </c>
      <c r="G630" s="53" t="inlineStr"/>
      <c r="H630" s="53" t="inlineStr"/>
      <c r="I630" s="18" t="inlineStr"/>
      <c r="J630" s="19" t="inlineStr"/>
      <c r="K630" s="22" t="inlineStr"/>
      <c r="L630" s="18" t="inlineStr">
        <is>
          <t>Not Started</t>
        </is>
      </c>
    </row>
    <row r="631" ht="42" customHeight="1">
      <c r="A631" s="11" t="n">
        <v>629</v>
      </c>
      <c r="B631" s="50" t="inlineStr">
        <is>
          <t>CP-8(1)</t>
        </is>
      </c>
      <c r="C631" s="11" t="inlineStr">
        <is>
          <t>CP</t>
        </is>
      </c>
      <c r="D631" s="12" t="inlineStr">
        <is>
          <t>Microsoft-Descoped</t>
        </is>
      </c>
      <c r="E631" s="11">
        <f>IFERROR(TRACKER!G631,"Not Started")</f>
        <v/>
      </c>
      <c r="F631" s="51">
        <f>IFERROR('[Microsoft_Descoped.xlsx]CP-8-1'!B21,"")</f>
        <v/>
      </c>
      <c r="G631" s="51" t="inlineStr"/>
      <c r="H631" s="51" t="inlineStr"/>
      <c r="I631" s="11" t="inlineStr"/>
      <c r="J631" s="12" t="inlineStr"/>
      <c r="K631" s="17" t="inlineStr"/>
      <c r="L631" s="11" t="inlineStr">
        <is>
          <t>Not Started</t>
        </is>
      </c>
    </row>
    <row r="632" ht="42" customHeight="1">
      <c r="A632" s="18" t="n">
        <v>630</v>
      </c>
      <c r="B632" s="52" t="inlineStr">
        <is>
          <t>CP-8(2)</t>
        </is>
      </c>
      <c r="C632" s="18" t="inlineStr">
        <is>
          <t>CP</t>
        </is>
      </c>
      <c r="D632" s="19" t="inlineStr">
        <is>
          <t>Microsoft-Descoped</t>
        </is>
      </c>
      <c r="E632" s="18">
        <f>IFERROR(TRACKER!G632,"Not Started")</f>
        <v/>
      </c>
      <c r="F632" s="53">
        <f>IFERROR('[Microsoft_Descoped.xlsx]CP-8-2'!B21,"")</f>
        <v/>
      </c>
      <c r="G632" s="53" t="inlineStr"/>
      <c r="H632" s="53" t="inlineStr"/>
      <c r="I632" s="18" t="inlineStr"/>
      <c r="J632" s="19" t="inlineStr"/>
      <c r="K632" s="22" t="inlineStr"/>
      <c r="L632" s="18" t="inlineStr">
        <is>
          <t>Not Started</t>
        </is>
      </c>
    </row>
    <row r="633" ht="42" customHeight="1">
      <c r="A633" s="11" t="n">
        <v>631</v>
      </c>
      <c r="B633" s="50" t="inlineStr">
        <is>
          <t>CP-8(3)</t>
        </is>
      </c>
      <c r="C633" s="11" t="inlineStr">
        <is>
          <t>CP</t>
        </is>
      </c>
      <c r="D633" s="12" t="inlineStr">
        <is>
          <t>Microsoft-Descoped</t>
        </is>
      </c>
      <c r="E633" s="11">
        <f>IFERROR(TRACKER!G633,"Not Started")</f>
        <v/>
      </c>
      <c r="F633" s="51">
        <f>IFERROR('[Microsoft_Descoped.xlsx]CP-8-3'!B21,"")</f>
        <v/>
      </c>
      <c r="G633" s="51" t="inlineStr"/>
      <c r="H633" s="51" t="inlineStr"/>
      <c r="I633" s="11" t="inlineStr"/>
      <c r="J633" s="12" t="inlineStr"/>
      <c r="K633" s="17" t="inlineStr"/>
      <c r="L633" s="11" t="inlineStr">
        <is>
          <t>Not Started</t>
        </is>
      </c>
    </row>
    <row r="634" ht="42" customHeight="1">
      <c r="A634" s="18" t="n">
        <v>632</v>
      </c>
      <c r="B634" s="52" t="inlineStr">
        <is>
          <t>CP-8(5)</t>
        </is>
      </c>
      <c r="C634" s="18" t="inlineStr">
        <is>
          <t>CP</t>
        </is>
      </c>
      <c r="D634" s="19" t="inlineStr">
        <is>
          <t>Microsoft-Descoped</t>
        </is>
      </c>
      <c r="E634" s="18">
        <f>IFERROR(TRACKER!G634,"Not Started")</f>
        <v/>
      </c>
      <c r="F634" s="53">
        <f>IFERROR('[Microsoft_Descoped.xlsx]CP-8-5'!B21,"")</f>
        <v/>
      </c>
      <c r="G634" s="53" t="inlineStr"/>
      <c r="H634" s="53" t="inlineStr"/>
      <c r="I634" s="18" t="inlineStr"/>
      <c r="J634" s="19" t="inlineStr"/>
      <c r="K634" s="22" t="inlineStr"/>
      <c r="L634" s="18" t="inlineStr">
        <is>
          <t>Not Started</t>
        </is>
      </c>
    </row>
    <row r="635" ht="42" customHeight="1">
      <c r="A635" s="11" t="n">
        <v>633</v>
      </c>
      <c r="B635" s="50" t="inlineStr">
        <is>
          <t>IR-7(2)</t>
        </is>
      </c>
      <c r="C635" s="11" t="inlineStr">
        <is>
          <t>IR</t>
        </is>
      </c>
      <c r="D635" s="12" t="inlineStr">
        <is>
          <t>Microsoft-Descoped</t>
        </is>
      </c>
      <c r="E635" s="11">
        <f>IFERROR(TRACKER!G635,"Not Started")</f>
        <v/>
      </c>
      <c r="F635" s="51">
        <f>IFERROR('[Microsoft_Descoped.xlsx]IR-7-2'!B21,"")</f>
        <v/>
      </c>
      <c r="G635" s="51" t="inlineStr"/>
      <c r="H635" s="51" t="inlineStr"/>
      <c r="I635" s="11" t="inlineStr"/>
      <c r="J635" s="12" t="inlineStr"/>
      <c r="K635" s="17" t="inlineStr"/>
      <c r="L635" s="11" t="inlineStr">
        <is>
          <t>Not Started</t>
        </is>
      </c>
    </row>
    <row r="636" ht="42" customHeight="1">
      <c r="A636" s="18" t="n">
        <v>634</v>
      </c>
      <c r="B636" s="52" t="inlineStr">
        <is>
          <t>MA-3(1)</t>
        </is>
      </c>
      <c r="C636" s="18" t="inlineStr">
        <is>
          <t>MA</t>
        </is>
      </c>
      <c r="D636" s="19" t="inlineStr">
        <is>
          <t>Microsoft-Descoped</t>
        </is>
      </c>
      <c r="E636" s="18">
        <f>IFERROR(TRACKER!G636,"Not Started")</f>
        <v/>
      </c>
      <c r="F636" s="53">
        <f>IFERROR('[Microsoft_Descoped.xlsx]MA-3-1'!B21,"")</f>
        <v/>
      </c>
      <c r="G636" s="53" t="inlineStr"/>
      <c r="H636" s="53" t="inlineStr"/>
      <c r="I636" s="18" t="inlineStr"/>
      <c r="J636" s="19" t="inlineStr"/>
      <c r="K636" s="22" t="inlineStr"/>
      <c r="L636" s="18" t="inlineStr">
        <is>
          <t>Not Started</t>
        </is>
      </c>
    </row>
    <row r="637" ht="42" customHeight="1">
      <c r="A637" s="11" t="n">
        <v>635</v>
      </c>
      <c r="B637" s="50" t="inlineStr">
        <is>
          <t>MA-3(2)</t>
        </is>
      </c>
      <c r="C637" s="11" t="inlineStr">
        <is>
          <t>MA</t>
        </is>
      </c>
      <c r="D637" s="12" t="inlineStr">
        <is>
          <t>Microsoft-Descoped</t>
        </is>
      </c>
      <c r="E637" s="11">
        <f>IFERROR(TRACKER!G637,"Not Started")</f>
        <v/>
      </c>
      <c r="F637" s="51">
        <f>IFERROR('[Microsoft_Descoped.xlsx]MA-3-2'!B21,"")</f>
        <v/>
      </c>
      <c r="G637" s="51" t="inlineStr"/>
      <c r="H637" s="51" t="inlineStr"/>
      <c r="I637" s="11" t="inlineStr"/>
      <c r="J637" s="12" t="inlineStr"/>
      <c r="K637" s="17" t="inlineStr"/>
      <c r="L637" s="11" t="inlineStr">
        <is>
          <t>Not Started</t>
        </is>
      </c>
    </row>
    <row r="638" ht="42" customHeight="1">
      <c r="A638" s="18" t="n">
        <v>636</v>
      </c>
      <c r="B638" s="52" t="inlineStr">
        <is>
          <t>MA-3(3)</t>
        </is>
      </c>
      <c r="C638" s="18" t="inlineStr">
        <is>
          <t>MA</t>
        </is>
      </c>
      <c r="D638" s="19" t="inlineStr">
        <is>
          <t>Microsoft-Descoped</t>
        </is>
      </c>
      <c r="E638" s="18">
        <f>IFERROR(TRACKER!G638,"Not Started")</f>
        <v/>
      </c>
      <c r="F638" s="53">
        <f>IFERROR('[Microsoft_Descoped.xlsx]MA-3-3'!B21,"")</f>
        <v/>
      </c>
      <c r="G638" s="53" t="inlineStr"/>
      <c r="H638" s="53" t="inlineStr"/>
      <c r="I638" s="18" t="inlineStr"/>
      <c r="J638" s="19" t="inlineStr"/>
      <c r="K638" s="22" t="inlineStr"/>
      <c r="L638" s="18" t="inlineStr">
        <is>
          <t>Not Started</t>
        </is>
      </c>
    </row>
    <row r="639" ht="42" customHeight="1">
      <c r="A639" s="11" t="n">
        <v>637</v>
      </c>
      <c r="B639" s="50" t="inlineStr">
        <is>
          <t>MA-6</t>
        </is>
      </c>
      <c r="C639" s="11" t="inlineStr">
        <is>
          <t>MA</t>
        </is>
      </c>
      <c r="D639" s="12" t="inlineStr">
        <is>
          <t>Microsoft-Descoped</t>
        </is>
      </c>
      <c r="E639" s="11">
        <f>IFERROR(TRACKER!G639,"Not Started")</f>
        <v/>
      </c>
      <c r="F639" s="51">
        <f>IFERROR('[Microsoft_Descoped.xlsx]MA-6'!B21,"")</f>
        <v/>
      </c>
      <c r="G639" s="51" t="inlineStr"/>
      <c r="H639" s="51" t="inlineStr"/>
      <c r="I639" s="11" t="inlineStr"/>
      <c r="J639" s="12" t="inlineStr"/>
      <c r="K639" s="17" t="inlineStr"/>
      <c r="L639" s="11" t="inlineStr">
        <is>
          <t>Not Started</t>
        </is>
      </c>
    </row>
    <row r="640" ht="42" customHeight="1">
      <c r="A640" s="18" t="n">
        <v>638</v>
      </c>
      <c r="B640" s="52" t="inlineStr">
        <is>
          <t>MP-4</t>
        </is>
      </c>
      <c r="C640" s="18" t="inlineStr">
        <is>
          <t>MP</t>
        </is>
      </c>
      <c r="D640" s="19" t="inlineStr">
        <is>
          <t>Microsoft-Descoped</t>
        </is>
      </c>
      <c r="E640" s="18">
        <f>IFERROR(TRACKER!G640,"Not Started")</f>
        <v/>
      </c>
      <c r="F640" s="53">
        <f>IFERROR('[Microsoft_Descoped.xlsx]MP-4'!B21,"")</f>
        <v/>
      </c>
      <c r="G640" s="53" t="inlineStr"/>
      <c r="H640" s="53" t="inlineStr"/>
      <c r="I640" s="18" t="inlineStr"/>
      <c r="J640" s="19" t="inlineStr"/>
      <c r="K640" s="22" t="inlineStr"/>
      <c r="L640" s="18" t="inlineStr">
        <is>
          <t>Not Started</t>
        </is>
      </c>
    </row>
    <row r="641" ht="42" customHeight="1">
      <c r="A641" s="11" t="n">
        <v>639</v>
      </c>
      <c r="B641" s="50" t="inlineStr">
        <is>
          <t>MP-5</t>
        </is>
      </c>
      <c r="C641" s="11" t="inlineStr">
        <is>
          <t>MP</t>
        </is>
      </c>
      <c r="D641" s="12" t="inlineStr">
        <is>
          <t>Microsoft-Descoped</t>
        </is>
      </c>
      <c r="E641" s="11">
        <f>IFERROR(TRACKER!G641,"Not Started")</f>
        <v/>
      </c>
      <c r="F641" s="51">
        <f>IFERROR('[Microsoft_Descoped.xlsx]MP-5'!B21,"")</f>
        <v/>
      </c>
      <c r="G641" s="51" t="inlineStr"/>
      <c r="H641" s="51" t="inlineStr"/>
      <c r="I641" s="11" t="inlineStr"/>
      <c r="J641" s="12" t="inlineStr"/>
      <c r="K641" s="17" t="inlineStr"/>
      <c r="L641" s="11" t="inlineStr">
        <is>
          <t>Not Started</t>
        </is>
      </c>
    </row>
    <row r="642" ht="42" customHeight="1">
      <c r="A642" s="18" t="n">
        <v>640</v>
      </c>
      <c r="B642" s="52" t="inlineStr">
        <is>
          <t>MP-5(4)</t>
        </is>
      </c>
      <c r="C642" s="18" t="inlineStr">
        <is>
          <t>MP</t>
        </is>
      </c>
      <c r="D642" s="19" t="inlineStr">
        <is>
          <t>Microsoft-Descoped</t>
        </is>
      </c>
      <c r="E642" s="18">
        <f>IFERROR(TRACKER!G642,"Not Started")</f>
        <v/>
      </c>
      <c r="F642" s="53">
        <f>IFERROR('[Microsoft_Descoped.xlsx]MP-5-4'!B21,"")</f>
        <v/>
      </c>
      <c r="G642" s="53" t="inlineStr"/>
      <c r="H642" s="53" t="inlineStr"/>
      <c r="I642" s="18" t="inlineStr"/>
      <c r="J642" s="19" t="inlineStr"/>
      <c r="K642" s="22" t="inlineStr"/>
      <c r="L642" s="18" t="inlineStr">
        <is>
          <t>Not Started</t>
        </is>
      </c>
    </row>
    <row r="643" ht="42" customHeight="1">
      <c r="A643" s="11" t="n">
        <v>641</v>
      </c>
      <c r="B643" s="50" t="inlineStr">
        <is>
          <t>MP-6(2)</t>
        </is>
      </c>
      <c r="C643" s="11" t="inlineStr">
        <is>
          <t>MP</t>
        </is>
      </c>
      <c r="D643" s="12" t="inlineStr">
        <is>
          <t>Microsoft-Descoped</t>
        </is>
      </c>
      <c r="E643" s="11">
        <f>IFERROR(TRACKER!G643,"Not Started")</f>
        <v/>
      </c>
      <c r="F643" s="51">
        <f>IFERROR('[Microsoft_Descoped.xlsx]MP-6-2'!B21,"")</f>
        <v/>
      </c>
      <c r="G643" s="51" t="inlineStr"/>
      <c r="H643" s="51" t="inlineStr"/>
      <c r="I643" s="11" t="inlineStr"/>
      <c r="J643" s="12" t="inlineStr"/>
      <c r="K643" s="17" t="inlineStr"/>
      <c r="L643" s="11" t="inlineStr">
        <is>
          <t>Not Started</t>
        </is>
      </c>
    </row>
    <row r="644" ht="42" customHeight="1">
      <c r="A644" s="18" t="n">
        <v>642</v>
      </c>
      <c r="B644" s="52" t="inlineStr">
        <is>
          <t>MP-6(3)</t>
        </is>
      </c>
      <c r="C644" s="18" t="inlineStr">
        <is>
          <t>MP</t>
        </is>
      </c>
      <c r="D644" s="19" t="inlineStr">
        <is>
          <t>Microsoft-Descoped</t>
        </is>
      </c>
      <c r="E644" s="18">
        <f>IFERROR(TRACKER!G644,"Not Started")</f>
        <v/>
      </c>
      <c r="F644" s="53">
        <f>IFERROR('[Microsoft_Descoped.xlsx]MP-6-3'!B21,"")</f>
        <v/>
      </c>
      <c r="G644" s="53" t="inlineStr"/>
      <c r="H644" s="53" t="inlineStr"/>
      <c r="I644" s="18" t="inlineStr"/>
      <c r="J644" s="19" t="inlineStr"/>
      <c r="K644" s="22" t="inlineStr"/>
      <c r="L644" s="18" t="inlineStr">
        <is>
          <t>Not Started</t>
        </is>
      </c>
    </row>
    <row r="645" ht="42" customHeight="1">
      <c r="A645" s="11" t="n">
        <v>643</v>
      </c>
      <c r="B645" s="50" t="inlineStr">
        <is>
          <t>MP-7</t>
        </is>
      </c>
      <c r="C645" s="11" t="inlineStr">
        <is>
          <t>MP</t>
        </is>
      </c>
      <c r="D645" s="12" t="inlineStr">
        <is>
          <t>Microsoft-Descoped</t>
        </is>
      </c>
      <c r="E645" s="11">
        <f>IFERROR(TRACKER!G645,"Not Started")</f>
        <v/>
      </c>
      <c r="F645" s="51">
        <f>IFERROR('[Microsoft_Descoped.xlsx]MP-7'!B21,"")</f>
        <v/>
      </c>
      <c r="G645" s="51" t="inlineStr"/>
      <c r="H645" s="51" t="inlineStr"/>
      <c r="I645" s="11" t="inlineStr"/>
      <c r="J645" s="12" t="inlineStr"/>
      <c r="K645" s="17" t="inlineStr"/>
      <c r="L645" s="11" t="inlineStr">
        <is>
          <t>Not Started</t>
        </is>
      </c>
    </row>
    <row r="646" ht="42" customHeight="1">
      <c r="A646" s="18" t="n">
        <v>644</v>
      </c>
      <c r="B646" s="52" t="inlineStr">
        <is>
          <t>MP-7(1)</t>
        </is>
      </c>
      <c r="C646" s="18" t="inlineStr">
        <is>
          <t>MP</t>
        </is>
      </c>
      <c r="D646" s="19" t="inlineStr">
        <is>
          <t>Microsoft-Descoped</t>
        </is>
      </c>
      <c r="E646" s="18">
        <f>IFERROR(TRACKER!G646,"Not Started")</f>
        <v/>
      </c>
      <c r="F646" s="53">
        <f>IFERROR('[Microsoft_Descoped.xlsx]MP-7-1'!B21,"")</f>
        <v/>
      </c>
      <c r="G646" s="53" t="inlineStr"/>
      <c r="H646" s="53" t="inlineStr"/>
      <c r="I646" s="18" t="inlineStr"/>
      <c r="J646" s="19" t="inlineStr"/>
      <c r="K646" s="22" t="inlineStr"/>
      <c r="L646" s="18" t="inlineStr">
        <is>
          <t>Not Started</t>
        </is>
      </c>
    </row>
    <row r="647" ht="42" customHeight="1">
      <c r="A647" s="11" t="n">
        <v>645</v>
      </c>
      <c r="B647" s="50" t="inlineStr">
        <is>
          <t>PE-1</t>
        </is>
      </c>
      <c r="C647" s="11" t="inlineStr">
        <is>
          <t>PE</t>
        </is>
      </c>
      <c r="D647" s="12" t="inlineStr">
        <is>
          <t>Microsoft-Descoped</t>
        </is>
      </c>
      <c r="E647" s="11">
        <f>IFERROR(TRACKER!G647,"Not Started")</f>
        <v/>
      </c>
      <c r="F647" s="51">
        <f>IFERROR('[Microsoft_Descoped.xlsx]PE-1'!B21,"")</f>
        <v/>
      </c>
      <c r="G647" s="51" t="inlineStr"/>
      <c r="H647" s="51" t="inlineStr"/>
      <c r="I647" s="11" t="inlineStr"/>
      <c r="J647" s="12" t="inlineStr"/>
      <c r="K647" s="17" t="inlineStr"/>
      <c r="L647" s="11" t="inlineStr">
        <is>
          <t>Not Started</t>
        </is>
      </c>
    </row>
    <row r="648" ht="42" customHeight="1">
      <c r="A648" s="18" t="n">
        <v>646</v>
      </c>
      <c r="B648" s="52" t="inlineStr">
        <is>
          <t>PE-2</t>
        </is>
      </c>
      <c r="C648" s="18" t="inlineStr">
        <is>
          <t>PE</t>
        </is>
      </c>
      <c r="D648" s="19" t="inlineStr">
        <is>
          <t>Microsoft-Descoped</t>
        </is>
      </c>
      <c r="E648" s="18">
        <f>IFERROR(TRACKER!G648,"Not Started")</f>
        <v/>
      </c>
      <c r="F648" s="53">
        <f>IFERROR('[Microsoft_Descoped.xlsx]PE-2'!B21,"")</f>
        <v/>
      </c>
      <c r="G648" s="53" t="inlineStr"/>
      <c r="H648" s="53" t="inlineStr"/>
      <c r="I648" s="18" t="inlineStr"/>
      <c r="J648" s="19" t="inlineStr"/>
      <c r="K648" s="22" t="inlineStr"/>
      <c r="L648" s="18" t="inlineStr">
        <is>
          <t>Not Started</t>
        </is>
      </c>
    </row>
    <row r="649" ht="42" customHeight="1">
      <c r="A649" s="11" t="n">
        <v>647</v>
      </c>
      <c r="B649" s="50" t="inlineStr">
        <is>
          <t>PE-3</t>
        </is>
      </c>
      <c r="C649" s="11" t="inlineStr">
        <is>
          <t>PE</t>
        </is>
      </c>
      <c r="D649" s="12" t="inlineStr">
        <is>
          <t>Microsoft-Descoped</t>
        </is>
      </c>
      <c r="E649" s="11">
        <f>IFERROR(TRACKER!G649,"Not Started")</f>
        <v/>
      </c>
      <c r="F649" s="51">
        <f>IFERROR('[Microsoft_Descoped.xlsx]PE-3'!B21,"")</f>
        <v/>
      </c>
      <c r="G649" s="51" t="inlineStr"/>
      <c r="H649" s="51" t="inlineStr"/>
      <c r="I649" s="11" t="inlineStr"/>
      <c r="J649" s="12" t="inlineStr"/>
      <c r="K649" s="17" t="inlineStr"/>
      <c r="L649" s="11" t="inlineStr">
        <is>
          <t>Not Started</t>
        </is>
      </c>
    </row>
    <row r="650" ht="42" customHeight="1">
      <c r="A650" s="18" t="n">
        <v>648</v>
      </c>
      <c r="B650" s="52" t="inlineStr">
        <is>
          <t>PE-3(1)</t>
        </is>
      </c>
      <c r="C650" s="18" t="inlineStr">
        <is>
          <t>PE</t>
        </is>
      </c>
      <c r="D650" s="19" t="inlineStr">
        <is>
          <t>Microsoft-Descoped</t>
        </is>
      </c>
      <c r="E650" s="18">
        <f>IFERROR(TRACKER!G650,"Not Started")</f>
        <v/>
      </c>
      <c r="F650" s="53">
        <f>IFERROR('[Microsoft_Descoped.xlsx]PE-3-1'!B21,"")</f>
        <v/>
      </c>
      <c r="G650" s="53" t="inlineStr"/>
      <c r="H650" s="53" t="inlineStr"/>
      <c r="I650" s="18" t="inlineStr"/>
      <c r="J650" s="19" t="inlineStr"/>
      <c r="K650" s="22" t="inlineStr"/>
      <c r="L650" s="18" t="inlineStr">
        <is>
          <t>Not Started</t>
        </is>
      </c>
    </row>
    <row r="651" ht="42" customHeight="1">
      <c r="A651" s="11" t="n">
        <v>649</v>
      </c>
      <c r="B651" s="50" t="inlineStr">
        <is>
          <t>PE-4</t>
        </is>
      </c>
      <c r="C651" s="11" t="inlineStr">
        <is>
          <t>PE</t>
        </is>
      </c>
      <c r="D651" s="12" t="inlineStr">
        <is>
          <t>Microsoft-Descoped</t>
        </is>
      </c>
      <c r="E651" s="11">
        <f>IFERROR(TRACKER!G651,"Not Started")</f>
        <v/>
      </c>
      <c r="F651" s="51">
        <f>IFERROR('[Microsoft_Descoped.xlsx]PE-4'!B21,"")</f>
        <v/>
      </c>
      <c r="G651" s="51" t="inlineStr"/>
      <c r="H651" s="51" t="inlineStr"/>
      <c r="I651" s="11" t="inlineStr"/>
      <c r="J651" s="12" t="inlineStr"/>
      <c r="K651" s="17" t="inlineStr"/>
      <c r="L651" s="11" t="inlineStr">
        <is>
          <t>Not Started</t>
        </is>
      </c>
    </row>
    <row r="652" ht="42" customHeight="1">
      <c r="A652" s="18" t="n">
        <v>650</v>
      </c>
      <c r="B652" s="52" t="inlineStr">
        <is>
          <t>PE-5</t>
        </is>
      </c>
      <c r="C652" s="18" t="inlineStr">
        <is>
          <t>PE</t>
        </is>
      </c>
      <c r="D652" s="19" t="inlineStr">
        <is>
          <t>Microsoft-Descoped</t>
        </is>
      </c>
      <c r="E652" s="18">
        <f>IFERROR(TRACKER!G652,"Not Started")</f>
        <v/>
      </c>
      <c r="F652" s="53">
        <f>IFERROR('[Microsoft_Descoped.xlsx]PE-5'!B21,"")</f>
        <v/>
      </c>
      <c r="G652" s="53" t="inlineStr"/>
      <c r="H652" s="53" t="inlineStr"/>
      <c r="I652" s="18" t="inlineStr"/>
      <c r="J652" s="19" t="inlineStr"/>
      <c r="K652" s="22" t="inlineStr"/>
      <c r="L652" s="18" t="inlineStr">
        <is>
          <t>Not Started</t>
        </is>
      </c>
    </row>
    <row r="653" ht="42" customHeight="1">
      <c r="A653" s="11" t="n">
        <v>651</v>
      </c>
      <c r="B653" s="50" t="inlineStr">
        <is>
          <t>PE-6</t>
        </is>
      </c>
      <c r="C653" s="11" t="inlineStr">
        <is>
          <t>PE</t>
        </is>
      </c>
      <c r="D653" s="12" t="inlineStr">
        <is>
          <t>Microsoft-Descoped</t>
        </is>
      </c>
      <c r="E653" s="11">
        <f>IFERROR(TRACKER!G653,"Not Started")</f>
        <v/>
      </c>
      <c r="F653" s="51">
        <f>IFERROR('[Microsoft_Descoped.xlsx]PE-6'!B21,"")</f>
        <v/>
      </c>
      <c r="G653" s="51" t="inlineStr"/>
      <c r="H653" s="51" t="inlineStr"/>
      <c r="I653" s="11" t="inlineStr"/>
      <c r="J653" s="12" t="inlineStr"/>
      <c r="K653" s="17" t="inlineStr"/>
      <c r="L653" s="11" t="inlineStr">
        <is>
          <t>Not Started</t>
        </is>
      </c>
    </row>
    <row r="654" ht="42" customHeight="1">
      <c r="A654" s="18" t="n">
        <v>652</v>
      </c>
      <c r="B654" s="52" t="inlineStr">
        <is>
          <t>PE-6(1)</t>
        </is>
      </c>
      <c r="C654" s="18" t="inlineStr">
        <is>
          <t>PE</t>
        </is>
      </c>
      <c r="D654" s="19" t="inlineStr">
        <is>
          <t>Microsoft-Descoped</t>
        </is>
      </c>
      <c r="E654" s="18">
        <f>IFERROR(TRACKER!G654,"Not Started")</f>
        <v/>
      </c>
      <c r="F654" s="53">
        <f>IFERROR('[Microsoft_Descoped.xlsx]PE-6-1'!B21,"")</f>
        <v/>
      </c>
      <c r="G654" s="53" t="inlineStr"/>
      <c r="H654" s="53" t="inlineStr"/>
      <c r="I654" s="18" t="inlineStr"/>
      <c r="J654" s="19" t="inlineStr"/>
      <c r="K654" s="22" t="inlineStr"/>
      <c r="L654" s="18" t="inlineStr">
        <is>
          <t>Not Started</t>
        </is>
      </c>
    </row>
    <row r="655" ht="42" customHeight="1">
      <c r="A655" s="11" t="n">
        <v>653</v>
      </c>
      <c r="B655" s="50" t="inlineStr">
        <is>
          <t>PE-6(4)</t>
        </is>
      </c>
      <c r="C655" s="11" t="inlineStr">
        <is>
          <t>PE</t>
        </is>
      </c>
      <c r="D655" s="12" t="inlineStr">
        <is>
          <t>Microsoft-Descoped</t>
        </is>
      </c>
      <c r="E655" s="11">
        <f>IFERROR(TRACKER!G655,"Not Started")</f>
        <v/>
      </c>
      <c r="F655" s="51">
        <f>IFERROR('[Microsoft_Descoped.xlsx]PE-6-4'!B21,"")</f>
        <v/>
      </c>
      <c r="G655" s="51" t="inlineStr"/>
      <c r="H655" s="51" t="inlineStr"/>
      <c r="I655" s="11" t="inlineStr"/>
      <c r="J655" s="12" t="inlineStr"/>
      <c r="K655" s="17" t="inlineStr"/>
      <c r="L655" s="11" t="inlineStr">
        <is>
          <t>Not Started</t>
        </is>
      </c>
    </row>
    <row r="656" ht="42" customHeight="1">
      <c r="A656" s="18" t="n">
        <v>654</v>
      </c>
      <c r="B656" s="52" t="inlineStr">
        <is>
          <t>PE-8</t>
        </is>
      </c>
      <c r="C656" s="18" t="inlineStr">
        <is>
          <t>PE</t>
        </is>
      </c>
      <c r="D656" s="19" t="inlineStr">
        <is>
          <t>Microsoft-Descoped</t>
        </is>
      </c>
      <c r="E656" s="18">
        <f>IFERROR(TRACKER!G656,"Not Started")</f>
        <v/>
      </c>
      <c r="F656" s="53">
        <f>IFERROR('[Microsoft_Descoped.xlsx]PE-8'!B21,"")</f>
        <v/>
      </c>
      <c r="G656" s="53" t="inlineStr"/>
      <c r="H656" s="53" t="inlineStr"/>
      <c r="I656" s="18" t="inlineStr"/>
      <c r="J656" s="19" t="inlineStr"/>
      <c r="K656" s="22" t="inlineStr"/>
      <c r="L656" s="18" t="inlineStr">
        <is>
          <t>Not Started</t>
        </is>
      </c>
    </row>
    <row r="657" ht="42" customHeight="1">
      <c r="A657" s="11" t="n">
        <v>655</v>
      </c>
      <c r="B657" s="50" t="inlineStr">
        <is>
          <t>PE-9</t>
        </is>
      </c>
      <c r="C657" s="11" t="inlineStr">
        <is>
          <t>PE</t>
        </is>
      </c>
      <c r="D657" s="12" t="inlineStr">
        <is>
          <t>Microsoft-Descoped</t>
        </is>
      </c>
      <c r="E657" s="11">
        <f>IFERROR(TRACKER!G657,"Not Started")</f>
        <v/>
      </c>
      <c r="F657" s="51">
        <f>IFERROR('[Microsoft_Descoped.xlsx]PE-9'!B21,"")</f>
        <v/>
      </c>
      <c r="G657" s="51" t="inlineStr"/>
      <c r="H657" s="51" t="inlineStr"/>
      <c r="I657" s="11" t="inlineStr"/>
      <c r="J657" s="12" t="inlineStr"/>
      <c r="K657" s="17" t="inlineStr"/>
      <c r="L657" s="11" t="inlineStr">
        <is>
          <t>Not Started</t>
        </is>
      </c>
    </row>
    <row r="658" ht="42" customHeight="1">
      <c r="A658" s="18" t="n">
        <v>656</v>
      </c>
      <c r="B658" s="52" t="inlineStr">
        <is>
          <t>PE-10</t>
        </is>
      </c>
      <c r="C658" s="18" t="inlineStr">
        <is>
          <t>PE</t>
        </is>
      </c>
      <c r="D658" s="19" t="inlineStr">
        <is>
          <t>Microsoft-Descoped</t>
        </is>
      </c>
      <c r="E658" s="18">
        <f>IFERROR(TRACKER!G658,"Not Started")</f>
        <v/>
      </c>
      <c r="F658" s="53">
        <f>IFERROR('[Microsoft_Descoped.xlsx]PE-10'!B21,"")</f>
        <v/>
      </c>
      <c r="G658" s="53" t="inlineStr"/>
      <c r="H658" s="53" t="inlineStr"/>
      <c r="I658" s="18" t="inlineStr"/>
      <c r="J658" s="19" t="inlineStr"/>
      <c r="K658" s="22" t="inlineStr"/>
      <c r="L658" s="18" t="inlineStr">
        <is>
          <t>Not Started</t>
        </is>
      </c>
    </row>
    <row r="659" ht="42" customHeight="1">
      <c r="A659" s="11" t="n">
        <v>657</v>
      </c>
      <c r="B659" s="50" t="inlineStr">
        <is>
          <t>PE-11</t>
        </is>
      </c>
      <c r="C659" s="11" t="inlineStr">
        <is>
          <t>PE</t>
        </is>
      </c>
      <c r="D659" s="12" t="inlineStr">
        <is>
          <t>Microsoft-Descoped</t>
        </is>
      </c>
      <c r="E659" s="11">
        <f>IFERROR(TRACKER!G659,"Not Started")</f>
        <v/>
      </c>
      <c r="F659" s="51">
        <f>IFERROR('[Microsoft_Descoped.xlsx]PE-11'!B21,"")</f>
        <v/>
      </c>
      <c r="G659" s="51" t="inlineStr"/>
      <c r="H659" s="51" t="inlineStr"/>
      <c r="I659" s="11" t="inlineStr"/>
      <c r="J659" s="12" t="inlineStr"/>
      <c r="K659" s="17" t="inlineStr"/>
      <c r="L659" s="11" t="inlineStr">
        <is>
          <t>Not Started</t>
        </is>
      </c>
    </row>
    <row r="660" ht="42" customHeight="1">
      <c r="A660" s="18" t="n">
        <v>658</v>
      </c>
      <c r="B660" s="52" t="inlineStr">
        <is>
          <t>PE-12</t>
        </is>
      </c>
      <c r="C660" s="18" t="inlineStr">
        <is>
          <t>PE</t>
        </is>
      </c>
      <c r="D660" s="19" t="inlineStr">
        <is>
          <t>Microsoft-Descoped</t>
        </is>
      </c>
      <c r="E660" s="18">
        <f>IFERROR(TRACKER!G660,"Not Started")</f>
        <v/>
      </c>
      <c r="F660" s="53">
        <f>IFERROR('[Microsoft_Descoped.xlsx]PE-12'!B21,"")</f>
        <v/>
      </c>
      <c r="G660" s="53" t="inlineStr"/>
      <c r="H660" s="53" t="inlineStr"/>
      <c r="I660" s="18" t="inlineStr"/>
      <c r="J660" s="19" t="inlineStr"/>
      <c r="K660" s="22" t="inlineStr"/>
      <c r="L660" s="18" t="inlineStr">
        <is>
          <t>Not Started</t>
        </is>
      </c>
    </row>
    <row r="661" ht="42" customHeight="1">
      <c r="A661" s="11" t="n">
        <v>659</v>
      </c>
      <c r="B661" s="50" t="inlineStr">
        <is>
          <t>PE-13</t>
        </is>
      </c>
      <c r="C661" s="11" t="inlineStr">
        <is>
          <t>PE</t>
        </is>
      </c>
      <c r="D661" s="12" t="inlineStr">
        <is>
          <t>Microsoft-Descoped</t>
        </is>
      </c>
      <c r="E661" s="11">
        <f>IFERROR(TRACKER!G661,"Not Started")</f>
        <v/>
      </c>
      <c r="F661" s="51">
        <f>IFERROR('[Microsoft_Descoped.xlsx]PE-13'!B21,"")</f>
        <v/>
      </c>
      <c r="G661" s="51" t="inlineStr"/>
      <c r="H661" s="51" t="inlineStr"/>
      <c r="I661" s="11" t="inlineStr"/>
      <c r="J661" s="12" t="inlineStr"/>
      <c r="K661" s="17" t="inlineStr"/>
      <c r="L661" s="11" t="inlineStr">
        <is>
          <t>Not Started</t>
        </is>
      </c>
    </row>
    <row r="662" ht="42" customHeight="1">
      <c r="A662" s="18" t="n">
        <v>660</v>
      </c>
      <c r="B662" s="52" t="inlineStr">
        <is>
          <t>PE-13(2)</t>
        </is>
      </c>
      <c r="C662" s="18" t="inlineStr">
        <is>
          <t>PE</t>
        </is>
      </c>
      <c r="D662" s="19" t="inlineStr">
        <is>
          <t>Microsoft-Descoped</t>
        </is>
      </c>
      <c r="E662" s="18">
        <f>IFERROR(TRACKER!G662,"Not Started")</f>
        <v/>
      </c>
      <c r="F662" s="53">
        <f>IFERROR('[Microsoft_Descoped.xlsx]PE-13-2'!B21,"")</f>
        <v/>
      </c>
      <c r="G662" s="53" t="inlineStr"/>
      <c r="H662" s="53" t="inlineStr"/>
      <c r="I662" s="18" t="inlineStr"/>
      <c r="J662" s="19" t="inlineStr"/>
      <c r="K662" s="22" t="inlineStr"/>
      <c r="L662" s="18" t="inlineStr">
        <is>
          <t>Not Started</t>
        </is>
      </c>
    </row>
    <row r="663" ht="42" customHeight="1">
      <c r="A663" s="11" t="n">
        <v>661</v>
      </c>
      <c r="B663" s="50" t="inlineStr">
        <is>
          <t>PE-13(3)</t>
        </is>
      </c>
      <c r="C663" s="11" t="inlineStr">
        <is>
          <t>PE</t>
        </is>
      </c>
      <c r="D663" s="12" t="inlineStr">
        <is>
          <t>Microsoft-Descoped</t>
        </is>
      </c>
      <c r="E663" s="11">
        <f>IFERROR(TRACKER!G663,"Not Started")</f>
        <v/>
      </c>
      <c r="F663" s="51">
        <f>IFERROR('[Microsoft_Descoped.xlsx]PE-13-3'!B21,"")</f>
        <v/>
      </c>
      <c r="G663" s="51" t="inlineStr"/>
      <c r="H663" s="51" t="inlineStr"/>
      <c r="I663" s="11" t="inlineStr"/>
      <c r="J663" s="12" t="inlineStr"/>
      <c r="K663" s="17" t="inlineStr"/>
      <c r="L663" s="11" t="inlineStr">
        <is>
          <t>Not Started</t>
        </is>
      </c>
    </row>
    <row r="664" ht="42" customHeight="1">
      <c r="A664" s="18" t="n">
        <v>662</v>
      </c>
      <c r="B664" s="52" t="inlineStr">
        <is>
          <t>PE-14</t>
        </is>
      </c>
      <c r="C664" s="18" t="inlineStr">
        <is>
          <t>PE</t>
        </is>
      </c>
      <c r="D664" s="19" t="inlineStr">
        <is>
          <t>Microsoft-Descoped</t>
        </is>
      </c>
      <c r="E664" s="18">
        <f>IFERROR(TRACKER!G664,"Not Started")</f>
        <v/>
      </c>
      <c r="F664" s="53">
        <f>IFERROR('[Microsoft_Descoped.xlsx]PE-14'!B21,"")</f>
        <v/>
      </c>
      <c r="G664" s="53" t="inlineStr"/>
      <c r="H664" s="53" t="inlineStr"/>
      <c r="I664" s="18" t="inlineStr"/>
      <c r="J664" s="19" t="inlineStr"/>
      <c r="K664" s="22" t="inlineStr"/>
      <c r="L664" s="18" t="inlineStr">
        <is>
          <t>Not Started</t>
        </is>
      </c>
    </row>
    <row r="665" ht="42" customHeight="1">
      <c r="A665" s="11" t="n">
        <v>663</v>
      </c>
      <c r="B665" s="50" t="inlineStr">
        <is>
          <t>PE-14(2)</t>
        </is>
      </c>
      <c r="C665" s="11" t="inlineStr">
        <is>
          <t>PE</t>
        </is>
      </c>
      <c r="D665" s="12" t="inlineStr">
        <is>
          <t>Microsoft-Descoped</t>
        </is>
      </c>
      <c r="E665" s="11">
        <f>IFERROR(TRACKER!G665,"Not Started")</f>
        <v/>
      </c>
      <c r="F665" s="51">
        <f>IFERROR('[Microsoft_Descoped.xlsx]PE-14-2'!B21,"")</f>
        <v/>
      </c>
      <c r="G665" s="51" t="inlineStr"/>
      <c r="H665" s="51" t="inlineStr"/>
      <c r="I665" s="11" t="inlineStr"/>
      <c r="J665" s="12" t="inlineStr"/>
      <c r="K665" s="17" t="inlineStr"/>
      <c r="L665" s="11" t="inlineStr">
        <is>
          <t>Not Started</t>
        </is>
      </c>
    </row>
    <row r="666" ht="42" customHeight="1">
      <c r="A666" s="18" t="n">
        <v>664</v>
      </c>
      <c r="B666" s="52" t="inlineStr">
        <is>
          <t>PE-15</t>
        </is>
      </c>
      <c r="C666" s="18" t="inlineStr">
        <is>
          <t>PE</t>
        </is>
      </c>
      <c r="D666" s="19" t="inlineStr">
        <is>
          <t>Microsoft-Descoped</t>
        </is>
      </c>
      <c r="E666" s="18">
        <f>IFERROR(TRACKER!G666,"Not Started")</f>
        <v/>
      </c>
      <c r="F666" s="53">
        <f>IFERROR('[Microsoft_Descoped.xlsx]PE-15'!B21,"")</f>
        <v/>
      </c>
      <c r="G666" s="53" t="inlineStr"/>
      <c r="H666" s="53" t="inlineStr"/>
      <c r="I666" s="18" t="inlineStr"/>
      <c r="J666" s="19" t="inlineStr"/>
      <c r="K666" s="22" t="inlineStr"/>
      <c r="L666" s="18" t="inlineStr">
        <is>
          <t>Not Started</t>
        </is>
      </c>
    </row>
    <row r="667" ht="42" customHeight="1">
      <c r="A667" s="11" t="n">
        <v>665</v>
      </c>
      <c r="B667" s="50" t="inlineStr">
        <is>
          <t>PE-16</t>
        </is>
      </c>
      <c r="C667" s="11" t="inlineStr">
        <is>
          <t>PE</t>
        </is>
      </c>
      <c r="D667" s="12" t="inlineStr">
        <is>
          <t>Microsoft-Descoped</t>
        </is>
      </c>
      <c r="E667" s="11">
        <f>IFERROR(TRACKER!G667,"Not Started")</f>
        <v/>
      </c>
      <c r="F667" s="51">
        <f>IFERROR('[Microsoft_Descoped.xlsx]PE-16'!B21,"")</f>
        <v/>
      </c>
      <c r="G667" s="51" t="inlineStr"/>
      <c r="H667" s="51" t="inlineStr"/>
      <c r="I667" s="11" t="inlineStr"/>
      <c r="J667" s="12" t="inlineStr"/>
      <c r="K667" s="17" t="inlineStr"/>
      <c r="L667" s="11" t="inlineStr">
        <is>
          <t>Not Started</t>
        </is>
      </c>
    </row>
    <row r="668" ht="42" customHeight="1">
      <c r="A668" s="18" t="n">
        <v>666</v>
      </c>
      <c r="B668" s="52" t="inlineStr">
        <is>
          <t>PE-17</t>
        </is>
      </c>
      <c r="C668" s="18" t="inlineStr">
        <is>
          <t>PE</t>
        </is>
      </c>
      <c r="D668" s="19" t="inlineStr">
        <is>
          <t>Microsoft-Descoped</t>
        </is>
      </c>
      <c r="E668" s="18">
        <f>IFERROR(TRACKER!G668,"Not Started")</f>
        <v/>
      </c>
      <c r="F668" s="53">
        <f>IFERROR('[Microsoft_Descoped.xlsx]PE-17'!B21,"")</f>
        <v/>
      </c>
      <c r="G668" s="53" t="inlineStr"/>
      <c r="H668" s="53" t="inlineStr"/>
      <c r="I668" s="18" t="inlineStr"/>
      <c r="J668" s="19" t="inlineStr"/>
      <c r="K668" s="22" t="inlineStr"/>
      <c r="L668" s="18" t="inlineStr">
        <is>
          <t>Not Started</t>
        </is>
      </c>
    </row>
    <row r="669" ht="42" customHeight="1">
      <c r="A669" s="11" t="n">
        <v>667</v>
      </c>
      <c r="B669" s="50" t="inlineStr">
        <is>
          <t>SA-9</t>
        </is>
      </c>
      <c r="C669" s="11" t="inlineStr">
        <is>
          <t>SA</t>
        </is>
      </c>
      <c r="D669" s="12" t="inlineStr">
        <is>
          <t>Microsoft-Descoped</t>
        </is>
      </c>
      <c r="E669" s="11">
        <f>IFERROR(TRACKER!G669,"Not Started")</f>
        <v/>
      </c>
      <c r="F669" s="51">
        <f>IFERROR('[Microsoft_Descoped.xlsx]SA-9'!B21,"")</f>
        <v/>
      </c>
      <c r="G669" s="51" t="inlineStr"/>
      <c r="H669" s="51" t="inlineStr"/>
      <c r="I669" s="11" t="inlineStr"/>
      <c r="J669" s="12" t="inlineStr"/>
      <c r="K669" s="17" t="inlineStr"/>
      <c r="L669" s="11" t="inlineStr">
        <is>
          <t>Not Started</t>
        </is>
      </c>
    </row>
    <row r="670" ht="42" customHeight="1">
      <c r="A670" s="18" t="n">
        <v>668</v>
      </c>
      <c r="B670" s="52" t="inlineStr">
        <is>
          <t>SA-9(2)</t>
        </is>
      </c>
      <c r="C670" s="18" t="inlineStr">
        <is>
          <t>SA</t>
        </is>
      </c>
      <c r="D670" s="19" t="inlineStr">
        <is>
          <t>Microsoft-Descoped</t>
        </is>
      </c>
      <c r="E670" s="18">
        <f>IFERROR(TRACKER!G670,"Not Started")</f>
        <v/>
      </c>
      <c r="F670" s="53">
        <f>IFERROR('[Microsoft_Descoped.xlsx]SA-9-2'!B21,"")</f>
        <v/>
      </c>
      <c r="G670" s="53" t="inlineStr"/>
      <c r="H670" s="53" t="inlineStr"/>
      <c r="I670" s="18" t="inlineStr"/>
      <c r="J670" s="19" t="inlineStr"/>
      <c r="K670" s="22" t="inlineStr"/>
      <c r="L670" s="18" t="inlineStr">
        <is>
          <t>Not Started</t>
        </is>
      </c>
    </row>
    <row r="671" ht="42" customHeight="1">
      <c r="A671" s="11" t="n">
        <v>669</v>
      </c>
      <c r="B671" s="50" t="inlineStr">
        <is>
          <t>SA-9(4)</t>
        </is>
      </c>
      <c r="C671" s="11" t="inlineStr">
        <is>
          <t>SA</t>
        </is>
      </c>
      <c r="D671" s="12" t="inlineStr">
        <is>
          <t>Microsoft-Descoped</t>
        </is>
      </c>
      <c r="E671" s="11">
        <f>IFERROR(TRACKER!G671,"Not Started")</f>
        <v/>
      </c>
      <c r="F671" s="51">
        <f>IFERROR('[Microsoft_Descoped.xlsx]SA-9-4'!B21,"")</f>
        <v/>
      </c>
      <c r="G671" s="51" t="inlineStr"/>
      <c r="H671" s="51" t="inlineStr"/>
      <c r="I671" s="11" t="inlineStr"/>
      <c r="J671" s="12" t="inlineStr"/>
      <c r="K671" s="17" t="inlineStr"/>
      <c r="L671" s="11" t="inlineStr">
        <is>
          <t>Not Started</t>
        </is>
      </c>
    </row>
    <row r="672" ht="42" customHeight="1">
      <c r="A672" s="18" t="n">
        <v>670</v>
      </c>
      <c r="B672" s="52" t="inlineStr">
        <is>
          <t>SC-15</t>
        </is>
      </c>
      <c r="C672" s="18" t="inlineStr">
        <is>
          <t>SC</t>
        </is>
      </c>
      <c r="D672" s="19" t="inlineStr">
        <is>
          <t>Microsoft-Descoped</t>
        </is>
      </c>
      <c r="E672" s="18">
        <f>IFERROR(TRACKER!G672,"Not Started")</f>
        <v/>
      </c>
      <c r="F672" s="53">
        <f>IFERROR('[Microsoft_Descoped.xlsx]SC-15'!B21,"")</f>
        <v/>
      </c>
      <c r="G672" s="53" t="inlineStr"/>
      <c r="H672" s="53" t="inlineStr"/>
      <c r="I672" s="18" t="inlineStr"/>
      <c r="J672" s="19" t="inlineStr"/>
      <c r="K672" s="22" t="inlineStr"/>
      <c r="L672" s="18" t="inlineStr">
        <is>
          <t>Not Started</t>
        </is>
      </c>
    </row>
    <row r="673" ht="42" customHeight="1">
      <c r="A673" s="11" t="n">
        <v>671</v>
      </c>
      <c r="B673" s="50" t="inlineStr">
        <is>
          <t>SC-19</t>
        </is>
      </c>
      <c r="C673" s="11" t="inlineStr">
        <is>
          <t>SC</t>
        </is>
      </c>
      <c r="D673" s="12" t="inlineStr">
        <is>
          <t>Microsoft-Descoped</t>
        </is>
      </c>
      <c r="E673" s="11">
        <f>IFERROR(TRACKER!G673,"Not Started")</f>
        <v/>
      </c>
      <c r="F673" s="51">
        <f>IFERROR('[Microsoft_Descoped.xlsx]SC-19'!B21,"")</f>
        <v/>
      </c>
      <c r="G673" s="51" t="inlineStr"/>
      <c r="H673" s="51" t="inlineStr"/>
      <c r="I673" s="11" t="inlineStr"/>
      <c r="J673" s="12" t="inlineStr"/>
      <c r="K673" s="17" t="inlineStr"/>
      <c r="L673" s="11" t="inlineStr">
        <is>
          <t>Not Started</t>
        </is>
      </c>
    </row>
    <row r="674" ht="42" customHeight="1">
      <c r="A674" s="18" t="n">
        <v>672</v>
      </c>
      <c r="B674" s="52" t="inlineStr">
        <is>
          <t>SC-39</t>
        </is>
      </c>
      <c r="C674" s="18" t="inlineStr">
        <is>
          <t>SC</t>
        </is>
      </c>
      <c r="D674" s="19" t="inlineStr">
        <is>
          <t>Microsoft-Descoped</t>
        </is>
      </c>
      <c r="E674" s="18">
        <f>IFERROR(TRACKER!G674,"Not Started")</f>
        <v/>
      </c>
      <c r="F674" s="53">
        <f>IFERROR('[Microsoft_Descoped.xlsx]SC-39'!B21,"")</f>
        <v/>
      </c>
      <c r="G674" s="53" t="inlineStr"/>
      <c r="H674" s="53" t="inlineStr"/>
      <c r="I674" s="18" t="inlineStr"/>
      <c r="J674" s="19" t="inlineStr"/>
      <c r="K674" s="22" t="inlineStr"/>
      <c r="L674" s="18" t="inlineStr">
        <is>
          <t>Not Started</t>
        </is>
      </c>
    </row>
    <row r="675" ht="42" customHeight="1">
      <c r="A675" s="11" t="n">
        <v>673</v>
      </c>
      <c r="B675" s="50" t="inlineStr">
        <is>
          <t>SI-4(14)</t>
        </is>
      </c>
      <c r="C675" s="11" t="inlineStr">
        <is>
          <t>SI</t>
        </is>
      </c>
      <c r="D675" s="12" t="inlineStr">
        <is>
          <t>Microsoft-Descoped</t>
        </is>
      </c>
      <c r="E675" s="11">
        <f>IFERROR(TRACKER!G675,"Not Started")</f>
        <v/>
      </c>
      <c r="F675" s="51">
        <f>IFERROR('[Microsoft_Descoped.xlsx]SI-4-14'!B21,"")</f>
        <v/>
      </c>
      <c r="G675" s="51" t="inlineStr"/>
      <c r="H675" s="51" t="inlineStr"/>
      <c r="I675" s="11" t="inlineStr"/>
      <c r="J675" s="12" t="inlineStr"/>
      <c r="K675" s="17" t="inlineStr"/>
      <c r="L675" s="11" t="inlineStr">
        <is>
          <t>Not Started</t>
        </is>
      </c>
    </row>
    <row r="676" ht="42" customHeight="1">
      <c r="A676" s="18" t="n">
        <v>674</v>
      </c>
      <c r="B676" s="52" t="inlineStr">
        <is>
          <t>SI-16</t>
        </is>
      </c>
      <c r="C676" s="18" t="inlineStr">
        <is>
          <t>SI</t>
        </is>
      </c>
      <c r="D676" s="19" t="inlineStr">
        <is>
          <t>Microsoft-Descoped</t>
        </is>
      </c>
      <c r="E676" s="18">
        <f>IFERROR(TRACKER!G676,"Not Started")</f>
        <v/>
      </c>
      <c r="F676" s="53">
        <f>IFERROR('[Microsoft_Descoped.xlsx]SI-16'!B21,"")</f>
        <v/>
      </c>
      <c r="G676" s="53" t="inlineStr"/>
      <c r="H676" s="53" t="inlineStr"/>
      <c r="I676" s="18" t="inlineStr"/>
      <c r="J676" s="19" t="inlineStr"/>
      <c r="K676" s="22" t="inlineStr"/>
      <c r="L676" s="18" t="inlineStr">
        <is>
          <t>Not Started</t>
        </is>
      </c>
    </row>
    <row r="677" ht="42" customHeight="1">
      <c r="A677" s="11" t="n">
        <v>675</v>
      </c>
      <c r="B677" s="50" t="inlineStr">
        <is>
          <t>AC-4</t>
        </is>
      </c>
      <c r="C677" s="11" t="inlineStr">
        <is>
          <t>AC</t>
        </is>
      </c>
      <c r="D677" s="12" t="inlineStr">
        <is>
          <t>Networking</t>
        </is>
      </c>
      <c r="E677" s="11">
        <f>IFERROR(TRACKER!G677,"Not Started")</f>
        <v/>
      </c>
      <c r="F677" s="51">
        <f>IFERROR('[Networking.xlsx]AC-4'!B21,"")</f>
        <v/>
      </c>
      <c r="G677" s="51" t="inlineStr"/>
      <c r="H677" s="51" t="inlineStr"/>
      <c r="I677" s="11" t="inlineStr"/>
      <c r="J677" s="12" t="inlineStr"/>
      <c r="K677" s="17" t="inlineStr"/>
      <c r="L677" s="11" t="inlineStr">
        <is>
          <t>Not Started</t>
        </is>
      </c>
    </row>
    <row r="678" ht="42" customHeight="1">
      <c r="A678" s="18" t="n">
        <v>676</v>
      </c>
      <c r="B678" s="52" t="inlineStr">
        <is>
          <t>AC-4(21)</t>
        </is>
      </c>
      <c r="C678" s="18" t="inlineStr">
        <is>
          <t>AC</t>
        </is>
      </c>
      <c r="D678" s="19" t="inlineStr">
        <is>
          <t>Networking</t>
        </is>
      </c>
      <c r="E678" s="18">
        <f>IFERROR(TRACKER!G678,"Not Started")</f>
        <v/>
      </c>
      <c r="F678" s="53">
        <f>IFERROR('[Networking.xlsx]AC-4-21'!B21,"")</f>
        <v/>
      </c>
      <c r="G678" s="53" t="inlineStr"/>
      <c r="H678" s="53" t="inlineStr"/>
      <c r="I678" s="18" t="inlineStr"/>
      <c r="J678" s="19" t="inlineStr"/>
      <c r="K678" s="22" t="inlineStr"/>
      <c r="L678" s="18" t="inlineStr">
        <is>
          <t>Not Started</t>
        </is>
      </c>
    </row>
    <row r="679" ht="42" customHeight="1">
      <c r="A679" s="11" t="n">
        <v>677</v>
      </c>
      <c r="B679" s="50" t="inlineStr">
        <is>
          <t>AC-17(1)</t>
        </is>
      </c>
      <c r="C679" s="11" t="inlineStr">
        <is>
          <t>AC</t>
        </is>
      </c>
      <c r="D679" s="12" t="inlineStr">
        <is>
          <t>Networking</t>
        </is>
      </c>
      <c r="E679" s="11">
        <f>IFERROR(TRACKER!G679,"Not Started")</f>
        <v/>
      </c>
      <c r="F679" s="51">
        <f>IFERROR('[Networking.xlsx]AC-17-1'!B21,"")</f>
        <v/>
      </c>
      <c r="G679" s="51" t="inlineStr"/>
      <c r="H679" s="51" t="inlineStr"/>
      <c r="I679" s="11" t="inlineStr"/>
      <c r="J679" s="12" t="inlineStr"/>
      <c r="K679" s="17" t="inlineStr"/>
      <c r="L679" s="11" t="inlineStr">
        <is>
          <t>Not Started</t>
        </is>
      </c>
    </row>
    <row r="680" ht="42" customHeight="1">
      <c r="A680" s="18" t="n">
        <v>678</v>
      </c>
      <c r="B680" s="52" t="inlineStr">
        <is>
          <t>AC-17(2)</t>
        </is>
      </c>
      <c r="C680" s="18" t="inlineStr">
        <is>
          <t>AC</t>
        </is>
      </c>
      <c r="D680" s="19" t="inlineStr">
        <is>
          <t>Networking</t>
        </is>
      </c>
      <c r="E680" s="18">
        <f>IFERROR(TRACKER!G680,"Not Started")</f>
        <v/>
      </c>
      <c r="F680" s="53">
        <f>IFERROR('[Networking.xlsx]AC-17-2'!B21,"")</f>
        <v/>
      </c>
      <c r="G680" s="53" t="inlineStr"/>
      <c r="H680" s="53" t="inlineStr"/>
      <c r="I680" s="18" t="inlineStr"/>
      <c r="J680" s="19" t="inlineStr"/>
      <c r="K680" s="22" t="inlineStr"/>
      <c r="L680" s="18" t="inlineStr">
        <is>
          <t>Not Started</t>
        </is>
      </c>
    </row>
    <row r="681" ht="42" customHeight="1">
      <c r="A681" s="11" t="n">
        <v>679</v>
      </c>
      <c r="B681" s="50" t="inlineStr">
        <is>
          <t>AC-17(3)</t>
        </is>
      </c>
      <c r="C681" s="11" t="inlineStr">
        <is>
          <t>AC</t>
        </is>
      </c>
      <c r="D681" s="12" t="inlineStr">
        <is>
          <t>Networking</t>
        </is>
      </c>
      <c r="E681" s="11">
        <f>IFERROR(TRACKER!G681,"Not Started")</f>
        <v/>
      </c>
      <c r="F681" s="51">
        <f>IFERROR('[Networking.xlsx]AC-17-3'!B21,"")</f>
        <v/>
      </c>
      <c r="G681" s="51" t="inlineStr"/>
      <c r="H681" s="51" t="inlineStr"/>
      <c r="I681" s="11" t="inlineStr"/>
      <c r="J681" s="12" t="inlineStr"/>
      <c r="K681" s="17" t="inlineStr"/>
      <c r="L681" s="11" t="inlineStr">
        <is>
          <t>Not Started</t>
        </is>
      </c>
    </row>
    <row r="682" ht="42" customHeight="1">
      <c r="A682" s="18" t="n">
        <v>680</v>
      </c>
      <c r="B682" s="52" t="inlineStr">
        <is>
          <t>AC-17(9)</t>
        </is>
      </c>
      <c r="C682" s="18" t="inlineStr">
        <is>
          <t>AC</t>
        </is>
      </c>
      <c r="D682" s="19" t="inlineStr">
        <is>
          <t>Networking</t>
        </is>
      </c>
      <c r="E682" s="18">
        <f>IFERROR(TRACKER!G682,"Not Started")</f>
        <v/>
      </c>
      <c r="F682" s="53">
        <f>IFERROR('[Networking.xlsx]AC-17-9'!B21,"")</f>
        <v/>
      </c>
      <c r="G682" s="53" t="inlineStr"/>
      <c r="H682" s="53" t="inlineStr"/>
      <c r="I682" s="18" t="inlineStr"/>
      <c r="J682" s="19" t="inlineStr"/>
      <c r="K682" s="22" t="inlineStr"/>
      <c r="L682" s="18" t="inlineStr">
        <is>
          <t>Not Started</t>
        </is>
      </c>
    </row>
    <row r="683" ht="42" customHeight="1">
      <c r="A683" s="11" t="n">
        <v>681</v>
      </c>
      <c r="B683" s="50" t="inlineStr">
        <is>
          <t>AC-17(100)</t>
        </is>
      </c>
      <c r="C683" s="11" t="inlineStr">
        <is>
          <t>AC</t>
        </is>
      </c>
      <c r="D683" s="12" t="inlineStr">
        <is>
          <t>Networking</t>
        </is>
      </c>
      <c r="E683" s="11">
        <f>IFERROR(TRACKER!G683,"Not Started")</f>
        <v/>
      </c>
      <c r="F683" s="51">
        <f>IFERROR('[Networking.xlsx]AC-17-100'!B21,"")</f>
        <v/>
      </c>
      <c r="G683" s="51" t="inlineStr"/>
      <c r="H683" s="51" t="inlineStr"/>
      <c r="I683" s="11" t="inlineStr"/>
      <c r="J683" s="12" t="inlineStr"/>
      <c r="K683" s="17" t="inlineStr"/>
      <c r="L683" s="11" t="inlineStr">
        <is>
          <t>Not Started</t>
        </is>
      </c>
    </row>
    <row r="684" ht="42" customHeight="1">
      <c r="A684" s="18" t="n">
        <v>682</v>
      </c>
      <c r="B684" s="52" t="inlineStr">
        <is>
          <t>AU-2</t>
        </is>
      </c>
      <c r="C684" s="18" t="inlineStr">
        <is>
          <t>AU</t>
        </is>
      </c>
      <c r="D684" s="19" t="inlineStr">
        <is>
          <t>Networking</t>
        </is>
      </c>
      <c r="E684" s="18">
        <f>IFERROR(TRACKER!G684,"Not Started")</f>
        <v/>
      </c>
      <c r="F684" s="53">
        <f>IFERROR('[Networking.xlsx]AU-2'!B21,"")</f>
        <v/>
      </c>
      <c r="G684" s="53" t="inlineStr"/>
      <c r="H684" s="53" t="inlineStr"/>
      <c r="I684" s="18" t="inlineStr"/>
      <c r="J684" s="19" t="inlineStr"/>
      <c r="K684" s="22" t="inlineStr"/>
      <c r="L684" s="18" t="inlineStr">
        <is>
          <t>Not Started</t>
        </is>
      </c>
    </row>
    <row r="685" ht="42" customHeight="1">
      <c r="A685" s="11" t="n">
        <v>683</v>
      </c>
      <c r="B685" s="50" t="inlineStr">
        <is>
          <t>AU-3</t>
        </is>
      </c>
      <c r="C685" s="11" t="inlineStr">
        <is>
          <t>AU</t>
        </is>
      </c>
      <c r="D685" s="12" t="inlineStr">
        <is>
          <t>Networking</t>
        </is>
      </c>
      <c r="E685" s="11">
        <f>IFERROR(TRACKER!G685,"Not Started")</f>
        <v/>
      </c>
      <c r="F685" s="51">
        <f>IFERROR('[Networking.xlsx]AU-3'!B21,"")</f>
        <v/>
      </c>
      <c r="G685" s="51" t="inlineStr"/>
      <c r="H685" s="51" t="inlineStr"/>
      <c r="I685" s="11" t="inlineStr"/>
      <c r="J685" s="12" t="inlineStr"/>
      <c r="K685" s="17" t="inlineStr"/>
      <c r="L685" s="11" t="inlineStr">
        <is>
          <t>Not Started</t>
        </is>
      </c>
    </row>
    <row r="686" ht="42" customHeight="1">
      <c r="A686" s="18" t="n">
        <v>684</v>
      </c>
      <c r="B686" s="52" t="inlineStr">
        <is>
          <t>AU-3(1)</t>
        </is>
      </c>
      <c r="C686" s="18" t="inlineStr">
        <is>
          <t>AU</t>
        </is>
      </c>
      <c r="D686" s="19" t="inlineStr">
        <is>
          <t>Networking</t>
        </is>
      </c>
      <c r="E686" s="18">
        <f>IFERROR(TRACKER!G686,"Not Started")</f>
        <v/>
      </c>
      <c r="F686" s="53">
        <f>IFERROR('[Networking.xlsx]AU-3-1'!B21,"")</f>
        <v/>
      </c>
      <c r="G686" s="53" t="inlineStr"/>
      <c r="H686" s="53" t="inlineStr"/>
      <c r="I686" s="18" t="inlineStr"/>
      <c r="J686" s="19" t="inlineStr"/>
      <c r="K686" s="22" t="inlineStr"/>
      <c r="L686" s="18" t="inlineStr">
        <is>
          <t>Not Started</t>
        </is>
      </c>
    </row>
    <row r="687" ht="42" customHeight="1">
      <c r="A687" s="11" t="n">
        <v>685</v>
      </c>
      <c r="B687" s="50" t="inlineStr">
        <is>
          <t>AU-9(2)</t>
        </is>
      </c>
      <c r="C687" s="11" t="inlineStr">
        <is>
          <t>AU</t>
        </is>
      </c>
      <c r="D687" s="12" t="inlineStr">
        <is>
          <t>Networking</t>
        </is>
      </c>
      <c r="E687" s="11">
        <f>IFERROR(TRACKER!G687,"Not Started")</f>
        <v/>
      </c>
      <c r="F687" s="51">
        <f>IFERROR('[Networking.xlsx]AU-9-2'!B21,"")</f>
        <v/>
      </c>
      <c r="G687" s="51" t="inlineStr"/>
      <c r="H687" s="51" t="inlineStr"/>
      <c r="I687" s="11" t="inlineStr"/>
      <c r="J687" s="12" t="inlineStr"/>
      <c r="K687" s="17" t="inlineStr"/>
      <c r="L687" s="11" t="inlineStr">
        <is>
          <t>Not Started</t>
        </is>
      </c>
    </row>
    <row r="688" ht="42" customHeight="1">
      <c r="A688" s="18" t="n">
        <v>686</v>
      </c>
      <c r="B688" s="52" t="inlineStr">
        <is>
          <t>AU-12</t>
        </is>
      </c>
      <c r="C688" s="18" t="inlineStr">
        <is>
          <t>AU</t>
        </is>
      </c>
      <c r="D688" s="19" t="inlineStr">
        <is>
          <t>Networking</t>
        </is>
      </c>
      <c r="E688" s="18">
        <f>IFERROR(TRACKER!G688,"Not Started")</f>
        <v/>
      </c>
      <c r="F688" s="53">
        <f>IFERROR('[Networking.xlsx]AU-12'!B21,"")</f>
        <v/>
      </c>
      <c r="G688" s="53" t="inlineStr"/>
      <c r="H688" s="53" t="inlineStr"/>
      <c r="I688" s="18" t="inlineStr"/>
      <c r="J688" s="19" t="inlineStr"/>
      <c r="K688" s="22" t="inlineStr"/>
      <c r="L688" s="18" t="inlineStr">
        <is>
          <t>Not Started</t>
        </is>
      </c>
    </row>
    <row r="689" ht="42" customHeight="1">
      <c r="A689" s="11" t="n">
        <v>687</v>
      </c>
      <c r="B689" s="50" t="inlineStr">
        <is>
          <t>CA-3(5)</t>
        </is>
      </c>
      <c r="C689" s="11" t="inlineStr">
        <is>
          <t>CA</t>
        </is>
      </c>
      <c r="D689" s="12" t="inlineStr">
        <is>
          <t>Networking</t>
        </is>
      </c>
      <c r="E689" s="11">
        <f>IFERROR(TRACKER!G689,"Not Started")</f>
        <v/>
      </c>
      <c r="F689" s="51">
        <f>IFERROR('[Networking.xlsx]CA-3-5'!B21,"")</f>
        <v/>
      </c>
      <c r="G689" s="51" t="inlineStr"/>
      <c r="H689" s="51" t="inlineStr"/>
      <c r="I689" s="11" t="inlineStr"/>
      <c r="J689" s="12" t="inlineStr"/>
      <c r="K689" s="17" t="inlineStr"/>
      <c r="L689" s="11" t="inlineStr">
        <is>
          <t>Not Started</t>
        </is>
      </c>
    </row>
    <row r="690" ht="42" customHeight="1">
      <c r="A690" s="18" t="n">
        <v>688</v>
      </c>
      <c r="B690" s="52" t="inlineStr">
        <is>
          <t>CA-9</t>
        </is>
      </c>
      <c r="C690" s="18" t="inlineStr">
        <is>
          <t>CA</t>
        </is>
      </c>
      <c r="D690" s="19" t="inlineStr">
        <is>
          <t>Networking</t>
        </is>
      </c>
      <c r="E690" s="18">
        <f>IFERROR(TRACKER!G690,"Not Started")</f>
        <v/>
      </c>
      <c r="F690" s="53">
        <f>IFERROR('[Networking.xlsx]CA-9'!B21,"")</f>
        <v/>
      </c>
      <c r="G690" s="53" t="inlineStr"/>
      <c r="H690" s="53" t="inlineStr"/>
      <c r="I690" s="18" t="inlineStr"/>
      <c r="J690" s="19" t="inlineStr"/>
      <c r="K690" s="22" t="inlineStr"/>
      <c r="L690" s="18" t="inlineStr">
        <is>
          <t>Not Started</t>
        </is>
      </c>
    </row>
    <row r="691" ht="42" customHeight="1">
      <c r="A691" s="11" t="n">
        <v>689</v>
      </c>
      <c r="B691" s="50" t="inlineStr">
        <is>
          <t>CM-6</t>
        </is>
      </c>
      <c r="C691" s="11" t="inlineStr">
        <is>
          <t>CM</t>
        </is>
      </c>
      <c r="D691" s="12" t="inlineStr">
        <is>
          <t>Networking</t>
        </is>
      </c>
      <c r="E691" s="11">
        <f>IFERROR(TRACKER!G691,"Not Started")</f>
        <v/>
      </c>
      <c r="F691" s="51">
        <f>IFERROR('[Networking.xlsx]CM-6'!B21,"")</f>
        <v/>
      </c>
      <c r="G691" s="51" t="inlineStr"/>
      <c r="H691" s="51" t="inlineStr"/>
      <c r="I691" s="11" t="inlineStr"/>
      <c r="J691" s="12" t="inlineStr"/>
      <c r="K691" s="17" t="inlineStr"/>
      <c r="L691" s="11" t="inlineStr">
        <is>
          <t>Not Started</t>
        </is>
      </c>
    </row>
    <row r="692" ht="42" customHeight="1">
      <c r="A692" s="18" t="n">
        <v>690</v>
      </c>
      <c r="B692" s="52" t="inlineStr">
        <is>
          <t>CM-7</t>
        </is>
      </c>
      <c r="C692" s="18" t="inlineStr">
        <is>
          <t>CM</t>
        </is>
      </c>
      <c r="D692" s="19" t="inlineStr">
        <is>
          <t>Networking</t>
        </is>
      </c>
      <c r="E692" s="18">
        <f>IFERROR(TRACKER!G692,"Not Started")</f>
        <v/>
      </c>
      <c r="F692" s="53">
        <f>IFERROR('[Networking.xlsx]CM-7'!B21,"")</f>
        <v/>
      </c>
      <c r="G692" s="53" t="inlineStr"/>
      <c r="H692" s="53" t="inlineStr"/>
      <c r="I692" s="18" t="inlineStr"/>
      <c r="J692" s="19" t="inlineStr"/>
      <c r="K692" s="22" t="inlineStr"/>
      <c r="L692" s="18" t="inlineStr">
        <is>
          <t>Not Started</t>
        </is>
      </c>
    </row>
    <row r="693" ht="42" customHeight="1">
      <c r="A693" s="11" t="n">
        <v>691</v>
      </c>
      <c r="B693" s="50" t="inlineStr">
        <is>
          <t>CM-7(1)</t>
        </is>
      </c>
      <c r="C693" s="11" t="inlineStr">
        <is>
          <t>CM</t>
        </is>
      </c>
      <c r="D693" s="12" t="inlineStr">
        <is>
          <t>Networking</t>
        </is>
      </c>
      <c r="E693" s="11">
        <f>IFERROR(TRACKER!G693,"Not Started")</f>
        <v/>
      </c>
      <c r="F693" s="51">
        <f>IFERROR('[Networking.xlsx]CM-7-1'!B21,"")</f>
        <v/>
      </c>
      <c r="G693" s="51" t="inlineStr"/>
      <c r="H693" s="51" t="inlineStr"/>
      <c r="I693" s="11" t="inlineStr"/>
      <c r="J693" s="12" t="inlineStr"/>
      <c r="K693" s="17" t="inlineStr"/>
      <c r="L693" s="11" t="inlineStr">
        <is>
          <t>Not Started</t>
        </is>
      </c>
    </row>
    <row r="694" ht="42" customHeight="1">
      <c r="A694" s="18" t="n">
        <v>692</v>
      </c>
      <c r="B694" s="52" t="inlineStr">
        <is>
          <t>CM-10</t>
        </is>
      </c>
      <c r="C694" s="18" t="inlineStr">
        <is>
          <t>CM</t>
        </is>
      </c>
      <c r="D694" s="19" t="inlineStr">
        <is>
          <t>Networking</t>
        </is>
      </c>
      <c r="E694" s="18">
        <f>IFERROR(TRACKER!G694,"Not Started")</f>
        <v/>
      </c>
      <c r="F694" s="53">
        <f>IFERROR('[Networking.xlsx]CM-10'!B21,"")</f>
        <v/>
      </c>
      <c r="G694" s="53" t="inlineStr"/>
      <c r="H694" s="53" t="inlineStr"/>
      <c r="I694" s="18" t="inlineStr"/>
      <c r="J694" s="19" t="inlineStr"/>
      <c r="K694" s="22" t="inlineStr"/>
      <c r="L694" s="18" t="inlineStr">
        <is>
          <t>Not Started</t>
        </is>
      </c>
    </row>
    <row r="695" ht="42" customHeight="1">
      <c r="A695" s="11" t="n">
        <v>693</v>
      </c>
      <c r="B695" s="50" t="inlineStr">
        <is>
          <t>CP-7</t>
        </is>
      </c>
      <c r="C695" s="11" t="inlineStr">
        <is>
          <t>CP</t>
        </is>
      </c>
      <c r="D695" s="12" t="inlineStr">
        <is>
          <t>Networking</t>
        </is>
      </c>
      <c r="E695" s="11">
        <f>IFERROR(TRACKER!G695,"Not Started")</f>
        <v/>
      </c>
      <c r="F695" s="51">
        <f>IFERROR('[Networking.xlsx]CP-7'!B21,"")</f>
        <v/>
      </c>
      <c r="G695" s="51" t="inlineStr"/>
      <c r="H695" s="51" t="inlineStr"/>
      <c r="I695" s="11" t="inlineStr"/>
      <c r="J695" s="12" t="inlineStr"/>
      <c r="K695" s="17" t="inlineStr"/>
      <c r="L695" s="11" t="inlineStr">
        <is>
          <t>Not Started</t>
        </is>
      </c>
    </row>
    <row r="696" ht="42" customHeight="1">
      <c r="A696" s="18" t="n">
        <v>694</v>
      </c>
      <c r="B696" s="52" t="inlineStr">
        <is>
          <t>CP-7(4)</t>
        </is>
      </c>
      <c r="C696" s="18" t="inlineStr">
        <is>
          <t>CP</t>
        </is>
      </c>
      <c r="D696" s="19" t="inlineStr">
        <is>
          <t>Networking</t>
        </is>
      </c>
      <c r="E696" s="18">
        <f>IFERROR(TRACKER!G696,"Not Started")</f>
        <v/>
      </c>
      <c r="F696" s="53">
        <f>IFERROR('[Networking.xlsx]CP-7-4'!B21,"")</f>
        <v/>
      </c>
      <c r="G696" s="53" t="inlineStr"/>
      <c r="H696" s="53" t="inlineStr"/>
      <c r="I696" s="18" t="inlineStr"/>
      <c r="J696" s="19" t="inlineStr"/>
      <c r="K696" s="22" t="inlineStr"/>
      <c r="L696" s="18" t="inlineStr">
        <is>
          <t>Not Started</t>
        </is>
      </c>
    </row>
    <row r="697" ht="42" customHeight="1">
      <c r="A697" s="11" t="n">
        <v>695</v>
      </c>
      <c r="B697" s="50" t="inlineStr">
        <is>
          <t>CP-10</t>
        </is>
      </c>
      <c r="C697" s="11" t="inlineStr">
        <is>
          <t>CP</t>
        </is>
      </c>
      <c r="D697" s="12" t="inlineStr">
        <is>
          <t>Networking</t>
        </is>
      </c>
      <c r="E697" s="11">
        <f>IFERROR(TRACKER!G697,"Not Started")</f>
        <v/>
      </c>
      <c r="F697" s="51">
        <f>IFERROR('[Networking.xlsx]CP-10'!B21,"")</f>
        <v/>
      </c>
      <c r="G697" s="51" t="inlineStr"/>
      <c r="H697" s="51" t="inlineStr"/>
      <c r="I697" s="11" t="inlineStr"/>
      <c r="J697" s="12" t="inlineStr"/>
      <c r="K697" s="17" t="inlineStr"/>
      <c r="L697" s="11" t="inlineStr">
        <is>
          <t>Not Started</t>
        </is>
      </c>
    </row>
    <row r="698" ht="42" customHeight="1">
      <c r="A698" s="18" t="n">
        <v>696</v>
      </c>
      <c r="B698" s="52" t="inlineStr">
        <is>
          <t>CP-10(4)</t>
        </is>
      </c>
      <c r="C698" s="18" t="inlineStr">
        <is>
          <t>CP</t>
        </is>
      </c>
      <c r="D698" s="19" t="inlineStr">
        <is>
          <t>Networking</t>
        </is>
      </c>
      <c r="E698" s="18">
        <f>IFERROR(TRACKER!G698,"Not Started")</f>
        <v/>
      </c>
      <c r="F698" s="53">
        <f>IFERROR('[Networking.xlsx]CP-10-4'!B21,"")</f>
        <v/>
      </c>
      <c r="G698" s="53" t="inlineStr"/>
      <c r="H698" s="53" t="inlineStr"/>
      <c r="I698" s="18" t="inlineStr"/>
      <c r="J698" s="19" t="inlineStr"/>
      <c r="K698" s="22" t="inlineStr"/>
      <c r="L698" s="18" t="inlineStr">
        <is>
          <t>Not Started</t>
        </is>
      </c>
    </row>
    <row r="699" ht="42" customHeight="1">
      <c r="A699" s="11" t="n">
        <v>697</v>
      </c>
      <c r="B699" s="50" t="inlineStr">
        <is>
          <t>IA-3</t>
        </is>
      </c>
      <c r="C699" s="11" t="inlineStr">
        <is>
          <t>IA</t>
        </is>
      </c>
      <c r="D699" s="12" t="inlineStr">
        <is>
          <t>Networking</t>
        </is>
      </c>
      <c r="E699" s="11">
        <f>IFERROR(TRACKER!G699,"Not Started")</f>
        <v/>
      </c>
      <c r="F699" s="51">
        <f>IFERROR('[Networking.xlsx]IA-3'!B21,"")</f>
        <v/>
      </c>
      <c r="G699" s="51" t="inlineStr"/>
      <c r="H699" s="51" t="inlineStr"/>
      <c r="I699" s="11" t="inlineStr"/>
      <c r="J699" s="12" t="inlineStr"/>
      <c r="K699" s="17" t="inlineStr"/>
      <c r="L699" s="11" t="inlineStr">
        <is>
          <t>Not Started</t>
        </is>
      </c>
    </row>
    <row r="700" ht="42" customHeight="1">
      <c r="A700" s="18" t="n">
        <v>698</v>
      </c>
      <c r="B700" s="52" t="inlineStr">
        <is>
          <t>MA-4(6)</t>
        </is>
      </c>
      <c r="C700" s="18" t="inlineStr">
        <is>
          <t>MA</t>
        </is>
      </c>
      <c r="D700" s="19" t="inlineStr">
        <is>
          <t>Networking</t>
        </is>
      </c>
      <c r="E700" s="18">
        <f>IFERROR(TRACKER!G700,"Not Started")</f>
        <v/>
      </c>
      <c r="F700" s="53">
        <f>IFERROR('[Networking.xlsx]MA-4-6'!B21,"")</f>
        <v/>
      </c>
      <c r="G700" s="53" t="inlineStr"/>
      <c r="H700" s="53" t="inlineStr"/>
      <c r="I700" s="18" t="inlineStr"/>
      <c r="J700" s="19" t="inlineStr"/>
      <c r="K700" s="22" t="inlineStr"/>
      <c r="L700" s="18" t="inlineStr">
        <is>
          <t>Not Started</t>
        </is>
      </c>
    </row>
    <row r="701" ht="42" customHeight="1">
      <c r="A701" s="11" t="n">
        <v>699</v>
      </c>
      <c r="B701" s="50" t="inlineStr">
        <is>
          <t>SA-9(5)</t>
        </is>
      </c>
      <c r="C701" s="11" t="inlineStr">
        <is>
          <t>SA</t>
        </is>
      </c>
      <c r="D701" s="12" t="inlineStr">
        <is>
          <t>Networking</t>
        </is>
      </c>
      <c r="E701" s="11">
        <f>IFERROR(TRACKER!G701,"Not Started")</f>
        <v/>
      </c>
      <c r="F701" s="51">
        <f>IFERROR('[Networking.xlsx]SA-9-5'!B21,"")</f>
        <v/>
      </c>
      <c r="G701" s="51" t="inlineStr"/>
      <c r="H701" s="51" t="inlineStr"/>
      <c r="I701" s="11" t="inlineStr"/>
      <c r="J701" s="12" t="inlineStr"/>
      <c r="K701" s="17" t="inlineStr"/>
      <c r="L701" s="11" t="inlineStr">
        <is>
          <t>Not Started</t>
        </is>
      </c>
    </row>
    <row r="702" ht="42" customHeight="1">
      <c r="A702" s="18" t="n">
        <v>700</v>
      </c>
      <c r="B702" s="52" t="inlineStr">
        <is>
          <t>SC-2</t>
        </is>
      </c>
      <c r="C702" s="18" t="inlineStr">
        <is>
          <t>SC</t>
        </is>
      </c>
      <c r="D702" s="19" t="inlineStr">
        <is>
          <t>Networking</t>
        </is>
      </c>
      <c r="E702" s="18">
        <f>IFERROR(TRACKER!G702,"Not Started")</f>
        <v/>
      </c>
      <c r="F702" s="53">
        <f>IFERROR('[Networking.xlsx]SC-2'!B21,"")</f>
        <v/>
      </c>
      <c r="G702" s="53" t="inlineStr"/>
      <c r="H702" s="53" t="inlineStr"/>
      <c r="I702" s="18" t="inlineStr"/>
      <c r="J702" s="19" t="inlineStr"/>
      <c r="K702" s="22" t="inlineStr"/>
      <c r="L702" s="18" t="inlineStr">
        <is>
          <t>Not Started</t>
        </is>
      </c>
    </row>
    <row r="703" ht="42" customHeight="1">
      <c r="A703" s="11" t="n">
        <v>701</v>
      </c>
      <c r="B703" s="50" t="inlineStr">
        <is>
          <t>SC-4</t>
        </is>
      </c>
      <c r="C703" s="11" t="inlineStr">
        <is>
          <t>SC</t>
        </is>
      </c>
      <c r="D703" s="12" t="inlineStr">
        <is>
          <t>Networking</t>
        </is>
      </c>
      <c r="E703" s="11">
        <f>IFERROR(TRACKER!G703,"Not Started")</f>
        <v/>
      </c>
      <c r="F703" s="51">
        <f>IFERROR('[Networking.xlsx]SC-4'!B21,"")</f>
        <v/>
      </c>
      <c r="G703" s="51" t="inlineStr"/>
      <c r="H703" s="51" t="inlineStr"/>
      <c r="I703" s="11" t="inlineStr"/>
      <c r="J703" s="12" t="inlineStr"/>
      <c r="K703" s="17" t="inlineStr"/>
      <c r="L703" s="11" t="inlineStr">
        <is>
          <t>Not Started</t>
        </is>
      </c>
    </row>
    <row r="704" ht="42" customHeight="1">
      <c r="A704" s="18" t="n">
        <v>702</v>
      </c>
      <c r="B704" s="52" t="inlineStr">
        <is>
          <t>SC-5</t>
        </is>
      </c>
      <c r="C704" s="18" t="inlineStr">
        <is>
          <t>SC</t>
        </is>
      </c>
      <c r="D704" s="19" t="inlineStr">
        <is>
          <t>Networking</t>
        </is>
      </c>
      <c r="E704" s="18">
        <f>IFERROR(TRACKER!G704,"Not Started")</f>
        <v/>
      </c>
      <c r="F704" s="53">
        <f>IFERROR('[Networking.xlsx]SC-5'!B21,"")</f>
        <v/>
      </c>
      <c r="G704" s="53" t="inlineStr"/>
      <c r="H704" s="53" t="inlineStr"/>
      <c r="I704" s="18" t="inlineStr"/>
      <c r="J704" s="19" t="inlineStr"/>
      <c r="K704" s="22" t="inlineStr"/>
      <c r="L704" s="18" t="inlineStr">
        <is>
          <t>Not Started</t>
        </is>
      </c>
    </row>
    <row r="705" ht="42" customHeight="1">
      <c r="A705" s="11" t="n">
        <v>703</v>
      </c>
      <c r="B705" s="50" t="inlineStr">
        <is>
          <t>SC-7</t>
        </is>
      </c>
      <c r="C705" s="11" t="inlineStr">
        <is>
          <t>SC</t>
        </is>
      </c>
      <c r="D705" s="12" t="inlineStr">
        <is>
          <t>Networking</t>
        </is>
      </c>
      <c r="E705" s="11">
        <f>IFERROR(TRACKER!G705,"Not Started")</f>
        <v/>
      </c>
      <c r="F705" s="51">
        <f>IFERROR('[Networking.xlsx]SC-7'!B21,"")</f>
        <v/>
      </c>
      <c r="G705" s="51" t="inlineStr"/>
      <c r="H705" s="51" t="inlineStr"/>
      <c r="I705" s="11" t="inlineStr"/>
      <c r="J705" s="12" t="inlineStr"/>
      <c r="K705" s="17" t="inlineStr"/>
      <c r="L705" s="11" t="inlineStr">
        <is>
          <t>Not Started</t>
        </is>
      </c>
    </row>
    <row r="706" ht="42" customHeight="1">
      <c r="A706" s="18" t="n">
        <v>704</v>
      </c>
      <c r="B706" s="52" t="inlineStr">
        <is>
          <t>SC-7(3)</t>
        </is>
      </c>
      <c r="C706" s="18" t="inlineStr">
        <is>
          <t>SC</t>
        </is>
      </c>
      <c r="D706" s="19" t="inlineStr">
        <is>
          <t>Networking</t>
        </is>
      </c>
      <c r="E706" s="18">
        <f>IFERROR(TRACKER!G706,"Not Started")</f>
        <v/>
      </c>
      <c r="F706" s="53">
        <f>IFERROR('[Networking.xlsx]SC-7-3'!B21,"")</f>
        <v/>
      </c>
      <c r="G706" s="53" t="inlineStr"/>
      <c r="H706" s="53" t="inlineStr"/>
      <c r="I706" s="18" t="inlineStr"/>
      <c r="J706" s="19" t="inlineStr"/>
      <c r="K706" s="22" t="inlineStr"/>
      <c r="L706" s="18" t="inlineStr">
        <is>
          <t>Not Started</t>
        </is>
      </c>
    </row>
    <row r="707" ht="42" customHeight="1">
      <c r="A707" s="11" t="n">
        <v>705</v>
      </c>
      <c r="B707" s="50" t="inlineStr">
        <is>
          <t>SC-7(4)</t>
        </is>
      </c>
      <c r="C707" s="11" t="inlineStr">
        <is>
          <t>SC</t>
        </is>
      </c>
      <c r="D707" s="12" t="inlineStr">
        <is>
          <t>Networking</t>
        </is>
      </c>
      <c r="E707" s="11">
        <f>IFERROR(TRACKER!G707,"Not Started")</f>
        <v/>
      </c>
      <c r="F707" s="51">
        <f>IFERROR('[Networking.xlsx]SC-7-4'!B21,"")</f>
        <v/>
      </c>
      <c r="G707" s="51" t="inlineStr"/>
      <c r="H707" s="51" t="inlineStr"/>
      <c r="I707" s="11" t="inlineStr"/>
      <c r="J707" s="12" t="inlineStr"/>
      <c r="K707" s="17" t="inlineStr"/>
      <c r="L707" s="11" t="inlineStr">
        <is>
          <t>Not Started</t>
        </is>
      </c>
    </row>
    <row r="708" ht="42" customHeight="1">
      <c r="A708" s="18" t="n">
        <v>706</v>
      </c>
      <c r="B708" s="52" t="inlineStr">
        <is>
          <t>SC-7(5)</t>
        </is>
      </c>
      <c r="C708" s="18" t="inlineStr">
        <is>
          <t>SC</t>
        </is>
      </c>
      <c r="D708" s="19" t="inlineStr">
        <is>
          <t>Networking</t>
        </is>
      </c>
      <c r="E708" s="18">
        <f>IFERROR(TRACKER!G708,"Not Started")</f>
        <v/>
      </c>
      <c r="F708" s="53">
        <f>IFERROR('[Networking.xlsx]SC-7-5'!B21,"")</f>
        <v/>
      </c>
      <c r="G708" s="53" t="inlineStr"/>
      <c r="H708" s="53" t="inlineStr"/>
      <c r="I708" s="18" t="inlineStr"/>
      <c r="J708" s="19" t="inlineStr"/>
      <c r="K708" s="22" t="inlineStr"/>
      <c r="L708" s="18" t="inlineStr">
        <is>
          <t>Not Started</t>
        </is>
      </c>
    </row>
    <row r="709" ht="42" customHeight="1">
      <c r="A709" s="11" t="n">
        <v>707</v>
      </c>
      <c r="B709" s="50" t="inlineStr">
        <is>
          <t>SC-7(8)</t>
        </is>
      </c>
      <c r="C709" s="11" t="inlineStr">
        <is>
          <t>SC</t>
        </is>
      </c>
      <c r="D709" s="12" t="inlineStr">
        <is>
          <t>Networking</t>
        </is>
      </c>
      <c r="E709" s="11">
        <f>IFERROR(TRACKER!G709,"Not Started")</f>
        <v/>
      </c>
      <c r="F709" s="51">
        <f>IFERROR('[Networking.xlsx]SC-7-8'!B21,"")</f>
        <v/>
      </c>
      <c r="G709" s="51" t="inlineStr"/>
      <c r="H709" s="51" t="inlineStr"/>
      <c r="I709" s="11" t="inlineStr"/>
      <c r="J709" s="12" t="inlineStr"/>
      <c r="K709" s="17" t="inlineStr"/>
      <c r="L709" s="11" t="inlineStr">
        <is>
          <t>Not Started</t>
        </is>
      </c>
    </row>
    <row r="710" ht="42" customHeight="1">
      <c r="A710" s="18" t="n">
        <v>708</v>
      </c>
      <c r="B710" s="52" t="inlineStr">
        <is>
          <t>SC-7(13)</t>
        </is>
      </c>
      <c r="C710" s="18" t="inlineStr">
        <is>
          <t>SC</t>
        </is>
      </c>
      <c r="D710" s="19" t="inlineStr">
        <is>
          <t>Networking</t>
        </is>
      </c>
      <c r="E710" s="18">
        <f>IFERROR(TRACKER!G710,"Not Started")</f>
        <v/>
      </c>
      <c r="F710" s="53">
        <f>IFERROR('[Networking.xlsx]SC-7-13'!B21,"")</f>
        <v/>
      </c>
      <c r="G710" s="53" t="inlineStr"/>
      <c r="H710" s="53" t="inlineStr"/>
      <c r="I710" s="18" t="inlineStr"/>
      <c r="J710" s="19" t="inlineStr"/>
      <c r="K710" s="22" t="inlineStr"/>
      <c r="L710" s="18" t="inlineStr">
        <is>
          <t>Not Started</t>
        </is>
      </c>
    </row>
    <row r="711" ht="42" customHeight="1">
      <c r="A711" s="11" t="n">
        <v>709</v>
      </c>
      <c r="B711" s="50" t="inlineStr">
        <is>
          <t>SC-7(18)</t>
        </is>
      </c>
      <c r="C711" s="11" t="inlineStr">
        <is>
          <t>SC</t>
        </is>
      </c>
      <c r="D711" s="12" t="inlineStr">
        <is>
          <t>Networking</t>
        </is>
      </c>
      <c r="E711" s="11">
        <f>IFERROR(TRACKER!G711,"Not Started")</f>
        <v/>
      </c>
      <c r="F711" s="51">
        <f>IFERROR('[Networking.xlsx]SC-7-18'!B21,"")</f>
        <v/>
      </c>
      <c r="G711" s="51" t="inlineStr"/>
      <c r="H711" s="51" t="inlineStr"/>
      <c r="I711" s="11" t="inlineStr"/>
      <c r="J711" s="12" t="inlineStr"/>
      <c r="K711" s="17" t="inlineStr"/>
      <c r="L711" s="11" t="inlineStr">
        <is>
          <t>Not Started</t>
        </is>
      </c>
    </row>
    <row r="712" ht="42" customHeight="1">
      <c r="A712" s="18" t="n">
        <v>710</v>
      </c>
      <c r="B712" s="52" t="inlineStr">
        <is>
          <t>SC-8</t>
        </is>
      </c>
      <c r="C712" s="18" t="inlineStr">
        <is>
          <t>SC</t>
        </is>
      </c>
      <c r="D712" s="19" t="inlineStr">
        <is>
          <t>Networking</t>
        </is>
      </c>
      <c r="E712" s="18">
        <f>IFERROR(TRACKER!G712,"Not Started")</f>
        <v/>
      </c>
      <c r="F712" s="53">
        <f>IFERROR('[Networking.xlsx]SC-8'!B21,"")</f>
        <v/>
      </c>
      <c r="G712" s="53" t="inlineStr"/>
      <c r="H712" s="53" t="inlineStr"/>
      <c r="I712" s="18" t="inlineStr"/>
      <c r="J712" s="19" t="inlineStr"/>
      <c r="K712" s="22" t="inlineStr"/>
      <c r="L712" s="18" t="inlineStr">
        <is>
          <t>Not Started</t>
        </is>
      </c>
    </row>
    <row r="713" ht="42" customHeight="1">
      <c r="A713" s="11" t="n">
        <v>711</v>
      </c>
      <c r="B713" s="50" t="inlineStr">
        <is>
          <t>SC-8(1)</t>
        </is>
      </c>
      <c r="C713" s="11" t="inlineStr">
        <is>
          <t>SC</t>
        </is>
      </c>
      <c r="D713" s="12" t="inlineStr">
        <is>
          <t>Networking</t>
        </is>
      </c>
      <c r="E713" s="11">
        <f>IFERROR(TRACKER!G713,"Not Started")</f>
        <v/>
      </c>
      <c r="F713" s="51">
        <f>IFERROR('[Networking.xlsx]SC-8-1'!B21,"")</f>
        <v/>
      </c>
      <c r="G713" s="51" t="inlineStr"/>
      <c r="H713" s="51" t="inlineStr"/>
      <c r="I713" s="11" t="inlineStr"/>
      <c r="J713" s="12" t="inlineStr"/>
      <c r="K713" s="17" t="inlineStr"/>
      <c r="L713" s="11" t="inlineStr">
        <is>
          <t>Not Started</t>
        </is>
      </c>
    </row>
    <row r="714" ht="42" customHeight="1">
      <c r="A714" s="18" t="n">
        <v>712</v>
      </c>
      <c r="B714" s="52" t="inlineStr">
        <is>
          <t>SC-10</t>
        </is>
      </c>
      <c r="C714" s="18" t="inlineStr">
        <is>
          <t>SC</t>
        </is>
      </c>
      <c r="D714" s="19" t="inlineStr">
        <is>
          <t>Networking</t>
        </is>
      </c>
      <c r="E714" s="18">
        <f>IFERROR(TRACKER!G714,"Not Started")</f>
        <v/>
      </c>
      <c r="F714" s="53">
        <f>IFERROR('[Networking.xlsx]SC-10'!B21,"")</f>
        <v/>
      </c>
      <c r="G714" s="53" t="inlineStr"/>
      <c r="H714" s="53" t="inlineStr"/>
      <c r="I714" s="18" t="inlineStr"/>
      <c r="J714" s="19" t="inlineStr"/>
      <c r="K714" s="22" t="inlineStr"/>
      <c r="L714" s="18" t="inlineStr">
        <is>
          <t>Not Started</t>
        </is>
      </c>
    </row>
    <row r="715" ht="42" customHeight="1">
      <c r="A715" s="11" t="n">
        <v>713</v>
      </c>
      <c r="B715" s="50" t="inlineStr">
        <is>
          <t>SC-12(3)</t>
        </is>
      </c>
      <c r="C715" s="11" t="inlineStr">
        <is>
          <t>SC</t>
        </is>
      </c>
      <c r="D715" s="12" t="inlineStr">
        <is>
          <t>Networking</t>
        </is>
      </c>
      <c r="E715" s="11">
        <f>IFERROR(TRACKER!G715,"Not Started")</f>
        <v/>
      </c>
      <c r="F715" s="51">
        <f>IFERROR('[Networking.xlsx]SC-12-3'!B21,"")</f>
        <v/>
      </c>
      <c r="G715" s="51" t="inlineStr"/>
      <c r="H715" s="51" t="inlineStr"/>
      <c r="I715" s="11" t="inlineStr"/>
      <c r="J715" s="12" t="inlineStr"/>
      <c r="K715" s="17" t="inlineStr"/>
      <c r="L715" s="11" t="inlineStr">
        <is>
          <t>Not Started</t>
        </is>
      </c>
    </row>
    <row r="716" ht="42" customHeight="1">
      <c r="A716" s="18" t="n">
        <v>714</v>
      </c>
      <c r="B716" s="52" t="inlineStr">
        <is>
          <t>SC-13</t>
        </is>
      </c>
      <c r="C716" s="18" t="inlineStr">
        <is>
          <t>SC</t>
        </is>
      </c>
      <c r="D716" s="19" t="inlineStr">
        <is>
          <t>Networking</t>
        </is>
      </c>
      <c r="E716" s="18">
        <f>IFERROR(TRACKER!G716,"Not Started")</f>
        <v/>
      </c>
      <c r="F716" s="53">
        <f>IFERROR('[Networking.xlsx]SC-13'!B21,"")</f>
        <v/>
      </c>
      <c r="G716" s="53" t="inlineStr"/>
      <c r="H716" s="53" t="inlineStr"/>
      <c r="I716" s="18" t="inlineStr"/>
      <c r="J716" s="19" t="inlineStr"/>
      <c r="K716" s="22" t="inlineStr"/>
      <c r="L716" s="18" t="inlineStr">
        <is>
          <t>Not Started</t>
        </is>
      </c>
    </row>
    <row r="717" ht="42" customHeight="1">
      <c r="A717" s="11" t="n">
        <v>715</v>
      </c>
      <c r="B717" s="50" t="inlineStr">
        <is>
          <t>SC-18</t>
        </is>
      </c>
      <c r="C717" s="11" t="inlineStr">
        <is>
          <t>SC</t>
        </is>
      </c>
      <c r="D717" s="12" t="inlineStr">
        <is>
          <t>Networking</t>
        </is>
      </c>
      <c r="E717" s="11">
        <f>IFERROR(TRACKER!G717,"Not Started")</f>
        <v/>
      </c>
      <c r="F717" s="51">
        <f>IFERROR('[Networking.xlsx]SC-18'!B21,"")</f>
        <v/>
      </c>
      <c r="G717" s="51" t="inlineStr"/>
      <c r="H717" s="51" t="inlineStr"/>
      <c r="I717" s="11" t="inlineStr"/>
      <c r="J717" s="12" t="inlineStr"/>
      <c r="K717" s="17" t="inlineStr"/>
      <c r="L717" s="11" t="inlineStr">
        <is>
          <t>Not Started</t>
        </is>
      </c>
    </row>
    <row r="718" ht="42" customHeight="1">
      <c r="A718" s="18" t="n">
        <v>716</v>
      </c>
      <c r="B718" s="52" t="inlineStr">
        <is>
          <t>SC-20</t>
        </is>
      </c>
      <c r="C718" s="18" t="inlineStr">
        <is>
          <t>SC</t>
        </is>
      </c>
      <c r="D718" s="19" t="inlineStr">
        <is>
          <t>Networking</t>
        </is>
      </c>
      <c r="E718" s="18">
        <f>IFERROR(TRACKER!G718,"Not Started")</f>
        <v/>
      </c>
      <c r="F718" s="53">
        <f>IFERROR('[Networking.xlsx]SC-20'!B21,"")</f>
        <v/>
      </c>
      <c r="G718" s="53" t="inlineStr"/>
      <c r="H718" s="53" t="inlineStr"/>
      <c r="I718" s="18" t="inlineStr"/>
      <c r="J718" s="19" t="inlineStr"/>
      <c r="K718" s="22" t="inlineStr"/>
      <c r="L718" s="18" t="inlineStr">
        <is>
          <t>Not Started</t>
        </is>
      </c>
    </row>
    <row r="719" ht="42" customHeight="1">
      <c r="A719" s="11" t="n">
        <v>717</v>
      </c>
      <c r="B719" s="50" t="inlineStr">
        <is>
          <t>SC-21</t>
        </is>
      </c>
      <c r="C719" s="11" t="inlineStr">
        <is>
          <t>SC</t>
        </is>
      </c>
      <c r="D719" s="12" t="inlineStr">
        <is>
          <t>Networking</t>
        </is>
      </c>
      <c r="E719" s="11">
        <f>IFERROR(TRACKER!G719,"Not Started")</f>
        <v/>
      </c>
      <c r="F719" s="51">
        <f>IFERROR('[Networking.xlsx]SC-21'!B21,"")</f>
        <v/>
      </c>
      <c r="G719" s="51" t="inlineStr"/>
      <c r="H719" s="51" t="inlineStr"/>
      <c r="I719" s="11" t="inlineStr"/>
      <c r="J719" s="12" t="inlineStr"/>
      <c r="K719" s="17" t="inlineStr"/>
      <c r="L719" s="11" t="inlineStr">
        <is>
          <t>Not Started</t>
        </is>
      </c>
    </row>
    <row r="720" ht="42" customHeight="1">
      <c r="A720" s="18" t="n">
        <v>718</v>
      </c>
      <c r="B720" s="52" t="inlineStr">
        <is>
          <t>SC-22</t>
        </is>
      </c>
      <c r="C720" s="18" t="inlineStr">
        <is>
          <t>SC</t>
        </is>
      </c>
      <c r="D720" s="19" t="inlineStr">
        <is>
          <t>Networking</t>
        </is>
      </c>
      <c r="E720" s="18">
        <f>IFERROR(TRACKER!G720,"Not Started")</f>
        <v/>
      </c>
      <c r="F720" s="53">
        <f>IFERROR('[Networking.xlsx]SC-22'!B21,"")</f>
        <v/>
      </c>
      <c r="G720" s="53" t="inlineStr"/>
      <c r="H720" s="53" t="inlineStr"/>
      <c r="I720" s="18" t="inlineStr"/>
      <c r="J720" s="19" t="inlineStr"/>
      <c r="K720" s="22" t="inlineStr"/>
      <c r="L720" s="18" t="inlineStr">
        <is>
          <t>Not Started</t>
        </is>
      </c>
    </row>
    <row r="721" ht="42" customHeight="1">
      <c r="A721" s="11" t="n">
        <v>719</v>
      </c>
      <c r="B721" s="50" t="inlineStr">
        <is>
          <t>SC-23</t>
        </is>
      </c>
      <c r="C721" s="11" t="inlineStr">
        <is>
          <t>SC</t>
        </is>
      </c>
      <c r="D721" s="12" t="inlineStr">
        <is>
          <t>Networking</t>
        </is>
      </c>
      <c r="E721" s="11">
        <f>IFERROR(TRACKER!G721,"Not Started")</f>
        <v/>
      </c>
      <c r="F721" s="51">
        <f>IFERROR('[Networking.xlsx]SC-23'!B21,"")</f>
        <v/>
      </c>
      <c r="G721" s="51" t="inlineStr"/>
      <c r="H721" s="51" t="inlineStr"/>
      <c r="I721" s="11" t="inlineStr"/>
      <c r="J721" s="12" t="inlineStr"/>
      <c r="K721" s="17" t="inlineStr"/>
      <c r="L721" s="11" t="inlineStr">
        <is>
          <t>Not Started</t>
        </is>
      </c>
    </row>
    <row r="722" ht="42" customHeight="1">
      <c r="A722" s="18" t="n">
        <v>720</v>
      </c>
      <c r="B722" s="52" t="inlineStr">
        <is>
          <t>SC-23(1)</t>
        </is>
      </c>
      <c r="C722" s="18" t="inlineStr">
        <is>
          <t>SC</t>
        </is>
      </c>
      <c r="D722" s="19" t="inlineStr">
        <is>
          <t>Networking</t>
        </is>
      </c>
      <c r="E722" s="18">
        <f>IFERROR(TRACKER!G722,"Not Started")</f>
        <v/>
      </c>
      <c r="F722" s="53">
        <f>IFERROR('[Networking.xlsx]SC-23-1'!B21,"")</f>
        <v/>
      </c>
      <c r="G722" s="53" t="inlineStr"/>
      <c r="H722" s="53" t="inlineStr"/>
      <c r="I722" s="18" t="inlineStr"/>
      <c r="J722" s="19" t="inlineStr"/>
      <c r="K722" s="22" t="inlineStr"/>
      <c r="L722" s="18" t="inlineStr">
        <is>
          <t>Not Started</t>
        </is>
      </c>
    </row>
    <row r="723" ht="42" customHeight="1">
      <c r="A723" s="11" t="n">
        <v>721</v>
      </c>
      <c r="B723" s="50" t="inlineStr">
        <is>
          <t>SC-28</t>
        </is>
      </c>
      <c r="C723" s="11" t="inlineStr">
        <is>
          <t>SC</t>
        </is>
      </c>
      <c r="D723" s="12" t="inlineStr">
        <is>
          <t>Networking</t>
        </is>
      </c>
      <c r="E723" s="11">
        <f>IFERROR(TRACKER!G723,"Not Started")</f>
        <v/>
      </c>
      <c r="F723" s="51">
        <f>IFERROR('[Networking.xlsx]SC-28'!B21,"")</f>
        <v/>
      </c>
      <c r="G723" s="51" t="inlineStr"/>
      <c r="H723" s="51" t="inlineStr"/>
      <c r="I723" s="11" t="inlineStr"/>
      <c r="J723" s="12" t="inlineStr"/>
      <c r="K723" s="17" t="inlineStr"/>
      <c r="L723" s="11" t="inlineStr">
        <is>
          <t>Not Started</t>
        </is>
      </c>
    </row>
    <row r="724" ht="42" customHeight="1">
      <c r="A724" s="18" t="n">
        <v>722</v>
      </c>
      <c r="B724" s="52" t="inlineStr">
        <is>
          <t>SI-3</t>
        </is>
      </c>
      <c r="C724" s="18" t="inlineStr">
        <is>
          <t>SI</t>
        </is>
      </c>
      <c r="D724" s="19" t="inlineStr">
        <is>
          <t>Networking</t>
        </is>
      </c>
      <c r="E724" s="18">
        <f>IFERROR(TRACKER!G724,"Not Started")</f>
        <v/>
      </c>
      <c r="F724" s="53">
        <f>IFERROR('[Networking.xlsx]SI-3'!B21,"")</f>
        <v/>
      </c>
      <c r="G724" s="53" t="inlineStr"/>
      <c r="H724" s="53" t="inlineStr"/>
      <c r="I724" s="18" t="inlineStr"/>
      <c r="J724" s="19" t="inlineStr"/>
      <c r="K724" s="22" t="inlineStr"/>
      <c r="L724" s="18" t="inlineStr">
        <is>
          <t>Not Started</t>
        </is>
      </c>
    </row>
    <row r="725" ht="42" customHeight="1">
      <c r="A725" s="11" t="n">
        <v>723</v>
      </c>
      <c r="B725" s="50" t="inlineStr">
        <is>
          <t>SI-4</t>
        </is>
      </c>
      <c r="C725" s="11" t="inlineStr">
        <is>
          <t>SI</t>
        </is>
      </c>
      <c r="D725" s="12" t="inlineStr">
        <is>
          <t>Networking</t>
        </is>
      </c>
      <c r="E725" s="11">
        <f>IFERROR(TRACKER!G725,"Not Started")</f>
        <v/>
      </c>
      <c r="F725" s="51">
        <f>IFERROR('[Networking.xlsx]SI-4'!B21,"")</f>
        <v/>
      </c>
      <c r="G725" s="51" t="inlineStr"/>
      <c r="H725" s="51" t="inlineStr"/>
      <c r="I725" s="11" t="inlineStr"/>
      <c r="J725" s="12" t="inlineStr"/>
      <c r="K725" s="17" t="inlineStr"/>
      <c r="L725" s="11" t="inlineStr">
        <is>
          <t>Not Started</t>
        </is>
      </c>
    </row>
    <row r="726" ht="42" customHeight="1">
      <c r="A726" s="18" t="n">
        <v>724</v>
      </c>
      <c r="B726" s="52" t="inlineStr">
        <is>
          <t>SI-4(1)</t>
        </is>
      </c>
      <c r="C726" s="18" t="inlineStr">
        <is>
          <t>SI</t>
        </is>
      </c>
      <c r="D726" s="19" t="inlineStr">
        <is>
          <t>Networking</t>
        </is>
      </c>
      <c r="E726" s="18">
        <f>IFERROR(TRACKER!G726,"Not Started")</f>
        <v/>
      </c>
      <c r="F726" s="53">
        <f>IFERROR('[Networking.xlsx]SI-4-1'!B21,"")</f>
        <v/>
      </c>
      <c r="G726" s="53" t="inlineStr"/>
      <c r="H726" s="53" t="inlineStr"/>
      <c r="I726" s="18" t="inlineStr"/>
      <c r="J726" s="19" t="inlineStr"/>
      <c r="K726" s="22" t="inlineStr"/>
      <c r="L726" s="18" t="inlineStr">
        <is>
          <t>Not Started</t>
        </is>
      </c>
    </row>
    <row r="727" ht="42" customHeight="1">
      <c r="A727" s="11" t="n">
        <v>725</v>
      </c>
      <c r="B727" s="50" t="inlineStr">
        <is>
          <t>SI-4(2)</t>
        </is>
      </c>
      <c r="C727" s="11" t="inlineStr">
        <is>
          <t>SI</t>
        </is>
      </c>
      <c r="D727" s="12" t="inlineStr">
        <is>
          <t>Networking</t>
        </is>
      </c>
      <c r="E727" s="11">
        <f>IFERROR(TRACKER!G727,"Not Started")</f>
        <v/>
      </c>
      <c r="F727" s="51">
        <f>IFERROR('[Networking.xlsx]SI-4-2'!B21,"")</f>
        <v/>
      </c>
      <c r="G727" s="51" t="inlineStr"/>
      <c r="H727" s="51" t="inlineStr"/>
      <c r="I727" s="11" t="inlineStr"/>
      <c r="J727" s="12" t="inlineStr"/>
      <c r="K727" s="17" t="inlineStr"/>
      <c r="L727" s="11" t="inlineStr">
        <is>
          <t>Not Started</t>
        </is>
      </c>
    </row>
    <row r="728" ht="42" customHeight="1">
      <c r="A728" s="18" t="n">
        <v>726</v>
      </c>
      <c r="B728" s="52" t="inlineStr">
        <is>
          <t>SI-4(4)</t>
        </is>
      </c>
      <c r="C728" s="18" t="inlineStr">
        <is>
          <t>SI</t>
        </is>
      </c>
      <c r="D728" s="19" t="inlineStr">
        <is>
          <t>Networking</t>
        </is>
      </c>
      <c r="E728" s="18">
        <f>IFERROR(TRACKER!G728,"Not Started")</f>
        <v/>
      </c>
      <c r="F728" s="53">
        <f>IFERROR('[Networking.xlsx]SI-4-4'!B21,"")</f>
        <v/>
      </c>
      <c r="G728" s="53" t="inlineStr"/>
      <c r="H728" s="53" t="inlineStr"/>
      <c r="I728" s="18" t="inlineStr"/>
      <c r="J728" s="19" t="inlineStr"/>
      <c r="K728" s="22" t="inlineStr"/>
      <c r="L728" s="18" t="inlineStr">
        <is>
          <t>Not Started</t>
        </is>
      </c>
    </row>
    <row r="729" ht="42" customHeight="1">
      <c r="A729" s="11" t="n">
        <v>727</v>
      </c>
      <c r="B729" s="50" t="inlineStr">
        <is>
          <t>SI-4(5)</t>
        </is>
      </c>
      <c r="C729" s="11" t="inlineStr">
        <is>
          <t>SI</t>
        </is>
      </c>
      <c r="D729" s="12" t="inlineStr">
        <is>
          <t>Networking</t>
        </is>
      </c>
      <c r="E729" s="11">
        <f>IFERROR(TRACKER!G729,"Not Started")</f>
        <v/>
      </c>
      <c r="F729" s="51">
        <f>IFERROR('[Networking.xlsx]SI-4-5'!B21,"")</f>
        <v/>
      </c>
      <c r="G729" s="51" t="inlineStr"/>
      <c r="H729" s="51" t="inlineStr"/>
      <c r="I729" s="11" t="inlineStr"/>
      <c r="J729" s="12" t="inlineStr"/>
      <c r="K729" s="17" t="inlineStr"/>
      <c r="L729" s="11" t="inlineStr">
        <is>
          <t>Not Started</t>
        </is>
      </c>
    </row>
    <row r="730" ht="42" customHeight="1">
      <c r="A730" s="18" t="n">
        <v>728</v>
      </c>
      <c r="B730" s="52" t="inlineStr">
        <is>
          <t>SI-4(11)</t>
        </is>
      </c>
      <c r="C730" s="18" t="inlineStr">
        <is>
          <t>SI</t>
        </is>
      </c>
      <c r="D730" s="19" t="inlineStr">
        <is>
          <t>Networking</t>
        </is>
      </c>
      <c r="E730" s="18">
        <f>IFERROR(TRACKER!G730,"Not Started")</f>
        <v/>
      </c>
      <c r="F730" s="53">
        <f>IFERROR('[Networking.xlsx]SI-4-11'!B21,"")</f>
        <v/>
      </c>
      <c r="G730" s="53" t="inlineStr"/>
      <c r="H730" s="53" t="inlineStr"/>
      <c r="I730" s="18" t="inlineStr"/>
      <c r="J730" s="19" t="inlineStr"/>
      <c r="K730" s="22" t="inlineStr"/>
      <c r="L730" s="18" t="inlineStr">
        <is>
          <t>Not Started</t>
        </is>
      </c>
    </row>
    <row r="731" ht="42" customHeight="1">
      <c r="A731" s="11" t="n">
        <v>729</v>
      </c>
      <c r="B731" s="50" t="inlineStr">
        <is>
          <t>SI-6</t>
        </is>
      </c>
      <c r="C731" s="11" t="inlineStr">
        <is>
          <t>SI</t>
        </is>
      </c>
      <c r="D731" s="12" t="inlineStr">
        <is>
          <t>Networking</t>
        </is>
      </c>
      <c r="E731" s="11">
        <f>IFERROR(TRACKER!G731,"Not Started")</f>
        <v/>
      </c>
      <c r="F731" s="51">
        <f>IFERROR('[Networking.xlsx]SI-6'!B21,"")</f>
        <v/>
      </c>
      <c r="G731" s="51" t="inlineStr"/>
      <c r="H731" s="51" t="inlineStr"/>
      <c r="I731" s="11" t="inlineStr"/>
      <c r="J731" s="12" t="inlineStr"/>
      <c r="K731" s="17" t="inlineStr"/>
      <c r="L731" s="11" t="inlineStr">
        <is>
          <t>Not Started</t>
        </is>
      </c>
    </row>
    <row r="732" ht="42" customHeight="1">
      <c r="A732" s="18" t="n">
        <v>730</v>
      </c>
      <c r="B732" s="52" t="inlineStr">
        <is>
          <t>SI-8</t>
        </is>
      </c>
      <c r="C732" s="18" t="inlineStr">
        <is>
          <t>SI</t>
        </is>
      </c>
      <c r="D732" s="19" t="inlineStr">
        <is>
          <t>Networking</t>
        </is>
      </c>
      <c r="E732" s="18">
        <f>IFERROR(TRACKER!G732,"Not Started")</f>
        <v/>
      </c>
      <c r="F732" s="53">
        <f>IFERROR('[Networking.xlsx]SI-8'!B21,"")</f>
        <v/>
      </c>
      <c r="G732" s="53" t="inlineStr"/>
      <c r="H732" s="53" t="inlineStr"/>
      <c r="I732" s="18" t="inlineStr"/>
      <c r="J732" s="19" t="inlineStr"/>
      <c r="K732" s="22" t="inlineStr"/>
      <c r="L732" s="18" t="inlineStr">
        <is>
          <t>Not Started</t>
        </is>
      </c>
    </row>
    <row r="733" ht="42" customHeight="1">
      <c r="A733" s="11" t="n">
        <v>731</v>
      </c>
      <c r="B733" s="50" t="inlineStr">
        <is>
          <t>SI-8(1)</t>
        </is>
      </c>
      <c r="C733" s="11" t="inlineStr">
        <is>
          <t>SI</t>
        </is>
      </c>
      <c r="D733" s="12" t="inlineStr">
        <is>
          <t>Networking</t>
        </is>
      </c>
      <c r="E733" s="11">
        <f>IFERROR(TRACKER!G733,"Not Started")</f>
        <v/>
      </c>
      <c r="F733" s="51">
        <f>IFERROR('[Networking.xlsx]SI-8-1'!B21,"")</f>
        <v/>
      </c>
      <c r="G733" s="51" t="inlineStr"/>
      <c r="H733" s="51" t="inlineStr"/>
      <c r="I733" s="11" t="inlineStr"/>
      <c r="J733" s="12" t="inlineStr"/>
      <c r="K733" s="17" t="inlineStr"/>
      <c r="L733" s="11" t="inlineStr">
        <is>
          <t>Not Started</t>
        </is>
      </c>
    </row>
    <row r="734" ht="42" customHeight="1">
      <c r="A734" s="18" t="n">
        <v>732</v>
      </c>
      <c r="B734" s="52" t="inlineStr">
        <is>
          <t>SI-8(2)</t>
        </is>
      </c>
      <c r="C734" s="18" t="inlineStr">
        <is>
          <t>SI</t>
        </is>
      </c>
      <c r="D734" s="19" t="inlineStr">
        <is>
          <t>Networking</t>
        </is>
      </c>
      <c r="E734" s="18">
        <f>IFERROR(TRACKER!G734,"Not Started")</f>
        <v/>
      </c>
      <c r="F734" s="53">
        <f>IFERROR('[Networking.xlsx]SI-8-2'!B21,"")</f>
        <v/>
      </c>
      <c r="G734" s="53" t="inlineStr"/>
      <c r="H734" s="53" t="inlineStr"/>
      <c r="I734" s="18" t="inlineStr"/>
      <c r="J734" s="19" t="inlineStr"/>
      <c r="K734" s="22" t="inlineStr"/>
      <c r="L734" s="18" t="inlineStr">
        <is>
          <t>Not Started</t>
        </is>
      </c>
    </row>
    <row r="735" ht="42" customHeight="1">
      <c r="A735" s="11" t="n">
        <v>733</v>
      </c>
      <c r="B735" s="50" t="inlineStr">
        <is>
          <t>SI-11</t>
        </is>
      </c>
      <c r="C735" s="11" t="inlineStr">
        <is>
          <t>SI</t>
        </is>
      </c>
      <c r="D735" s="12" t="inlineStr">
        <is>
          <t>Networking</t>
        </is>
      </c>
      <c r="E735" s="11">
        <f>IFERROR(TRACKER!G735,"Not Started")</f>
        <v/>
      </c>
      <c r="F735" s="51">
        <f>IFERROR('[Networking.xlsx]SI-11'!B21,"")</f>
        <v/>
      </c>
      <c r="G735" s="51" t="inlineStr"/>
      <c r="H735" s="51" t="inlineStr"/>
      <c r="I735" s="11" t="inlineStr"/>
      <c r="J735" s="12" t="inlineStr"/>
      <c r="K735" s="17" t="inlineStr"/>
      <c r="L735" s="11" t="inlineStr">
        <is>
          <t>Not Started</t>
        </is>
      </c>
    </row>
    <row r="736" ht="42" customHeight="1">
      <c r="A736" s="18" t="n">
        <v>734</v>
      </c>
      <c r="B736" s="52" t="inlineStr">
        <is>
          <t>AC-2(2)</t>
        </is>
      </c>
      <c r="C736" s="18" t="inlineStr">
        <is>
          <t>AC</t>
        </is>
      </c>
      <c r="D736" s="19" t="inlineStr">
        <is>
          <t>Palo Alto Firewalls</t>
        </is>
      </c>
      <c r="E736" s="18">
        <f>IFERROR(TRACKER!G736,"Not Started")</f>
        <v/>
      </c>
      <c r="F736" s="53">
        <f>IFERROR('[Palo_Alto_Firewalls.xlsx]AC-2-2'!B21,"")</f>
        <v/>
      </c>
      <c r="G736" s="53" t="inlineStr"/>
      <c r="H736" s="53" t="inlineStr"/>
      <c r="I736" s="18" t="inlineStr"/>
      <c r="J736" s="19" t="inlineStr"/>
      <c r="K736" s="22" t="inlineStr"/>
      <c r="L736" s="18" t="inlineStr">
        <is>
          <t>Not Started</t>
        </is>
      </c>
    </row>
    <row r="737" ht="42" customHeight="1">
      <c r="A737" s="11" t="n">
        <v>735</v>
      </c>
      <c r="B737" s="50" t="inlineStr">
        <is>
          <t>AC-2(4)</t>
        </is>
      </c>
      <c r="C737" s="11" t="inlineStr">
        <is>
          <t>AC</t>
        </is>
      </c>
      <c r="D737" s="12" t="inlineStr">
        <is>
          <t>Palo Alto Firewalls</t>
        </is>
      </c>
      <c r="E737" s="11">
        <f>IFERROR(TRACKER!G737,"Not Started")</f>
        <v/>
      </c>
      <c r="F737" s="51">
        <f>IFERROR('[Palo_Alto_Firewalls.xlsx]AC-2-4'!B21,"")</f>
        <v/>
      </c>
      <c r="G737" s="51" t="inlineStr"/>
      <c r="H737" s="51" t="inlineStr"/>
      <c r="I737" s="11" t="inlineStr"/>
      <c r="J737" s="12" t="inlineStr"/>
      <c r="K737" s="17" t="inlineStr"/>
      <c r="L737" s="11" t="inlineStr">
        <is>
          <t>Not Started</t>
        </is>
      </c>
    </row>
    <row r="738" ht="42" customHeight="1">
      <c r="A738" s="18" t="n">
        <v>736</v>
      </c>
      <c r="B738" s="52" t="inlineStr">
        <is>
          <t>AC-3</t>
        </is>
      </c>
      <c r="C738" s="18" t="inlineStr">
        <is>
          <t>AC</t>
        </is>
      </c>
      <c r="D738" s="19" t="inlineStr">
        <is>
          <t>Palo Alto Firewalls</t>
        </is>
      </c>
      <c r="E738" s="18">
        <f>IFERROR(TRACKER!G738,"Not Started")</f>
        <v/>
      </c>
      <c r="F738" s="53">
        <f>IFERROR('[Palo_Alto_Firewalls.xlsx]AC-3'!B21,"")</f>
        <v/>
      </c>
      <c r="G738" s="53" t="inlineStr"/>
      <c r="H738" s="53" t="inlineStr"/>
      <c r="I738" s="18" t="inlineStr"/>
      <c r="J738" s="19" t="inlineStr"/>
      <c r="K738" s="22" t="inlineStr"/>
      <c r="L738" s="18" t="inlineStr">
        <is>
          <t>Not Started</t>
        </is>
      </c>
    </row>
    <row r="739" ht="42" customHeight="1">
      <c r="A739" s="11" t="n">
        <v>737</v>
      </c>
      <c r="B739" s="50" t="inlineStr">
        <is>
          <t>AC-4</t>
        </is>
      </c>
      <c r="C739" s="11" t="inlineStr">
        <is>
          <t>AC</t>
        </is>
      </c>
      <c r="D739" s="12" t="inlineStr">
        <is>
          <t>Palo Alto Firewalls</t>
        </is>
      </c>
      <c r="E739" s="11">
        <f>IFERROR(TRACKER!G739,"Not Started")</f>
        <v/>
      </c>
      <c r="F739" s="51">
        <f>IFERROR('[Palo_Alto_Firewalls.xlsx]AC-4'!B21,"")</f>
        <v/>
      </c>
      <c r="G739" s="51" t="inlineStr"/>
      <c r="H739" s="51" t="inlineStr"/>
      <c r="I739" s="11" t="inlineStr"/>
      <c r="J739" s="12" t="inlineStr"/>
      <c r="K739" s="17" t="inlineStr"/>
      <c r="L739" s="11" t="inlineStr">
        <is>
          <t>Not Started</t>
        </is>
      </c>
    </row>
    <row r="740" ht="42" customHeight="1">
      <c r="A740" s="18" t="n">
        <v>738</v>
      </c>
      <c r="B740" s="52" t="inlineStr">
        <is>
          <t>AC-4(21)</t>
        </is>
      </c>
      <c r="C740" s="18" t="inlineStr">
        <is>
          <t>AC</t>
        </is>
      </c>
      <c r="D740" s="19" t="inlineStr">
        <is>
          <t>Palo Alto Firewalls</t>
        </is>
      </c>
      <c r="E740" s="18">
        <f>IFERROR(TRACKER!G740,"Not Started")</f>
        <v/>
      </c>
      <c r="F740" s="53">
        <f>IFERROR('[Palo_Alto_Firewalls.xlsx]AC-4-21'!B21,"")</f>
        <v/>
      </c>
      <c r="G740" s="53" t="inlineStr"/>
      <c r="H740" s="53" t="inlineStr"/>
      <c r="I740" s="18" t="inlineStr"/>
      <c r="J740" s="19" t="inlineStr"/>
      <c r="K740" s="22" t="inlineStr"/>
      <c r="L740" s="18" t="inlineStr">
        <is>
          <t>Not Started</t>
        </is>
      </c>
    </row>
    <row r="741" ht="42" customHeight="1">
      <c r="A741" s="11" t="n">
        <v>739</v>
      </c>
      <c r="B741" s="50" t="inlineStr">
        <is>
          <t>AC-6</t>
        </is>
      </c>
      <c r="C741" s="11" t="inlineStr">
        <is>
          <t>AC</t>
        </is>
      </c>
      <c r="D741" s="12" t="inlineStr">
        <is>
          <t>Palo Alto Firewalls</t>
        </is>
      </c>
      <c r="E741" s="11">
        <f>IFERROR(TRACKER!G741,"Not Started")</f>
        <v/>
      </c>
      <c r="F741" s="51">
        <f>IFERROR('[Palo_Alto_Firewalls.xlsx]AC-6'!B21,"")</f>
        <v/>
      </c>
      <c r="G741" s="51" t="inlineStr"/>
      <c r="H741" s="51" t="inlineStr"/>
      <c r="I741" s="11" t="inlineStr"/>
      <c r="J741" s="12" t="inlineStr"/>
      <c r="K741" s="17" t="inlineStr"/>
      <c r="L741" s="11" t="inlineStr">
        <is>
          <t>Not Started</t>
        </is>
      </c>
    </row>
    <row r="742" ht="42" customHeight="1">
      <c r="A742" s="18" t="n">
        <v>740</v>
      </c>
      <c r="B742" s="52" t="inlineStr">
        <is>
          <t>AC-6(1)</t>
        </is>
      </c>
      <c r="C742" s="18" t="inlineStr">
        <is>
          <t>AC</t>
        </is>
      </c>
      <c r="D742" s="19" t="inlineStr">
        <is>
          <t>Palo Alto Firewalls</t>
        </is>
      </c>
      <c r="E742" s="18">
        <f>IFERROR(TRACKER!G742,"Not Started")</f>
        <v/>
      </c>
      <c r="F742" s="53">
        <f>IFERROR('[Palo_Alto_Firewalls.xlsx]AC-6-1'!B21,"")</f>
        <v/>
      </c>
      <c r="G742" s="53" t="inlineStr"/>
      <c r="H742" s="53" t="inlineStr"/>
      <c r="I742" s="18" t="inlineStr"/>
      <c r="J742" s="19" t="inlineStr"/>
      <c r="K742" s="22" t="inlineStr"/>
      <c r="L742" s="18" t="inlineStr">
        <is>
          <t>Not Started</t>
        </is>
      </c>
    </row>
    <row r="743" ht="42" customHeight="1">
      <c r="A743" s="11" t="n">
        <v>741</v>
      </c>
      <c r="B743" s="50" t="inlineStr">
        <is>
          <t>AC-6(9)</t>
        </is>
      </c>
      <c r="C743" s="11" t="inlineStr">
        <is>
          <t>AC</t>
        </is>
      </c>
      <c r="D743" s="12" t="inlineStr">
        <is>
          <t>Palo Alto Firewalls</t>
        </is>
      </c>
      <c r="E743" s="11">
        <f>IFERROR(TRACKER!G743,"Not Started")</f>
        <v/>
      </c>
      <c r="F743" s="51">
        <f>IFERROR('[Palo_Alto_Firewalls.xlsx]AC-6-9'!B21,"")</f>
        <v/>
      </c>
      <c r="G743" s="51" t="inlineStr"/>
      <c r="H743" s="51" t="inlineStr"/>
      <c r="I743" s="11" t="inlineStr"/>
      <c r="J743" s="12" t="inlineStr"/>
      <c r="K743" s="17" t="inlineStr"/>
      <c r="L743" s="11" t="inlineStr">
        <is>
          <t>Not Started</t>
        </is>
      </c>
    </row>
    <row r="744" ht="42" customHeight="1">
      <c r="A744" s="18" t="n">
        <v>742</v>
      </c>
      <c r="B744" s="52" t="inlineStr">
        <is>
          <t>AC-6(10)</t>
        </is>
      </c>
      <c r="C744" s="18" t="inlineStr">
        <is>
          <t>AC</t>
        </is>
      </c>
      <c r="D744" s="19" t="inlineStr">
        <is>
          <t>Palo Alto Firewalls</t>
        </is>
      </c>
      <c r="E744" s="18">
        <f>IFERROR(TRACKER!G744,"Not Started")</f>
        <v/>
      </c>
      <c r="F744" s="53">
        <f>IFERROR('[Palo_Alto_Firewalls.xlsx]AC-6-10'!B21,"")</f>
        <v/>
      </c>
      <c r="G744" s="53" t="inlineStr"/>
      <c r="H744" s="53" t="inlineStr"/>
      <c r="I744" s="18" t="inlineStr"/>
      <c r="J744" s="19" t="inlineStr"/>
      <c r="K744" s="22" t="inlineStr"/>
      <c r="L744" s="18" t="inlineStr">
        <is>
          <t>Not Started</t>
        </is>
      </c>
    </row>
    <row r="745" ht="42" customHeight="1">
      <c r="A745" s="11" t="n">
        <v>743</v>
      </c>
      <c r="B745" s="50" t="inlineStr">
        <is>
          <t>AC-7</t>
        </is>
      </c>
      <c r="C745" s="11" t="inlineStr">
        <is>
          <t>AC</t>
        </is>
      </c>
      <c r="D745" s="12" t="inlineStr">
        <is>
          <t>Palo Alto Firewalls</t>
        </is>
      </c>
      <c r="E745" s="11">
        <f>IFERROR(TRACKER!G745,"Not Started")</f>
        <v/>
      </c>
      <c r="F745" s="51">
        <f>IFERROR('[Palo_Alto_Firewalls.xlsx]AC-7'!B21,"")</f>
        <v/>
      </c>
      <c r="G745" s="51" t="inlineStr"/>
      <c r="H745" s="51" t="inlineStr"/>
      <c r="I745" s="11" t="inlineStr"/>
      <c r="J745" s="12" t="inlineStr"/>
      <c r="K745" s="17" t="inlineStr"/>
      <c r="L745" s="11" t="inlineStr">
        <is>
          <t>Not Started</t>
        </is>
      </c>
    </row>
    <row r="746" ht="42" customHeight="1">
      <c r="A746" s="18" t="n">
        <v>744</v>
      </c>
      <c r="B746" s="52" t="inlineStr">
        <is>
          <t>AC-10</t>
        </is>
      </c>
      <c r="C746" s="18" t="inlineStr">
        <is>
          <t>AC</t>
        </is>
      </c>
      <c r="D746" s="19" t="inlineStr">
        <is>
          <t>Palo Alto Firewalls</t>
        </is>
      </c>
      <c r="E746" s="18">
        <f>IFERROR(TRACKER!G746,"Not Started")</f>
        <v/>
      </c>
      <c r="F746" s="53">
        <f>IFERROR('[Palo_Alto_Firewalls.xlsx]AC-10'!B21,"")</f>
        <v/>
      </c>
      <c r="G746" s="53" t="inlineStr"/>
      <c r="H746" s="53" t="inlineStr"/>
      <c r="I746" s="18" t="inlineStr"/>
      <c r="J746" s="19" t="inlineStr"/>
      <c r="K746" s="22" t="inlineStr"/>
      <c r="L746" s="18" t="inlineStr">
        <is>
          <t>Not Started</t>
        </is>
      </c>
    </row>
    <row r="747" ht="42" customHeight="1">
      <c r="A747" s="11" t="n">
        <v>745</v>
      </c>
      <c r="B747" s="50" t="inlineStr">
        <is>
          <t>AC-17(1)</t>
        </is>
      </c>
      <c r="C747" s="11" t="inlineStr">
        <is>
          <t>AC</t>
        </is>
      </c>
      <c r="D747" s="12" t="inlineStr">
        <is>
          <t>Palo Alto Firewalls</t>
        </is>
      </c>
      <c r="E747" s="11">
        <f>IFERROR(TRACKER!G747,"Not Started")</f>
        <v/>
      </c>
      <c r="F747" s="51">
        <f>IFERROR('[Palo_Alto_Firewalls.xlsx]AC-17-1'!B21,"")</f>
        <v/>
      </c>
      <c r="G747" s="51" t="inlineStr"/>
      <c r="H747" s="51" t="inlineStr"/>
      <c r="I747" s="11" t="inlineStr"/>
      <c r="J747" s="12" t="inlineStr"/>
      <c r="K747" s="17" t="inlineStr"/>
      <c r="L747" s="11" t="inlineStr">
        <is>
          <t>Not Started</t>
        </is>
      </c>
    </row>
    <row r="748" ht="42" customHeight="1">
      <c r="A748" s="18" t="n">
        <v>746</v>
      </c>
      <c r="B748" s="52" t="inlineStr">
        <is>
          <t>AC-17(2)</t>
        </is>
      </c>
      <c r="C748" s="18" t="inlineStr">
        <is>
          <t>AC</t>
        </is>
      </c>
      <c r="D748" s="19" t="inlineStr">
        <is>
          <t>Palo Alto Firewalls</t>
        </is>
      </c>
      <c r="E748" s="18">
        <f>IFERROR(TRACKER!G748,"Not Started")</f>
        <v/>
      </c>
      <c r="F748" s="53">
        <f>IFERROR('[Palo_Alto_Firewalls.xlsx]AC-17-2'!B21,"")</f>
        <v/>
      </c>
      <c r="G748" s="53" t="inlineStr"/>
      <c r="H748" s="53" t="inlineStr"/>
      <c r="I748" s="18" t="inlineStr"/>
      <c r="J748" s="19" t="inlineStr"/>
      <c r="K748" s="22" t="inlineStr"/>
      <c r="L748" s="18" t="inlineStr">
        <is>
          <t>Not Started</t>
        </is>
      </c>
    </row>
    <row r="749" ht="42" customHeight="1">
      <c r="A749" s="11" t="n">
        <v>747</v>
      </c>
      <c r="B749" s="50" t="inlineStr">
        <is>
          <t>AC-17(3)</t>
        </is>
      </c>
      <c r="C749" s="11" t="inlineStr">
        <is>
          <t>AC</t>
        </is>
      </c>
      <c r="D749" s="12" t="inlineStr">
        <is>
          <t>Palo Alto Firewalls</t>
        </is>
      </c>
      <c r="E749" s="11">
        <f>IFERROR(TRACKER!G749,"Not Started")</f>
        <v/>
      </c>
      <c r="F749" s="51">
        <f>IFERROR('[Palo_Alto_Firewalls.xlsx]AC-17-3'!B21,"")</f>
        <v/>
      </c>
      <c r="G749" s="51" t="inlineStr"/>
      <c r="H749" s="51" t="inlineStr"/>
      <c r="I749" s="11" t="inlineStr"/>
      <c r="J749" s="12" t="inlineStr"/>
      <c r="K749" s="17" t="inlineStr"/>
      <c r="L749" s="11" t="inlineStr">
        <is>
          <t>Not Started</t>
        </is>
      </c>
    </row>
    <row r="750" ht="42" customHeight="1">
      <c r="A750" s="18" t="n">
        <v>748</v>
      </c>
      <c r="B750" s="52" t="inlineStr">
        <is>
          <t>AC-17(9)</t>
        </is>
      </c>
      <c r="C750" s="18" t="inlineStr">
        <is>
          <t>AC</t>
        </is>
      </c>
      <c r="D750" s="19" t="inlineStr">
        <is>
          <t>Palo Alto Firewalls</t>
        </is>
      </c>
      <c r="E750" s="18">
        <f>IFERROR(TRACKER!G750,"Not Started")</f>
        <v/>
      </c>
      <c r="F750" s="53">
        <f>IFERROR('[Palo_Alto_Firewalls.xlsx]AC-17-9'!B21,"")</f>
        <v/>
      </c>
      <c r="G750" s="53" t="inlineStr"/>
      <c r="H750" s="53" t="inlineStr"/>
      <c r="I750" s="18" t="inlineStr"/>
      <c r="J750" s="19" t="inlineStr"/>
      <c r="K750" s="22" t="inlineStr"/>
      <c r="L750" s="18" t="inlineStr">
        <is>
          <t>Not Started</t>
        </is>
      </c>
    </row>
    <row r="751" ht="42" customHeight="1">
      <c r="A751" s="11" t="n">
        <v>749</v>
      </c>
      <c r="B751" s="50" t="inlineStr">
        <is>
          <t>AC-17(100)</t>
        </is>
      </c>
      <c r="C751" s="11" t="inlineStr">
        <is>
          <t>AC</t>
        </is>
      </c>
      <c r="D751" s="12" t="inlineStr">
        <is>
          <t>Palo Alto Firewalls</t>
        </is>
      </c>
      <c r="E751" s="11">
        <f>IFERROR(TRACKER!G751,"Not Started")</f>
        <v/>
      </c>
      <c r="F751" s="51">
        <f>IFERROR('[Palo_Alto_Firewalls.xlsx]AC-17-100'!B21,"")</f>
        <v/>
      </c>
      <c r="G751" s="51" t="inlineStr"/>
      <c r="H751" s="51" t="inlineStr"/>
      <c r="I751" s="11" t="inlineStr"/>
      <c r="J751" s="12" t="inlineStr"/>
      <c r="K751" s="17" t="inlineStr"/>
      <c r="L751" s="11" t="inlineStr">
        <is>
          <t>Not Started</t>
        </is>
      </c>
    </row>
    <row r="752" ht="42" customHeight="1">
      <c r="A752" s="18" t="n">
        <v>750</v>
      </c>
      <c r="B752" s="52" t="inlineStr">
        <is>
          <t>AU-2</t>
        </is>
      </c>
      <c r="C752" s="18" t="inlineStr">
        <is>
          <t>AU</t>
        </is>
      </c>
      <c r="D752" s="19" t="inlineStr">
        <is>
          <t>Palo Alto Firewalls</t>
        </is>
      </c>
      <c r="E752" s="18">
        <f>IFERROR(TRACKER!G752,"Not Started")</f>
        <v/>
      </c>
      <c r="F752" s="53">
        <f>IFERROR('[Palo_Alto_Firewalls.xlsx]AU-2'!B21,"")</f>
        <v/>
      </c>
      <c r="G752" s="53" t="inlineStr"/>
      <c r="H752" s="53" t="inlineStr"/>
      <c r="I752" s="18" t="inlineStr"/>
      <c r="J752" s="19" t="inlineStr"/>
      <c r="K752" s="22" t="inlineStr"/>
      <c r="L752" s="18" t="inlineStr">
        <is>
          <t>Not Started</t>
        </is>
      </c>
    </row>
    <row r="753" ht="42" customHeight="1">
      <c r="A753" s="11" t="n">
        <v>751</v>
      </c>
      <c r="B753" s="50" t="inlineStr">
        <is>
          <t>AU-3</t>
        </is>
      </c>
      <c r="C753" s="11" t="inlineStr">
        <is>
          <t>AU</t>
        </is>
      </c>
      <c r="D753" s="12" t="inlineStr">
        <is>
          <t>Palo Alto Firewalls</t>
        </is>
      </c>
      <c r="E753" s="11">
        <f>IFERROR(TRACKER!G753,"Not Started")</f>
        <v/>
      </c>
      <c r="F753" s="51">
        <f>IFERROR('[Palo_Alto_Firewalls.xlsx]AU-3'!B21,"")</f>
        <v/>
      </c>
      <c r="G753" s="51" t="inlineStr"/>
      <c r="H753" s="51" t="inlineStr"/>
      <c r="I753" s="11" t="inlineStr"/>
      <c r="J753" s="12" t="inlineStr"/>
      <c r="K753" s="17" t="inlineStr"/>
      <c r="L753" s="11" t="inlineStr">
        <is>
          <t>Not Started</t>
        </is>
      </c>
    </row>
    <row r="754" ht="42" customHeight="1">
      <c r="A754" s="18" t="n">
        <v>752</v>
      </c>
      <c r="B754" s="52" t="inlineStr">
        <is>
          <t>AU-3(1)</t>
        </is>
      </c>
      <c r="C754" s="18" t="inlineStr">
        <is>
          <t>AU</t>
        </is>
      </c>
      <c r="D754" s="19" t="inlineStr">
        <is>
          <t>Palo Alto Firewalls</t>
        </is>
      </c>
      <c r="E754" s="18">
        <f>IFERROR(TRACKER!G754,"Not Started")</f>
        <v/>
      </c>
      <c r="F754" s="53">
        <f>IFERROR('[Palo_Alto_Firewalls.xlsx]AU-3-1'!B21,"")</f>
        <v/>
      </c>
      <c r="G754" s="53" t="inlineStr"/>
      <c r="H754" s="53" t="inlineStr"/>
      <c r="I754" s="18" t="inlineStr"/>
      <c r="J754" s="19" t="inlineStr"/>
      <c r="K754" s="22" t="inlineStr"/>
      <c r="L754" s="18" t="inlineStr">
        <is>
          <t>Not Started</t>
        </is>
      </c>
    </row>
    <row r="755" ht="42" customHeight="1">
      <c r="A755" s="11" t="n">
        <v>753</v>
      </c>
      <c r="B755" s="50" t="inlineStr">
        <is>
          <t>AU-8</t>
        </is>
      </c>
      <c r="C755" s="11" t="inlineStr">
        <is>
          <t>AU</t>
        </is>
      </c>
      <c r="D755" s="12" t="inlineStr">
        <is>
          <t>Palo Alto Firewalls</t>
        </is>
      </c>
      <c r="E755" s="11">
        <f>IFERROR(TRACKER!G755,"Not Started")</f>
        <v/>
      </c>
      <c r="F755" s="51">
        <f>IFERROR('[Palo_Alto_Firewalls.xlsx]AU-8'!B21,"")</f>
        <v/>
      </c>
      <c r="G755" s="51" t="inlineStr"/>
      <c r="H755" s="51" t="inlineStr"/>
      <c r="I755" s="11" t="inlineStr"/>
      <c r="J755" s="12" t="inlineStr"/>
      <c r="K755" s="17" t="inlineStr"/>
      <c r="L755" s="11" t="inlineStr">
        <is>
          <t>Not Started</t>
        </is>
      </c>
    </row>
    <row r="756" ht="42" customHeight="1">
      <c r="A756" s="18" t="n">
        <v>754</v>
      </c>
      <c r="B756" s="52" t="inlineStr">
        <is>
          <t>AU-8(1)</t>
        </is>
      </c>
      <c r="C756" s="18" t="inlineStr">
        <is>
          <t>AU</t>
        </is>
      </c>
      <c r="D756" s="19" t="inlineStr">
        <is>
          <t>Palo Alto Firewalls</t>
        </is>
      </c>
      <c r="E756" s="18">
        <f>IFERROR(TRACKER!G756,"Not Started")</f>
        <v/>
      </c>
      <c r="F756" s="53">
        <f>IFERROR('[Palo_Alto_Firewalls.xlsx]AU-8-1'!B21,"")</f>
        <v/>
      </c>
      <c r="G756" s="53" t="inlineStr"/>
      <c r="H756" s="53" t="inlineStr"/>
      <c r="I756" s="18" t="inlineStr"/>
      <c r="J756" s="19" t="inlineStr"/>
      <c r="K756" s="22" t="inlineStr"/>
      <c r="L756" s="18" t="inlineStr">
        <is>
          <t>Not Started</t>
        </is>
      </c>
    </row>
    <row r="757" ht="42" customHeight="1">
      <c r="A757" s="11" t="n">
        <v>755</v>
      </c>
      <c r="B757" s="50" t="inlineStr">
        <is>
          <t>AU-9(2)</t>
        </is>
      </c>
      <c r="C757" s="11" t="inlineStr">
        <is>
          <t>AU</t>
        </is>
      </c>
      <c r="D757" s="12" t="inlineStr">
        <is>
          <t>Palo Alto Firewalls</t>
        </is>
      </c>
      <c r="E757" s="11">
        <f>IFERROR(TRACKER!G757,"Not Started")</f>
        <v/>
      </c>
      <c r="F757" s="51">
        <f>IFERROR('[Palo_Alto_Firewalls.xlsx]AU-9-2'!B21,"")</f>
        <v/>
      </c>
      <c r="G757" s="51" t="inlineStr"/>
      <c r="H757" s="51" t="inlineStr"/>
      <c r="I757" s="11" t="inlineStr"/>
      <c r="J757" s="12" t="inlineStr"/>
      <c r="K757" s="17" t="inlineStr"/>
      <c r="L757" s="11" t="inlineStr">
        <is>
          <t>Not Started</t>
        </is>
      </c>
    </row>
    <row r="758" ht="42" customHeight="1">
      <c r="A758" s="18" t="n">
        <v>756</v>
      </c>
      <c r="B758" s="52" t="inlineStr">
        <is>
          <t>AU-12</t>
        </is>
      </c>
      <c r="C758" s="18" t="inlineStr">
        <is>
          <t>AU</t>
        </is>
      </c>
      <c r="D758" s="19" t="inlineStr">
        <is>
          <t>Palo Alto Firewalls</t>
        </is>
      </c>
      <c r="E758" s="18">
        <f>IFERROR(TRACKER!G758,"Not Started")</f>
        <v/>
      </c>
      <c r="F758" s="53">
        <f>IFERROR('[Palo_Alto_Firewalls.xlsx]AU-12'!B21,"")</f>
        <v/>
      </c>
      <c r="G758" s="53" t="inlineStr"/>
      <c r="H758" s="53" t="inlineStr"/>
      <c r="I758" s="18" t="inlineStr"/>
      <c r="J758" s="19" t="inlineStr"/>
      <c r="K758" s="22" t="inlineStr"/>
      <c r="L758" s="18" t="inlineStr">
        <is>
          <t>Not Started</t>
        </is>
      </c>
    </row>
    <row r="759" ht="42" customHeight="1">
      <c r="A759" s="11" t="n">
        <v>757</v>
      </c>
      <c r="B759" s="50" t="inlineStr">
        <is>
          <t>CA-3(5)</t>
        </is>
      </c>
      <c r="C759" s="11" t="inlineStr">
        <is>
          <t>CA</t>
        </is>
      </c>
      <c r="D759" s="12" t="inlineStr">
        <is>
          <t>Palo Alto Firewalls</t>
        </is>
      </c>
      <c r="E759" s="11">
        <f>IFERROR(TRACKER!G759,"Not Started")</f>
        <v/>
      </c>
      <c r="F759" s="51">
        <f>IFERROR('[Palo_Alto_Firewalls.xlsx]CA-3-5'!B21,"")</f>
        <v/>
      </c>
      <c r="G759" s="51" t="inlineStr"/>
      <c r="H759" s="51" t="inlineStr"/>
      <c r="I759" s="11" t="inlineStr"/>
      <c r="J759" s="12" t="inlineStr"/>
      <c r="K759" s="17" t="inlineStr"/>
      <c r="L759" s="11" t="inlineStr">
        <is>
          <t>Not Started</t>
        </is>
      </c>
    </row>
    <row r="760" ht="42" customHeight="1">
      <c r="A760" s="18" t="n">
        <v>758</v>
      </c>
      <c r="B760" s="52" t="inlineStr">
        <is>
          <t>CA-9</t>
        </is>
      </c>
      <c r="C760" s="18" t="inlineStr">
        <is>
          <t>CA</t>
        </is>
      </c>
      <c r="D760" s="19" t="inlineStr">
        <is>
          <t>Palo Alto Firewalls</t>
        </is>
      </c>
      <c r="E760" s="18">
        <f>IFERROR(TRACKER!G760,"Not Started")</f>
        <v/>
      </c>
      <c r="F760" s="53">
        <f>IFERROR('[Palo_Alto_Firewalls.xlsx]CA-9'!B21,"")</f>
        <v/>
      </c>
      <c r="G760" s="53" t="inlineStr"/>
      <c r="H760" s="53" t="inlineStr"/>
      <c r="I760" s="18" t="inlineStr"/>
      <c r="J760" s="19" t="inlineStr"/>
      <c r="K760" s="22" t="inlineStr"/>
      <c r="L760" s="18" t="inlineStr">
        <is>
          <t>Not Started</t>
        </is>
      </c>
    </row>
    <row r="761" ht="42" customHeight="1">
      <c r="A761" s="11" t="n">
        <v>759</v>
      </c>
      <c r="B761" s="50" t="inlineStr">
        <is>
          <t>CM-2</t>
        </is>
      </c>
      <c r="C761" s="11" t="inlineStr">
        <is>
          <t>CM</t>
        </is>
      </c>
      <c r="D761" s="12" t="inlineStr">
        <is>
          <t>Palo Alto Firewalls</t>
        </is>
      </c>
      <c r="E761" s="11">
        <f>IFERROR(TRACKER!G761,"Not Started")</f>
        <v/>
      </c>
      <c r="F761" s="51">
        <f>IFERROR('[Palo_Alto_Firewalls.xlsx]CM-2'!B21,"")</f>
        <v/>
      </c>
      <c r="G761" s="51" t="inlineStr"/>
      <c r="H761" s="51" t="inlineStr"/>
      <c r="I761" s="11" t="inlineStr"/>
      <c r="J761" s="12" t="inlineStr"/>
      <c r="K761" s="17" t="inlineStr"/>
      <c r="L761" s="11" t="inlineStr">
        <is>
          <t>Not Started</t>
        </is>
      </c>
    </row>
    <row r="762" ht="42" customHeight="1">
      <c r="A762" s="18" t="n">
        <v>760</v>
      </c>
      <c r="B762" s="52" t="inlineStr">
        <is>
          <t>CM-2(1)</t>
        </is>
      </c>
      <c r="C762" s="18" t="inlineStr">
        <is>
          <t>CM</t>
        </is>
      </c>
      <c r="D762" s="19" t="inlineStr">
        <is>
          <t>Palo Alto Firewalls</t>
        </is>
      </c>
      <c r="E762" s="18">
        <f>IFERROR(TRACKER!G762,"Not Started")</f>
        <v/>
      </c>
      <c r="F762" s="53">
        <f>IFERROR('[Palo_Alto_Firewalls.xlsx]CM-2-1'!B21,"")</f>
        <v/>
      </c>
      <c r="G762" s="53" t="inlineStr"/>
      <c r="H762" s="53" t="inlineStr"/>
      <c r="I762" s="18" t="inlineStr"/>
      <c r="J762" s="19" t="inlineStr"/>
      <c r="K762" s="22" t="inlineStr"/>
      <c r="L762" s="18" t="inlineStr">
        <is>
          <t>Not Started</t>
        </is>
      </c>
    </row>
    <row r="763" ht="42" customHeight="1">
      <c r="A763" s="11" t="n">
        <v>761</v>
      </c>
      <c r="B763" s="50" t="inlineStr">
        <is>
          <t>CM-5(5)</t>
        </is>
      </c>
      <c r="C763" s="11" t="inlineStr">
        <is>
          <t>CM</t>
        </is>
      </c>
      <c r="D763" s="12" t="inlineStr">
        <is>
          <t>Palo Alto Firewalls</t>
        </is>
      </c>
      <c r="E763" s="11">
        <f>IFERROR(TRACKER!G763,"Not Started")</f>
        <v/>
      </c>
      <c r="F763" s="51">
        <f>IFERROR('[Palo_Alto_Firewalls.xlsx]CM-5-5'!B21,"")</f>
        <v/>
      </c>
      <c r="G763" s="51" t="inlineStr"/>
      <c r="H763" s="51" t="inlineStr"/>
      <c r="I763" s="11" t="inlineStr"/>
      <c r="J763" s="12" t="inlineStr"/>
      <c r="K763" s="17" t="inlineStr"/>
      <c r="L763" s="11" t="inlineStr">
        <is>
          <t>Not Started</t>
        </is>
      </c>
    </row>
    <row r="764" ht="42" customHeight="1">
      <c r="A764" s="18" t="n">
        <v>762</v>
      </c>
      <c r="B764" s="52" t="inlineStr">
        <is>
          <t>CM-6</t>
        </is>
      </c>
      <c r="C764" s="18" t="inlineStr">
        <is>
          <t>CM</t>
        </is>
      </c>
      <c r="D764" s="19" t="inlineStr">
        <is>
          <t>Palo Alto Firewalls</t>
        </is>
      </c>
      <c r="E764" s="18">
        <f>IFERROR(TRACKER!G764,"Not Started")</f>
        <v/>
      </c>
      <c r="F764" s="53">
        <f>IFERROR('[Palo_Alto_Firewalls.xlsx]CM-6'!B21,"")</f>
        <v/>
      </c>
      <c r="G764" s="53" t="inlineStr"/>
      <c r="H764" s="53" t="inlineStr"/>
      <c r="I764" s="18" t="inlineStr"/>
      <c r="J764" s="19" t="inlineStr"/>
      <c r="K764" s="22" t="inlineStr"/>
      <c r="L764" s="18" t="inlineStr">
        <is>
          <t>Not Started</t>
        </is>
      </c>
    </row>
    <row r="765" ht="42" customHeight="1">
      <c r="A765" s="11" t="n">
        <v>763</v>
      </c>
      <c r="B765" s="50" t="inlineStr">
        <is>
          <t>CM-7</t>
        </is>
      </c>
      <c r="C765" s="11" t="inlineStr">
        <is>
          <t>CM</t>
        </is>
      </c>
      <c r="D765" s="12" t="inlineStr">
        <is>
          <t>Palo Alto Firewalls</t>
        </is>
      </c>
      <c r="E765" s="11">
        <f>IFERROR(TRACKER!G765,"Not Started")</f>
        <v/>
      </c>
      <c r="F765" s="51">
        <f>IFERROR('[Palo_Alto_Firewalls.xlsx]CM-7'!B21,"")</f>
        <v/>
      </c>
      <c r="G765" s="51" t="inlineStr"/>
      <c r="H765" s="51" t="inlineStr"/>
      <c r="I765" s="11" t="inlineStr"/>
      <c r="J765" s="12" t="inlineStr"/>
      <c r="K765" s="17" t="inlineStr"/>
      <c r="L765" s="11" t="inlineStr">
        <is>
          <t>Not Started</t>
        </is>
      </c>
    </row>
    <row r="766" ht="42" customHeight="1">
      <c r="A766" s="18" t="n">
        <v>764</v>
      </c>
      <c r="B766" s="52" t="inlineStr">
        <is>
          <t>CM-7(1)</t>
        </is>
      </c>
      <c r="C766" s="18" t="inlineStr">
        <is>
          <t>CM</t>
        </is>
      </c>
      <c r="D766" s="19" t="inlineStr">
        <is>
          <t>Palo Alto Firewalls</t>
        </is>
      </c>
      <c r="E766" s="18">
        <f>IFERROR(TRACKER!G766,"Not Started")</f>
        <v/>
      </c>
      <c r="F766" s="53">
        <f>IFERROR('[Palo_Alto_Firewalls.xlsx]CM-7-1'!B21,"")</f>
        <v/>
      </c>
      <c r="G766" s="53" t="inlineStr"/>
      <c r="H766" s="53" t="inlineStr"/>
      <c r="I766" s="18" t="inlineStr"/>
      <c r="J766" s="19" t="inlineStr"/>
      <c r="K766" s="22" t="inlineStr"/>
      <c r="L766" s="18" t="inlineStr">
        <is>
          <t>Not Started</t>
        </is>
      </c>
    </row>
    <row r="767" ht="42" customHeight="1">
      <c r="A767" s="11" t="n">
        <v>765</v>
      </c>
      <c r="B767" s="50" t="inlineStr">
        <is>
          <t>CM-10</t>
        </is>
      </c>
      <c r="C767" s="11" t="inlineStr">
        <is>
          <t>CM</t>
        </is>
      </c>
      <c r="D767" s="12" t="inlineStr">
        <is>
          <t>Palo Alto Firewalls</t>
        </is>
      </c>
      <c r="E767" s="11">
        <f>IFERROR(TRACKER!G767,"Not Started")</f>
        <v/>
      </c>
      <c r="F767" s="51">
        <f>IFERROR('[Palo_Alto_Firewalls.xlsx]CM-10'!B21,"")</f>
        <v/>
      </c>
      <c r="G767" s="51" t="inlineStr"/>
      <c r="H767" s="51" t="inlineStr"/>
      <c r="I767" s="11" t="inlineStr"/>
      <c r="J767" s="12" t="inlineStr"/>
      <c r="K767" s="17" t="inlineStr"/>
      <c r="L767" s="11" t="inlineStr">
        <is>
          <t>Not Started</t>
        </is>
      </c>
    </row>
    <row r="768" ht="42" customHeight="1">
      <c r="A768" s="18" t="n">
        <v>766</v>
      </c>
      <c r="B768" s="52" t="inlineStr">
        <is>
          <t>CP-7</t>
        </is>
      </c>
      <c r="C768" s="18" t="inlineStr">
        <is>
          <t>CP</t>
        </is>
      </c>
      <c r="D768" s="19" t="inlineStr">
        <is>
          <t>Palo Alto Firewalls</t>
        </is>
      </c>
      <c r="E768" s="18">
        <f>IFERROR(TRACKER!G768,"Not Started")</f>
        <v/>
      </c>
      <c r="F768" s="53">
        <f>IFERROR('[Palo_Alto_Firewalls.xlsx]CP-7'!B21,"")</f>
        <v/>
      </c>
      <c r="G768" s="53" t="inlineStr"/>
      <c r="H768" s="53" t="inlineStr"/>
      <c r="I768" s="18" t="inlineStr"/>
      <c r="J768" s="19" t="inlineStr"/>
      <c r="K768" s="22" t="inlineStr"/>
      <c r="L768" s="18" t="inlineStr">
        <is>
          <t>Not Started</t>
        </is>
      </c>
    </row>
    <row r="769" ht="42" customHeight="1">
      <c r="A769" s="11" t="n">
        <v>767</v>
      </c>
      <c r="B769" s="50" t="inlineStr">
        <is>
          <t>CP-7(1)</t>
        </is>
      </c>
      <c r="C769" s="11" t="inlineStr">
        <is>
          <t>CP</t>
        </is>
      </c>
      <c r="D769" s="12" t="inlineStr">
        <is>
          <t>Palo Alto Firewalls</t>
        </is>
      </c>
      <c r="E769" s="11">
        <f>IFERROR(TRACKER!G769,"Not Started")</f>
        <v/>
      </c>
      <c r="F769" s="51">
        <f>IFERROR('[Palo_Alto_Firewalls.xlsx]CP-7-1'!B21,"")</f>
        <v/>
      </c>
      <c r="G769" s="51" t="inlineStr"/>
      <c r="H769" s="51" t="inlineStr"/>
      <c r="I769" s="11" t="inlineStr"/>
      <c r="J769" s="12" t="inlineStr"/>
      <c r="K769" s="17" t="inlineStr"/>
      <c r="L769" s="11" t="inlineStr">
        <is>
          <t>Not Started</t>
        </is>
      </c>
    </row>
    <row r="770" ht="42" customHeight="1">
      <c r="A770" s="18" t="n">
        <v>768</v>
      </c>
      <c r="B770" s="52" t="inlineStr">
        <is>
          <t>CP-7(4)</t>
        </is>
      </c>
      <c r="C770" s="18" t="inlineStr">
        <is>
          <t>CP</t>
        </is>
      </c>
      <c r="D770" s="19" t="inlineStr">
        <is>
          <t>Palo Alto Firewalls</t>
        </is>
      </c>
      <c r="E770" s="18">
        <f>IFERROR(TRACKER!G770,"Not Started")</f>
        <v/>
      </c>
      <c r="F770" s="53">
        <f>IFERROR('[Palo_Alto_Firewalls.xlsx]CP-7-4'!B21,"")</f>
        <v/>
      </c>
      <c r="G770" s="53" t="inlineStr"/>
      <c r="H770" s="53" t="inlineStr"/>
      <c r="I770" s="18" t="inlineStr"/>
      <c r="J770" s="19" t="inlineStr"/>
      <c r="K770" s="22" t="inlineStr"/>
      <c r="L770" s="18" t="inlineStr">
        <is>
          <t>Not Started</t>
        </is>
      </c>
    </row>
    <row r="771" ht="42" customHeight="1">
      <c r="A771" s="11" t="n">
        <v>769</v>
      </c>
      <c r="B771" s="50" t="inlineStr">
        <is>
          <t>CP-9</t>
        </is>
      </c>
      <c r="C771" s="11" t="inlineStr">
        <is>
          <t>CP</t>
        </is>
      </c>
      <c r="D771" s="12" t="inlineStr">
        <is>
          <t>Palo Alto Firewalls</t>
        </is>
      </c>
      <c r="E771" s="11">
        <f>IFERROR(TRACKER!G771,"Not Started")</f>
        <v/>
      </c>
      <c r="F771" s="51">
        <f>IFERROR('[Palo_Alto_Firewalls.xlsx]CP-9'!B21,"")</f>
        <v/>
      </c>
      <c r="G771" s="51" t="inlineStr"/>
      <c r="H771" s="51" t="inlineStr"/>
      <c r="I771" s="11" t="inlineStr"/>
      <c r="J771" s="12" t="inlineStr"/>
      <c r="K771" s="17" t="inlineStr"/>
      <c r="L771" s="11" t="inlineStr">
        <is>
          <t>Not Started</t>
        </is>
      </c>
    </row>
    <row r="772" ht="42" customHeight="1">
      <c r="A772" s="18" t="n">
        <v>770</v>
      </c>
      <c r="B772" s="52" t="inlineStr">
        <is>
          <t>CP-9(3)</t>
        </is>
      </c>
      <c r="C772" s="18" t="inlineStr">
        <is>
          <t>CP</t>
        </is>
      </c>
      <c r="D772" s="19" t="inlineStr">
        <is>
          <t>Palo Alto Firewalls</t>
        </is>
      </c>
      <c r="E772" s="18">
        <f>IFERROR(TRACKER!G772,"Not Started")</f>
        <v/>
      </c>
      <c r="F772" s="53">
        <f>IFERROR('[Palo_Alto_Firewalls.xlsx]CP-9-3'!B21,"")</f>
        <v/>
      </c>
      <c r="G772" s="53" t="inlineStr"/>
      <c r="H772" s="53" t="inlineStr"/>
      <c r="I772" s="18" t="inlineStr"/>
      <c r="J772" s="19" t="inlineStr"/>
      <c r="K772" s="22" t="inlineStr"/>
      <c r="L772" s="18" t="inlineStr">
        <is>
          <t>Not Started</t>
        </is>
      </c>
    </row>
    <row r="773" ht="42" customHeight="1">
      <c r="A773" s="11" t="n">
        <v>771</v>
      </c>
      <c r="B773" s="50" t="inlineStr">
        <is>
          <t>CP-9(5)</t>
        </is>
      </c>
      <c r="C773" s="11" t="inlineStr">
        <is>
          <t>CP</t>
        </is>
      </c>
      <c r="D773" s="12" t="inlineStr">
        <is>
          <t>Palo Alto Firewalls</t>
        </is>
      </c>
      <c r="E773" s="11">
        <f>IFERROR(TRACKER!G773,"Not Started")</f>
        <v/>
      </c>
      <c r="F773" s="51">
        <f>IFERROR('[Palo_Alto_Firewalls.xlsx]CP-9-5'!B21,"")</f>
        <v/>
      </c>
      <c r="G773" s="51" t="inlineStr"/>
      <c r="H773" s="51" t="inlineStr"/>
      <c r="I773" s="11" t="inlineStr"/>
      <c r="J773" s="12" t="inlineStr"/>
      <c r="K773" s="17" t="inlineStr"/>
      <c r="L773" s="11" t="inlineStr">
        <is>
          <t>Not Started</t>
        </is>
      </c>
    </row>
    <row r="774" ht="42" customHeight="1">
      <c r="A774" s="18" t="n">
        <v>772</v>
      </c>
      <c r="B774" s="52" t="inlineStr">
        <is>
          <t>CP-9(7)</t>
        </is>
      </c>
      <c r="C774" s="18" t="inlineStr">
        <is>
          <t>CP</t>
        </is>
      </c>
      <c r="D774" s="19" t="inlineStr">
        <is>
          <t>Palo Alto Firewalls</t>
        </is>
      </c>
      <c r="E774" s="18">
        <f>IFERROR(TRACKER!G774,"Not Started")</f>
        <v/>
      </c>
      <c r="F774" s="53">
        <f>IFERROR('[Palo_Alto_Firewalls.xlsx]CP-9-7'!B21,"")</f>
        <v/>
      </c>
      <c r="G774" s="53" t="inlineStr"/>
      <c r="H774" s="53" t="inlineStr"/>
      <c r="I774" s="18" t="inlineStr"/>
      <c r="J774" s="19" t="inlineStr"/>
      <c r="K774" s="22" t="inlineStr"/>
      <c r="L774" s="18" t="inlineStr">
        <is>
          <t>Not Started</t>
        </is>
      </c>
    </row>
    <row r="775" ht="42" customHeight="1">
      <c r="A775" s="11" t="n">
        <v>773</v>
      </c>
      <c r="B775" s="50" t="inlineStr">
        <is>
          <t>CP-10</t>
        </is>
      </c>
      <c r="C775" s="11" t="inlineStr">
        <is>
          <t>CP</t>
        </is>
      </c>
      <c r="D775" s="12" t="inlineStr">
        <is>
          <t>Palo Alto Firewalls</t>
        </is>
      </c>
      <c r="E775" s="11">
        <f>IFERROR(TRACKER!G775,"Not Started")</f>
        <v/>
      </c>
      <c r="F775" s="51">
        <f>IFERROR('[Palo_Alto_Firewalls.xlsx]CP-10'!B21,"")</f>
        <v/>
      </c>
      <c r="G775" s="51" t="inlineStr"/>
      <c r="H775" s="51" t="inlineStr"/>
      <c r="I775" s="11" t="inlineStr"/>
      <c r="J775" s="12" t="inlineStr"/>
      <c r="K775" s="17" t="inlineStr"/>
      <c r="L775" s="11" t="inlineStr">
        <is>
          <t>Not Started</t>
        </is>
      </c>
    </row>
    <row r="776" ht="42" customHeight="1">
      <c r="A776" s="18" t="n">
        <v>774</v>
      </c>
      <c r="B776" s="52" t="inlineStr">
        <is>
          <t>CP-10(4)</t>
        </is>
      </c>
      <c r="C776" s="18" t="inlineStr">
        <is>
          <t>CP</t>
        </is>
      </c>
      <c r="D776" s="19" t="inlineStr">
        <is>
          <t>Palo Alto Firewalls</t>
        </is>
      </c>
      <c r="E776" s="18">
        <f>IFERROR(TRACKER!G776,"Not Started")</f>
        <v/>
      </c>
      <c r="F776" s="53">
        <f>IFERROR('[Palo_Alto_Firewalls.xlsx]CP-10-4'!B21,"")</f>
        <v/>
      </c>
      <c r="G776" s="53" t="inlineStr"/>
      <c r="H776" s="53" t="inlineStr"/>
      <c r="I776" s="18" t="inlineStr"/>
      <c r="J776" s="19" t="inlineStr"/>
      <c r="K776" s="22" t="inlineStr"/>
      <c r="L776" s="18" t="inlineStr">
        <is>
          <t>Not Started</t>
        </is>
      </c>
    </row>
    <row r="777" ht="42" customHeight="1">
      <c r="A777" s="11" t="n">
        <v>775</v>
      </c>
      <c r="B777" s="50" t="inlineStr">
        <is>
          <t>IA-3</t>
        </is>
      </c>
      <c r="C777" s="11" t="inlineStr">
        <is>
          <t>IA</t>
        </is>
      </c>
      <c r="D777" s="12" t="inlineStr">
        <is>
          <t>Palo Alto Firewalls</t>
        </is>
      </c>
      <c r="E777" s="11">
        <f>IFERROR(TRACKER!G777,"Not Started")</f>
        <v/>
      </c>
      <c r="F777" s="51">
        <f>IFERROR('[Palo_Alto_Firewalls.xlsx]IA-3'!B21,"")</f>
        <v/>
      </c>
      <c r="G777" s="51" t="inlineStr"/>
      <c r="H777" s="51" t="inlineStr"/>
      <c r="I777" s="11" t="inlineStr"/>
      <c r="J777" s="12" t="inlineStr"/>
      <c r="K777" s="17" t="inlineStr"/>
      <c r="L777" s="11" t="inlineStr">
        <is>
          <t>Not Started</t>
        </is>
      </c>
    </row>
    <row r="778" ht="42" customHeight="1">
      <c r="A778" s="18" t="n">
        <v>776</v>
      </c>
      <c r="B778" s="52" t="inlineStr">
        <is>
          <t>IA-5(2)</t>
        </is>
      </c>
      <c r="C778" s="18" t="inlineStr">
        <is>
          <t>IA</t>
        </is>
      </c>
      <c r="D778" s="19" t="inlineStr">
        <is>
          <t>Palo Alto Firewalls</t>
        </is>
      </c>
      <c r="E778" s="18">
        <f>IFERROR(TRACKER!G778,"Not Started")</f>
        <v/>
      </c>
      <c r="F778" s="53">
        <f>IFERROR('[Palo_Alto_Firewalls.xlsx]IA-5-2'!B21,"")</f>
        <v/>
      </c>
      <c r="G778" s="53" t="inlineStr"/>
      <c r="H778" s="53" t="inlineStr"/>
      <c r="I778" s="18" t="inlineStr"/>
      <c r="J778" s="19" t="inlineStr"/>
      <c r="K778" s="22" t="inlineStr"/>
      <c r="L778" s="18" t="inlineStr">
        <is>
          <t>Not Started</t>
        </is>
      </c>
    </row>
    <row r="779" ht="42" customHeight="1">
      <c r="A779" s="11" t="n">
        <v>777</v>
      </c>
      <c r="B779" s="50" t="inlineStr">
        <is>
          <t>MA-4(6)</t>
        </is>
      </c>
      <c r="C779" s="11" t="inlineStr">
        <is>
          <t>MA</t>
        </is>
      </c>
      <c r="D779" s="12" t="inlineStr">
        <is>
          <t>Palo Alto Firewalls</t>
        </is>
      </c>
      <c r="E779" s="11">
        <f>IFERROR(TRACKER!G779,"Not Started")</f>
        <v/>
      </c>
      <c r="F779" s="51">
        <f>IFERROR('[Palo_Alto_Firewalls.xlsx]MA-4-6'!B21,"")</f>
        <v/>
      </c>
      <c r="G779" s="51" t="inlineStr"/>
      <c r="H779" s="51" t="inlineStr"/>
      <c r="I779" s="11" t="inlineStr"/>
      <c r="J779" s="12" t="inlineStr"/>
      <c r="K779" s="17" t="inlineStr"/>
      <c r="L779" s="11" t="inlineStr">
        <is>
          <t>Not Started</t>
        </is>
      </c>
    </row>
    <row r="780" ht="42" customHeight="1">
      <c r="A780" s="18" t="n">
        <v>778</v>
      </c>
      <c r="B780" s="52" t="inlineStr">
        <is>
          <t>SA-9(5)</t>
        </is>
      </c>
      <c r="C780" s="18" t="inlineStr">
        <is>
          <t>SA</t>
        </is>
      </c>
      <c r="D780" s="19" t="inlineStr">
        <is>
          <t>Palo Alto Firewalls</t>
        </is>
      </c>
      <c r="E780" s="18">
        <f>IFERROR(TRACKER!G780,"Not Started")</f>
        <v/>
      </c>
      <c r="F780" s="53">
        <f>IFERROR('[Palo_Alto_Firewalls.xlsx]SA-9-5'!B21,"")</f>
        <v/>
      </c>
      <c r="G780" s="53" t="inlineStr"/>
      <c r="H780" s="53" t="inlineStr"/>
      <c r="I780" s="18" t="inlineStr"/>
      <c r="J780" s="19" t="inlineStr"/>
      <c r="K780" s="22" t="inlineStr"/>
      <c r="L780" s="18" t="inlineStr">
        <is>
          <t>Not Started</t>
        </is>
      </c>
    </row>
    <row r="781" ht="42" customHeight="1">
      <c r="A781" s="11" t="n">
        <v>779</v>
      </c>
      <c r="B781" s="50" t="inlineStr">
        <is>
          <t>SA-10(1)</t>
        </is>
      </c>
      <c r="C781" s="11" t="inlineStr">
        <is>
          <t>SA</t>
        </is>
      </c>
      <c r="D781" s="12" t="inlineStr">
        <is>
          <t>Palo Alto Firewalls</t>
        </is>
      </c>
      <c r="E781" s="11">
        <f>IFERROR(TRACKER!G781,"Not Started")</f>
        <v/>
      </c>
      <c r="F781" s="51">
        <f>IFERROR('[Palo_Alto_Firewalls.xlsx]SA-10-1'!B21,"")</f>
        <v/>
      </c>
      <c r="G781" s="51" t="inlineStr"/>
      <c r="H781" s="51" t="inlineStr"/>
      <c r="I781" s="11" t="inlineStr"/>
      <c r="J781" s="12" t="inlineStr"/>
      <c r="K781" s="17" t="inlineStr"/>
      <c r="L781" s="11" t="inlineStr">
        <is>
          <t>Not Started</t>
        </is>
      </c>
    </row>
    <row r="782" ht="42" customHeight="1">
      <c r="A782" s="18" t="n">
        <v>780</v>
      </c>
      <c r="B782" s="52" t="inlineStr">
        <is>
          <t>SC-4</t>
        </is>
      </c>
      <c r="C782" s="18" t="inlineStr">
        <is>
          <t>SC</t>
        </is>
      </c>
      <c r="D782" s="19" t="inlineStr">
        <is>
          <t>Palo Alto Firewalls</t>
        </is>
      </c>
      <c r="E782" s="18">
        <f>IFERROR(TRACKER!G782,"Not Started")</f>
        <v/>
      </c>
      <c r="F782" s="53">
        <f>IFERROR('[Palo_Alto_Firewalls.xlsx]SC-4'!B21,"")</f>
        <v/>
      </c>
      <c r="G782" s="53" t="inlineStr"/>
      <c r="H782" s="53" t="inlineStr"/>
      <c r="I782" s="18" t="inlineStr"/>
      <c r="J782" s="19" t="inlineStr"/>
      <c r="K782" s="22" t="inlineStr"/>
      <c r="L782" s="18" t="inlineStr">
        <is>
          <t>Not Started</t>
        </is>
      </c>
    </row>
    <row r="783" ht="42" customHeight="1">
      <c r="A783" s="11" t="n">
        <v>781</v>
      </c>
      <c r="B783" s="50" t="inlineStr">
        <is>
          <t>SC-5</t>
        </is>
      </c>
      <c r="C783" s="11" t="inlineStr">
        <is>
          <t>SC</t>
        </is>
      </c>
      <c r="D783" s="12" t="inlineStr">
        <is>
          <t>Palo Alto Firewalls</t>
        </is>
      </c>
      <c r="E783" s="11">
        <f>IFERROR(TRACKER!G783,"Not Started")</f>
        <v/>
      </c>
      <c r="F783" s="51">
        <f>IFERROR('[Palo_Alto_Firewalls.xlsx]SC-5'!B21,"")</f>
        <v/>
      </c>
      <c r="G783" s="51" t="inlineStr"/>
      <c r="H783" s="51" t="inlineStr"/>
      <c r="I783" s="11" t="inlineStr"/>
      <c r="J783" s="12" t="inlineStr"/>
      <c r="K783" s="17" t="inlineStr"/>
      <c r="L783" s="11" t="inlineStr">
        <is>
          <t>Not Started</t>
        </is>
      </c>
    </row>
    <row r="784" ht="42" customHeight="1">
      <c r="A784" s="18" t="n">
        <v>782</v>
      </c>
      <c r="B784" s="52" t="inlineStr">
        <is>
          <t>SC-7</t>
        </is>
      </c>
      <c r="C784" s="18" t="inlineStr">
        <is>
          <t>SC</t>
        </is>
      </c>
      <c r="D784" s="19" t="inlineStr">
        <is>
          <t>Palo Alto Firewalls</t>
        </is>
      </c>
      <c r="E784" s="18">
        <f>IFERROR(TRACKER!G784,"Not Started")</f>
        <v/>
      </c>
      <c r="F784" s="53">
        <f>IFERROR('[Palo_Alto_Firewalls.xlsx]SC-7'!B21,"")</f>
        <v/>
      </c>
      <c r="G784" s="53" t="inlineStr"/>
      <c r="H784" s="53" t="inlineStr"/>
      <c r="I784" s="18" t="inlineStr"/>
      <c r="J784" s="19" t="inlineStr"/>
      <c r="K784" s="22" t="inlineStr"/>
      <c r="L784" s="18" t="inlineStr">
        <is>
          <t>Not Started</t>
        </is>
      </c>
    </row>
    <row r="785" ht="42" customHeight="1">
      <c r="A785" s="11" t="n">
        <v>783</v>
      </c>
      <c r="B785" s="50" t="inlineStr">
        <is>
          <t>SC-7(3)</t>
        </is>
      </c>
      <c r="C785" s="11" t="inlineStr">
        <is>
          <t>SC</t>
        </is>
      </c>
      <c r="D785" s="12" t="inlineStr">
        <is>
          <t>Palo Alto Firewalls</t>
        </is>
      </c>
      <c r="E785" s="11">
        <f>IFERROR(TRACKER!G785,"Not Started")</f>
        <v/>
      </c>
      <c r="F785" s="51">
        <f>IFERROR('[Palo_Alto_Firewalls.xlsx]SC-7-3'!B21,"")</f>
        <v/>
      </c>
      <c r="G785" s="51" t="inlineStr"/>
      <c r="H785" s="51" t="inlineStr"/>
      <c r="I785" s="11" t="inlineStr"/>
      <c r="J785" s="12" t="inlineStr"/>
      <c r="K785" s="17" t="inlineStr"/>
      <c r="L785" s="11" t="inlineStr">
        <is>
          <t>Not Started</t>
        </is>
      </c>
    </row>
    <row r="786" ht="42" customHeight="1">
      <c r="A786" s="18" t="n">
        <v>784</v>
      </c>
      <c r="B786" s="52" t="inlineStr">
        <is>
          <t>SC-7(4)</t>
        </is>
      </c>
      <c r="C786" s="18" t="inlineStr">
        <is>
          <t>SC</t>
        </is>
      </c>
      <c r="D786" s="19" t="inlineStr">
        <is>
          <t>Palo Alto Firewalls</t>
        </is>
      </c>
      <c r="E786" s="18">
        <f>IFERROR(TRACKER!G786,"Not Started")</f>
        <v/>
      </c>
      <c r="F786" s="53">
        <f>IFERROR('[Palo_Alto_Firewalls.xlsx]SC-7-4'!B21,"")</f>
        <v/>
      </c>
      <c r="G786" s="53" t="inlineStr"/>
      <c r="H786" s="53" t="inlineStr"/>
      <c r="I786" s="18" t="inlineStr"/>
      <c r="J786" s="19" t="inlineStr"/>
      <c r="K786" s="22" t="inlineStr"/>
      <c r="L786" s="18" t="inlineStr">
        <is>
          <t>Not Started</t>
        </is>
      </c>
    </row>
    <row r="787" ht="42" customHeight="1">
      <c r="A787" s="11" t="n">
        <v>785</v>
      </c>
      <c r="B787" s="50" t="inlineStr">
        <is>
          <t>SC-7(5)</t>
        </is>
      </c>
      <c r="C787" s="11" t="inlineStr">
        <is>
          <t>SC</t>
        </is>
      </c>
      <c r="D787" s="12" t="inlineStr">
        <is>
          <t>Palo Alto Firewalls</t>
        </is>
      </c>
      <c r="E787" s="11">
        <f>IFERROR(TRACKER!G787,"Not Started")</f>
        <v/>
      </c>
      <c r="F787" s="51">
        <f>IFERROR('[Palo_Alto_Firewalls.xlsx]SC-7-5'!B21,"")</f>
        <v/>
      </c>
      <c r="G787" s="51" t="inlineStr"/>
      <c r="H787" s="51" t="inlineStr"/>
      <c r="I787" s="11" t="inlineStr"/>
      <c r="J787" s="12" t="inlineStr"/>
      <c r="K787" s="17" t="inlineStr"/>
      <c r="L787" s="11" t="inlineStr">
        <is>
          <t>Not Started</t>
        </is>
      </c>
    </row>
    <row r="788" ht="42" customHeight="1">
      <c r="A788" s="18" t="n">
        <v>786</v>
      </c>
      <c r="B788" s="52" t="inlineStr">
        <is>
          <t>SC-7(7)</t>
        </is>
      </c>
      <c r="C788" s="18" t="inlineStr">
        <is>
          <t>SC</t>
        </is>
      </c>
      <c r="D788" s="19" t="inlineStr">
        <is>
          <t>Palo Alto Firewalls</t>
        </is>
      </c>
      <c r="E788" s="18">
        <f>IFERROR(TRACKER!G788,"Not Started")</f>
        <v/>
      </c>
      <c r="F788" s="53">
        <f>IFERROR('[Palo_Alto_Firewalls.xlsx]SC-7-7'!B21,"")</f>
        <v/>
      </c>
      <c r="G788" s="53" t="inlineStr"/>
      <c r="H788" s="53" t="inlineStr"/>
      <c r="I788" s="18" t="inlineStr"/>
      <c r="J788" s="19" t="inlineStr"/>
      <c r="K788" s="22" t="inlineStr"/>
      <c r="L788" s="18" t="inlineStr">
        <is>
          <t>Not Started</t>
        </is>
      </c>
    </row>
    <row r="789" ht="42" customHeight="1">
      <c r="A789" s="11" t="n">
        <v>787</v>
      </c>
      <c r="B789" s="50" t="inlineStr">
        <is>
          <t>SC-7(8)</t>
        </is>
      </c>
      <c r="C789" s="11" t="inlineStr">
        <is>
          <t>SC</t>
        </is>
      </c>
      <c r="D789" s="12" t="inlineStr">
        <is>
          <t>Palo Alto Firewalls</t>
        </is>
      </c>
      <c r="E789" s="11">
        <f>IFERROR(TRACKER!G789,"Not Started")</f>
        <v/>
      </c>
      <c r="F789" s="51">
        <f>IFERROR('[Palo_Alto_Firewalls.xlsx]SC-7-8'!B21,"")</f>
        <v/>
      </c>
      <c r="G789" s="51" t="inlineStr"/>
      <c r="H789" s="51" t="inlineStr"/>
      <c r="I789" s="11" t="inlineStr"/>
      <c r="J789" s="12" t="inlineStr"/>
      <c r="K789" s="17" t="inlineStr"/>
      <c r="L789" s="11" t="inlineStr">
        <is>
          <t>Not Started</t>
        </is>
      </c>
    </row>
    <row r="790" ht="42" customHeight="1">
      <c r="A790" s="18" t="n">
        <v>788</v>
      </c>
      <c r="B790" s="52" t="inlineStr">
        <is>
          <t>SC-7(13)</t>
        </is>
      </c>
      <c r="C790" s="18" t="inlineStr">
        <is>
          <t>SC</t>
        </is>
      </c>
      <c r="D790" s="19" t="inlineStr">
        <is>
          <t>Palo Alto Firewalls</t>
        </is>
      </c>
      <c r="E790" s="18">
        <f>IFERROR(TRACKER!G790,"Not Started")</f>
        <v/>
      </c>
      <c r="F790" s="53">
        <f>IFERROR('[Palo_Alto_Firewalls.xlsx]SC-7-13'!B21,"")</f>
        <v/>
      </c>
      <c r="G790" s="53" t="inlineStr"/>
      <c r="H790" s="53" t="inlineStr"/>
      <c r="I790" s="18" t="inlineStr"/>
      <c r="J790" s="19" t="inlineStr"/>
      <c r="K790" s="22" t="inlineStr"/>
      <c r="L790" s="18" t="inlineStr">
        <is>
          <t>Not Started</t>
        </is>
      </c>
    </row>
    <row r="791" ht="42" customHeight="1">
      <c r="A791" s="11" t="n">
        <v>789</v>
      </c>
      <c r="B791" s="50" t="inlineStr">
        <is>
          <t>SC-7(18)</t>
        </is>
      </c>
      <c r="C791" s="11" t="inlineStr">
        <is>
          <t>SC</t>
        </is>
      </c>
      <c r="D791" s="12" t="inlineStr">
        <is>
          <t>Palo Alto Firewalls</t>
        </is>
      </c>
      <c r="E791" s="11">
        <f>IFERROR(TRACKER!G791,"Not Started")</f>
        <v/>
      </c>
      <c r="F791" s="51">
        <f>IFERROR('[Palo_Alto_Firewalls.xlsx]SC-7-18'!B21,"")</f>
        <v/>
      </c>
      <c r="G791" s="51" t="inlineStr"/>
      <c r="H791" s="51" t="inlineStr"/>
      <c r="I791" s="11" t="inlineStr"/>
      <c r="J791" s="12" t="inlineStr"/>
      <c r="K791" s="17" t="inlineStr"/>
      <c r="L791" s="11" t="inlineStr">
        <is>
          <t>Not Started</t>
        </is>
      </c>
    </row>
    <row r="792" ht="42" customHeight="1">
      <c r="A792" s="18" t="n">
        <v>790</v>
      </c>
      <c r="B792" s="52" t="inlineStr">
        <is>
          <t>SC-8</t>
        </is>
      </c>
      <c r="C792" s="18" t="inlineStr">
        <is>
          <t>SC</t>
        </is>
      </c>
      <c r="D792" s="19" t="inlineStr">
        <is>
          <t>Palo Alto Firewalls</t>
        </is>
      </c>
      <c r="E792" s="18">
        <f>IFERROR(TRACKER!G792,"Not Started")</f>
        <v/>
      </c>
      <c r="F792" s="53">
        <f>IFERROR('[Palo_Alto_Firewalls.xlsx]SC-8'!B21,"")</f>
        <v/>
      </c>
      <c r="G792" s="53" t="inlineStr"/>
      <c r="H792" s="53" t="inlineStr"/>
      <c r="I792" s="18" t="inlineStr"/>
      <c r="J792" s="19" t="inlineStr"/>
      <c r="K792" s="22" t="inlineStr"/>
      <c r="L792" s="18" t="inlineStr">
        <is>
          <t>Not Started</t>
        </is>
      </c>
    </row>
    <row r="793" ht="42" customHeight="1">
      <c r="A793" s="11" t="n">
        <v>791</v>
      </c>
      <c r="B793" s="50" t="inlineStr">
        <is>
          <t>SC-8(1)</t>
        </is>
      </c>
      <c r="C793" s="11" t="inlineStr">
        <is>
          <t>SC</t>
        </is>
      </c>
      <c r="D793" s="12" t="inlineStr">
        <is>
          <t>Palo Alto Firewalls</t>
        </is>
      </c>
      <c r="E793" s="11">
        <f>IFERROR(TRACKER!G793,"Not Started")</f>
        <v/>
      </c>
      <c r="F793" s="51">
        <f>IFERROR('[Palo_Alto_Firewalls.xlsx]SC-8-1'!B21,"")</f>
        <v/>
      </c>
      <c r="G793" s="51" t="inlineStr"/>
      <c r="H793" s="51" t="inlineStr"/>
      <c r="I793" s="11" t="inlineStr"/>
      <c r="J793" s="12" t="inlineStr"/>
      <c r="K793" s="17" t="inlineStr"/>
      <c r="L793" s="11" t="inlineStr">
        <is>
          <t>Not Started</t>
        </is>
      </c>
    </row>
    <row r="794" ht="42" customHeight="1">
      <c r="A794" s="18" t="n">
        <v>792</v>
      </c>
      <c r="B794" s="52" t="inlineStr">
        <is>
          <t>SC-10</t>
        </is>
      </c>
      <c r="C794" s="18" t="inlineStr">
        <is>
          <t>SC</t>
        </is>
      </c>
      <c r="D794" s="19" t="inlineStr">
        <is>
          <t>Palo Alto Firewalls</t>
        </is>
      </c>
      <c r="E794" s="18">
        <f>IFERROR(TRACKER!G794,"Not Started")</f>
        <v/>
      </c>
      <c r="F794" s="53">
        <f>IFERROR('[Palo_Alto_Firewalls.xlsx]SC-10'!B21,"")</f>
        <v/>
      </c>
      <c r="G794" s="53" t="inlineStr"/>
      <c r="H794" s="53" t="inlineStr"/>
      <c r="I794" s="18" t="inlineStr"/>
      <c r="J794" s="19" t="inlineStr"/>
      <c r="K794" s="22" t="inlineStr"/>
      <c r="L794" s="18" t="inlineStr">
        <is>
          <t>Not Started</t>
        </is>
      </c>
    </row>
    <row r="795" ht="42" customHeight="1">
      <c r="A795" s="11" t="n">
        <v>793</v>
      </c>
      <c r="B795" s="50" t="inlineStr">
        <is>
          <t>SC-18(3)</t>
        </is>
      </c>
      <c r="C795" s="11" t="inlineStr">
        <is>
          <t>SC</t>
        </is>
      </c>
      <c r="D795" s="12" t="inlineStr">
        <is>
          <t>Palo Alto Firewalls</t>
        </is>
      </c>
      <c r="E795" s="11">
        <f>IFERROR(TRACKER!G795,"Not Started")</f>
        <v/>
      </c>
      <c r="F795" s="51">
        <f>IFERROR('[Palo_Alto_Firewalls.xlsx]SC-18-3'!B21,"")</f>
        <v/>
      </c>
      <c r="G795" s="51" t="inlineStr"/>
      <c r="H795" s="51" t="inlineStr"/>
      <c r="I795" s="11" t="inlineStr"/>
      <c r="J795" s="12" t="inlineStr"/>
      <c r="K795" s="17" t="inlineStr"/>
      <c r="L795" s="11" t="inlineStr">
        <is>
          <t>Not Started</t>
        </is>
      </c>
    </row>
    <row r="796" ht="42" customHeight="1">
      <c r="A796" s="18" t="n">
        <v>794</v>
      </c>
      <c r="B796" s="52" t="inlineStr">
        <is>
          <t>SC-23</t>
        </is>
      </c>
      <c r="C796" s="18" t="inlineStr">
        <is>
          <t>SC</t>
        </is>
      </c>
      <c r="D796" s="19" t="inlineStr">
        <is>
          <t>Palo Alto Firewalls</t>
        </is>
      </c>
      <c r="E796" s="18">
        <f>IFERROR(TRACKER!G796,"Not Started")</f>
        <v/>
      </c>
      <c r="F796" s="53">
        <f>IFERROR('[Palo_Alto_Firewalls.xlsx]SC-23'!B21,"")</f>
        <v/>
      </c>
      <c r="G796" s="53" t="inlineStr"/>
      <c r="H796" s="53" t="inlineStr"/>
      <c r="I796" s="18" t="inlineStr"/>
      <c r="J796" s="19" t="inlineStr"/>
      <c r="K796" s="22" t="inlineStr"/>
      <c r="L796" s="18" t="inlineStr">
        <is>
          <t>Not Started</t>
        </is>
      </c>
    </row>
    <row r="797" ht="42" customHeight="1">
      <c r="A797" s="11" t="n">
        <v>795</v>
      </c>
      <c r="B797" s="50" t="inlineStr">
        <is>
          <t>SI-4</t>
        </is>
      </c>
      <c r="C797" s="11" t="inlineStr">
        <is>
          <t>SI</t>
        </is>
      </c>
      <c r="D797" s="12" t="inlineStr">
        <is>
          <t>Palo Alto Firewalls</t>
        </is>
      </c>
      <c r="E797" s="11">
        <f>IFERROR(TRACKER!G797,"Not Started")</f>
        <v/>
      </c>
      <c r="F797" s="51">
        <f>IFERROR('[Palo_Alto_Firewalls.xlsx]SI-4'!B21,"")</f>
        <v/>
      </c>
      <c r="G797" s="51" t="inlineStr"/>
      <c r="H797" s="51" t="inlineStr"/>
      <c r="I797" s="11" t="inlineStr"/>
      <c r="J797" s="12" t="inlineStr"/>
      <c r="K797" s="17" t="inlineStr"/>
      <c r="L797" s="11" t="inlineStr">
        <is>
          <t>Not Started</t>
        </is>
      </c>
    </row>
    <row r="798" ht="42" customHeight="1">
      <c r="A798" s="18" t="n">
        <v>796</v>
      </c>
      <c r="B798" s="52" t="inlineStr">
        <is>
          <t>SI-4(1)</t>
        </is>
      </c>
      <c r="C798" s="18" t="inlineStr">
        <is>
          <t>SI</t>
        </is>
      </c>
      <c r="D798" s="19" t="inlineStr">
        <is>
          <t>Palo Alto Firewalls</t>
        </is>
      </c>
      <c r="E798" s="18">
        <f>IFERROR(TRACKER!G798,"Not Started")</f>
        <v/>
      </c>
      <c r="F798" s="53">
        <f>IFERROR('[Palo_Alto_Firewalls.xlsx]SI-4-1'!B21,"")</f>
        <v/>
      </c>
      <c r="G798" s="53" t="inlineStr"/>
      <c r="H798" s="53" t="inlineStr"/>
      <c r="I798" s="18" t="inlineStr"/>
      <c r="J798" s="19" t="inlineStr"/>
      <c r="K798" s="22" t="inlineStr"/>
      <c r="L798" s="18" t="inlineStr">
        <is>
          <t>Not Started</t>
        </is>
      </c>
    </row>
    <row r="799" ht="42" customHeight="1">
      <c r="A799" s="11" t="n">
        <v>797</v>
      </c>
      <c r="B799" s="50" t="inlineStr">
        <is>
          <t>SI-4(2)</t>
        </is>
      </c>
      <c r="C799" s="11" t="inlineStr">
        <is>
          <t>SI</t>
        </is>
      </c>
      <c r="D799" s="12" t="inlineStr">
        <is>
          <t>Palo Alto Firewalls</t>
        </is>
      </c>
      <c r="E799" s="11">
        <f>IFERROR(TRACKER!G799,"Not Started")</f>
        <v/>
      </c>
      <c r="F799" s="51">
        <f>IFERROR('[Palo_Alto_Firewalls.xlsx]SI-4-2'!B21,"")</f>
        <v/>
      </c>
      <c r="G799" s="51" t="inlineStr"/>
      <c r="H799" s="51" t="inlineStr"/>
      <c r="I799" s="11" t="inlineStr"/>
      <c r="J799" s="12" t="inlineStr"/>
      <c r="K799" s="17" t="inlineStr"/>
      <c r="L799" s="11" t="inlineStr">
        <is>
          <t>Not Started</t>
        </is>
      </c>
    </row>
    <row r="800" ht="42" customHeight="1">
      <c r="A800" s="18" t="n">
        <v>798</v>
      </c>
      <c r="B800" s="52" t="inlineStr">
        <is>
          <t>SI-4(4)</t>
        </is>
      </c>
      <c r="C800" s="18" t="inlineStr">
        <is>
          <t>SI</t>
        </is>
      </c>
      <c r="D800" s="19" t="inlineStr">
        <is>
          <t>Palo Alto Firewalls</t>
        </is>
      </c>
      <c r="E800" s="18">
        <f>IFERROR(TRACKER!G800,"Not Started")</f>
        <v/>
      </c>
      <c r="F800" s="53">
        <f>IFERROR('[Palo_Alto_Firewalls.xlsx]SI-4-4'!B21,"")</f>
        <v/>
      </c>
      <c r="G800" s="53" t="inlineStr"/>
      <c r="H800" s="53" t="inlineStr"/>
      <c r="I800" s="18" t="inlineStr"/>
      <c r="J800" s="19" t="inlineStr"/>
      <c r="K800" s="22" t="inlineStr"/>
      <c r="L800" s="18" t="inlineStr">
        <is>
          <t>Not Started</t>
        </is>
      </c>
    </row>
    <row r="801" ht="42" customHeight="1">
      <c r="A801" s="11" t="n">
        <v>799</v>
      </c>
      <c r="B801" s="50" t="inlineStr">
        <is>
          <t>SI-4(11)</t>
        </is>
      </c>
      <c r="C801" s="11" t="inlineStr">
        <is>
          <t>SI</t>
        </is>
      </c>
      <c r="D801" s="12" t="inlineStr">
        <is>
          <t>Palo Alto Firewalls</t>
        </is>
      </c>
      <c r="E801" s="11">
        <f>IFERROR(TRACKER!G801,"Not Started")</f>
        <v/>
      </c>
      <c r="F801" s="51">
        <f>IFERROR('[Palo_Alto_Firewalls.xlsx]SI-4-11'!B21,"")</f>
        <v/>
      </c>
      <c r="G801" s="51" t="inlineStr"/>
      <c r="H801" s="51" t="inlineStr"/>
      <c r="I801" s="11" t="inlineStr"/>
      <c r="J801" s="12" t="inlineStr"/>
      <c r="K801" s="17" t="inlineStr"/>
      <c r="L801" s="11" t="inlineStr">
        <is>
          <t>Not Started</t>
        </is>
      </c>
    </row>
    <row r="802" ht="42" customHeight="1">
      <c r="A802" s="18" t="n">
        <v>800</v>
      </c>
      <c r="B802" s="52" t="inlineStr">
        <is>
          <t>SI-6</t>
        </is>
      </c>
      <c r="C802" s="18" t="inlineStr">
        <is>
          <t>SI</t>
        </is>
      </c>
      <c r="D802" s="19" t="inlineStr">
        <is>
          <t>Palo Alto Firewalls</t>
        </is>
      </c>
      <c r="E802" s="18">
        <f>IFERROR(TRACKER!G802,"Not Started")</f>
        <v/>
      </c>
      <c r="F802" s="53">
        <f>IFERROR('[Palo_Alto_Firewalls.xlsx]SI-6'!B21,"")</f>
        <v/>
      </c>
      <c r="G802" s="53" t="inlineStr"/>
      <c r="H802" s="53" t="inlineStr"/>
      <c r="I802" s="18" t="inlineStr"/>
      <c r="J802" s="19" t="inlineStr"/>
      <c r="K802" s="22" t="inlineStr"/>
      <c r="L802" s="18" t="inlineStr">
        <is>
          <t>Not Started</t>
        </is>
      </c>
    </row>
    <row r="803" ht="42" customHeight="1">
      <c r="A803" s="11" t="n">
        <v>801</v>
      </c>
      <c r="B803" s="50" t="inlineStr">
        <is>
          <t>SI-7(1)</t>
        </is>
      </c>
      <c r="C803" s="11" t="inlineStr">
        <is>
          <t>SI</t>
        </is>
      </c>
      <c r="D803" s="12" t="inlineStr">
        <is>
          <t>Palo Alto Firewalls</t>
        </is>
      </c>
      <c r="E803" s="11">
        <f>IFERROR(TRACKER!G803,"Not Started")</f>
        <v/>
      </c>
      <c r="F803" s="51">
        <f>IFERROR('[Palo_Alto_Firewalls.xlsx]SI-7-1'!B21,"")</f>
        <v/>
      </c>
      <c r="G803" s="51" t="inlineStr"/>
      <c r="H803" s="51" t="inlineStr"/>
      <c r="I803" s="11" t="inlineStr"/>
      <c r="J803" s="12" t="inlineStr"/>
      <c r="K803" s="17" t="inlineStr"/>
      <c r="L803" s="11" t="inlineStr">
        <is>
          <t>Not Started</t>
        </is>
      </c>
    </row>
    <row r="804" ht="42" customHeight="1">
      <c r="A804" s="18" t="n">
        <v>802</v>
      </c>
      <c r="B804" s="52" t="inlineStr">
        <is>
          <t>SI-8</t>
        </is>
      </c>
      <c r="C804" s="18" t="inlineStr">
        <is>
          <t>SI</t>
        </is>
      </c>
      <c r="D804" s="19" t="inlineStr">
        <is>
          <t>Palo Alto Firewalls</t>
        </is>
      </c>
      <c r="E804" s="18">
        <f>IFERROR(TRACKER!G804,"Not Started")</f>
        <v/>
      </c>
      <c r="F804" s="53">
        <f>IFERROR('[Palo_Alto_Firewalls.xlsx]SI-8'!B21,"")</f>
        <v/>
      </c>
      <c r="G804" s="53" t="inlineStr"/>
      <c r="H804" s="53" t="inlineStr"/>
      <c r="I804" s="18" t="inlineStr"/>
      <c r="J804" s="19" t="inlineStr"/>
      <c r="K804" s="22" t="inlineStr"/>
      <c r="L804" s="18" t="inlineStr">
        <is>
          <t>Not Started</t>
        </is>
      </c>
    </row>
    <row r="805" ht="42" customHeight="1">
      <c r="A805" s="11" t="n">
        <v>803</v>
      </c>
      <c r="B805" s="50" t="inlineStr">
        <is>
          <t>SI-8(1)</t>
        </is>
      </c>
      <c r="C805" s="11" t="inlineStr">
        <is>
          <t>SI</t>
        </is>
      </c>
      <c r="D805" s="12" t="inlineStr">
        <is>
          <t>Palo Alto Firewalls</t>
        </is>
      </c>
      <c r="E805" s="11">
        <f>IFERROR(TRACKER!G805,"Not Started")</f>
        <v/>
      </c>
      <c r="F805" s="51">
        <f>IFERROR('[Palo_Alto_Firewalls.xlsx]SI-8-1'!B21,"")</f>
        <v/>
      </c>
      <c r="G805" s="51" t="inlineStr"/>
      <c r="H805" s="51" t="inlineStr"/>
      <c r="I805" s="11" t="inlineStr"/>
      <c r="J805" s="12" t="inlineStr"/>
      <c r="K805" s="17" t="inlineStr"/>
      <c r="L805" s="11" t="inlineStr">
        <is>
          <t>Not Started</t>
        </is>
      </c>
    </row>
    <row r="806" ht="42" customHeight="1">
      <c r="A806" s="18" t="n">
        <v>804</v>
      </c>
      <c r="B806" s="52" t="inlineStr">
        <is>
          <t>SI-8(2)</t>
        </is>
      </c>
      <c r="C806" s="18" t="inlineStr">
        <is>
          <t>SI</t>
        </is>
      </c>
      <c r="D806" s="19" t="inlineStr">
        <is>
          <t>Palo Alto Firewalls</t>
        </is>
      </c>
      <c r="E806" s="18">
        <f>IFERROR(TRACKER!G806,"Not Started")</f>
        <v/>
      </c>
      <c r="F806" s="53">
        <f>IFERROR('[Palo_Alto_Firewalls.xlsx]SI-8-2'!B21,"")</f>
        <v/>
      </c>
      <c r="G806" s="53" t="inlineStr"/>
      <c r="H806" s="53" t="inlineStr"/>
      <c r="I806" s="18" t="inlineStr"/>
      <c r="J806" s="19" t="inlineStr"/>
      <c r="K806" s="22" t="inlineStr"/>
      <c r="L806" s="18" t="inlineStr">
        <is>
          <t>Not Started</t>
        </is>
      </c>
    </row>
    <row r="807" ht="42" customHeight="1">
      <c r="A807" s="11" t="n">
        <v>805</v>
      </c>
      <c r="B807" s="50" t="inlineStr">
        <is>
          <t>AC-2(2)</t>
        </is>
      </c>
      <c r="C807" s="11" t="inlineStr">
        <is>
          <t>AC</t>
        </is>
      </c>
      <c r="D807" s="12" t="inlineStr">
        <is>
          <t>Panorama</t>
        </is>
      </c>
      <c r="E807" s="11">
        <f>IFERROR(TRACKER!G807,"Not Started")</f>
        <v/>
      </c>
      <c r="F807" s="51">
        <f>IFERROR('[Panorama.xlsx]AC-2-2'!B21,"")</f>
        <v/>
      </c>
      <c r="G807" s="51" t="inlineStr"/>
      <c r="H807" s="51" t="inlineStr"/>
      <c r="I807" s="11" t="inlineStr"/>
      <c r="J807" s="12" t="inlineStr"/>
      <c r="K807" s="17" t="inlineStr"/>
      <c r="L807" s="11" t="inlineStr">
        <is>
          <t>Not Started</t>
        </is>
      </c>
    </row>
    <row r="808" ht="42" customHeight="1">
      <c r="A808" s="18" t="n">
        <v>806</v>
      </c>
      <c r="B808" s="52" t="inlineStr">
        <is>
          <t>AC-2(4)</t>
        </is>
      </c>
      <c r="C808" s="18" t="inlineStr">
        <is>
          <t>AC</t>
        </is>
      </c>
      <c r="D808" s="19" t="inlineStr">
        <is>
          <t>Panorama</t>
        </is>
      </c>
      <c r="E808" s="18">
        <f>IFERROR(TRACKER!G808,"Not Started")</f>
        <v/>
      </c>
      <c r="F808" s="53">
        <f>IFERROR('[Panorama.xlsx]AC-2-4'!B21,"")</f>
        <v/>
      </c>
      <c r="G808" s="53" t="inlineStr"/>
      <c r="H808" s="53" t="inlineStr"/>
      <c r="I808" s="18" t="inlineStr"/>
      <c r="J808" s="19" t="inlineStr"/>
      <c r="K808" s="22" t="inlineStr"/>
      <c r="L808" s="18" t="inlineStr">
        <is>
          <t>Not Started</t>
        </is>
      </c>
    </row>
    <row r="809" ht="42" customHeight="1">
      <c r="A809" s="11" t="n">
        <v>807</v>
      </c>
      <c r="B809" s="50" t="inlineStr">
        <is>
          <t>AC-3</t>
        </is>
      </c>
      <c r="C809" s="11" t="inlineStr">
        <is>
          <t>AC</t>
        </is>
      </c>
      <c r="D809" s="12" t="inlineStr">
        <is>
          <t>Panorama</t>
        </is>
      </c>
      <c r="E809" s="11">
        <f>IFERROR(TRACKER!G809,"Not Started")</f>
        <v/>
      </c>
      <c r="F809" s="51">
        <f>IFERROR('[Panorama.xlsx]AC-3'!B21,"")</f>
        <v/>
      </c>
      <c r="G809" s="51" t="inlineStr"/>
      <c r="H809" s="51" t="inlineStr"/>
      <c r="I809" s="11" t="inlineStr"/>
      <c r="J809" s="12" t="inlineStr"/>
      <c r="K809" s="17" t="inlineStr"/>
      <c r="L809" s="11" t="inlineStr">
        <is>
          <t>Not Started</t>
        </is>
      </c>
    </row>
    <row r="810" ht="42" customHeight="1">
      <c r="A810" s="18" t="n">
        <v>808</v>
      </c>
      <c r="B810" s="52" t="inlineStr">
        <is>
          <t>AC-4</t>
        </is>
      </c>
      <c r="C810" s="18" t="inlineStr">
        <is>
          <t>AC</t>
        </is>
      </c>
      <c r="D810" s="19" t="inlineStr">
        <is>
          <t>Panorama</t>
        </is>
      </c>
      <c r="E810" s="18">
        <f>IFERROR(TRACKER!G810,"Not Started")</f>
        <v/>
      </c>
      <c r="F810" s="53">
        <f>IFERROR('[Panorama.xlsx]AC-4'!B21,"")</f>
        <v/>
      </c>
      <c r="G810" s="53" t="inlineStr"/>
      <c r="H810" s="53" t="inlineStr"/>
      <c r="I810" s="18" t="inlineStr"/>
      <c r="J810" s="19" t="inlineStr"/>
      <c r="K810" s="22" t="inlineStr"/>
      <c r="L810" s="18" t="inlineStr">
        <is>
          <t>Not Started</t>
        </is>
      </c>
    </row>
    <row r="811" ht="42" customHeight="1">
      <c r="A811" s="11" t="n">
        <v>809</v>
      </c>
      <c r="B811" s="50" t="inlineStr">
        <is>
          <t>AC-4(21)</t>
        </is>
      </c>
      <c r="C811" s="11" t="inlineStr">
        <is>
          <t>AC</t>
        </is>
      </c>
      <c r="D811" s="12" t="inlineStr">
        <is>
          <t>Panorama</t>
        </is>
      </c>
      <c r="E811" s="11">
        <f>IFERROR(TRACKER!G811,"Not Started")</f>
        <v/>
      </c>
      <c r="F811" s="51">
        <f>IFERROR('[Panorama.xlsx]AC-4-21'!B21,"")</f>
        <v/>
      </c>
      <c r="G811" s="51" t="inlineStr"/>
      <c r="H811" s="51" t="inlineStr"/>
      <c r="I811" s="11" t="inlineStr"/>
      <c r="J811" s="12" t="inlineStr"/>
      <c r="K811" s="17" t="inlineStr"/>
      <c r="L811" s="11" t="inlineStr">
        <is>
          <t>Not Started</t>
        </is>
      </c>
    </row>
    <row r="812" ht="42" customHeight="1">
      <c r="A812" s="18" t="n">
        <v>810</v>
      </c>
      <c r="B812" s="52" t="inlineStr">
        <is>
          <t>AC-6</t>
        </is>
      </c>
      <c r="C812" s="18" t="inlineStr">
        <is>
          <t>AC</t>
        </is>
      </c>
      <c r="D812" s="19" t="inlineStr">
        <is>
          <t>Panorama</t>
        </is>
      </c>
      <c r="E812" s="18">
        <f>IFERROR(TRACKER!G812,"Not Started")</f>
        <v/>
      </c>
      <c r="F812" s="53">
        <f>IFERROR('[Panorama.xlsx]AC-6'!B21,"")</f>
        <v/>
      </c>
      <c r="G812" s="53" t="inlineStr"/>
      <c r="H812" s="53" t="inlineStr"/>
      <c r="I812" s="18" t="inlineStr"/>
      <c r="J812" s="19" t="inlineStr"/>
      <c r="K812" s="22" t="inlineStr"/>
      <c r="L812" s="18" t="inlineStr">
        <is>
          <t>Not Started</t>
        </is>
      </c>
    </row>
    <row r="813" ht="42" customHeight="1">
      <c r="A813" s="11" t="n">
        <v>811</v>
      </c>
      <c r="B813" s="50" t="inlineStr">
        <is>
          <t>AC-6(1)</t>
        </is>
      </c>
      <c r="C813" s="11" t="inlineStr">
        <is>
          <t>AC</t>
        </is>
      </c>
      <c r="D813" s="12" t="inlineStr">
        <is>
          <t>Panorama</t>
        </is>
      </c>
      <c r="E813" s="11">
        <f>IFERROR(TRACKER!G813,"Not Started")</f>
        <v/>
      </c>
      <c r="F813" s="51">
        <f>IFERROR('[Panorama.xlsx]AC-6-1'!B21,"")</f>
        <v/>
      </c>
      <c r="G813" s="51" t="inlineStr"/>
      <c r="H813" s="51" t="inlineStr"/>
      <c r="I813" s="11" t="inlineStr"/>
      <c r="J813" s="12" t="inlineStr"/>
      <c r="K813" s="17" t="inlineStr"/>
      <c r="L813" s="11" t="inlineStr">
        <is>
          <t>Not Started</t>
        </is>
      </c>
    </row>
    <row r="814" ht="42" customHeight="1">
      <c r="A814" s="18" t="n">
        <v>812</v>
      </c>
      <c r="B814" s="52" t="inlineStr">
        <is>
          <t>AC-6(9)</t>
        </is>
      </c>
      <c r="C814" s="18" t="inlineStr">
        <is>
          <t>AC</t>
        </is>
      </c>
      <c r="D814" s="19" t="inlineStr">
        <is>
          <t>Panorama</t>
        </is>
      </c>
      <c r="E814" s="18">
        <f>IFERROR(TRACKER!G814,"Not Started")</f>
        <v/>
      </c>
      <c r="F814" s="53">
        <f>IFERROR('[Panorama.xlsx]AC-6-9'!B21,"")</f>
        <v/>
      </c>
      <c r="G814" s="53" t="inlineStr"/>
      <c r="H814" s="53" t="inlineStr"/>
      <c r="I814" s="18" t="inlineStr"/>
      <c r="J814" s="19" t="inlineStr"/>
      <c r="K814" s="22" t="inlineStr"/>
      <c r="L814" s="18" t="inlineStr">
        <is>
          <t>Not Started</t>
        </is>
      </c>
    </row>
    <row r="815" ht="42" customHeight="1">
      <c r="A815" s="11" t="n">
        <v>813</v>
      </c>
      <c r="B815" s="50" t="inlineStr">
        <is>
          <t>AC-6(10)</t>
        </is>
      </c>
      <c r="C815" s="11" t="inlineStr">
        <is>
          <t>AC</t>
        </is>
      </c>
      <c r="D815" s="12" t="inlineStr">
        <is>
          <t>Panorama</t>
        </is>
      </c>
      <c r="E815" s="11">
        <f>IFERROR(TRACKER!G815,"Not Started")</f>
        <v/>
      </c>
      <c r="F815" s="51">
        <f>IFERROR('[Panorama.xlsx]AC-6-10'!B21,"")</f>
        <v/>
      </c>
      <c r="G815" s="51" t="inlineStr"/>
      <c r="H815" s="51" t="inlineStr"/>
      <c r="I815" s="11" t="inlineStr"/>
      <c r="J815" s="12" t="inlineStr"/>
      <c r="K815" s="17" t="inlineStr"/>
      <c r="L815" s="11" t="inlineStr">
        <is>
          <t>Not Started</t>
        </is>
      </c>
    </row>
    <row r="816" ht="42" customHeight="1">
      <c r="A816" s="18" t="n">
        <v>814</v>
      </c>
      <c r="B816" s="52" t="inlineStr">
        <is>
          <t>AC-7</t>
        </is>
      </c>
      <c r="C816" s="18" t="inlineStr">
        <is>
          <t>AC</t>
        </is>
      </c>
      <c r="D816" s="19" t="inlineStr">
        <is>
          <t>Panorama</t>
        </is>
      </c>
      <c r="E816" s="18">
        <f>IFERROR(TRACKER!G816,"Not Started")</f>
        <v/>
      </c>
      <c r="F816" s="53">
        <f>IFERROR('[Panorama.xlsx]AC-7'!B21,"")</f>
        <v/>
      </c>
      <c r="G816" s="53" t="inlineStr"/>
      <c r="H816" s="53" t="inlineStr"/>
      <c r="I816" s="18" t="inlineStr"/>
      <c r="J816" s="19" t="inlineStr"/>
      <c r="K816" s="22" t="inlineStr"/>
      <c r="L816" s="18" t="inlineStr">
        <is>
          <t>Not Started</t>
        </is>
      </c>
    </row>
    <row r="817" ht="42" customHeight="1">
      <c r="A817" s="11" t="n">
        <v>815</v>
      </c>
      <c r="B817" s="50" t="inlineStr">
        <is>
          <t>AC-10</t>
        </is>
      </c>
      <c r="C817" s="11" t="inlineStr">
        <is>
          <t>AC</t>
        </is>
      </c>
      <c r="D817" s="12" t="inlineStr">
        <is>
          <t>Panorama</t>
        </is>
      </c>
      <c r="E817" s="11">
        <f>IFERROR(TRACKER!G817,"Not Started")</f>
        <v/>
      </c>
      <c r="F817" s="51">
        <f>IFERROR('[Panorama.xlsx]AC-10'!B21,"")</f>
        <v/>
      </c>
      <c r="G817" s="51" t="inlineStr"/>
      <c r="H817" s="51" t="inlineStr"/>
      <c r="I817" s="11" t="inlineStr"/>
      <c r="J817" s="12" t="inlineStr"/>
      <c r="K817" s="17" t="inlineStr"/>
      <c r="L817" s="11" t="inlineStr">
        <is>
          <t>Not Started</t>
        </is>
      </c>
    </row>
    <row r="818" ht="42" customHeight="1">
      <c r="A818" s="18" t="n">
        <v>816</v>
      </c>
      <c r="B818" s="52" t="inlineStr">
        <is>
          <t>AC-17(1)</t>
        </is>
      </c>
      <c r="C818" s="18" t="inlineStr">
        <is>
          <t>AC</t>
        </is>
      </c>
      <c r="D818" s="19" t="inlineStr">
        <is>
          <t>Panorama</t>
        </is>
      </c>
      <c r="E818" s="18">
        <f>IFERROR(TRACKER!G818,"Not Started")</f>
        <v/>
      </c>
      <c r="F818" s="53">
        <f>IFERROR('[Panorama.xlsx]AC-17-1'!B21,"")</f>
        <v/>
      </c>
      <c r="G818" s="53" t="inlineStr"/>
      <c r="H818" s="53" t="inlineStr"/>
      <c r="I818" s="18" t="inlineStr"/>
      <c r="J818" s="19" t="inlineStr"/>
      <c r="K818" s="22" t="inlineStr"/>
      <c r="L818" s="18" t="inlineStr">
        <is>
          <t>Not Started</t>
        </is>
      </c>
    </row>
    <row r="819" ht="42" customHeight="1">
      <c r="A819" s="11" t="n">
        <v>817</v>
      </c>
      <c r="B819" s="50" t="inlineStr">
        <is>
          <t>AC-17(2)</t>
        </is>
      </c>
      <c r="C819" s="11" t="inlineStr">
        <is>
          <t>AC</t>
        </is>
      </c>
      <c r="D819" s="12" t="inlineStr">
        <is>
          <t>Panorama</t>
        </is>
      </c>
      <c r="E819" s="11">
        <f>IFERROR(TRACKER!G819,"Not Started")</f>
        <v/>
      </c>
      <c r="F819" s="51">
        <f>IFERROR('[Panorama.xlsx]AC-17-2'!B21,"")</f>
        <v/>
      </c>
      <c r="G819" s="51" t="inlineStr"/>
      <c r="H819" s="51" t="inlineStr"/>
      <c r="I819" s="11" t="inlineStr"/>
      <c r="J819" s="12" t="inlineStr"/>
      <c r="K819" s="17" t="inlineStr"/>
      <c r="L819" s="11" t="inlineStr">
        <is>
          <t>Not Started</t>
        </is>
      </c>
    </row>
    <row r="820" ht="42" customHeight="1">
      <c r="A820" s="18" t="n">
        <v>818</v>
      </c>
      <c r="B820" s="52" t="inlineStr">
        <is>
          <t>AC-17(3)</t>
        </is>
      </c>
      <c r="C820" s="18" t="inlineStr">
        <is>
          <t>AC</t>
        </is>
      </c>
      <c r="D820" s="19" t="inlineStr">
        <is>
          <t>Panorama</t>
        </is>
      </c>
      <c r="E820" s="18">
        <f>IFERROR(TRACKER!G820,"Not Started")</f>
        <v/>
      </c>
      <c r="F820" s="53">
        <f>IFERROR('[Panorama.xlsx]AC-17-3'!B21,"")</f>
        <v/>
      </c>
      <c r="G820" s="53" t="inlineStr"/>
      <c r="H820" s="53" t="inlineStr"/>
      <c r="I820" s="18" t="inlineStr"/>
      <c r="J820" s="19" t="inlineStr"/>
      <c r="K820" s="22" t="inlineStr"/>
      <c r="L820" s="18" t="inlineStr">
        <is>
          <t>Not Started</t>
        </is>
      </c>
    </row>
    <row r="821" ht="42" customHeight="1">
      <c r="A821" s="11" t="n">
        <v>819</v>
      </c>
      <c r="B821" s="50" t="inlineStr">
        <is>
          <t>AC-17(9)</t>
        </is>
      </c>
      <c r="C821" s="11" t="inlineStr">
        <is>
          <t>AC</t>
        </is>
      </c>
      <c r="D821" s="12" t="inlineStr">
        <is>
          <t>Panorama</t>
        </is>
      </c>
      <c r="E821" s="11">
        <f>IFERROR(TRACKER!G821,"Not Started")</f>
        <v/>
      </c>
      <c r="F821" s="51">
        <f>IFERROR('[Panorama.xlsx]AC-17-9'!B21,"")</f>
        <v/>
      </c>
      <c r="G821" s="51" t="inlineStr"/>
      <c r="H821" s="51" t="inlineStr"/>
      <c r="I821" s="11" t="inlineStr"/>
      <c r="J821" s="12" t="inlineStr"/>
      <c r="K821" s="17" t="inlineStr"/>
      <c r="L821" s="11" t="inlineStr">
        <is>
          <t>Not Started</t>
        </is>
      </c>
    </row>
    <row r="822" ht="42" customHeight="1">
      <c r="A822" s="18" t="n">
        <v>820</v>
      </c>
      <c r="B822" s="52" t="inlineStr">
        <is>
          <t>AC-17(100)</t>
        </is>
      </c>
      <c r="C822" s="18" t="inlineStr">
        <is>
          <t>AC</t>
        </is>
      </c>
      <c r="D822" s="19" t="inlineStr">
        <is>
          <t>Panorama</t>
        </is>
      </c>
      <c r="E822" s="18">
        <f>IFERROR(TRACKER!G822,"Not Started")</f>
        <v/>
      </c>
      <c r="F822" s="53">
        <f>IFERROR('[Panorama.xlsx]AC-17-100'!B21,"")</f>
        <v/>
      </c>
      <c r="G822" s="53" t="inlineStr"/>
      <c r="H822" s="53" t="inlineStr"/>
      <c r="I822" s="18" t="inlineStr"/>
      <c r="J822" s="19" t="inlineStr"/>
      <c r="K822" s="22" t="inlineStr"/>
      <c r="L822" s="18" t="inlineStr">
        <is>
          <t>Not Started</t>
        </is>
      </c>
    </row>
    <row r="823" ht="42" customHeight="1">
      <c r="A823" s="11" t="n">
        <v>821</v>
      </c>
      <c r="B823" s="50" t="inlineStr">
        <is>
          <t>AU-2</t>
        </is>
      </c>
      <c r="C823" s="11" t="inlineStr">
        <is>
          <t>AU</t>
        </is>
      </c>
      <c r="D823" s="12" t="inlineStr">
        <is>
          <t>Panorama</t>
        </is>
      </c>
      <c r="E823" s="11">
        <f>IFERROR(TRACKER!G823,"Not Started")</f>
        <v/>
      </c>
      <c r="F823" s="51">
        <f>IFERROR('[Panorama.xlsx]AU-2'!B21,"")</f>
        <v/>
      </c>
      <c r="G823" s="51" t="inlineStr"/>
      <c r="H823" s="51" t="inlineStr"/>
      <c r="I823" s="11" t="inlineStr"/>
      <c r="J823" s="12" t="inlineStr"/>
      <c r="K823" s="17" t="inlineStr"/>
      <c r="L823" s="11" t="inlineStr">
        <is>
          <t>Not Started</t>
        </is>
      </c>
    </row>
    <row r="824" ht="42" customHeight="1">
      <c r="A824" s="18" t="n">
        <v>822</v>
      </c>
      <c r="B824" s="52" t="inlineStr">
        <is>
          <t>AU-3</t>
        </is>
      </c>
      <c r="C824" s="18" t="inlineStr">
        <is>
          <t>AU</t>
        </is>
      </c>
      <c r="D824" s="19" t="inlineStr">
        <is>
          <t>Panorama</t>
        </is>
      </c>
      <c r="E824" s="18">
        <f>IFERROR(TRACKER!G824,"Not Started")</f>
        <v/>
      </c>
      <c r="F824" s="53">
        <f>IFERROR('[Panorama.xlsx]AU-3'!B21,"")</f>
        <v/>
      </c>
      <c r="G824" s="53" t="inlineStr"/>
      <c r="H824" s="53" t="inlineStr"/>
      <c r="I824" s="18" t="inlineStr"/>
      <c r="J824" s="19" t="inlineStr"/>
      <c r="K824" s="22" t="inlineStr"/>
      <c r="L824" s="18" t="inlineStr">
        <is>
          <t>Not Started</t>
        </is>
      </c>
    </row>
    <row r="825" ht="42" customHeight="1">
      <c r="A825" s="11" t="n">
        <v>823</v>
      </c>
      <c r="B825" s="50" t="inlineStr">
        <is>
          <t>AU-3(1)</t>
        </is>
      </c>
      <c r="C825" s="11" t="inlineStr">
        <is>
          <t>AU</t>
        </is>
      </c>
      <c r="D825" s="12" t="inlineStr">
        <is>
          <t>Panorama</t>
        </is>
      </c>
      <c r="E825" s="11">
        <f>IFERROR(TRACKER!G825,"Not Started")</f>
        <v/>
      </c>
      <c r="F825" s="51">
        <f>IFERROR('[Panorama.xlsx]AU-3-1'!B21,"")</f>
        <v/>
      </c>
      <c r="G825" s="51" t="inlineStr"/>
      <c r="H825" s="51" t="inlineStr"/>
      <c r="I825" s="11" t="inlineStr"/>
      <c r="J825" s="12" t="inlineStr"/>
      <c r="K825" s="17" t="inlineStr"/>
      <c r="L825" s="11" t="inlineStr">
        <is>
          <t>Not Started</t>
        </is>
      </c>
    </row>
    <row r="826" ht="42" customHeight="1">
      <c r="A826" s="18" t="n">
        <v>824</v>
      </c>
      <c r="B826" s="52" t="inlineStr">
        <is>
          <t>AU-8</t>
        </is>
      </c>
      <c r="C826" s="18" t="inlineStr">
        <is>
          <t>AU</t>
        </is>
      </c>
      <c r="D826" s="19" t="inlineStr">
        <is>
          <t>Panorama</t>
        </is>
      </c>
      <c r="E826" s="18">
        <f>IFERROR(TRACKER!G826,"Not Started")</f>
        <v/>
      </c>
      <c r="F826" s="53">
        <f>IFERROR('[Panorama.xlsx]AU-8'!B21,"")</f>
        <v/>
      </c>
      <c r="G826" s="53" t="inlineStr"/>
      <c r="H826" s="53" t="inlineStr"/>
      <c r="I826" s="18" t="inlineStr"/>
      <c r="J826" s="19" t="inlineStr"/>
      <c r="K826" s="22" t="inlineStr"/>
      <c r="L826" s="18" t="inlineStr">
        <is>
          <t>Not Started</t>
        </is>
      </c>
    </row>
    <row r="827" ht="42" customHeight="1">
      <c r="A827" s="11" t="n">
        <v>825</v>
      </c>
      <c r="B827" s="50" t="inlineStr">
        <is>
          <t>AU-8(1)</t>
        </is>
      </c>
      <c r="C827" s="11" t="inlineStr">
        <is>
          <t>AU</t>
        </is>
      </c>
      <c r="D827" s="12" t="inlineStr">
        <is>
          <t>Panorama</t>
        </is>
      </c>
      <c r="E827" s="11">
        <f>IFERROR(TRACKER!G827,"Not Started")</f>
        <v/>
      </c>
      <c r="F827" s="51">
        <f>IFERROR('[Panorama.xlsx]AU-8-1'!B21,"")</f>
        <v/>
      </c>
      <c r="G827" s="51" t="inlineStr"/>
      <c r="H827" s="51" t="inlineStr"/>
      <c r="I827" s="11" t="inlineStr"/>
      <c r="J827" s="12" t="inlineStr"/>
      <c r="K827" s="17" t="inlineStr"/>
      <c r="L827" s="11" t="inlineStr">
        <is>
          <t>Not Started</t>
        </is>
      </c>
    </row>
    <row r="828" ht="42" customHeight="1">
      <c r="A828" s="18" t="n">
        <v>826</v>
      </c>
      <c r="B828" s="52" t="inlineStr">
        <is>
          <t>AU-9(2)</t>
        </is>
      </c>
      <c r="C828" s="18" t="inlineStr">
        <is>
          <t>AU</t>
        </is>
      </c>
      <c r="D828" s="19" t="inlineStr">
        <is>
          <t>Panorama</t>
        </is>
      </c>
      <c r="E828" s="18">
        <f>IFERROR(TRACKER!G828,"Not Started")</f>
        <v/>
      </c>
      <c r="F828" s="53">
        <f>IFERROR('[Panorama.xlsx]AU-9-2'!B21,"")</f>
        <v/>
      </c>
      <c r="G828" s="53" t="inlineStr"/>
      <c r="H828" s="53" t="inlineStr"/>
      <c r="I828" s="18" t="inlineStr"/>
      <c r="J828" s="19" t="inlineStr"/>
      <c r="K828" s="22" t="inlineStr"/>
      <c r="L828" s="18" t="inlineStr">
        <is>
          <t>Not Started</t>
        </is>
      </c>
    </row>
    <row r="829" ht="42" customHeight="1">
      <c r="A829" s="11" t="n">
        <v>827</v>
      </c>
      <c r="B829" s="50" t="inlineStr">
        <is>
          <t>AU-12</t>
        </is>
      </c>
      <c r="C829" s="11" t="inlineStr">
        <is>
          <t>AU</t>
        </is>
      </c>
      <c r="D829" s="12" t="inlineStr">
        <is>
          <t>Panorama</t>
        </is>
      </c>
      <c r="E829" s="11">
        <f>IFERROR(TRACKER!G829,"Not Started")</f>
        <v/>
      </c>
      <c r="F829" s="51">
        <f>IFERROR('[Panorama.xlsx]AU-12'!B21,"")</f>
        <v/>
      </c>
      <c r="G829" s="51" t="inlineStr"/>
      <c r="H829" s="51" t="inlineStr"/>
      <c r="I829" s="11" t="inlineStr"/>
      <c r="J829" s="12" t="inlineStr"/>
      <c r="K829" s="17" t="inlineStr"/>
      <c r="L829" s="11" t="inlineStr">
        <is>
          <t>Not Started</t>
        </is>
      </c>
    </row>
    <row r="830" ht="42" customHeight="1">
      <c r="A830" s="18" t="n">
        <v>828</v>
      </c>
      <c r="B830" s="52" t="inlineStr">
        <is>
          <t>CA-3(5)</t>
        </is>
      </c>
      <c r="C830" s="18" t="inlineStr">
        <is>
          <t>CA</t>
        </is>
      </c>
      <c r="D830" s="19" t="inlineStr">
        <is>
          <t>Panorama</t>
        </is>
      </c>
      <c r="E830" s="18">
        <f>IFERROR(TRACKER!G830,"Not Started")</f>
        <v/>
      </c>
      <c r="F830" s="53">
        <f>IFERROR('[Panorama.xlsx]CA-3-5'!B21,"")</f>
        <v/>
      </c>
      <c r="G830" s="53" t="inlineStr"/>
      <c r="H830" s="53" t="inlineStr"/>
      <c r="I830" s="18" t="inlineStr"/>
      <c r="J830" s="19" t="inlineStr"/>
      <c r="K830" s="22" t="inlineStr"/>
      <c r="L830" s="18" t="inlineStr">
        <is>
          <t>Not Started</t>
        </is>
      </c>
    </row>
    <row r="831" ht="42" customHeight="1">
      <c r="A831" s="11" t="n">
        <v>829</v>
      </c>
      <c r="B831" s="50" t="inlineStr">
        <is>
          <t>CA-9</t>
        </is>
      </c>
      <c r="C831" s="11" t="inlineStr">
        <is>
          <t>CA</t>
        </is>
      </c>
      <c r="D831" s="12" t="inlineStr">
        <is>
          <t>Panorama</t>
        </is>
      </c>
      <c r="E831" s="11">
        <f>IFERROR(TRACKER!G831,"Not Started")</f>
        <v/>
      </c>
      <c r="F831" s="51">
        <f>IFERROR('[Panorama.xlsx]CA-9'!B21,"")</f>
        <v/>
      </c>
      <c r="G831" s="51" t="inlineStr"/>
      <c r="H831" s="51" t="inlineStr"/>
      <c r="I831" s="11" t="inlineStr"/>
      <c r="J831" s="12" t="inlineStr"/>
      <c r="K831" s="17" t="inlineStr"/>
      <c r="L831" s="11" t="inlineStr">
        <is>
          <t>Not Started</t>
        </is>
      </c>
    </row>
    <row r="832" ht="42" customHeight="1">
      <c r="A832" s="18" t="n">
        <v>830</v>
      </c>
      <c r="B832" s="52" t="inlineStr">
        <is>
          <t>CM-2</t>
        </is>
      </c>
      <c r="C832" s="18" t="inlineStr">
        <is>
          <t>CM</t>
        </is>
      </c>
      <c r="D832" s="19" t="inlineStr">
        <is>
          <t>Panorama</t>
        </is>
      </c>
      <c r="E832" s="18">
        <f>IFERROR(TRACKER!G832,"Not Started")</f>
        <v/>
      </c>
      <c r="F832" s="53">
        <f>IFERROR('[Panorama.xlsx]CM-2'!B21,"")</f>
        <v/>
      </c>
      <c r="G832" s="53" t="inlineStr"/>
      <c r="H832" s="53" t="inlineStr"/>
      <c r="I832" s="18" t="inlineStr"/>
      <c r="J832" s="19" t="inlineStr"/>
      <c r="K832" s="22" t="inlineStr"/>
      <c r="L832" s="18" t="inlineStr">
        <is>
          <t>Not Started</t>
        </is>
      </c>
    </row>
    <row r="833" ht="42" customHeight="1">
      <c r="A833" s="11" t="n">
        <v>831</v>
      </c>
      <c r="B833" s="50" t="inlineStr">
        <is>
          <t>CM-2(1)</t>
        </is>
      </c>
      <c r="C833" s="11" t="inlineStr">
        <is>
          <t>CM</t>
        </is>
      </c>
      <c r="D833" s="12" t="inlineStr">
        <is>
          <t>Panorama</t>
        </is>
      </c>
      <c r="E833" s="11">
        <f>IFERROR(TRACKER!G833,"Not Started")</f>
        <v/>
      </c>
      <c r="F833" s="51">
        <f>IFERROR('[Panorama.xlsx]CM-2-1'!B21,"")</f>
        <v/>
      </c>
      <c r="G833" s="51" t="inlineStr"/>
      <c r="H833" s="51" t="inlineStr"/>
      <c r="I833" s="11" t="inlineStr"/>
      <c r="J833" s="12" t="inlineStr"/>
      <c r="K833" s="17" t="inlineStr"/>
      <c r="L833" s="11" t="inlineStr">
        <is>
          <t>Not Started</t>
        </is>
      </c>
    </row>
    <row r="834" ht="42" customHeight="1">
      <c r="A834" s="18" t="n">
        <v>832</v>
      </c>
      <c r="B834" s="52" t="inlineStr">
        <is>
          <t>CM-5(5)</t>
        </is>
      </c>
      <c r="C834" s="18" t="inlineStr">
        <is>
          <t>CM</t>
        </is>
      </c>
      <c r="D834" s="19" t="inlineStr">
        <is>
          <t>Panorama</t>
        </is>
      </c>
      <c r="E834" s="18">
        <f>IFERROR(TRACKER!G834,"Not Started")</f>
        <v/>
      </c>
      <c r="F834" s="53">
        <f>IFERROR('[Panorama.xlsx]CM-5-5'!B21,"")</f>
        <v/>
      </c>
      <c r="G834" s="53" t="inlineStr"/>
      <c r="H834" s="53" t="inlineStr"/>
      <c r="I834" s="18" t="inlineStr"/>
      <c r="J834" s="19" t="inlineStr"/>
      <c r="K834" s="22" t="inlineStr"/>
      <c r="L834" s="18" t="inlineStr">
        <is>
          <t>Not Started</t>
        </is>
      </c>
    </row>
    <row r="835" ht="42" customHeight="1">
      <c r="A835" s="11" t="n">
        <v>833</v>
      </c>
      <c r="B835" s="50" t="inlineStr">
        <is>
          <t>CM-6</t>
        </is>
      </c>
      <c r="C835" s="11" t="inlineStr">
        <is>
          <t>CM</t>
        </is>
      </c>
      <c r="D835" s="12" t="inlineStr">
        <is>
          <t>Panorama</t>
        </is>
      </c>
      <c r="E835" s="11">
        <f>IFERROR(TRACKER!G835,"Not Started")</f>
        <v/>
      </c>
      <c r="F835" s="51">
        <f>IFERROR('[Panorama.xlsx]CM-6'!B21,"")</f>
        <v/>
      </c>
      <c r="G835" s="51" t="inlineStr"/>
      <c r="H835" s="51" t="inlineStr"/>
      <c r="I835" s="11" t="inlineStr"/>
      <c r="J835" s="12" t="inlineStr"/>
      <c r="K835" s="17" t="inlineStr"/>
      <c r="L835" s="11" t="inlineStr">
        <is>
          <t>Not Started</t>
        </is>
      </c>
    </row>
    <row r="836" ht="42" customHeight="1">
      <c r="A836" s="18" t="n">
        <v>834</v>
      </c>
      <c r="B836" s="52" t="inlineStr">
        <is>
          <t>CM-7</t>
        </is>
      </c>
      <c r="C836" s="18" t="inlineStr">
        <is>
          <t>CM</t>
        </is>
      </c>
      <c r="D836" s="19" t="inlineStr">
        <is>
          <t>Panorama</t>
        </is>
      </c>
      <c r="E836" s="18">
        <f>IFERROR(TRACKER!G836,"Not Started")</f>
        <v/>
      </c>
      <c r="F836" s="53">
        <f>IFERROR('[Panorama.xlsx]CM-7'!B21,"")</f>
        <v/>
      </c>
      <c r="G836" s="53" t="inlineStr"/>
      <c r="H836" s="53" t="inlineStr"/>
      <c r="I836" s="18" t="inlineStr"/>
      <c r="J836" s="19" t="inlineStr"/>
      <c r="K836" s="22" t="inlineStr"/>
      <c r="L836" s="18" t="inlineStr">
        <is>
          <t>Not Started</t>
        </is>
      </c>
    </row>
    <row r="837" ht="42" customHeight="1">
      <c r="A837" s="11" t="n">
        <v>835</v>
      </c>
      <c r="B837" s="50" t="inlineStr">
        <is>
          <t>CM-7(1)</t>
        </is>
      </c>
      <c r="C837" s="11" t="inlineStr">
        <is>
          <t>CM</t>
        </is>
      </c>
      <c r="D837" s="12" t="inlineStr">
        <is>
          <t>Panorama</t>
        </is>
      </c>
      <c r="E837" s="11">
        <f>IFERROR(TRACKER!G837,"Not Started")</f>
        <v/>
      </c>
      <c r="F837" s="51">
        <f>IFERROR('[Panorama.xlsx]CM-7-1'!B21,"")</f>
        <v/>
      </c>
      <c r="G837" s="51" t="inlineStr"/>
      <c r="H837" s="51" t="inlineStr"/>
      <c r="I837" s="11" t="inlineStr"/>
      <c r="J837" s="12" t="inlineStr"/>
      <c r="K837" s="17" t="inlineStr"/>
      <c r="L837" s="11" t="inlineStr">
        <is>
          <t>Not Started</t>
        </is>
      </c>
    </row>
    <row r="838" ht="42" customHeight="1">
      <c r="A838" s="18" t="n">
        <v>836</v>
      </c>
      <c r="B838" s="52" t="inlineStr">
        <is>
          <t>CM-10</t>
        </is>
      </c>
      <c r="C838" s="18" t="inlineStr">
        <is>
          <t>CM</t>
        </is>
      </c>
      <c r="D838" s="19" t="inlineStr">
        <is>
          <t>Panorama</t>
        </is>
      </c>
      <c r="E838" s="18">
        <f>IFERROR(TRACKER!G838,"Not Started")</f>
        <v/>
      </c>
      <c r="F838" s="53">
        <f>IFERROR('[Panorama.xlsx]CM-10'!B21,"")</f>
        <v/>
      </c>
      <c r="G838" s="53" t="inlineStr"/>
      <c r="H838" s="53" t="inlineStr"/>
      <c r="I838" s="18" t="inlineStr"/>
      <c r="J838" s="19" t="inlineStr"/>
      <c r="K838" s="22" t="inlineStr"/>
      <c r="L838" s="18" t="inlineStr">
        <is>
          <t>Not Started</t>
        </is>
      </c>
    </row>
    <row r="839" ht="42" customHeight="1">
      <c r="A839" s="11" t="n">
        <v>837</v>
      </c>
      <c r="B839" s="50" t="inlineStr">
        <is>
          <t>CP-7</t>
        </is>
      </c>
      <c r="C839" s="11" t="inlineStr">
        <is>
          <t>CP</t>
        </is>
      </c>
      <c r="D839" s="12" t="inlineStr">
        <is>
          <t>Panorama</t>
        </is>
      </c>
      <c r="E839" s="11">
        <f>IFERROR(TRACKER!G839,"Not Started")</f>
        <v/>
      </c>
      <c r="F839" s="51">
        <f>IFERROR('[Panorama.xlsx]CP-7'!B21,"")</f>
        <v/>
      </c>
      <c r="G839" s="51" t="inlineStr"/>
      <c r="H839" s="51" t="inlineStr"/>
      <c r="I839" s="11" t="inlineStr"/>
      <c r="J839" s="12" t="inlineStr"/>
      <c r="K839" s="17" t="inlineStr"/>
      <c r="L839" s="11" t="inlineStr">
        <is>
          <t>Not Started</t>
        </is>
      </c>
    </row>
    <row r="840" ht="42" customHeight="1">
      <c r="A840" s="18" t="n">
        <v>838</v>
      </c>
      <c r="B840" s="52" t="inlineStr">
        <is>
          <t>CP-7(1)</t>
        </is>
      </c>
      <c r="C840" s="18" t="inlineStr">
        <is>
          <t>CP</t>
        </is>
      </c>
      <c r="D840" s="19" t="inlineStr">
        <is>
          <t>Panorama</t>
        </is>
      </c>
      <c r="E840" s="18">
        <f>IFERROR(TRACKER!G840,"Not Started")</f>
        <v/>
      </c>
      <c r="F840" s="53">
        <f>IFERROR('[Panorama.xlsx]CP-7-1'!B21,"")</f>
        <v/>
      </c>
      <c r="G840" s="53" t="inlineStr"/>
      <c r="H840" s="53" t="inlineStr"/>
      <c r="I840" s="18" t="inlineStr"/>
      <c r="J840" s="19" t="inlineStr"/>
      <c r="K840" s="22" t="inlineStr"/>
      <c r="L840" s="18" t="inlineStr">
        <is>
          <t>Not Started</t>
        </is>
      </c>
    </row>
    <row r="841" ht="42" customHeight="1">
      <c r="A841" s="11" t="n">
        <v>839</v>
      </c>
      <c r="B841" s="50" t="inlineStr">
        <is>
          <t>CP-7(4)</t>
        </is>
      </c>
      <c r="C841" s="11" t="inlineStr">
        <is>
          <t>CP</t>
        </is>
      </c>
      <c r="D841" s="12" t="inlineStr">
        <is>
          <t>Panorama</t>
        </is>
      </c>
      <c r="E841" s="11">
        <f>IFERROR(TRACKER!G841,"Not Started")</f>
        <v/>
      </c>
      <c r="F841" s="51">
        <f>IFERROR('[Panorama.xlsx]CP-7-4'!B21,"")</f>
        <v/>
      </c>
      <c r="G841" s="51" t="inlineStr"/>
      <c r="H841" s="51" t="inlineStr"/>
      <c r="I841" s="11" t="inlineStr"/>
      <c r="J841" s="12" t="inlineStr"/>
      <c r="K841" s="17" t="inlineStr"/>
      <c r="L841" s="11" t="inlineStr">
        <is>
          <t>Not Started</t>
        </is>
      </c>
    </row>
    <row r="842" ht="42" customHeight="1">
      <c r="A842" s="18" t="n">
        <v>840</v>
      </c>
      <c r="B842" s="52" t="inlineStr">
        <is>
          <t>CP-9</t>
        </is>
      </c>
      <c r="C842" s="18" t="inlineStr">
        <is>
          <t>CP</t>
        </is>
      </c>
      <c r="D842" s="19" t="inlineStr">
        <is>
          <t>Panorama</t>
        </is>
      </c>
      <c r="E842" s="18">
        <f>IFERROR(TRACKER!G842,"Not Started")</f>
        <v/>
      </c>
      <c r="F842" s="53">
        <f>IFERROR('[Panorama.xlsx]CP-9'!B21,"")</f>
        <v/>
      </c>
      <c r="G842" s="53" t="inlineStr"/>
      <c r="H842" s="53" t="inlineStr"/>
      <c r="I842" s="18" t="inlineStr"/>
      <c r="J842" s="19" t="inlineStr"/>
      <c r="K842" s="22" t="inlineStr"/>
      <c r="L842" s="18" t="inlineStr">
        <is>
          <t>Not Started</t>
        </is>
      </c>
    </row>
    <row r="843" ht="42" customHeight="1">
      <c r="A843" s="11" t="n">
        <v>841</v>
      </c>
      <c r="B843" s="50" t="inlineStr">
        <is>
          <t>CP-9(3)</t>
        </is>
      </c>
      <c r="C843" s="11" t="inlineStr">
        <is>
          <t>CP</t>
        </is>
      </c>
      <c r="D843" s="12" t="inlineStr">
        <is>
          <t>Panorama</t>
        </is>
      </c>
      <c r="E843" s="11">
        <f>IFERROR(TRACKER!G843,"Not Started")</f>
        <v/>
      </c>
      <c r="F843" s="51">
        <f>IFERROR('[Panorama.xlsx]CP-9-3'!B21,"")</f>
        <v/>
      </c>
      <c r="G843" s="51" t="inlineStr"/>
      <c r="H843" s="51" t="inlineStr"/>
      <c r="I843" s="11" t="inlineStr"/>
      <c r="J843" s="12" t="inlineStr"/>
      <c r="K843" s="17" t="inlineStr"/>
      <c r="L843" s="11" t="inlineStr">
        <is>
          <t>Not Started</t>
        </is>
      </c>
    </row>
    <row r="844" ht="42" customHeight="1">
      <c r="A844" s="18" t="n">
        <v>842</v>
      </c>
      <c r="B844" s="52" t="inlineStr">
        <is>
          <t>CP-9(5)</t>
        </is>
      </c>
      <c r="C844" s="18" t="inlineStr">
        <is>
          <t>CP</t>
        </is>
      </c>
      <c r="D844" s="19" t="inlineStr">
        <is>
          <t>Panorama</t>
        </is>
      </c>
      <c r="E844" s="18">
        <f>IFERROR(TRACKER!G844,"Not Started")</f>
        <v/>
      </c>
      <c r="F844" s="53">
        <f>IFERROR('[Panorama.xlsx]CP-9-5'!B21,"")</f>
        <v/>
      </c>
      <c r="G844" s="53" t="inlineStr"/>
      <c r="H844" s="53" t="inlineStr"/>
      <c r="I844" s="18" t="inlineStr"/>
      <c r="J844" s="19" t="inlineStr"/>
      <c r="K844" s="22" t="inlineStr"/>
      <c r="L844" s="18" t="inlineStr">
        <is>
          <t>Not Started</t>
        </is>
      </c>
    </row>
    <row r="845" ht="42" customHeight="1">
      <c r="A845" s="11" t="n">
        <v>843</v>
      </c>
      <c r="B845" s="50" t="inlineStr">
        <is>
          <t>CP-9(7)</t>
        </is>
      </c>
      <c r="C845" s="11" t="inlineStr">
        <is>
          <t>CP</t>
        </is>
      </c>
      <c r="D845" s="12" t="inlineStr">
        <is>
          <t>Panorama</t>
        </is>
      </c>
      <c r="E845" s="11">
        <f>IFERROR(TRACKER!G845,"Not Started")</f>
        <v/>
      </c>
      <c r="F845" s="51">
        <f>IFERROR('[Panorama.xlsx]CP-9-7'!B21,"")</f>
        <v/>
      </c>
      <c r="G845" s="51" t="inlineStr"/>
      <c r="H845" s="51" t="inlineStr"/>
      <c r="I845" s="11" t="inlineStr"/>
      <c r="J845" s="12" t="inlineStr"/>
      <c r="K845" s="17" t="inlineStr"/>
      <c r="L845" s="11" t="inlineStr">
        <is>
          <t>Not Started</t>
        </is>
      </c>
    </row>
    <row r="846" ht="42" customHeight="1">
      <c r="A846" s="18" t="n">
        <v>844</v>
      </c>
      <c r="B846" s="52" t="inlineStr">
        <is>
          <t>CP-10</t>
        </is>
      </c>
      <c r="C846" s="18" t="inlineStr">
        <is>
          <t>CP</t>
        </is>
      </c>
      <c r="D846" s="19" t="inlineStr">
        <is>
          <t>Panorama</t>
        </is>
      </c>
      <c r="E846" s="18">
        <f>IFERROR(TRACKER!G846,"Not Started")</f>
        <v/>
      </c>
      <c r="F846" s="53">
        <f>IFERROR('[Panorama.xlsx]CP-10'!B21,"")</f>
        <v/>
      </c>
      <c r="G846" s="53" t="inlineStr"/>
      <c r="H846" s="53" t="inlineStr"/>
      <c r="I846" s="18" t="inlineStr"/>
      <c r="J846" s="19" t="inlineStr"/>
      <c r="K846" s="22" t="inlineStr"/>
      <c r="L846" s="18" t="inlineStr">
        <is>
          <t>Not Started</t>
        </is>
      </c>
    </row>
    <row r="847" ht="42" customHeight="1">
      <c r="A847" s="11" t="n">
        <v>845</v>
      </c>
      <c r="B847" s="50" t="inlineStr">
        <is>
          <t>CP-10(4)</t>
        </is>
      </c>
      <c r="C847" s="11" t="inlineStr">
        <is>
          <t>CP</t>
        </is>
      </c>
      <c r="D847" s="12" t="inlineStr">
        <is>
          <t>Panorama</t>
        </is>
      </c>
      <c r="E847" s="11">
        <f>IFERROR(TRACKER!G847,"Not Started")</f>
        <v/>
      </c>
      <c r="F847" s="51">
        <f>IFERROR('[Panorama.xlsx]CP-10-4'!B21,"")</f>
        <v/>
      </c>
      <c r="G847" s="51" t="inlineStr"/>
      <c r="H847" s="51" t="inlineStr"/>
      <c r="I847" s="11" t="inlineStr"/>
      <c r="J847" s="12" t="inlineStr"/>
      <c r="K847" s="17" t="inlineStr"/>
      <c r="L847" s="11" t="inlineStr">
        <is>
          <t>Not Started</t>
        </is>
      </c>
    </row>
    <row r="848" ht="42" customHeight="1">
      <c r="A848" s="18" t="n">
        <v>846</v>
      </c>
      <c r="B848" s="52" t="inlineStr">
        <is>
          <t>IA-3</t>
        </is>
      </c>
      <c r="C848" s="18" t="inlineStr">
        <is>
          <t>IA</t>
        </is>
      </c>
      <c r="D848" s="19" t="inlineStr">
        <is>
          <t>Panorama</t>
        </is>
      </c>
      <c r="E848" s="18">
        <f>IFERROR(TRACKER!G848,"Not Started")</f>
        <v/>
      </c>
      <c r="F848" s="53">
        <f>IFERROR('[Panorama.xlsx]IA-3'!B21,"")</f>
        <v/>
      </c>
      <c r="G848" s="53" t="inlineStr"/>
      <c r="H848" s="53" t="inlineStr"/>
      <c r="I848" s="18" t="inlineStr"/>
      <c r="J848" s="19" t="inlineStr"/>
      <c r="K848" s="22" t="inlineStr"/>
      <c r="L848" s="18" t="inlineStr">
        <is>
          <t>Not Started</t>
        </is>
      </c>
    </row>
    <row r="849" ht="42" customHeight="1">
      <c r="A849" s="11" t="n">
        <v>847</v>
      </c>
      <c r="B849" s="50" t="inlineStr">
        <is>
          <t>IA-5(2)</t>
        </is>
      </c>
      <c r="C849" s="11" t="inlineStr">
        <is>
          <t>IA</t>
        </is>
      </c>
      <c r="D849" s="12" t="inlineStr">
        <is>
          <t>Panorama</t>
        </is>
      </c>
      <c r="E849" s="11">
        <f>IFERROR(TRACKER!G849,"Not Started")</f>
        <v/>
      </c>
      <c r="F849" s="51">
        <f>IFERROR('[Panorama.xlsx]IA-5-2'!B21,"")</f>
        <v/>
      </c>
      <c r="G849" s="51" t="inlineStr"/>
      <c r="H849" s="51" t="inlineStr"/>
      <c r="I849" s="11" t="inlineStr"/>
      <c r="J849" s="12" t="inlineStr"/>
      <c r="K849" s="17" t="inlineStr"/>
      <c r="L849" s="11" t="inlineStr">
        <is>
          <t>Not Started</t>
        </is>
      </c>
    </row>
    <row r="850" ht="42" customHeight="1">
      <c r="A850" s="18" t="n">
        <v>848</v>
      </c>
      <c r="B850" s="52" t="inlineStr">
        <is>
          <t>MA-4(6)</t>
        </is>
      </c>
      <c r="C850" s="18" t="inlineStr">
        <is>
          <t>MA</t>
        </is>
      </c>
      <c r="D850" s="19" t="inlineStr">
        <is>
          <t>Panorama</t>
        </is>
      </c>
      <c r="E850" s="18">
        <f>IFERROR(TRACKER!G850,"Not Started")</f>
        <v/>
      </c>
      <c r="F850" s="53">
        <f>IFERROR('[Panorama.xlsx]MA-4-6'!B21,"")</f>
        <v/>
      </c>
      <c r="G850" s="53" t="inlineStr"/>
      <c r="H850" s="53" t="inlineStr"/>
      <c r="I850" s="18" t="inlineStr"/>
      <c r="J850" s="19" t="inlineStr"/>
      <c r="K850" s="22" t="inlineStr"/>
      <c r="L850" s="18" t="inlineStr">
        <is>
          <t>Not Started</t>
        </is>
      </c>
    </row>
    <row r="851" ht="42" customHeight="1">
      <c r="A851" s="11" t="n">
        <v>849</v>
      </c>
      <c r="B851" s="50" t="inlineStr">
        <is>
          <t>SA-9(5)</t>
        </is>
      </c>
      <c r="C851" s="11" t="inlineStr">
        <is>
          <t>SA</t>
        </is>
      </c>
      <c r="D851" s="12" t="inlineStr">
        <is>
          <t>Panorama</t>
        </is>
      </c>
      <c r="E851" s="11">
        <f>IFERROR(TRACKER!G851,"Not Started")</f>
        <v/>
      </c>
      <c r="F851" s="51">
        <f>IFERROR('[Panorama.xlsx]SA-9-5'!B21,"")</f>
        <v/>
      </c>
      <c r="G851" s="51" t="inlineStr"/>
      <c r="H851" s="51" t="inlineStr"/>
      <c r="I851" s="11" t="inlineStr"/>
      <c r="J851" s="12" t="inlineStr"/>
      <c r="K851" s="17" t="inlineStr"/>
      <c r="L851" s="11" t="inlineStr">
        <is>
          <t>Not Started</t>
        </is>
      </c>
    </row>
    <row r="852" ht="42" customHeight="1">
      <c r="A852" s="18" t="n">
        <v>850</v>
      </c>
      <c r="B852" s="52" t="inlineStr">
        <is>
          <t>SA-10(1)</t>
        </is>
      </c>
      <c r="C852" s="18" t="inlineStr">
        <is>
          <t>SA</t>
        </is>
      </c>
      <c r="D852" s="19" t="inlineStr">
        <is>
          <t>Panorama</t>
        </is>
      </c>
      <c r="E852" s="18">
        <f>IFERROR(TRACKER!G852,"Not Started")</f>
        <v/>
      </c>
      <c r="F852" s="53">
        <f>IFERROR('[Panorama.xlsx]SA-10-1'!B21,"")</f>
        <v/>
      </c>
      <c r="G852" s="53" t="inlineStr"/>
      <c r="H852" s="53" t="inlineStr"/>
      <c r="I852" s="18" t="inlineStr"/>
      <c r="J852" s="19" t="inlineStr"/>
      <c r="K852" s="22" t="inlineStr"/>
      <c r="L852" s="18" t="inlineStr">
        <is>
          <t>Not Started</t>
        </is>
      </c>
    </row>
    <row r="853" ht="42" customHeight="1">
      <c r="A853" s="11" t="n">
        <v>851</v>
      </c>
      <c r="B853" s="50" t="inlineStr">
        <is>
          <t>SC-4</t>
        </is>
      </c>
      <c r="C853" s="11" t="inlineStr">
        <is>
          <t>SC</t>
        </is>
      </c>
      <c r="D853" s="12" t="inlineStr">
        <is>
          <t>Panorama</t>
        </is>
      </c>
      <c r="E853" s="11">
        <f>IFERROR(TRACKER!G853,"Not Started")</f>
        <v/>
      </c>
      <c r="F853" s="51">
        <f>IFERROR('[Panorama.xlsx]SC-4'!B21,"")</f>
        <v/>
      </c>
      <c r="G853" s="51" t="inlineStr"/>
      <c r="H853" s="51" t="inlineStr"/>
      <c r="I853" s="11" t="inlineStr"/>
      <c r="J853" s="12" t="inlineStr"/>
      <c r="K853" s="17" t="inlineStr"/>
      <c r="L853" s="11" t="inlineStr">
        <is>
          <t>Not Started</t>
        </is>
      </c>
    </row>
    <row r="854" ht="42" customHeight="1">
      <c r="A854" s="18" t="n">
        <v>852</v>
      </c>
      <c r="B854" s="52" t="inlineStr">
        <is>
          <t>SC-5</t>
        </is>
      </c>
      <c r="C854" s="18" t="inlineStr">
        <is>
          <t>SC</t>
        </is>
      </c>
      <c r="D854" s="19" t="inlineStr">
        <is>
          <t>Panorama</t>
        </is>
      </c>
      <c r="E854" s="18">
        <f>IFERROR(TRACKER!G854,"Not Started")</f>
        <v/>
      </c>
      <c r="F854" s="53">
        <f>IFERROR('[Panorama.xlsx]SC-5'!B21,"")</f>
        <v/>
      </c>
      <c r="G854" s="53" t="inlineStr"/>
      <c r="H854" s="53" t="inlineStr"/>
      <c r="I854" s="18" t="inlineStr"/>
      <c r="J854" s="19" t="inlineStr"/>
      <c r="K854" s="22" t="inlineStr"/>
      <c r="L854" s="18" t="inlineStr">
        <is>
          <t>Not Started</t>
        </is>
      </c>
    </row>
    <row r="855" ht="42" customHeight="1">
      <c r="A855" s="11" t="n">
        <v>853</v>
      </c>
      <c r="B855" s="50" t="inlineStr">
        <is>
          <t>SC-7</t>
        </is>
      </c>
      <c r="C855" s="11" t="inlineStr">
        <is>
          <t>SC</t>
        </is>
      </c>
      <c r="D855" s="12" t="inlineStr">
        <is>
          <t>Panorama</t>
        </is>
      </c>
      <c r="E855" s="11">
        <f>IFERROR(TRACKER!G855,"Not Started")</f>
        <v/>
      </c>
      <c r="F855" s="51">
        <f>IFERROR('[Panorama.xlsx]SC-7'!B21,"")</f>
        <v/>
      </c>
      <c r="G855" s="51" t="inlineStr"/>
      <c r="H855" s="51" t="inlineStr"/>
      <c r="I855" s="11" t="inlineStr"/>
      <c r="J855" s="12" t="inlineStr"/>
      <c r="K855" s="17" t="inlineStr"/>
      <c r="L855" s="11" t="inlineStr">
        <is>
          <t>Not Started</t>
        </is>
      </c>
    </row>
    <row r="856" ht="42" customHeight="1">
      <c r="A856" s="18" t="n">
        <v>854</v>
      </c>
      <c r="B856" s="52" t="inlineStr">
        <is>
          <t>SC-7(3)</t>
        </is>
      </c>
      <c r="C856" s="18" t="inlineStr">
        <is>
          <t>SC</t>
        </is>
      </c>
      <c r="D856" s="19" t="inlineStr">
        <is>
          <t>Panorama</t>
        </is>
      </c>
      <c r="E856" s="18">
        <f>IFERROR(TRACKER!G856,"Not Started")</f>
        <v/>
      </c>
      <c r="F856" s="53">
        <f>IFERROR('[Panorama.xlsx]SC-7-3'!B21,"")</f>
        <v/>
      </c>
      <c r="G856" s="53" t="inlineStr"/>
      <c r="H856" s="53" t="inlineStr"/>
      <c r="I856" s="18" t="inlineStr"/>
      <c r="J856" s="19" t="inlineStr"/>
      <c r="K856" s="22" t="inlineStr"/>
      <c r="L856" s="18" t="inlineStr">
        <is>
          <t>Not Started</t>
        </is>
      </c>
    </row>
    <row r="857" ht="42" customHeight="1">
      <c r="A857" s="11" t="n">
        <v>855</v>
      </c>
      <c r="B857" s="50" t="inlineStr">
        <is>
          <t>SC-7(4)</t>
        </is>
      </c>
      <c r="C857" s="11" t="inlineStr">
        <is>
          <t>SC</t>
        </is>
      </c>
      <c r="D857" s="12" t="inlineStr">
        <is>
          <t>Panorama</t>
        </is>
      </c>
      <c r="E857" s="11">
        <f>IFERROR(TRACKER!G857,"Not Started")</f>
        <v/>
      </c>
      <c r="F857" s="51">
        <f>IFERROR('[Panorama.xlsx]SC-7-4'!B21,"")</f>
        <v/>
      </c>
      <c r="G857" s="51" t="inlineStr"/>
      <c r="H857" s="51" t="inlineStr"/>
      <c r="I857" s="11" t="inlineStr"/>
      <c r="J857" s="12" t="inlineStr"/>
      <c r="K857" s="17" t="inlineStr"/>
      <c r="L857" s="11" t="inlineStr">
        <is>
          <t>Not Started</t>
        </is>
      </c>
    </row>
    <row r="858" ht="42" customHeight="1">
      <c r="A858" s="18" t="n">
        <v>856</v>
      </c>
      <c r="B858" s="52" t="inlineStr">
        <is>
          <t>SC-7(5)</t>
        </is>
      </c>
      <c r="C858" s="18" t="inlineStr">
        <is>
          <t>SC</t>
        </is>
      </c>
      <c r="D858" s="19" t="inlineStr">
        <is>
          <t>Panorama</t>
        </is>
      </c>
      <c r="E858" s="18">
        <f>IFERROR(TRACKER!G858,"Not Started")</f>
        <v/>
      </c>
      <c r="F858" s="53">
        <f>IFERROR('[Panorama.xlsx]SC-7-5'!B21,"")</f>
        <v/>
      </c>
      <c r="G858" s="53" t="inlineStr"/>
      <c r="H858" s="53" t="inlineStr"/>
      <c r="I858" s="18" t="inlineStr"/>
      <c r="J858" s="19" t="inlineStr"/>
      <c r="K858" s="22" t="inlineStr"/>
      <c r="L858" s="18" t="inlineStr">
        <is>
          <t>Not Started</t>
        </is>
      </c>
    </row>
    <row r="859" ht="42" customHeight="1">
      <c r="A859" s="11" t="n">
        <v>857</v>
      </c>
      <c r="B859" s="50" t="inlineStr">
        <is>
          <t>SC-7(7)</t>
        </is>
      </c>
      <c r="C859" s="11" t="inlineStr">
        <is>
          <t>SC</t>
        </is>
      </c>
      <c r="D859" s="12" t="inlineStr">
        <is>
          <t>Panorama</t>
        </is>
      </c>
      <c r="E859" s="11">
        <f>IFERROR(TRACKER!G859,"Not Started")</f>
        <v/>
      </c>
      <c r="F859" s="51">
        <f>IFERROR('[Panorama.xlsx]SC-7-7'!B21,"")</f>
        <v/>
      </c>
      <c r="G859" s="51" t="inlineStr"/>
      <c r="H859" s="51" t="inlineStr"/>
      <c r="I859" s="11" t="inlineStr"/>
      <c r="J859" s="12" t="inlineStr"/>
      <c r="K859" s="17" t="inlineStr"/>
      <c r="L859" s="11" t="inlineStr">
        <is>
          <t>Not Started</t>
        </is>
      </c>
    </row>
    <row r="860" ht="42" customHeight="1">
      <c r="A860" s="18" t="n">
        <v>858</v>
      </c>
      <c r="B860" s="52" t="inlineStr">
        <is>
          <t>SC-7(8)</t>
        </is>
      </c>
      <c r="C860" s="18" t="inlineStr">
        <is>
          <t>SC</t>
        </is>
      </c>
      <c r="D860" s="19" t="inlineStr">
        <is>
          <t>Panorama</t>
        </is>
      </c>
      <c r="E860" s="18">
        <f>IFERROR(TRACKER!G860,"Not Started")</f>
        <v/>
      </c>
      <c r="F860" s="53">
        <f>IFERROR('[Panorama.xlsx]SC-7-8'!B21,"")</f>
        <v/>
      </c>
      <c r="G860" s="53" t="inlineStr"/>
      <c r="H860" s="53" t="inlineStr"/>
      <c r="I860" s="18" t="inlineStr"/>
      <c r="J860" s="19" t="inlineStr"/>
      <c r="K860" s="22" t="inlineStr"/>
      <c r="L860" s="18" t="inlineStr">
        <is>
          <t>Not Started</t>
        </is>
      </c>
    </row>
    <row r="861" ht="42" customHeight="1">
      <c r="A861" s="11" t="n">
        <v>859</v>
      </c>
      <c r="B861" s="50" t="inlineStr">
        <is>
          <t>SC-7(13)</t>
        </is>
      </c>
      <c r="C861" s="11" t="inlineStr">
        <is>
          <t>SC</t>
        </is>
      </c>
      <c r="D861" s="12" t="inlineStr">
        <is>
          <t>Panorama</t>
        </is>
      </c>
      <c r="E861" s="11">
        <f>IFERROR(TRACKER!G861,"Not Started")</f>
        <v/>
      </c>
      <c r="F861" s="51">
        <f>IFERROR('[Panorama.xlsx]SC-7-13'!B21,"")</f>
        <v/>
      </c>
      <c r="G861" s="51" t="inlineStr"/>
      <c r="H861" s="51" t="inlineStr"/>
      <c r="I861" s="11" t="inlineStr"/>
      <c r="J861" s="12" t="inlineStr"/>
      <c r="K861" s="17" t="inlineStr"/>
      <c r="L861" s="11" t="inlineStr">
        <is>
          <t>Not Started</t>
        </is>
      </c>
    </row>
    <row r="862" ht="42" customHeight="1">
      <c r="A862" s="18" t="n">
        <v>860</v>
      </c>
      <c r="B862" s="52" t="inlineStr">
        <is>
          <t>SC-7(18)</t>
        </is>
      </c>
      <c r="C862" s="18" t="inlineStr">
        <is>
          <t>SC</t>
        </is>
      </c>
      <c r="D862" s="19" t="inlineStr">
        <is>
          <t>Panorama</t>
        </is>
      </c>
      <c r="E862" s="18">
        <f>IFERROR(TRACKER!G862,"Not Started")</f>
        <v/>
      </c>
      <c r="F862" s="53">
        <f>IFERROR('[Panorama.xlsx]SC-7-18'!B21,"")</f>
        <v/>
      </c>
      <c r="G862" s="53" t="inlineStr"/>
      <c r="H862" s="53" t="inlineStr"/>
      <c r="I862" s="18" t="inlineStr"/>
      <c r="J862" s="19" t="inlineStr"/>
      <c r="K862" s="22" t="inlineStr"/>
      <c r="L862" s="18" t="inlineStr">
        <is>
          <t>Not Started</t>
        </is>
      </c>
    </row>
    <row r="863" ht="42" customHeight="1">
      <c r="A863" s="11" t="n">
        <v>861</v>
      </c>
      <c r="B863" s="50" t="inlineStr">
        <is>
          <t>SC-8</t>
        </is>
      </c>
      <c r="C863" s="11" t="inlineStr">
        <is>
          <t>SC</t>
        </is>
      </c>
      <c r="D863" s="12" t="inlineStr">
        <is>
          <t>Panorama</t>
        </is>
      </c>
      <c r="E863" s="11">
        <f>IFERROR(TRACKER!G863,"Not Started")</f>
        <v/>
      </c>
      <c r="F863" s="51">
        <f>IFERROR('[Panorama.xlsx]SC-8'!B21,"")</f>
        <v/>
      </c>
      <c r="G863" s="51" t="inlineStr"/>
      <c r="H863" s="51" t="inlineStr"/>
      <c r="I863" s="11" t="inlineStr"/>
      <c r="J863" s="12" t="inlineStr"/>
      <c r="K863" s="17" t="inlineStr"/>
      <c r="L863" s="11" t="inlineStr">
        <is>
          <t>Not Started</t>
        </is>
      </c>
    </row>
    <row r="864" ht="42" customHeight="1">
      <c r="A864" s="18" t="n">
        <v>862</v>
      </c>
      <c r="B864" s="52" t="inlineStr">
        <is>
          <t>SC-8(1)</t>
        </is>
      </c>
      <c r="C864" s="18" t="inlineStr">
        <is>
          <t>SC</t>
        </is>
      </c>
      <c r="D864" s="19" t="inlineStr">
        <is>
          <t>Panorama</t>
        </is>
      </c>
      <c r="E864" s="18">
        <f>IFERROR(TRACKER!G864,"Not Started")</f>
        <v/>
      </c>
      <c r="F864" s="53">
        <f>IFERROR('[Panorama.xlsx]SC-8-1'!B21,"")</f>
        <v/>
      </c>
      <c r="G864" s="53" t="inlineStr"/>
      <c r="H864" s="53" t="inlineStr"/>
      <c r="I864" s="18" t="inlineStr"/>
      <c r="J864" s="19" t="inlineStr"/>
      <c r="K864" s="22" t="inlineStr"/>
      <c r="L864" s="18" t="inlineStr">
        <is>
          <t>Not Started</t>
        </is>
      </c>
    </row>
    <row r="865" ht="42" customHeight="1">
      <c r="A865" s="11" t="n">
        <v>863</v>
      </c>
      <c r="B865" s="50" t="inlineStr">
        <is>
          <t>SC-10</t>
        </is>
      </c>
      <c r="C865" s="11" t="inlineStr">
        <is>
          <t>SC</t>
        </is>
      </c>
      <c r="D865" s="12" t="inlineStr">
        <is>
          <t>Panorama</t>
        </is>
      </c>
      <c r="E865" s="11">
        <f>IFERROR(TRACKER!G865,"Not Started")</f>
        <v/>
      </c>
      <c r="F865" s="51">
        <f>IFERROR('[Panorama.xlsx]SC-10'!B21,"")</f>
        <v/>
      </c>
      <c r="G865" s="51" t="inlineStr"/>
      <c r="H865" s="51" t="inlineStr"/>
      <c r="I865" s="11" t="inlineStr"/>
      <c r="J865" s="12" t="inlineStr"/>
      <c r="K865" s="17" t="inlineStr"/>
      <c r="L865" s="11" t="inlineStr">
        <is>
          <t>Not Started</t>
        </is>
      </c>
    </row>
    <row r="866" ht="42" customHeight="1">
      <c r="A866" s="18" t="n">
        <v>864</v>
      </c>
      <c r="B866" s="52" t="inlineStr">
        <is>
          <t>SC-18(3)</t>
        </is>
      </c>
      <c r="C866" s="18" t="inlineStr">
        <is>
          <t>SC</t>
        </is>
      </c>
      <c r="D866" s="19" t="inlineStr">
        <is>
          <t>Panorama</t>
        </is>
      </c>
      <c r="E866" s="18">
        <f>IFERROR(TRACKER!G866,"Not Started")</f>
        <v/>
      </c>
      <c r="F866" s="53">
        <f>IFERROR('[Panorama.xlsx]SC-18-3'!B21,"")</f>
        <v/>
      </c>
      <c r="G866" s="53" t="inlineStr"/>
      <c r="H866" s="53" t="inlineStr"/>
      <c r="I866" s="18" t="inlineStr"/>
      <c r="J866" s="19" t="inlineStr"/>
      <c r="K866" s="22" t="inlineStr"/>
      <c r="L866" s="18" t="inlineStr">
        <is>
          <t>Not Started</t>
        </is>
      </c>
    </row>
    <row r="867" ht="42" customHeight="1">
      <c r="A867" s="11" t="n">
        <v>865</v>
      </c>
      <c r="B867" s="50" t="inlineStr">
        <is>
          <t>SC-23</t>
        </is>
      </c>
      <c r="C867" s="11" t="inlineStr">
        <is>
          <t>SC</t>
        </is>
      </c>
      <c r="D867" s="12" t="inlineStr">
        <is>
          <t>Panorama</t>
        </is>
      </c>
      <c r="E867" s="11">
        <f>IFERROR(TRACKER!G867,"Not Started")</f>
        <v/>
      </c>
      <c r="F867" s="51">
        <f>IFERROR('[Panorama.xlsx]SC-23'!B21,"")</f>
        <v/>
      </c>
      <c r="G867" s="51" t="inlineStr"/>
      <c r="H867" s="51" t="inlineStr"/>
      <c r="I867" s="11" t="inlineStr"/>
      <c r="J867" s="12" t="inlineStr"/>
      <c r="K867" s="17" t="inlineStr"/>
      <c r="L867" s="11" t="inlineStr">
        <is>
          <t>Not Started</t>
        </is>
      </c>
    </row>
    <row r="868" ht="42" customHeight="1">
      <c r="A868" s="18" t="n">
        <v>866</v>
      </c>
      <c r="B868" s="52" t="inlineStr">
        <is>
          <t>SI-4</t>
        </is>
      </c>
      <c r="C868" s="18" t="inlineStr">
        <is>
          <t>SI</t>
        </is>
      </c>
      <c r="D868" s="19" t="inlineStr">
        <is>
          <t>Panorama</t>
        </is>
      </c>
      <c r="E868" s="18">
        <f>IFERROR(TRACKER!G868,"Not Started")</f>
        <v/>
      </c>
      <c r="F868" s="53">
        <f>IFERROR('[Panorama.xlsx]SI-4'!B21,"")</f>
        <v/>
      </c>
      <c r="G868" s="53" t="inlineStr"/>
      <c r="H868" s="53" t="inlineStr"/>
      <c r="I868" s="18" t="inlineStr"/>
      <c r="J868" s="19" t="inlineStr"/>
      <c r="K868" s="22" t="inlineStr"/>
      <c r="L868" s="18" t="inlineStr">
        <is>
          <t>Not Started</t>
        </is>
      </c>
    </row>
    <row r="869" ht="42" customHeight="1">
      <c r="A869" s="11" t="n">
        <v>867</v>
      </c>
      <c r="B869" s="50" t="inlineStr">
        <is>
          <t>SI-4(1)</t>
        </is>
      </c>
      <c r="C869" s="11" t="inlineStr">
        <is>
          <t>SI</t>
        </is>
      </c>
      <c r="D869" s="12" t="inlineStr">
        <is>
          <t>Panorama</t>
        </is>
      </c>
      <c r="E869" s="11">
        <f>IFERROR(TRACKER!G869,"Not Started")</f>
        <v/>
      </c>
      <c r="F869" s="51">
        <f>IFERROR('[Panorama.xlsx]SI-4-1'!B21,"")</f>
        <v/>
      </c>
      <c r="G869" s="51" t="inlineStr"/>
      <c r="H869" s="51" t="inlineStr"/>
      <c r="I869" s="11" t="inlineStr"/>
      <c r="J869" s="12" t="inlineStr"/>
      <c r="K869" s="17" t="inlineStr"/>
      <c r="L869" s="11" t="inlineStr">
        <is>
          <t>Not Started</t>
        </is>
      </c>
    </row>
    <row r="870" ht="42" customHeight="1">
      <c r="A870" s="18" t="n">
        <v>868</v>
      </c>
      <c r="B870" s="52" t="inlineStr">
        <is>
          <t>SI-4(2)</t>
        </is>
      </c>
      <c r="C870" s="18" t="inlineStr">
        <is>
          <t>SI</t>
        </is>
      </c>
      <c r="D870" s="19" t="inlineStr">
        <is>
          <t>Panorama</t>
        </is>
      </c>
      <c r="E870" s="18">
        <f>IFERROR(TRACKER!G870,"Not Started")</f>
        <v/>
      </c>
      <c r="F870" s="53">
        <f>IFERROR('[Panorama.xlsx]SI-4-2'!B21,"")</f>
        <v/>
      </c>
      <c r="G870" s="53" t="inlineStr"/>
      <c r="H870" s="53" t="inlineStr"/>
      <c r="I870" s="18" t="inlineStr"/>
      <c r="J870" s="19" t="inlineStr"/>
      <c r="K870" s="22" t="inlineStr"/>
      <c r="L870" s="18" t="inlineStr">
        <is>
          <t>Not Started</t>
        </is>
      </c>
    </row>
    <row r="871" ht="42" customHeight="1">
      <c r="A871" s="11" t="n">
        <v>869</v>
      </c>
      <c r="B871" s="50" t="inlineStr">
        <is>
          <t>SI-4(4)</t>
        </is>
      </c>
      <c r="C871" s="11" t="inlineStr">
        <is>
          <t>SI</t>
        </is>
      </c>
      <c r="D871" s="12" t="inlineStr">
        <is>
          <t>Panorama</t>
        </is>
      </c>
      <c r="E871" s="11">
        <f>IFERROR(TRACKER!G871,"Not Started")</f>
        <v/>
      </c>
      <c r="F871" s="51">
        <f>IFERROR('[Panorama.xlsx]SI-4-4'!B21,"")</f>
        <v/>
      </c>
      <c r="G871" s="51" t="inlineStr"/>
      <c r="H871" s="51" t="inlineStr"/>
      <c r="I871" s="11" t="inlineStr"/>
      <c r="J871" s="12" t="inlineStr"/>
      <c r="K871" s="17" t="inlineStr"/>
      <c r="L871" s="11" t="inlineStr">
        <is>
          <t>Not Started</t>
        </is>
      </c>
    </row>
    <row r="872" ht="42" customHeight="1">
      <c r="A872" s="18" t="n">
        <v>870</v>
      </c>
      <c r="B872" s="52" t="inlineStr">
        <is>
          <t>SI-4(11)</t>
        </is>
      </c>
      <c r="C872" s="18" t="inlineStr">
        <is>
          <t>SI</t>
        </is>
      </c>
      <c r="D872" s="19" t="inlineStr">
        <is>
          <t>Panorama</t>
        </is>
      </c>
      <c r="E872" s="18">
        <f>IFERROR(TRACKER!G872,"Not Started")</f>
        <v/>
      </c>
      <c r="F872" s="53">
        <f>IFERROR('[Panorama.xlsx]SI-4-11'!B21,"")</f>
        <v/>
      </c>
      <c r="G872" s="53" t="inlineStr"/>
      <c r="H872" s="53" t="inlineStr"/>
      <c r="I872" s="18" t="inlineStr"/>
      <c r="J872" s="19" t="inlineStr"/>
      <c r="K872" s="22" t="inlineStr"/>
      <c r="L872" s="18" t="inlineStr">
        <is>
          <t>Not Started</t>
        </is>
      </c>
    </row>
    <row r="873" ht="42" customHeight="1">
      <c r="A873" s="11" t="n">
        <v>871</v>
      </c>
      <c r="B873" s="50" t="inlineStr">
        <is>
          <t>SI-6</t>
        </is>
      </c>
      <c r="C873" s="11" t="inlineStr">
        <is>
          <t>SI</t>
        </is>
      </c>
      <c r="D873" s="12" t="inlineStr">
        <is>
          <t>Panorama</t>
        </is>
      </c>
      <c r="E873" s="11">
        <f>IFERROR(TRACKER!G873,"Not Started")</f>
        <v/>
      </c>
      <c r="F873" s="51">
        <f>IFERROR('[Panorama.xlsx]SI-6'!B21,"")</f>
        <v/>
      </c>
      <c r="G873" s="51" t="inlineStr"/>
      <c r="H873" s="51" t="inlineStr"/>
      <c r="I873" s="11" t="inlineStr"/>
      <c r="J873" s="12" t="inlineStr"/>
      <c r="K873" s="17" t="inlineStr"/>
      <c r="L873" s="11" t="inlineStr">
        <is>
          <t>Not Started</t>
        </is>
      </c>
    </row>
    <row r="874" ht="42" customHeight="1">
      <c r="A874" s="18" t="n">
        <v>872</v>
      </c>
      <c r="B874" s="52" t="inlineStr">
        <is>
          <t>SI-7(1)</t>
        </is>
      </c>
      <c r="C874" s="18" t="inlineStr">
        <is>
          <t>SI</t>
        </is>
      </c>
      <c r="D874" s="19" t="inlineStr">
        <is>
          <t>Panorama</t>
        </is>
      </c>
      <c r="E874" s="18">
        <f>IFERROR(TRACKER!G874,"Not Started")</f>
        <v/>
      </c>
      <c r="F874" s="53">
        <f>IFERROR('[Panorama.xlsx]SI-7-1'!B21,"")</f>
        <v/>
      </c>
      <c r="G874" s="53" t="inlineStr"/>
      <c r="H874" s="53" t="inlineStr"/>
      <c r="I874" s="18" t="inlineStr"/>
      <c r="J874" s="19" t="inlineStr"/>
      <c r="K874" s="22" t="inlineStr"/>
      <c r="L874" s="18" t="inlineStr">
        <is>
          <t>Not Started</t>
        </is>
      </c>
    </row>
    <row r="875" ht="42" customHeight="1">
      <c r="A875" s="11" t="n">
        <v>873</v>
      </c>
      <c r="B875" s="50" t="inlineStr">
        <is>
          <t>SI-8</t>
        </is>
      </c>
      <c r="C875" s="11" t="inlineStr">
        <is>
          <t>SI</t>
        </is>
      </c>
      <c r="D875" s="12" t="inlineStr">
        <is>
          <t>Panorama</t>
        </is>
      </c>
      <c r="E875" s="11">
        <f>IFERROR(TRACKER!G875,"Not Started")</f>
        <v/>
      </c>
      <c r="F875" s="51">
        <f>IFERROR('[Panorama.xlsx]SI-8'!B21,"")</f>
        <v/>
      </c>
      <c r="G875" s="51" t="inlineStr"/>
      <c r="H875" s="51" t="inlineStr"/>
      <c r="I875" s="11" t="inlineStr"/>
      <c r="J875" s="12" t="inlineStr"/>
      <c r="K875" s="17" t="inlineStr"/>
      <c r="L875" s="11" t="inlineStr">
        <is>
          <t>Not Started</t>
        </is>
      </c>
    </row>
    <row r="876" ht="42" customHeight="1">
      <c r="A876" s="18" t="n">
        <v>874</v>
      </c>
      <c r="B876" s="52" t="inlineStr">
        <is>
          <t>SI-8(1)</t>
        </is>
      </c>
      <c r="C876" s="18" t="inlineStr">
        <is>
          <t>SI</t>
        </is>
      </c>
      <c r="D876" s="19" t="inlineStr">
        <is>
          <t>Panorama</t>
        </is>
      </c>
      <c r="E876" s="18">
        <f>IFERROR(TRACKER!G876,"Not Started")</f>
        <v/>
      </c>
      <c r="F876" s="53">
        <f>IFERROR('[Panorama.xlsx]SI-8-1'!B21,"")</f>
        <v/>
      </c>
      <c r="G876" s="53" t="inlineStr"/>
      <c r="H876" s="53" t="inlineStr"/>
      <c r="I876" s="18" t="inlineStr"/>
      <c r="J876" s="19" t="inlineStr"/>
      <c r="K876" s="22" t="inlineStr"/>
      <c r="L876" s="18" t="inlineStr">
        <is>
          <t>Not Started</t>
        </is>
      </c>
    </row>
    <row r="877" ht="42" customHeight="1">
      <c r="A877" s="11" t="n">
        <v>875</v>
      </c>
      <c r="B877" s="50" t="inlineStr">
        <is>
          <t>SI-8(2)</t>
        </is>
      </c>
      <c r="C877" s="11" t="inlineStr">
        <is>
          <t>SI</t>
        </is>
      </c>
      <c r="D877" s="12" t="inlineStr">
        <is>
          <t>Panorama</t>
        </is>
      </c>
      <c r="E877" s="11">
        <f>IFERROR(TRACKER!G877,"Not Started")</f>
        <v/>
      </c>
      <c r="F877" s="51">
        <f>IFERROR('[Panorama.xlsx]SI-8-2'!B21,"")</f>
        <v/>
      </c>
      <c r="G877" s="51" t="inlineStr"/>
      <c r="H877" s="51" t="inlineStr"/>
      <c r="I877" s="11" t="inlineStr"/>
      <c r="J877" s="12" t="inlineStr"/>
      <c r="K877" s="17" t="inlineStr"/>
      <c r="L877" s="11" t="inlineStr">
        <is>
          <t>Not Started</t>
        </is>
      </c>
    </row>
    <row r="878" ht="42" customHeight="1">
      <c r="A878" s="18" t="n">
        <v>876</v>
      </c>
      <c r="B878" s="52" t="inlineStr">
        <is>
          <t>AC-2(4)</t>
        </is>
      </c>
      <c r="C878" s="18" t="inlineStr">
        <is>
          <t>AC</t>
        </is>
      </c>
      <c r="D878" s="19" t="inlineStr">
        <is>
          <t>Security</t>
        </is>
      </c>
      <c r="E878" s="18">
        <f>IFERROR(TRACKER!G878,"Not Started")</f>
        <v/>
      </c>
      <c r="F878" s="53">
        <f>IFERROR('[Security.xlsx]AC-2-4'!B21,"")</f>
        <v/>
      </c>
      <c r="G878" s="53" t="inlineStr"/>
      <c r="H878" s="53" t="inlineStr"/>
      <c r="I878" s="18" t="inlineStr"/>
      <c r="J878" s="19" t="inlineStr"/>
      <c r="K878" s="22" t="inlineStr"/>
      <c r="L878" s="18" t="inlineStr">
        <is>
          <t>Not Started</t>
        </is>
      </c>
    </row>
    <row r="879" ht="42" customHeight="1">
      <c r="A879" s="11" t="n">
        <v>877</v>
      </c>
      <c r="B879" s="50" t="inlineStr">
        <is>
          <t>AC-2(5)</t>
        </is>
      </c>
      <c r="C879" s="11" t="inlineStr">
        <is>
          <t>AC</t>
        </is>
      </c>
      <c r="D879" s="12" t="inlineStr">
        <is>
          <t>Security</t>
        </is>
      </c>
      <c r="E879" s="11">
        <f>IFERROR(TRACKER!G879,"Not Started")</f>
        <v/>
      </c>
      <c r="F879" s="51">
        <f>IFERROR('[Security.xlsx]AC-2-5'!B21,"")</f>
        <v/>
      </c>
      <c r="G879" s="51" t="inlineStr"/>
      <c r="H879" s="51" t="inlineStr"/>
      <c r="I879" s="11" t="inlineStr"/>
      <c r="J879" s="12" t="inlineStr"/>
      <c r="K879" s="17" t="inlineStr"/>
      <c r="L879" s="11" t="inlineStr">
        <is>
          <t>Not Started</t>
        </is>
      </c>
    </row>
    <row r="880" ht="42" customHeight="1">
      <c r="A880" s="18" t="n">
        <v>878</v>
      </c>
      <c r="B880" s="52" t="inlineStr">
        <is>
          <t>AC-2(7)</t>
        </is>
      </c>
      <c r="C880" s="18" t="inlineStr">
        <is>
          <t>AC</t>
        </is>
      </c>
      <c r="D880" s="19" t="inlineStr">
        <is>
          <t>Security</t>
        </is>
      </c>
      <c r="E880" s="18">
        <f>IFERROR(TRACKER!G880,"Not Started")</f>
        <v/>
      </c>
      <c r="F880" s="53">
        <f>IFERROR('[Security.xlsx]AC-2-7'!B21,"")</f>
        <v/>
      </c>
      <c r="G880" s="53" t="inlineStr"/>
      <c r="H880" s="53" t="inlineStr"/>
      <c r="I880" s="18" t="inlineStr"/>
      <c r="J880" s="19" t="inlineStr"/>
      <c r="K880" s="22" t="inlineStr"/>
      <c r="L880" s="18" t="inlineStr">
        <is>
          <t>Not Started</t>
        </is>
      </c>
    </row>
    <row r="881" ht="42" customHeight="1">
      <c r="A881" s="11" t="n">
        <v>879</v>
      </c>
      <c r="B881" s="50" t="inlineStr">
        <is>
          <t>AC-4</t>
        </is>
      </c>
      <c r="C881" s="11" t="inlineStr">
        <is>
          <t>AC</t>
        </is>
      </c>
      <c r="D881" s="12" t="inlineStr">
        <is>
          <t>Security</t>
        </is>
      </c>
      <c r="E881" s="11">
        <f>IFERROR(TRACKER!G881,"Not Started")</f>
        <v/>
      </c>
      <c r="F881" s="51">
        <f>IFERROR('[Security.xlsx]AC-4'!B21,"")</f>
        <v/>
      </c>
      <c r="G881" s="51" t="inlineStr"/>
      <c r="H881" s="51" t="inlineStr"/>
      <c r="I881" s="11" t="inlineStr"/>
      <c r="J881" s="12" t="inlineStr"/>
      <c r="K881" s="17" t="inlineStr"/>
      <c r="L881" s="11" t="inlineStr">
        <is>
          <t>Not Started</t>
        </is>
      </c>
    </row>
    <row r="882" ht="42" customHeight="1">
      <c r="A882" s="18" t="n">
        <v>880</v>
      </c>
      <c r="B882" s="52" t="inlineStr">
        <is>
          <t>AC-4(21)</t>
        </is>
      </c>
      <c r="C882" s="18" t="inlineStr">
        <is>
          <t>AC</t>
        </is>
      </c>
      <c r="D882" s="19" t="inlineStr">
        <is>
          <t>Security</t>
        </is>
      </c>
      <c r="E882" s="18">
        <f>IFERROR(TRACKER!G882,"Not Started")</f>
        <v/>
      </c>
      <c r="F882" s="53">
        <f>IFERROR('[Security.xlsx]AC-4-21'!B21,"")</f>
        <v/>
      </c>
      <c r="G882" s="53" t="inlineStr"/>
      <c r="H882" s="53" t="inlineStr"/>
      <c r="I882" s="18" t="inlineStr"/>
      <c r="J882" s="19" t="inlineStr"/>
      <c r="K882" s="22" t="inlineStr"/>
      <c r="L882" s="18" t="inlineStr">
        <is>
          <t>Not Started</t>
        </is>
      </c>
    </row>
    <row r="883" ht="42" customHeight="1">
      <c r="A883" s="11" t="n">
        <v>881</v>
      </c>
      <c r="B883" s="50" t="inlineStr">
        <is>
          <t>AC-6(9)</t>
        </is>
      </c>
      <c r="C883" s="11" t="inlineStr">
        <is>
          <t>AC</t>
        </is>
      </c>
      <c r="D883" s="12" t="inlineStr">
        <is>
          <t>Security</t>
        </is>
      </c>
      <c r="E883" s="11">
        <f>IFERROR(TRACKER!G883,"Not Started")</f>
        <v/>
      </c>
      <c r="F883" s="51">
        <f>IFERROR('[Security.xlsx]AC-6-9'!B21,"")</f>
        <v/>
      </c>
      <c r="G883" s="51" t="inlineStr"/>
      <c r="H883" s="51" t="inlineStr"/>
      <c r="I883" s="11" t="inlineStr"/>
      <c r="J883" s="12" t="inlineStr"/>
      <c r="K883" s="17" t="inlineStr"/>
      <c r="L883" s="11" t="inlineStr">
        <is>
          <t>Not Started</t>
        </is>
      </c>
    </row>
    <row r="884" ht="42" customHeight="1">
      <c r="A884" s="18" t="n">
        <v>882</v>
      </c>
      <c r="B884" s="52" t="inlineStr">
        <is>
          <t>AC-6(10)</t>
        </is>
      </c>
      <c r="C884" s="18" t="inlineStr">
        <is>
          <t>AC</t>
        </is>
      </c>
      <c r="D884" s="19" t="inlineStr">
        <is>
          <t>Security</t>
        </is>
      </c>
      <c r="E884" s="18">
        <f>IFERROR(TRACKER!G884,"Not Started")</f>
        <v/>
      </c>
      <c r="F884" s="53">
        <f>IFERROR('[Security.xlsx]AC-6-10'!B21,"")</f>
        <v/>
      </c>
      <c r="G884" s="53" t="inlineStr"/>
      <c r="H884" s="53" t="inlineStr"/>
      <c r="I884" s="18" t="inlineStr"/>
      <c r="J884" s="19" t="inlineStr"/>
      <c r="K884" s="22" t="inlineStr"/>
      <c r="L884" s="18" t="inlineStr">
        <is>
          <t>Not Started</t>
        </is>
      </c>
    </row>
    <row r="885" ht="42" customHeight="1">
      <c r="A885" s="11" t="n">
        <v>883</v>
      </c>
      <c r="B885" s="50" t="inlineStr">
        <is>
          <t>AC-17(1)</t>
        </is>
      </c>
      <c r="C885" s="11" t="inlineStr">
        <is>
          <t>AC</t>
        </is>
      </c>
      <c r="D885" s="12" t="inlineStr">
        <is>
          <t>Security</t>
        </is>
      </c>
      <c r="E885" s="11">
        <f>IFERROR(TRACKER!G885,"Not Started")</f>
        <v/>
      </c>
      <c r="F885" s="51">
        <f>IFERROR('[Security.xlsx]AC-17-1'!B21,"")</f>
        <v/>
      </c>
      <c r="G885" s="51" t="inlineStr"/>
      <c r="H885" s="51" t="inlineStr"/>
      <c r="I885" s="11" t="inlineStr"/>
      <c r="J885" s="12" t="inlineStr"/>
      <c r="K885" s="17" t="inlineStr"/>
      <c r="L885" s="11" t="inlineStr">
        <is>
          <t>Not Started</t>
        </is>
      </c>
    </row>
    <row r="886" ht="42" customHeight="1">
      <c r="A886" s="18" t="n">
        <v>884</v>
      </c>
      <c r="B886" s="52" t="inlineStr">
        <is>
          <t>AC-17(2)</t>
        </is>
      </c>
      <c r="C886" s="18" t="inlineStr">
        <is>
          <t>AC</t>
        </is>
      </c>
      <c r="D886" s="19" t="inlineStr">
        <is>
          <t>Security</t>
        </is>
      </c>
      <c r="E886" s="18">
        <f>IFERROR(TRACKER!G886,"Not Started")</f>
        <v/>
      </c>
      <c r="F886" s="53">
        <f>IFERROR('[Security.xlsx]AC-17-2'!B21,"")</f>
        <v/>
      </c>
      <c r="G886" s="53" t="inlineStr"/>
      <c r="H886" s="53" t="inlineStr"/>
      <c r="I886" s="18" t="inlineStr"/>
      <c r="J886" s="19" t="inlineStr"/>
      <c r="K886" s="22" t="inlineStr"/>
      <c r="L886" s="18" t="inlineStr">
        <is>
          <t>Not Started</t>
        </is>
      </c>
    </row>
    <row r="887" ht="42" customHeight="1">
      <c r="A887" s="11" t="n">
        <v>885</v>
      </c>
      <c r="B887" s="50" t="inlineStr">
        <is>
          <t>AC-17(3)</t>
        </is>
      </c>
      <c r="C887" s="11" t="inlineStr">
        <is>
          <t>AC</t>
        </is>
      </c>
      <c r="D887" s="12" t="inlineStr">
        <is>
          <t>Security</t>
        </is>
      </c>
      <c r="E887" s="11">
        <f>IFERROR(TRACKER!G887,"Not Started")</f>
        <v/>
      </c>
      <c r="F887" s="51">
        <f>IFERROR('[Security.xlsx]AC-17-3'!B21,"")</f>
        <v/>
      </c>
      <c r="G887" s="51" t="inlineStr"/>
      <c r="H887" s="51" t="inlineStr"/>
      <c r="I887" s="11" t="inlineStr"/>
      <c r="J887" s="12" t="inlineStr"/>
      <c r="K887" s="17" t="inlineStr"/>
      <c r="L887" s="11" t="inlineStr">
        <is>
          <t>Not Started</t>
        </is>
      </c>
    </row>
    <row r="888" ht="42" customHeight="1">
      <c r="A888" s="18" t="n">
        <v>886</v>
      </c>
      <c r="B888" s="52" t="inlineStr">
        <is>
          <t>AC-17(9)</t>
        </is>
      </c>
      <c r="C888" s="18" t="inlineStr">
        <is>
          <t>AC</t>
        </is>
      </c>
      <c r="D888" s="19" t="inlineStr">
        <is>
          <t>Security</t>
        </is>
      </c>
      <c r="E888" s="18">
        <f>IFERROR(TRACKER!G888,"Not Started")</f>
        <v/>
      </c>
      <c r="F888" s="53">
        <f>IFERROR('[Security.xlsx]AC-17-9'!B21,"")</f>
        <v/>
      </c>
      <c r="G888" s="53" t="inlineStr"/>
      <c r="H888" s="53" t="inlineStr"/>
      <c r="I888" s="18" t="inlineStr"/>
      <c r="J888" s="19" t="inlineStr"/>
      <c r="K888" s="22" t="inlineStr"/>
      <c r="L888" s="18" t="inlineStr">
        <is>
          <t>Not Started</t>
        </is>
      </c>
    </row>
    <row r="889" ht="42" customHeight="1">
      <c r="A889" s="11" t="n">
        <v>887</v>
      </c>
      <c r="B889" s="50" t="inlineStr">
        <is>
          <t>AU-2</t>
        </is>
      </c>
      <c r="C889" s="11" t="inlineStr">
        <is>
          <t>AU</t>
        </is>
      </c>
      <c r="D889" s="12" t="inlineStr">
        <is>
          <t>Security</t>
        </is>
      </c>
      <c r="E889" s="11">
        <f>IFERROR(TRACKER!G889,"Not Started")</f>
        <v/>
      </c>
      <c r="F889" s="51">
        <f>IFERROR('[Security.xlsx]AU-2'!B21,"")</f>
        <v/>
      </c>
      <c r="G889" s="51" t="inlineStr"/>
      <c r="H889" s="51" t="inlineStr"/>
      <c r="I889" s="11" t="inlineStr"/>
      <c r="J889" s="12" t="inlineStr"/>
      <c r="K889" s="17" t="inlineStr"/>
      <c r="L889" s="11" t="inlineStr">
        <is>
          <t>Not Started</t>
        </is>
      </c>
    </row>
    <row r="890" ht="42" customHeight="1">
      <c r="A890" s="18" t="n">
        <v>888</v>
      </c>
      <c r="B890" s="52" t="inlineStr">
        <is>
          <t>AU-3</t>
        </is>
      </c>
      <c r="C890" s="18" t="inlineStr">
        <is>
          <t>AU</t>
        </is>
      </c>
      <c r="D890" s="19" t="inlineStr">
        <is>
          <t>Security</t>
        </is>
      </c>
      <c r="E890" s="18">
        <f>IFERROR(TRACKER!G890,"Not Started")</f>
        <v/>
      </c>
      <c r="F890" s="53">
        <f>IFERROR('[Security.xlsx]AU-3'!B21,"")</f>
        <v/>
      </c>
      <c r="G890" s="53" t="inlineStr"/>
      <c r="H890" s="53" t="inlineStr"/>
      <c r="I890" s="18" t="inlineStr"/>
      <c r="J890" s="19" t="inlineStr"/>
      <c r="K890" s="22" t="inlineStr"/>
      <c r="L890" s="18" t="inlineStr">
        <is>
          <t>Not Started</t>
        </is>
      </c>
    </row>
    <row r="891" ht="42" customHeight="1">
      <c r="A891" s="11" t="n">
        <v>889</v>
      </c>
      <c r="B891" s="50" t="inlineStr">
        <is>
          <t>AU-3(1)</t>
        </is>
      </c>
      <c r="C891" s="11" t="inlineStr">
        <is>
          <t>AU</t>
        </is>
      </c>
      <c r="D891" s="12" t="inlineStr">
        <is>
          <t>Security</t>
        </is>
      </c>
      <c r="E891" s="11">
        <f>IFERROR(TRACKER!G891,"Not Started")</f>
        <v/>
      </c>
      <c r="F891" s="51">
        <f>IFERROR('[Security.xlsx]AU-3-1'!B21,"")</f>
        <v/>
      </c>
      <c r="G891" s="51" t="inlineStr"/>
      <c r="H891" s="51" t="inlineStr"/>
      <c r="I891" s="11" t="inlineStr"/>
      <c r="J891" s="12" t="inlineStr"/>
      <c r="K891" s="17" t="inlineStr"/>
      <c r="L891" s="11" t="inlineStr">
        <is>
          <t>Not Started</t>
        </is>
      </c>
    </row>
    <row r="892" ht="42" customHeight="1">
      <c r="A892" s="18" t="n">
        <v>890</v>
      </c>
      <c r="B892" s="52" t="inlineStr">
        <is>
          <t>AU-5</t>
        </is>
      </c>
      <c r="C892" s="18" t="inlineStr">
        <is>
          <t>AU</t>
        </is>
      </c>
      <c r="D892" s="19" t="inlineStr">
        <is>
          <t>Security</t>
        </is>
      </c>
      <c r="E892" s="18">
        <f>IFERROR(TRACKER!G892,"Not Started")</f>
        <v/>
      </c>
      <c r="F892" s="53">
        <f>IFERROR('[Security.xlsx]AU-5'!B21,"")</f>
        <v/>
      </c>
      <c r="G892" s="53" t="inlineStr"/>
      <c r="H892" s="53" t="inlineStr"/>
      <c r="I892" s="18" t="inlineStr"/>
      <c r="J892" s="19" t="inlineStr"/>
      <c r="K892" s="22" t="inlineStr"/>
      <c r="L892" s="18" t="inlineStr">
        <is>
          <t>Not Started</t>
        </is>
      </c>
    </row>
    <row r="893" ht="42" customHeight="1">
      <c r="A893" s="11" t="n">
        <v>891</v>
      </c>
      <c r="B893" s="50" t="inlineStr">
        <is>
          <t>AU-6(1)</t>
        </is>
      </c>
      <c r="C893" s="11" t="inlineStr">
        <is>
          <t>AU</t>
        </is>
      </c>
      <c r="D893" s="12" t="inlineStr">
        <is>
          <t>Security</t>
        </is>
      </c>
      <c r="E893" s="11">
        <f>IFERROR(TRACKER!G893,"Not Started")</f>
        <v/>
      </c>
      <c r="F893" s="51">
        <f>IFERROR('[Security.xlsx]AU-6-1'!B21,"")</f>
        <v/>
      </c>
      <c r="G893" s="51" t="inlineStr"/>
      <c r="H893" s="51" t="inlineStr"/>
      <c r="I893" s="11" t="inlineStr"/>
      <c r="J893" s="12" t="inlineStr"/>
      <c r="K893" s="17" t="inlineStr"/>
      <c r="L893" s="11" t="inlineStr">
        <is>
          <t>Not Started</t>
        </is>
      </c>
    </row>
    <row r="894" ht="42" customHeight="1">
      <c r="A894" s="18" t="n">
        <v>892</v>
      </c>
      <c r="B894" s="52" t="inlineStr">
        <is>
          <t>AU-6(3)</t>
        </is>
      </c>
      <c r="C894" s="18" t="inlineStr">
        <is>
          <t>AU</t>
        </is>
      </c>
      <c r="D894" s="19" t="inlineStr">
        <is>
          <t>Security</t>
        </is>
      </c>
      <c r="E894" s="18">
        <f>IFERROR(TRACKER!G894,"Not Started")</f>
        <v/>
      </c>
      <c r="F894" s="53">
        <f>IFERROR('[Security.xlsx]AU-6-3'!B21,"")</f>
        <v/>
      </c>
      <c r="G894" s="53" t="inlineStr"/>
      <c r="H894" s="53" t="inlineStr"/>
      <c r="I894" s="18" t="inlineStr"/>
      <c r="J894" s="19" t="inlineStr"/>
      <c r="K894" s="22" t="inlineStr"/>
      <c r="L894" s="18" t="inlineStr">
        <is>
          <t>Not Started</t>
        </is>
      </c>
    </row>
    <row r="895" ht="42" customHeight="1">
      <c r="A895" s="11" t="n">
        <v>893</v>
      </c>
      <c r="B895" s="50" t="inlineStr">
        <is>
          <t>AU-7</t>
        </is>
      </c>
      <c r="C895" s="11" t="inlineStr">
        <is>
          <t>AU</t>
        </is>
      </c>
      <c r="D895" s="12" t="inlineStr">
        <is>
          <t>Security</t>
        </is>
      </c>
      <c r="E895" s="11">
        <f>IFERROR(TRACKER!G895,"Not Started")</f>
        <v/>
      </c>
      <c r="F895" s="51">
        <f>IFERROR('[Security.xlsx]AU-7'!B21,"")</f>
        <v/>
      </c>
      <c r="G895" s="51" t="inlineStr"/>
      <c r="H895" s="51" t="inlineStr"/>
      <c r="I895" s="11" t="inlineStr"/>
      <c r="J895" s="12" t="inlineStr"/>
      <c r="K895" s="17" t="inlineStr"/>
      <c r="L895" s="11" t="inlineStr">
        <is>
          <t>Not Started</t>
        </is>
      </c>
    </row>
    <row r="896" ht="42" customHeight="1">
      <c r="A896" s="18" t="n">
        <v>894</v>
      </c>
      <c r="B896" s="52" t="inlineStr">
        <is>
          <t>AU-7(1)</t>
        </is>
      </c>
      <c r="C896" s="18" t="inlineStr">
        <is>
          <t>AU</t>
        </is>
      </c>
      <c r="D896" s="19" t="inlineStr">
        <is>
          <t>Security</t>
        </is>
      </c>
      <c r="E896" s="18">
        <f>IFERROR(TRACKER!G896,"Not Started")</f>
        <v/>
      </c>
      <c r="F896" s="53">
        <f>IFERROR('[Security.xlsx]AU-7-1'!B21,"")</f>
        <v/>
      </c>
      <c r="G896" s="53" t="inlineStr"/>
      <c r="H896" s="53" t="inlineStr"/>
      <c r="I896" s="18" t="inlineStr"/>
      <c r="J896" s="19" t="inlineStr"/>
      <c r="K896" s="22" t="inlineStr"/>
      <c r="L896" s="18" t="inlineStr">
        <is>
          <t>Not Started</t>
        </is>
      </c>
    </row>
    <row r="897" ht="42" customHeight="1">
      <c r="A897" s="11" t="n">
        <v>895</v>
      </c>
      <c r="B897" s="50" t="inlineStr">
        <is>
          <t>AU-8</t>
        </is>
      </c>
      <c r="C897" s="11" t="inlineStr">
        <is>
          <t>AU</t>
        </is>
      </c>
      <c r="D897" s="12" t="inlineStr">
        <is>
          <t>Security</t>
        </is>
      </c>
      <c r="E897" s="11">
        <f>IFERROR(TRACKER!G897,"Not Started")</f>
        <v/>
      </c>
      <c r="F897" s="51">
        <f>IFERROR('[Security.xlsx]AU-8'!B21,"")</f>
        <v/>
      </c>
      <c r="G897" s="51" t="inlineStr"/>
      <c r="H897" s="51" t="inlineStr"/>
      <c r="I897" s="11" t="inlineStr"/>
      <c r="J897" s="12" t="inlineStr"/>
      <c r="K897" s="17" t="inlineStr"/>
      <c r="L897" s="11" t="inlineStr">
        <is>
          <t>Not Started</t>
        </is>
      </c>
    </row>
    <row r="898" ht="42" customHeight="1">
      <c r="A898" s="18" t="n">
        <v>896</v>
      </c>
      <c r="B898" s="52" t="inlineStr">
        <is>
          <t>AU-8(1)</t>
        </is>
      </c>
      <c r="C898" s="18" t="inlineStr">
        <is>
          <t>AU</t>
        </is>
      </c>
      <c r="D898" s="19" t="inlineStr">
        <is>
          <t>Security</t>
        </is>
      </c>
      <c r="E898" s="18">
        <f>IFERROR(TRACKER!G898,"Not Started")</f>
        <v/>
      </c>
      <c r="F898" s="53">
        <f>IFERROR('[Security.xlsx]AU-8-1'!B21,"")</f>
        <v/>
      </c>
      <c r="G898" s="53" t="inlineStr"/>
      <c r="H898" s="53" t="inlineStr"/>
      <c r="I898" s="18" t="inlineStr"/>
      <c r="J898" s="19" t="inlineStr"/>
      <c r="K898" s="22" t="inlineStr"/>
      <c r="L898" s="18" t="inlineStr">
        <is>
          <t>Not Started</t>
        </is>
      </c>
    </row>
    <row r="899" ht="42" customHeight="1">
      <c r="A899" s="11" t="n">
        <v>897</v>
      </c>
      <c r="B899" s="50" t="inlineStr">
        <is>
          <t>AU-9</t>
        </is>
      </c>
      <c r="C899" s="11" t="inlineStr">
        <is>
          <t>AU</t>
        </is>
      </c>
      <c r="D899" s="12" t="inlineStr">
        <is>
          <t>Security</t>
        </is>
      </c>
      <c r="E899" s="11">
        <f>IFERROR(TRACKER!G899,"Not Started")</f>
        <v/>
      </c>
      <c r="F899" s="51">
        <f>IFERROR('[Security.xlsx]AU-9'!B21,"")</f>
        <v/>
      </c>
      <c r="G899" s="51" t="inlineStr"/>
      <c r="H899" s="51" t="inlineStr"/>
      <c r="I899" s="11" t="inlineStr"/>
      <c r="J899" s="12" t="inlineStr"/>
      <c r="K899" s="17" t="inlineStr"/>
      <c r="L899" s="11" t="inlineStr">
        <is>
          <t>Not Started</t>
        </is>
      </c>
    </row>
    <row r="900" ht="42" customHeight="1">
      <c r="A900" s="18" t="n">
        <v>898</v>
      </c>
      <c r="B900" s="52" t="inlineStr">
        <is>
          <t>AU-9(2)</t>
        </is>
      </c>
      <c r="C900" s="18" t="inlineStr">
        <is>
          <t>AU</t>
        </is>
      </c>
      <c r="D900" s="19" t="inlineStr">
        <is>
          <t>Security</t>
        </is>
      </c>
      <c r="E900" s="18">
        <f>IFERROR(TRACKER!G900,"Not Started")</f>
        <v/>
      </c>
      <c r="F900" s="53">
        <f>IFERROR('[Security.xlsx]AU-9-2'!B21,"")</f>
        <v/>
      </c>
      <c r="G900" s="53" t="inlineStr"/>
      <c r="H900" s="53" t="inlineStr"/>
      <c r="I900" s="18" t="inlineStr"/>
      <c r="J900" s="19" t="inlineStr"/>
      <c r="K900" s="22" t="inlineStr"/>
      <c r="L900" s="18" t="inlineStr">
        <is>
          <t>Not Started</t>
        </is>
      </c>
    </row>
    <row r="901" ht="42" customHeight="1">
      <c r="A901" s="11" t="n">
        <v>899</v>
      </c>
      <c r="B901" s="50" t="inlineStr">
        <is>
          <t>AU-9(4)</t>
        </is>
      </c>
      <c r="C901" s="11" t="inlineStr">
        <is>
          <t>AU</t>
        </is>
      </c>
      <c r="D901" s="12" t="inlineStr">
        <is>
          <t>Security</t>
        </is>
      </c>
      <c r="E901" s="11">
        <f>IFERROR(TRACKER!G901,"Not Started")</f>
        <v/>
      </c>
      <c r="F901" s="51">
        <f>IFERROR('[Security.xlsx]AU-9-4'!B21,"")</f>
        <v/>
      </c>
      <c r="G901" s="51" t="inlineStr"/>
      <c r="H901" s="51" t="inlineStr"/>
      <c r="I901" s="11" t="inlineStr"/>
      <c r="J901" s="12" t="inlineStr"/>
      <c r="K901" s="17" t="inlineStr"/>
      <c r="L901" s="11" t="inlineStr">
        <is>
          <t>Not Started</t>
        </is>
      </c>
    </row>
    <row r="902" ht="42" customHeight="1">
      <c r="A902" s="18" t="n">
        <v>900</v>
      </c>
      <c r="B902" s="52" t="inlineStr">
        <is>
          <t>AU-11</t>
        </is>
      </c>
      <c r="C902" s="18" t="inlineStr">
        <is>
          <t>AU</t>
        </is>
      </c>
      <c r="D902" s="19" t="inlineStr">
        <is>
          <t>Security</t>
        </is>
      </c>
      <c r="E902" s="18">
        <f>IFERROR(TRACKER!G902,"Not Started")</f>
        <v/>
      </c>
      <c r="F902" s="53">
        <f>IFERROR('[Security.xlsx]AU-11'!B21,"")</f>
        <v/>
      </c>
      <c r="G902" s="53" t="inlineStr"/>
      <c r="H902" s="53" t="inlineStr"/>
      <c r="I902" s="18" t="inlineStr"/>
      <c r="J902" s="19" t="inlineStr"/>
      <c r="K902" s="22" t="inlineStr"/>
      <c r="L902" s="18" t="inlineStr">
        <is>
          <t>Not Started</t>
        </is>
      </c>
    </row>
    <row r="903" ht="42" customHeight="1">
      <c r="A903" s="11" t="n">
        <v>901</v>
      </c>
      <c r="B903" s="50" t="inlineStr">
        <is>
          <t>AU-12</t>
        </is>
      </c>
      <c r="C903" s="11" t="inlineStr">
        <is>
          <t>AU</t>
        </is>
      </c>
      <c r="D903" s="12" t="inlineStr">
        <is>
          <t>Security</t>
        </is>
      </c>
      <c r="E903" s="11">
        <f>IFERROR(TRACKER!G903,"Not Started")</f>
        <v/>
      </c>
      <c r="F903" s="51">
        <f>IFERROR('[Security.xlsx]AU-12'!B21,"")</f>
        <v/>
      </c>
      <c r="G903" s="51" t="inlineStr"/>
      <c r="H903" s="51" t="inlineStr"/>
      <c r="I903" s="11" t="inlineStr"/>
      <c r="J903" s="12" t="inlineStr"/>
      <c r="K903" s="17" t="inlineStr"/>
      <c r="L903" s="11" t="inlineStr">
        <is>
          <t>Not Started</t>
        </is>
      </c>
    </row>
    <row r="904" ht="42" customHeight="1">
      <c r="A904" s="18" t="n">
        <v>902</v>
      </c>
      <c r="B904" s="52" t="inlineStr">
        <is>
          <t>CA-3(5)</t>
        </is>
      </c>
      <c r="C904" s="18" t="inlineStr">
        <is>
          <t>CA</t>
        </is>
      </c>
      <c r="D904" s="19" t="inlineStr">
        <is>
          <t>Security</t>
        </is>
      </c>
      <c r="E904" s="18">
        <f>IFERROR(TRACKER!G904,"Not Started")</f>
        <v/>
      </c>
      <c r="F904" s="53">
        <f>IFERROR('[Security.xlsx]CA-3-5'!B21,"")</f>
        <v/>
      </c>
      <c r="G904" s="53" t="inlineStr"/>
      <c r="H904" s="53" t="inlineStr"/>
      <c r="I904" s="18" t="inlineStr"/>
      <c r="J904" s="19" t="inlineStr"/>
      <c r="K904" s="22" t="inlineStr"/>
      <c r="L904" s="18" t="inlineStr">
        <is>
          <t>Not Started</t>
        </is>
      </c>
    </row>
    <row r="905" ht="42" customHeight="1">
      <c r="A905" s="11" t="n">
        <v>903</v>
      </c>
      <c r="B905" s="50" t="inlineStr">
        <is>
          <t>CA-9</t>
        </is>
      </c>
      <c r="C905" s="11" t="inlineStr">
        <is>
          <t>CA</t>
        </is>
      </c>
      <c r="D905" s="12" t="inlineStr">
        <is>
          <t>Security</t>
        </is>
      </c>
      <c r="E905" s="11">
        <f>IFERROR(TRACKER!G905,"Not Started")</f>
        <v/>
      </c>
      <c r="F905" s="51">
        <f>IFERROR('[Security.xlsx]CA-9'!B21,"")</f>
        <v/>
      </c>
      <c r="G905" s="51" t="inlineStr"/>
      <c r="H905" s="51" t="inlineStr"/>
      <c r="I905" s="11" t="inlineStr"/>
      <c r="J905" s="12" t="inlineStr"/>
      <c r="K905" s="17" t="inlineStr"/>
      <c r="L905" s="11" t="inlineStr">
        <is>
          <t>Not Started</t>
        </is>
      </c>
    </row>
    <row r="906" ht="42" customHeight="1">
      <c r="A906" s="18" t="n">
        <v>904</v>
      </c>
      <c r="B906" s="52" t="inlineStr">
        <is>
          <t>CM-5(1)</t>
        </is>
      </c>
      <c r="C906" s="18" t="inlineStr">
        <is>
          <t>CM</t>
        </is>
      </c>
      <c r="D906" s="19" t="inlineStr">
        <is>
          <t>Security</t>
        </is>
      </c>
      <c r="E906" s="18">
        <f>IFERROR(TRACKER!G906,"Not Started")</f>
        <v/>
      </c>
      <c r="F906" s="53">
        <f>IFERROR('[Security.xlsx]CM-5-1'!B21,"")</f>
        <v/>
      </c>
      <c r="G906" s="53" t="inlineStr"/>
      <c r="H906" s="53" t="inlineStr"/>
      <c r="I906" s="18" t="inlineStr"/>
      <c r="J906" s="19" t="inlineStr"/>
      <c r="K906" s="22" t="inlineStr"/>
      <c r="L906" s="18" t="inlineStr">
        <is>
          <t>Not Started</t>
        </is>
      </c>
    </row>
    <row r="907" ht="42" customHeight="1">
      <c r="A907" s="11" t="n">
        <v>905</v>
      </c>
      <c r="B907" s="50" t="inlineStr">
        <is>
          <t>CM-6</t>
        </is>
      </c>
      <c r="C907" s="11" t="inlineStr">
        <is>
          <t>CM</t>
        </is>
      </c>
      <c r="D907" s="12" t="inlineStr">
        <is>
          <t>Security</t>
        </is>
      </c>
      <c r="E907" s="11">
        <f>IFERROR(TRACKER!G907,"Not Started")</f>
        <v/>
      </c>
      <c r="F907" s="51">
        <f>IFERROR('[Security.xlsx]CM-6'!B21,"")</f>
        <v/>
      </c>
      <c r="G907" s="51" t="inlineStr"/>
      <c r="H907" s="51" t="inlineStr"/>
      <c r="I907" s="11" t="inlineStr"/>
      <c r="J907" s="12" t="inlineStr"/>
      <c r="K907" s="17" t="inlineStr"/>
      <c r="L907" s="11" t="inlineStr">
        <is>
          <t>Not Started</t>
        </is>
      </c>
    </row>
    <row r="908" ht="42" customHeight="1">
      <c r="A908" s="18" t="n">
        <v>906</v>
      </c>
      <c r="B908" s="52" t="inlineStr">
        <is>
          <t>CM-7</t>
        </is>
      </c>
      <c r="C908" s="18" t="inlineStr">
        <is>
          <t>CM</t>
        </is>
      </c>
      <c r="D908" s="19" t="inlineStr">
        <is>
          <t>Security</t>
        </is>
      </c>
      <c r="E908" s="18">
        <f>IFERROR(TRACKER!G908,"Not Started")</f>
        <v/>
      </c>
      <c r="F908" s="53">
        <f>IFERROR('[Security.xlsx]CM-7'!B21,"")</f>
        <v/>
      </c>
      <c r="G908" s="53" t="inlineStr"/>
      <c r="H908" s="53" t="inlineStr"/>
      <c r="I908" s="18" t="inlineStr"/>
      <c r="J908" s="19" t="inlineStr"/>
      <c r="K908" s="22" t="inlineStr"/>
      <c r="L908" s="18" t="inlineStr">
        <is>
          <t>Not Started</t>
        </is>
      </c>
    </row>
    <row r="909" ht="42" customHeight="1">
      <c r="A909" s="11" t="n">
        <v>907</v>
      </c>
      <c r="B909" s="50" t="inlineStr">
        <is>
          <t>CM-7(1)</t>
        </is>
      </c>
      <c r="C909" s="11" t="inlineStr">
        <is>
          <t>CM</t>
        </is>
      </c>
      <c r="D909" s="12" t="inlineStr">
        <is>
          <t>Security</t>
        </is>
      </c>
      <c r="E909" s="11">
        <f>IFERROR(TRACKER!G909,"Not Started")</f>
        <v/>
      </c>
      <c r="F909" s="51">
        <f>IFERROR('[Security.xlsx]CM-7-1'!B21,"")</f>
        <v/>
      </c>
      <c r="G909" s="51" t="inlineStr"/>
      <c r="H909" s="51" t="inlineStr"/>
      <c r="I909" s="11" t="inlineStr"/>
      <c r="J909" s="12" t="inlineStr"/>
      <c r="K909" s="17" t="inlineStr"/>
      <c r="L909" s="11" t="inlineStr">
        <is>
          <t>Not Started</t>
        </is>
      </c>
    </row>
    <row r="910" ht="42" customHeight="1">
      <c r="A910" s="18" t="n">
        <v>908</v>
      </c>
      <c r="B910" s="52" t="inlineStr">
        <is>
          <t>CM-10</t>
        </is>
      </c>
      <c r="C910" s="18" t="inlineStr">
        <is>
          <t>CM</t>
        </is>
      </c>
      <c r="D910" s="19" t="inlineStr">
        <is>
          <t>Security</t>
        </is>
      </c>
      <c r="E910" s="18">
        <f>IFERROR(TRACKER!G910,"Not Started")</f>
        <v/>
      </c>
      <c r="F910" s="53">
        <f>IFERROR('[Security.xlsx]CM-10'!B21,"")</f>
        <v/>
      </c>
      <c r="G910" s="53" t="inlineStr"/>
      <c r="H910" s="53" t="inlineStr"/>
      <c r="I910" s="18" t="inlineStr"/>
      <c r="J910" s="19" t="inlineStr"/>
      <c r="K910" s="22" t="inlineStr"/>
      <c r="L910" s="18" t="inlineStr">
        <is>
          <t>Not Started</t>
        </is>
      </c>
    </row>
    <row r="911" ht="42" customHeight="1">
      <c r="A911" s="11" t="n">
        <v>909</v>
      </c>
      <c r="B911" s="50" t="inlineStr">
        <is>
          <t>CP-6</t>
        </is>
      </c>
      <c r="C911" s="11" t="inlineStr">
        <is>
          <t>CP</t>
        </is>
      </c>
      <c r="D911" s="12" t="inlineStr">
        <is>
          <t>Security</t>
        </is>
      </c>
      <c r="E911" s="11">
        <f>IFERROR(TRACKER!G911,"Not Started")</f>
        <v/>
      </c>
      <c r="F911" s="51">
        <f>IFERROR('[Security.xlsx]CP-6'!B21,"")</f>
        <v/>
      </c>
      <c r="G911" s="51" t="inlineStr"/>
      <c r="H911" s="51" t="inlineStr"/>
      <c r="I911" s="11" t="inlineStr"/>
      <c r="J911" s="12" t="inlineStr"/>
      <c r="K911" s="17" t="inlineStr"/>
      <c r="L911" s="11" t="inlineStr">
        <is>
          <t>Not Started</t>
        </is>
      </c>
    </row>
    <row r="912" ht="42" customHeight="1">
      <c r="A912" s="18" t="n">
        <v>910</v>
      </c>
      <c r="B912" s="52" t="inlineStr">
        <is>
          <t>CP-6(2)</t>
        </is>
      </c>
      <c r="C912" s="18" t="inlineStr">
        <is>
          <t>CP</t>
        </is>
      </c>
      <c r="D912" s="19" t="inlineStr">
        <is>
          <t>Security</t>
        </is>
      </c>
      <c r="E912" s="18">
        <f>IFERROR(TRACKER!G912,"Not Started")</f>
        <v/>
      </c>
      <c r="F912" s="53">
        <f>IFERROR('[Security.xlsx]CP-6-2'!B21,"")</f>
        <v/>
      </c>
      <c r="G912" s="53" t="inlineStr"/>
      <c r="H912" s="53" t="inlineStr"/>
      <c r="I912" s="18" t="inlineStr"/>
      <c r="J912" s="19" t="inlineStr"/>
      <c r="K912" s="22" t="inlineStr"/>
      <c r="L912" s="18" t="inlineStr">
        <is>
          <t>Not Started</t>
        </is>
      </c>
    </row>
    <row r="913" ht="42" customHeight="1">
      <c r="A913" s="11" t="n">
        <v>911</v>
      </c>
      <c r="B913" s="50" t="inlineStr">
        <is>
          <t>CP-7</t>
        </is>
      </c>
      <c r="C913" s="11" t="inlineStr">
        <is>
          <t>CP</t>
        </is>
      </c>
      <c r="D913" s="12" t="inlineStr">
        <is>
          <t>Security</t>
        </is>
      </c>
      <c r="E913" s="11">
        <f>IFERROR(TRACKER!G913,"Not Started")</f>
        <v/>
      </c>
      <c r="F913" s="51">
        <f>IFERROR('[Security.xlsx]CP-7'!B21,"")</f>
        <v/>
      </c>
      <c r="G913" s="51" t="inlineStr"/>
      <c r="H913" s="51" t="inlineStr"/>
      <c r="I913" s="11" t="inlineStr"/>
      <c r="J913" s="12" t="inlineStr"/>
      <c r="K913" s="17" t="inlineStr"/>
      <c r="L913" s="11" t="inlineStr">
        <is>
          <t>Not Started</t>
        </is>
      </c>
    </row>
    <row r="914" ht="42" customHeight="1">
      <c r="A914" s="18" t="n">
        <v>912</v>
      </c>
      <c r="B914" s="52" t="inlineStr">
        <is>
          <t>CP-7(4)</t>
        </is>
      </c>
      <c r="C914" s="18" t="inlineStr">
        <is>
          <t>CP</t>
        </is>
      </c>
      <c r="D914" s="19" t="inlineStr">
        <is>
          <t>Security</t>
        </is>
      </c>
      <c r="E914" s="18">
        <f>IFERROR(TRACKER!G914,"Not Started")</f>
        <v/>
      </c>
      <c r="F914" s="53">
        <f>IFERROR('[Security.xlsx]CP-7-4'!B21,"")</f>
        <v/>
      </c>
      <c r="G914" s="53" t="inlineStr"/>
      <c r="H914" s="53" t="inlineStr"/>
      <c r="I914" s="18" t="inlineStr"/>
      <c r="J914" s="19" t="inlineStr"/>
      <c r="K914" s="22" t="inlineStr"/>
      <c r="L914" s="18" t="inlineStr">
        <is>
          <t>Not Started</t>
        </is>
      </c>
    </row>
    <row r="915" ht="42" customHeight="1">
      <c r="A915" s="11" t="n">
        <v>913</v>
      </c>
      <c r="B915" s="50" t="inlineStr">
        <is>
          <t>CP-10</t>
        </is>
      </c>
      <c r="C915" s="11" t="inlineStr">
        <is>
          <t>CP</t>
        </is>
      </c>
      <c r="D915" s="12" t="inlineStr">
        <is>
          <t>Security</t>
        </is>
      </c>
      <c r="E915" s="11">
        <f>IFERROR(TRACKER!G915,"Not Started")</f>
        <v/>
      </c>
      <c r="F915" s="51">
        <f>IFERROR('[Security.xlsx]CP-10'!B21,"")</f>
        <v/>
      </c>
      <c r="G915" s="51" t="inlineStr"/>
      <c r="H915" s="51" t="inlineStr"/>
      <c r="I915" s="11" t="inlineStr"/>
      <c r="J915" s="12" t="inlineStr"/>
      <c r="K915" s="17" t="inlineStr"/>
      <c r="L915" s="11" t="inlineStr">
        <is>
          <t>Not Started</t>
        </is>
      </c>
    </row>
    <row r="916" ht="42" customHeight="1">
      <c r="A916" s="18" t="n">
        <v>914</v>
      </c>
      <c r="B916" s="52" t="inlineStr">
        <is>
          <t>CP-10(4)</t>
        </is>
      </c>
      <c r="C916" s="18" t="inlineStr">
        <is>
          <t>CP</t>
        </is>
      </c>
      <c r="D916" s="19" t="inlineStr">
        <is>
          <t>Security</t>
        </is>
      </c>
      <c r="E916" s="18">
        <f>IFERROR(TRACKER!G916,"Not Started")</f>
        <v/>
      </c>
      <c r="F916" s="53">
        <f>IFERROR('[Security.xlsx]CP-10-4'!B21,"")</f>
        <v/>
      </c>
      <c r="G916" s="53" t="inlineStr"/>
      <c r="H916" s="53" t="inlineStr"/>
      <c r="I916" s="18" t="inlineStr"/>
      <c r="J916" s="19" t="inlineStr"/>
      <c r="K916" s="22" t="inlineStr"/>
      <c r="L916" s="18" t="inlineStr">
        <is>
          <t>Not Started</t>
        </is>
      </c>
    </row>
    <row r="917" ht="42" customHeight="1">
      <c r="A917" s="11" t="n">
        <v>915</v>
      </c>
      <c r="B917" s="50" t="inlineStr">
        <is>
          <t>IA-3</t>
        </is>
      </c>
      <c r="C917" s="11" t="inlineStr">
        <is>
          <t>IA</t>
        </is>
      </c>
      <c r="D917" s="12" t="inlineStr">
        <is>
          <t>Security</t>
        </is>
      </c>
      <c r="E917" s="11">
        <f>IFERROR(TRACKER!G917,"Not Started")</f>
        <v/>
      </c>
      <c r="F917" s="51">
        <f>IFERROR('[Security.xlsx]IA-3'!B21,"")</f>
        <v/>
      </c>
      <c r="G917" s="51" t="inlineStr"/>
      <c r="H917" s="51" t="inlineStr"/>
      <c r="I917" s="11" t="inlineStr"/>
      <c r="J917" s="12" t="inlineStr"/>
      <c r="K917" s="17" t="inlineStr"/>
      <c r="L917" s="11" t="inlineStr">
        <is>
          <t>Not Started</t>
        </is>
      </c>
    </row>
    <row r="918" ht="42" customHeight="1">
      <c r="A918" s="18" t="n">
        <v>916</v>
      </c>
      <c r="B918" s="52" t="inlineStr">
        <is>
          <t>IA-5(4)</t>
        </is>
      </c>
      <c r="C918" s="18" t="inlineStr">
        <is>
          <t>IA</t>
        </is>
      </c>
      <c r="D918" s="19" t="inlineStr">
        <is>
          <t>Security</t>
        </is>
      </c>
      <c r="E918" s="18">
        <f>IFERROR(TRACKER!G918,"Not Started")</f>
        <v/>
      </c>
      <c r="F918" s="53">
        <f>IFERROR('[Security.xlsx]IA-5-4'!B21,"")</f>
        <v/>
      </c>
      <c r="G918" s="53" t="inlineStr"/>
      <c r="H918" s="53" t="inlineStr"/>
      <c r="I918" s="18" t="inlineStr"/>
      <c r="J918" s="19" t="inlineStr"/>
      <c r="K918" s="22" t="inlineStr"/>
      <c r="L918" s="18" t="inlineStr">
        <is>
          <t>Not Started</t>
        </is>
      </c>
    </row>
    <row r="919" ht="42" customHeight="1">
      <c r="A919" s="11" t="n">
        <v>917</v>
      </c>
      <c r="B919" s="50" t="inlineStr">
        <is>
          <t>IA-5(6)</t>
        </is>
      </c>
      <c r="C919" s="11" t="inlineStr">
        <is>
          <t>IA</t>
        </is>
      </c>
      <c r="D919" s="12" t="inlineStr">
        <is>
          <t>Security</t>
        </is>
      </c>
      <c r="E919" s="11">
        <f>IFERROR(TRACKER!G919,"Not Started")</f>
        <v/>
      </c>
      <c r="F919" s="51">
        <f>IFERROR('[Security.xlsx]IA-5-6'!B21,"")</f>
        <v/>
      </c>
      <c r="G919" s="51" t="inlineStr"/>
      <c r="H919" s="51" t="inlineStr"/>
      <c r="I919" s="11" t="inlineStr"/>
      <c r="J919" s="12" t="inlineStr"/>
      <c r="K919" s="17" t="inlineStr"/>
      <c r="L919" s="11" t="inlineStr">
        <is>
          <t>Not Started</t>
        </is>
      </c>
    </row>
    <row r="920" ht="42" customHeight="1">
      <c r="A920" s="18" t="n">
        <v>918</v>
      </c>
      <c r="B920" s="52" t="inlineStr">
        <is>
          <t>MA-4(6)</t>
        </is>
      </c>
      <c r="C920" s="18" t="inlineStr">
        <is>
          <t>MA</t>
        </is>
      </c>
      <c r="D920" s="19" t="inlineStr">
        <is>
          <t>Security</t>
        </is>
      </c>
      <c r="E920" s="18">
        <f>IFERROR(TRACKER!G920,"Not Started")</f>
        <v/>
      </c>
      <c r="F920" s="53">
        <f>IFERROR('[Security.xlsx]MA-4-6'!B21,"")</f>
        <v/>
      </c>
      <c r="G920" s="53" t="inlineStr"/>
      <c r="H920" s="53" t="inlineStr"/>
      <c r="I920" s="18" t="inlineStr"/>
      <c r="J920" s="19" t="inlineStr"/>
      <c r="K920" s="22" t="inlineStr"/>
      <c r="L920" s="18" t="inlineStr">
        <is>
          <t>Not Started</t>
        </is>
      </c>
    </row>
    <row r="921" ht="42" customHeight="1">
      <c r="A921" s="11" t="n">
        <v>919</v>
      </c>
      <c r="B921" s="50" t="inlineStr">
        <is>
          <t>RA-5</t>
        </is>
      </c>
      <c r="C921" s="11" t="inlineStr">
        <is>
          <t>RA</t>
        </is>
      </c>
      <c r="D921" s="12" t="inlineStr">
        <is>
          <t>Security</t>
        </is>
      </c>
      <c r="E921" s="11">
        <f>IFERROR(TRACKER!G921,"Not Started")</f>
        <v/>
      </c>
      <c r="F921" s="51">
        <f>IFERROR('[Security.xlsx]RA-5'!B21,"")</f>
        <v/>
      </c>
      <c r="G921" s="51" t="inlineStr"/>
      <c r="H921" s="51" t="inlineStr"/>
      <c r="I921" s="11" t="inlineStr"/>
      <c r="J921" s="12" t="inlineStr"/>
      <c r="K921" s="17" t="inlineStr"/>
      <c r="L921" s="11" t="inlineStr">
        <is>
          <t>Not Started</t>
        </is>
      </c>
    </row>
    <row r="922" ht="42" customHeight="1">
      <c r="A922" s="18" t="n">
        <v>920</v>
      </c>
      <c r="B922" s="52" t="inlineStr">
        <is>
          <t>RA-5(1)</t>
        </is>
      </c>
      <c r="C922" s="18" t="inlineStr">
        <is>
          <t>RA</t>
        </is>
      </c>
      <c r="D922" s="19" t="inlineStr">
        <is>
          <t>Security</t>
        </is>
      </c>
      <c r="E922" s="18">
        <f>IFERROR(TRACKER!G922,"Not Started")</f>
        <v/>
      </c>
      <c r="F922" s="53">
        <f>IFERROR('[Security.xlsx]RA-5-1'!B21,"")</f>
        <v/>
      </c>
      <c r="G922" s="53" t="inlineStr"/>
      <c r="H922" s="53" t="inlineStr"/>
      <c r="I922" s="18" t="inlineStr"/>
      <c r="J922" s="19" t="inlineStr"/>
      <c r="K922" s="22" t="inlineStr"/>
      <c r="L922" s="18" t="inlineStr">
        <is>
          <t>Not Started</t>
        </is>
      </c>
    </row>
    <row r="923" ht="42" customHeight="1">
      <c r="A923" s="11" t="n">
        <v>921</v>
      </c>
      <c r="B923" s="50" t="inlineStr">
        <is>
          <t>RA-5(2)</t>
        </is>
      </c>
      <c r="C923" s="11" t="inlineStr">
        <is>
          <t>RA</t>
        </is>
      </c>
      <c r="D923" s="12" t="inlineStr">
        <is>
          <t>Security</t>
        </is>
      </c>
      <c r="E923" s="11">
        <f>IFERROR(TRACKER!G923,"Not Started")</f>
        <v/>
      </c>
      <c r="F923" s="51">
        <f>IFERROR('[Security.xlsx]RA-5-2'!B21,"")</f>
        <v/>
      </c>
      <c r="G923" s="51" t="inlineStr"/>
      <c r="H923" s="51" t="inlineStr"/>
      <c r="I923" s="11" t="inlineStr"/>
      <c r="J923" s="12" t="inlineStr"/>
      <c r="K923" s="17" t="inlineStr"/>
      <c r="L923" s="11" t="inlineStr">
        <is>
          <t>Not Started</t>
        </is>
      </c>
    </row>
    <row r="924" ht="42" customHeight="1">
      <c r="A924" s="18" t="n">
        <v>922</v>
      </c>
      <c r="B924" s="52" t="inlineStr">
        <is>
          <t>RA-5(3)</t>
        </is>
      </c>
      <c r="C924" s="18" t="inlineStr">
        <is>
          <t>RA</t>
        </is>
      </c>
      <c r="D924" s="19" t="inlineStr">
        <is>
          <t>Security</t>
        </is>
      </c>
      <c r="E924" s="18">
        <f>IFERROR(TRACKER!G924,"Not Started")</f>
        <v/>
      </c>
      <c r="F924" s="53">
        <f>IFERROR('[Security.xlsx]RA-5-3'!B21,"")</f>
        <v/>
      </c>
      <c r="G924" s="53" t="inlineStr"/>
      <c r="H924" s="53" t="inlineStr"/>
      <c r="I924" s="18" t="inlineStr"/>
      <c r="J924" s="19" t="inlineStr"/>
      <c r="K924" s="22" t="inlineStr"/>
      <c r="L924" s="18" t="inlineStr">
        <is>
          <t>Not Started</t>
        </is>
      </c>
    </row>
    <row r="925" ht="42" customHeight="1">
      <c r="A925" s="11" t="n">
        <v>923</v>
      </c>
      <c r="B925" s="50" t="inlineStr">
        <is>
          <t>RA-5(5)</t>
        </is>
      </c>
      <c r="C925" s="11" t="inlineStr">
        <is>
          <t>RA</t>
        </is>
      </c>
      <c r="D925" s="12" t="inlineStr">
        <is>
          <t>Security</t>
        </is>
      </c>
      <c r="E925" s="11">
        <f>IFERROR(TRACKER!G925,"Not Started")</f>
        <v/>
      </c>
      <c r="F925" s="51">
        <f>IFERROR('[Security.xlsx]RA-5-5'!B21,"")</f>
        <v/>
      </c>
      <c r="G925" s="51" t="inlineStr"/>
      <c r="H925" s="51" t="inlineStr"/>
      <c r="I925" s="11" t="inlineStr"/>
      <c r="J925" s="12" t="inlineStr"/>
      <c r="K925" s="17" t="inlineStr"/>
      <c r="L925" s="11" t="inlineStr">
        <is>
          <t>Not Started</t>
        </is>
      </c>
    </row>
    <row r="926" ht="42" customHeight="1">
      <c r="A926" s="18" t="n">
        <v>924</v>
      </c>
      <c r="B926" s="52" t="inlineStr">
        <is>
          <t>RA-5(6)</t>
        </is>
      </c>
      <c r="C926" s="18" t="inlineStr">
        <is>
          <t>RA</t>
        </is>
      </c>
      <c r="D926" s="19" t="inlineStr">
        <is>
          <t>Security</t>
        </is>
      </c>
      <c r="E926" s="18">
        <f>IFERROR(TRACKER!G926,"Not Started")</f>
        <v/>
      </c>
      <c r="F926" s="53">
        <f>IFERROR('[Security.xlsx]RA-5-6'!B21,"")</f>
        <v/>
      </c>
      <c r="G926" s="53" t="inlineStr"/>
      <c r="H926" s="53" t="inlineStr"/>
      <c r="I926" s="18" t="inlineStr"/>
      <c r="J926" s="19" t="inlineStr"/>
      <c r="K926" s="22" t="inlineStr"/>
      <c r="L926" s="18" t="inlineStr">
        <is>
          <t>Not Started</t>
        </is>
      </c>
    </row>
    <row r="927" ht="42" customHeight="1">
      <c r="A927" s="11" t="n">
        <v>925</v>
      </c>
      <c r="B927" s="50" t="inlineStr">
        <is>
          <t>RA-5(8)</t>
        </is>
      </c>
      <c r="C927" s="11" t="inlineStr">
        <is>
          <t>RA</t>
        </is>
      </c>
      <c r="D927" s="12" t="inlineStr">
        <is>
          <t>Security</t>
        </is>
      </c>
      <c r="E927" s="11">
        <f>IFERROR(TRACKER!G927,"Not Started")</f>
        <v/>
      </c>
      <c r="F927" s="51">
        <f>IFERROR('[Security.xlsx]RA-5-8'!B21,"")</f>
        <v/>
      </c>
      <c r="G927" s="51" t="inlineStr"/>
      <c r="H927" s="51" t="inlineStr"/>
      <c r="I927" s="11" t="inlineStr"/>
      <c r="J927" s="12" t="inlineStr"/>
      <c r="K927" s="17" t="inlineStr"/>
      <c r="L927" s="11" t="inlineStr">
        <is>
          <t>Not Started</t>
        </is>
      </c>
    </row>
    <row r="928" ht="42" customHeight="1">
      <c r="A928" s="18" t="n">
        <v>926</v>
      </c>
      <c r="B928" s="52" t="inlineStr">
        <is>
          <t>SA-9(5)</t>
        </is>
      </c>
      <c r="C928" s="18" t="inlineStr">
        <is>
          <t>SA</t>
        </is>
      </c>
      <c r="D928" s="19" t="inlineStr">
        <is>
          <t>Security</t>
        </is>
      </c>
      <c r="E928" s="18">
        <f>IFERROR(TRACKER!G928,"Not Started")</f>
        <v/>
      </c>
      <c r="F928" s="53">
        <f>IFERROR('[Security.xlsx]SA-9-5'!B21,"")</f>
        <v/>
      </c>
      <c r="G928" s="53" t="inlineStr"/>
      <c r="H928" s="53" t="inlineStr"/>
      <c r="I928" s="18" t="inlineStr"/>
      <c r="J928" s="19" t="inlineStr"/>
      <c r="K928" s="22" t="inlineStr"/>
      <c r="L928" s="18" t="inlineStr">
        <is>
          <t>Not Started</t>
        </is>
      </c>
    </row>
    <row r="929" ht="42" customHeight="1">
      <c r="A929" s="11" t="n">
        <v>927</v>
      </c>
      <c r="B929" s="50" t="inlineStr">
        <is>
          <t>SC-2</t>
        </is>
      </c>
      <c r="C929" s="11" t="inlineStr">
        <is>
          <t>SC</t>
        </is>
      </c>
      <c r="D929" s="12" t="inlineStr">
        <is>
          <t>Security</t>
        </is>
      </c>
      <c r="E929" s="11">
        <f>IFERROR(TRACKER!G929,"Not Started")</f>
        <v/>
      </c>
      <c r="F929" s="51">
        <f>IFERROR('[Security.xlsx]SC-2'!B21,"")</f>
        <v/>
      </c>
      <c r="G929" s="51" t="inlineStr"/>
      <c r="H929" s="51" t="inlineStr"/>
      <c r="I929" s="11" t="inlineStr"/>
      <c r="J929" s="12" t="inlineStr"/>
      <c r="K929" s="17" t="inlineStr"/>
      <c r="L929" s="11" t="inlineStr">
        <is>
          <t>Not Started</t>
        </is>
      </c>
    </row>
    <row r="930" ht="42" customHeight="1">
      <c r="A930" s="18" t="n">
        <v>928</v>
      </c>
      <c r="B930" s="52" t="inlineStr">
        <is>
          <t>SC-4</t>
        </is>
      </c>
      <c r="C930" s="18" t="inlineStr">
        <is>
          <t>SC</t>
        </is>
      </c>
      <c r="D930" s="19" t="inlineStr">
        <is>
          <t>Security</t>
        </is>
      </c>
      <c r="E930" s="18">
        <f>IFERROR(TRACKER!G930,"Not Started")</f>
        <v/>
      </c>
      <c r="F930" s="53">
        <f>IFERROR('[Security.xlsx]SC-4'!B21,"")</f>
        <v/>
      </c>
      <c r="G930" s="53" t="inlineStr"/>
      <c r="H930" s="53" t="inlineStr"/>
      <c r="I930" s="18" t="inlineStr"/>
      <c r="J930" s="19" t="inlineStr"/>
      <c r="K930" s="22" t="inlineStr"/>
      <c r="L930" s="18" t="inlineStr">
        <is>
          <t>Not Started</t>
        </is>
      </c>
    </row>
    <row r="931" ht="42" customHeight="1">
      <c r="A931" s="11" t="n">
        <v>929</v>
      </c>
      <c r="B931" s="50" t="inlineStr">
        <is>
          <t>SC-5</t>
        </is>
      </c>
      <c r="C931" s="11" t="inlineStr">
        <is>
          <t>SC</t>
        </is>
      </c>
      <c r="D931" s="12" t="inlineStr">
        <is>
          <t>Security</t>
        </is>
      </c>
      <c r="E931" s="11">
        <f>IFERROR(TRACKER!G931,"Not Started")</f>
        <v/>
      </c>
      <c r="F931" s="51">
        <f>IFERROR('[Security.xlsx]SC-5'!B21,"")</f>
        <v/>
      </c>
      <c r="G931" s="51" t="inlineStr"/>
      <c r="H931" s="51" t="inlineStr"/>
      <c r="I931" s="11" t="inlineStr"/>
      <c r="J931" s="12" t="inlineStr"/>
      <c r="K931" s="17" t="inlineStr"/>
      <c r="L931" s="11" t="inlineStr">
        <is>
          <t>Not Started</t>
        </is>
      </c>
    </row>
    <row r="932" ht="42" customHeight="1">
      <c r="A932" s="18" t="n">
        <v>930</v>
      </c>
      <c r="B932" s="52" t="inlineStr">
        <is>
          <t>SC-7</t>
        </is>
      </c>
      <c r="C932" s="18" t="inlineStr">
        <is>
          <t>SC</t>
        </is>
      </c>
      <c r="D932" s="19" t="inlineStr">
        <is>
          <t>Security</t>
        </is>
      </c>
      <c r="E932" s="18">
        <f>IFERROR(TRACKER!G932,"Not Started")</f>
        <v/>
      </c>
      <c r="F932" s="53">
        <f>IFERROR('[Security.xlsx]SC-7'!B21,"")</f>
        <v/>
      </c>
      <c r="G932" s="53" t="inlineStr"/>
      <c r="H932" s="53" t="inlineStr"/>
      <c r="I932" s="18" t="inlineStr"/>
      <c r="J932" s="19" t="inlineStr"/>
      <c r="K932" s="22" t="inlineStr"/>
      <c r="L932" s="18" t="inlineStr">
        <is>
          <t>Not Started</t>
        </is>
      </c>
    </row>
    <row r="933" ht="42" customHeight="1">
      <c r="A933" s="11" t="n">
        <v>931</v>
      </c>
      <c r="B933" s="50" t="inlineStr">
        <is>
          <t>SC-7(3)</t>
        </is>
      </c>
      <c r="C933" s="11" t="inlineStr">
        <is>
          <t>SC</t>
        </is>
      </c>
      <c r="D933" s="12" t="inlineStr">
        <is>
          <t>Security</t>
        </is>
      </c>
      <c r="E933" s="11">
        <f>IFERROR(TRACKER!G933,"Not Started")</f>
        <v/>
      </c>
      <c r="F933" s="51">
        <f>IFERROR('[Security.xlsx]SC-7-3'!B21,"")</f>
        <v/>
      </c>
      <c r="G933" s="51" t="inlineStr"/>
      <c r="H933" s="51" t="inlineStr"/>
      <c r="I933" s="11" t="inlineStr"/>
      <c r="J933" s="12" t="inlineStr"/>
      <c r="K933" s="17" t="inlineStr"/>
      <c r="L933" s="11" t="inlineStr">
        <is>
          <t>Not Started</t>
        </is>
      </c>
    </row>
    <row r="934" ht="42" customHeight="1">
      <c r="A934" s="18" t="n">
        <v>932</v>
      </c>
      <c r="B934" s="52" t="inlineStr">
        <is>
          <t>SC-7(4)</t>
        </is>
      </c>
      <c r="C934" s="18" t="inlineStr">
        <is>
          <t>SC</t>
        </is>
      </c>
      <c r="D934" s="19" t="inlineStr">
        <is>
          <t>Security</t>
        </is>
      </c>
      <c r="E934" s="18">
        <f>IFERROR(TRACKER!G934,"Not Started")</f>
        <v/>
      </c>
      <c r="F934" s="53">
        <f>IFERROR('[Security.xlsx]SC-7-4'!B21,"")</f>
        <v/>
      </c>
      <c r="G934" s="53" t="inlineStr"/>
      <c r="H934" s="53" t="inlineStr"/>
      <c r="I934" s="18" t="inlineStr"/>
      <c r="J934" s="19" t="inlineStr"/>
      <c r="K934" s="22" t="inlineStr"/>
      <c r="L934" s="18" t="inlineStr">
        <is>
          <t>Not Started</t>
        </is>
      </c>
    </row>
    <row r="935" ht="42" customHeight="1">
      <c r="A935" s="11" t="n">
        <v>933</v>
      </c>
      <c r="B935" s="50" t="inlineStr">
        <is>
          <t>SC-7(5)</t>
        </is>
      </c>
      <c r="C935" s="11" t="inlineStr">
        <is>
          <t>SC</t>
        </is>
      </c>
      <c r="D935" s="12" t="inlineStr">
        <is>
          <t>Security</t>
        </is>
      </c>
      <c r="E935" s="11">
        <f>IFERROR(TRACKER!G935,"Not Started")</f>
        <v/>
      </c>
      <c r="F935" s="51">
        <f>IFERROR('[Security.xlsx]SC-7-5'!B21,"")</f>
        <v/>
      </c>
      <c r="G935" s="51" t="inlineStr"/>
      <c r="H935" s="51" t="inlineStr"/>
      <c r="I935" s="11" t="inlineStr"/>
      <c r="J935" s="12" t="inlineStr"/>
      <c r="K935" s="17" t="inlineStr"/>
      <c r="L935" s="11" t="inlineStr">
        <is>
          <t>Not Started</t>
        </is>
      </c>
    </row>
    <row r="936" ht="42" customHeight="1">
      <c r="A936" s="18" t="n">
        <v>934</v>
      </c>
      <c r="B936" s="52" t="inlineStr">
        <is>
          <t>SC-7(8)</t>
        </is>
      </c>
      <c r="C936" s="18" t="inlineStr">
        <is>
          <t>SC</t>
        </is>
      </c>
      <c r="D936" s="19" t="inlineStr">
        <is>
          <t>Security</t>
        </is>
      </c>
      <c r="E936" s="18">
        <f>IFERROR(TRACKER!G936,"Not Started")</f>
        <v/>
      </c>
      <c r="F936" s="53">
        <f>IFERROR('[Security.xlsx]SC-7-8'!B21,"")</f>
        <v/>
      </c>
      <c r="G936" s="53" t="inlineStr"/>
      <c r="H936" s="53" t="inlineStr"/>
      <c r="I936" s="18" t="inlineStr"/>
      <c r="J936" s="19" t="inlineStr"/>
      <c r="K936" s="22" t="inlineStr"/>
      <c r="L936" s="18" t="inlineStr">
        <is>
          <t>Not Started</t>
        </is>
      </c>
    </row>
    <row r="937" ht="42" customHeight="1">
      <c r="A937" s="11" t="n">
        <v>935</v>
      </c>
      <c r="B937" s="50" t="inlineStr">
        <is>
          <t>SC-7(18)</t>
        </is>
      </c>
      <c r="C937" s="11" t="inlineStr">
        <is>
          <t>SC</t>
        </is>
      </c>
      <c r="D937" s="12" t="inlineStr">
        <is>
          <t>Security</t>
        </is>
      </c>
      <c r="E937" s="11">
        <f>IFERROR(TRACKER!G937,"Not Started")</f>
        <v/>
      </c>
      <c r="F937" s="51">
        <f>IFERROR('[Security.xlsx]SC-7-18'!B21,"")</f>
        <v/>
      </c>
      <c r="G937" s="51" t="inlineStr"/>
      <c r="H937" s="51" t="inlineStr"/>
      <c r="I937" s="11" t="inlineStr"/>
      <c r="J937" s="12" t="inlineStr"/>
      <c r="K937" s="17" t="inlineStr"/>
      <c r="L937" s="11" t="inlineStr">
        <is>
          <t>Not Started</t>
        </is>
      </c>
    </row>
    <row r="938" ht="42" customHeight="1">
      <c r="A938" s="18" t="n">
        <v>936</v>
      </c>
      <c r="B938" s="52" t="inlineStr">
        <is>
          <t>SC-8</t>
        </is>
      </c>
      <c r="C938" s="18" t="inlineStr">
        <is>
          <t>SC</t>
        </is>
      </c>
      <c r="D938" s="19" t="inlineStr">
        <is>
          <t>Security</t>
        </is>
      </c>
      <c r="E938" s="18">
        <f>IFERROR(TRACKER!G938,"Not Started")</f>
        <v/>
      </c>
      <c r="F938" s="53">
        <f>IFERROR('[Security.xlsx]SC-8'!B21,"")</f>
        <v/>
      </c>
      <c r="G938" s="53" t="inlineStr"/>
      <c r="H938" s="53" t="inlineStr"/>
      <c r="I938" s="18" t="inlineStr"/>
      <c r="J938" s="19" t="inlineStr"/>
      <c r="K938" s="22" t="inlineStr"/>
      <c r="L938" s="18" t="inlineStr">
        <is>
          <t>Not Started</t>
        </is>
      </c>
    </row>
    <row r="939" ht="42" customHeight="1">
      <c r="A939" s="11" t="n">
        <v>937</v>
      </c>
      <c r="B939" s="50" t="inlineStr">
        <is>
          <t>SC-8(1)</t>
        </is>
      </c>
      <c r="C939" s="11" t="inlineStr">
        <is>
          <t>SC</t>
        </is>
      </c>
      <c r="D939" s="12" t="inlineStr">
        <is>
          <t>Security</t>
        </is>
      </c>
      <c r="E939" s="11">
        <f>IFERROR(TRACKER!G939,"Not Started")</f>
        <v/>
      </c>
      <c r="F939" s="51">
        <f>IFERROR('[Security.xlsx]SC-8-1'!B21,"")</f>
        <v/>
      </c>
      <c r="G939" s="51" t="inlineStr"/>
      <c r="H939" s="51" t="inlineStr"/>
      <c r="I939" s="11" t="inlineStr"/>
      <c r="J939" s="12" t="inlineStr"/>
      <c r="K939" s="17" t="inlineStr"/>
      <c r="L939" s="11" t="inlineStr">
        <is>
          <t>Not Started</t>
        </is>
      </c>
    </row>
    <row r="940" ht="42" customHeight="1">
      <c r="A940" s="18" t="n">
        <v>938</v>
      </c>
      <c r="B940" s="52" t="inlineStr">
        <is>
          <t>SC-10</t>
        </is>
      </c>
      <c r="C940" s="18" t="inlineStr">
        <is>
          <t>SC</t>
        </is>
      </c>
      <c r="D940" s="19" t="inlineStr">
        <is>
          <t>Security</t>
        </is>
      </c>
      <c r="E940" s="18">
        <f>IFERROR(TRACKER!G940,"Not Started")</f>
        <v/>
      </c>
      <c r="F940" s="53">
        <f>IFERROR('[Security.xlsx]SC-10'!B21,"")</f>
        <v/>
      </c>
      <c r="G940" s="53" t="inlineStr"/>
      <c r="H940" s="53" t="inlineStr"/>
      <c r="I940" s="18" t="inlineStr"/>
      <c r="J940" s="19" t="inlineStr"/>
      <c r="K940" s="22" t="inlineStr"/>
      <c r="L940" s="18" t="inlineStr">
        <is>
          <t>Not Started</t>
        </is>
      </c>
    </row>
    <row r="941" ht="42" customHeight="1">
      <c r="A941" s="11" t="n">
        <v>939</v>
      </c>
      <c r="B941" s="50" t="inlineStr">
        <is>
          <t>SC-12</t>
        </is>
      </c>
      <c r="C941" s="11" t="inlineStr">
        <is>
          <t>SC</t>
        </is>
      </c>
      <c r="D941" s="12" t="inlineStr">
        <is>
          <t>Security</t>
        </is>
      </c>
      <c r="E941" s="11">
        <f>IFERROR(TRACKER!G941,"Not Started")</f>
        <v/>
      </c>
      <c r="F941" s="51">
        <f>IFERROR('[Security.xlsx]SC-12'!B21,"")</f>
        <v/>
      </c>
      <c r="G941" s="51" t="inlineStr"/>
      <c r="H941" s="51" t="inlineStr"/>
      <c r="I941" s="11" t="inlineStr"/>
      <c r="J941" s="12" t="inlineStr"/>
      <c r="K941" s="17" t="inlineStr"/>
      <c r="L941" s="11" t="inlineStr">
        <is>
          <t>Not Started</t>
        </is>
      </c>
    </row>
    <row r="942" ht="42" customHeight="1">
      <c r="A942" s="18" t="n">
        <v>940</v>
      </c>
      <c r="B942" s="52" t="inlineStr">
        <is>
          <t>SC-12(1)</t>
        </is>
      </c>
      <c r="C942" s="18" t="inlineStr">
        <is>
          <t>SC</t>
        </is>
      </c>
      <c r="D942" s="19" t="inlineStr">
        <is>
          <t>Security</t>
        </is>
      </c>
      <c r="E942" s="18">
        <f>IFERROR(TRACKER!G942,"Not Started")</f>
        <v/>
      </c>
      <c r="F942" s="53">
        <f>IFERROR('[Security.xlsx]SC-12-1'!B21,"")</f>
        <v/>
      </c>
      <c r="G942" s="53" t="inlineStr"/>
      <c r="H942" s="53" t="inlineStr"/>
      <c r="I942" s="18" t="inlineStr"/>
      <c r="J942" s="19" t="inlineStr"/>
      <c r="K942" s="22" t="inlineStr"/>
      <c r="L942" s="18" t="inlineStr">
        <is>
          <t>Not Started</t>
        </is>
      </c>
    </row>
    <row r="943" ht="42" customHeight="1">
      <c r="A943" s="11" t="n">
        <v>941</v>
      </c>
      <c r="B943" s="50" t="inlineStr">
        <is>
          <t>SC-12(2)</t>
        </is>
      </c>
      <c r="C943" s="11" t="inlineStr">
        <is>
          <t>SC</t>
        </is>
      </c>
      <c r="D943" s="12" t="inlineStr">
        <is>
          <t>Security</t>
        </is>
      </c>
      <c r="E943" s="11">
        <f>IFERROR(TRACKER!G943,"Not Started")</f>
        <v/>
      </c>
      <c r="F943" s="51">
        <f>IFERROR('[Security.xlsx]SC-12-2'!B21,"")</f>
        <v/>
      </c>
      <c r="G943" s="51" t="inlineStr"/>
      <c r="H943" s="51" t="inlineStr"/>
      <c r="I943" s="11" t="inlineStr"/>
      <c r="J943" s="12" t="inlineStr"/>
      <c r="K943" s="17" t="inlineStr"/>
      <c r="L943" s="11" t="inlineStr">
        <is>
          <t>Not Started</t>
        </is>
      </c>
    </row>
    <row r="944" ht="42" customHeight="1">
      <c r="A944" s="18" t="n">
        <v>942</v>
      </c>
      <c r="B944" s="52" t="inlineStr">
        <is>
          <t>SC-12(3)</t>
        </is>
      </c>
      <c r="C944" s="18" t="inlineStr">
        <is>
          <t>SC</t>
        </is>
      </c>
      <c r="D944" s="19" t="inlineStr">
        <is>
          <t>Security</t>
        </is>
      </c>
      <c r="E944" s="18">
        <f>IFERROR(TRACKER!G944,"Not Started")</f>
        <v/>
      </c>
      <c r="F944" s="53">
        <f>IFERROR('[Security.xlsx]SC-12-3'!B21,"")</f>
        <v/>
      </c>
      <c r="G944" s="53" t="inlineStr"/>
      <c r="H944" s="53" t="inlineStr"/>
      <c r="I944" s="18" t="inlineStr"/>
      <c r="J944" s="19" t="inlineStr"/>
      <c r="K944" s="22" t="inlineStr"/>
      <c r="L944" s="18" t="inlineStr">
        <is>
          <t>Not Started</t>
        </is>
      </c>
    </row>
    <row r="945" ht="42" customHeight="1">
      <c r="A945" s="11" t="n">
        <v>943</v>
      </c>
      <c r="B945" s="50" t="inlineStr">
        <is>
          <t>SC-13</t>
        </is>
      </c>
      <c r="C945" s="11" t="inlineStr">
        <is>
          <t>SC</t>
        </is>
      </c>
      <c r="D945" s="12" t="inlineStr">
        <is>
          <t>Security</t>
        </is>
      </c>
      <c r="E945" s="11">
        <f>IFERROR(TRACKER!G945,"Not Started")</f>
        <v/>
      </c>
      <c r="F945" s="51">
        <f>IFERROR('[Security.xlsx]SC-13'!B21,"")</f>
        <v/>
      </c>
      <c r="G945" s="51" t="inlineStr"/>
      <c r="H945" s="51" t="inlineStr"/>
      <c r="I945" s="11" t="inlineStr"/>
      <c r="J945" s="12" t="inlineStr"/>
      <c r="K945" s="17" t="inlineStr"/>
      <c r="L945" s="11" t="inlineStr">
        <is>
          <t>Not Started</t>
        </is>
      </c>
    </row>
    <row r="946" ht="42" customHeight="1">
      <c r="A946" s="18" t="n">
        <v>944</v>
      </c>
      <c r="B946" s="52" t="inlineStr">
        <is>
          <t>SC-17</t>
        </is>
      </c>
      <c r="C946" s="18" t="inlineStr">
        <is>
          <t>SC</t>
        </is>
      </c>
      <c r="D946" s="19" t="inlineStr">
        <is>
          <t>Security</t>
        </is>
      </c>
      <c r="E946" s="18">
        <f>IFERROR(TRACKER!G946,"Not Started")</f>
        <v/>
      </c>
      <c r="F946" s="53">
        <f>IFERROR('[Security.xlsx]SC-17'!B21,"")</f>
        <v/>
      </c>
      <c r="G946" s="53" t="inlineStr"/>
      <c r="H946" s="53" t="inlineStr"/>
      <c r="I946" s="18" t="inlineStr"/>
      <c r="J946" s="19" t="inlineStr"/>
      <c r="K946" s="22" t="inlineStr"/>
      <c r="L946" s="18" t="inlineStr">
        <is>
          <t>Not Started</t>
        </is>
      </c>
    </row>
    <row r="947" ht="42" customHeight="1">
      <c r="A947" s="11" t="n">
        <v>945</v>
      </c>
      <c r="B947" s="50" t="inlineStr">
        <is>
          <t>SC-18</t>
        </is>
      </c>
      <c r="C947" s="11" t="inlineStr">
        <is>
          <t>SC</t>
        </is>
      </c>
      <c r="D947" s="12" t="inlineStr">
        <is>
          <t>Security</t>
        </is>
      </c>
      <c r="E947" s="11">
        <f>IFERROR(TRACKER!G947,"Not Started")</f>
        <v/>
      </c>
      <c r="F947" s="51">
        <f>IFERROR('[Security.xlsx]SC-18'!B21,"")</f>
        <v/>
      </c>
      <c r="G947" s="51" t="inlineStr"/>
      <c r="H947" s="51" t="inlineStr"/>
      <c r="I947" s="11" t="inlineStr"/>
      <c r="J947" s="12" t="inlineStr"/>
      <c r="K947" s="17" t="inlineStr"/>
      <c r="L947" s="11" t="inlineStr">
        <is>
          <t>Not Started</t>
        </is>
      </c>
    </row>
    <row r="948" ht="42" customHeight="1">
      <c r="A948" s="18" t="n">
        <v>946</v>
      </c>
      <c r="B948" s="52" t="inlineStr">
        <is>
          <t>SC-23</t>
        </is>
      </c>
      <c r="C948" s="18" t="inlineStr">
        <is>
          <t>SC</t>
        </is>
      </c>
      <c r="D948" s="19" t="inlineStr">
        <is>
          <t>Security</t>
        </is>
      </c>
      <c r="E948" s="18">
        <f>IFERROR(TRACKER!G948,"Not Started")</f>
        <v/>
      </c>
      <c r="F948" s="53">
        <f>IFERROR('[Security.xlsx]SC-23'!B21,"")</f>
        <v/>
      </c>
      <c r="G948" s="53" t="inlineStr"/>
      <c r="H948" s="53" t="inlineStr"/>
      <c r="I948" s="18" t="inlineStr"/>
      <c r="J948" s="19" t="inlineStr"/>
      <c r="K948" s="22" t="inlineStr"/>
      <c r="L948" s="18" t="inlineStr">
        <is>
          <t>Not Started</t>
        </is>
      </c>
    </row>
    <row r="949" ht="42" customHeight="1">
      <c r="A949" s="11" t="n">
        <v>947</v>
      </c>
      <c r="B949" s="50" t="inlineStr">
        <is>
          <t>SC-23(1)</t>
        </is>
      </c>
      <c r="C949" s="11" t="inlineStr">
        <is>
          <t>SC</t>
        </is>
      </c>
      <c r="D949" s="12" t="inlineStr">
        <is>
          <t>Security</t>
        </is>
      </c>
      <c r="E949" s="11">
        <f>IFERROR(TRACKER!G949,"Not Started")</f>
        <v/>
      </c>
      <c r="F949" s="51">
        <f>IFERROR('[Security.xlsx]SC-23-1'!B21,"")</f>
        <v/>
      </c>
      <c r="G949" s="51" t="inlineStr"/>
      <c r="H949" s="51" t="inlineStr"/>
      <c r="I949" s="11" t="inlineStr"/>
      <c r="J949" s="12" t="inlineStr"/>
      <c r="K949" s="17" t="inlineStr"/>
      <c r="L949" s="11" t="inlineStr">
        <is>
          <t>Not Started</t>
        </is>
      </c>
    </row>
    <row r="950" ht="42" customHeight="1">
      <c r="A950" s="18" t="n">
        <v>948</v>
      </c>
      <c r="B950" s="52" t="inlineStr">
        <is>
          <t>SC-28</t>
        </is>
      </c>
      <c r="C950" s="18" t="inlineStr">
        <is>
          <t>SC</t>
        </is>
      </c>
      <c r="D950" s="19" t="inlineStr">
        <is>
          <t>Security</t>
        </is>
      </c>
      <c r="E950" s="18">
        <f>IFERROR(TRACKER!G950,"Not Started")</f>
        <v/>
      </c>
      <c r="F950" s="53">
        <f>IFERROR('[Security.xlsx]SC-28'!B21,"")</f>
        <v/>
      </c>
      <c r="G950" s="53" t="inlineStr"/>
      <c r="H950" s="53" t="inlineStr"/>
      <c r="I950" s="18" t="inlineStr"/>
      <c r="J950" s="19" t="inlineStr"/>
      <c r="K950" s="22" t="inlineStr"/>
      <c r="L950" s="18" t="inlineStr">
        <is>
          <t>Not Started</t>
        </is>
      </c>
    </row>
    <row r="951" ht="42" customHeight="1">
      <c r="A951" s="11" t="n">
        <v>949</v>
      </c>
      <c r="B951" s="50" t="inlineStr">
        <is>
          <t>SC-28(1)</t>
        </is>
      </c>
      <c r="C951" s="11" t="inlineStr">
        <is>
          <t>SC</t>
        </is>
      </c>
      <c r="D951" s="12" t="inlineStr">
        <is>
          <t>Security</t>
        </is>
      </c>
      <c r="E951" s="11">
        <f>IFERROR(TRACKER!G951,"Not Started")</f>
        <v/>
      </c>
      <c r="F951" s="51">
        <f>IFERROR('[Security.xlsx]SC-28-1'!B21,"")</f>
        <v/>
      </c>
      <c r="G951" s="51" t="inlineStr"/>
      <c r="H951" s="51" t="inlineStr"/>
      <c r="I951" s="11" t="inlineStr"/>
      <c r="J951" s="12" t="inlineStr"/>
      <c r="K951" s="17" t="inlineStr"/>
      <c r="L951" s="11" t="inlineStr">
        <is>
          <t>Not Started</t>
        </is>
      </c>
    </row>
    <row r="952" ht="42" customHeight="1">
      <c r="A952" s="18" t="n">
        <v>950</v>
      </c>
      <c r="B952" s="52" t="inlineStr">
        <is>
          <t>SI-2</t>
        </is>
      </c>
      <c r="C952" s="18" t="inlineStr">
        <is>
          <t>SI</t>
        </is>
      </c>
      <c r="D952" s="19" t="inlineStr">
        <is>
          <t>Security</t>
        </is>
      </c>
      <c r="E952" s="18">
        <f>IFERROR(TRACKER!G952,"Not Started")</f>
        <v/>
      </c>
      <c r="F952" s="53">
        <f>IFERROR('[Security.xlsx]SI-2'!B21,"")</f>
        <v/>
      </c>
      <c r="G952" s="53" t="inlineStr"/>
      <c r="H952" s="53" t="inlineStr"/>
      <c r="I952" s="18" t="inlineStr"/>
      <c r="J952" s="19" t="inlineStr"/>
      <c r="K952" s="22" t="inlineStr"/>
      <c r="L952" s="18" t="inlineStr">
        <is>
          <t>Not Started</t>
        </is>
      </c>
    </row>
    <row r="953" ht="42" customHeight="1">
      <c r="A953" s="11" t="n">
        <v>951</v>
      </c>
      <c r="B953" s="50" t="inlineStr">
        <is>
          <t>SI-2(2)</t>
        </is>
      </c>
      <c r="C953" s="11" t="inlineStr">
        <is>
          <t>SI</t>
        </is>
      </c>
      <c r="D953" s="12" t="inlineStr">
        <is>
          <t>Security</t>
        </is>
      </c>
      <c r="E953" s="11">
        <f>IFERROR(TRACKER!G953,"Not Started")</f>
        <v/>
      </c>
      <c r="F953" s="51">
        <f>IFERROR('[Security.xlsx]SI-2-2'!B21,"")</f>
        <v/>
      </c>
      <c r="G953" s="51" t="inlineStr"/>
      <c r="H953" s="51" t="inlineStr"/>
      <c r="I953" s="11" t="inlineStr"/>
      <c r="J953" s="12" t="inlineStr"/>
      <c r="K953" s="17" t="inlineStr"/>
      <c r="L953" s="11" t="inlineStr">
        <is>
          <t>Not Started</t>
        </is>
      </c>
    </row>
    <row r="954" ht="42" customHeight="1">
      <c r="A954" s="18" t="n">
        <v>952</v>
      </c>
      <c r="B954" s="52" t="inlineStr">
        <is>
          <t>SI-3</t>
        </is>
      </c>
      <c r="C954" s="18" t="inlineStr">
        <is>
          <t>SI</t>
        </is>
      </c>
      <c r="D954" s="19" t="inlineStr">
        <is>
          <t>Security</t>
        </is>
      </c>
      <c r="E954" s="18">
        <f>IFERROR(TRACKER!G954,"Not Started")</f>
        <v/>
      </c>
      <c r="F954" s="53">
        <f>IFERROR('[Security.xlsx]SI-3'!B21,"")</f>
        <v/>
      </c>
      <c r="G954" s="53" t="inlineStr"/>
      <c r="H954" s="53" t="inlineStr"/>
      <c r="I954" s="18" t="inlineStr"/>
      <c r="J954" s="19" t="inlineStr"/>
      <c r="K954" s="22" t="inlineStr"/>
      <c r="L954" s="18" t="inlineStr">
        <is>
          <t>Not Started</t>
        </is>
      </c>
    </row>
    <row r="955" ht="42" customHeight="1">
      <c r="A955" s="11" t="n">
        <v>953</v>
      </c>
      <c r="B955" s="50" t="inlineStr">
        <is>
          <t>SI-3(1)</t>
        </is>
      </c>
      <c r="C955" s="11" t="inlineStr">
        <is>
          <t>SI</t>
        </is>
      </c>
      <c r="D955" s="12" t="inlineStr">
        <is>
          <t>Security</t>
        </is>
      </c>
      <c r="E955" s="11">
        <f>IFERROR(TRACKER!G955,"Not Started")</f>
        <v/>
      </c>
      <c r="F955" s="51">
        <f>IFERROR('[Security.xlsx]SI-3-1'!B21,"")</f>
        <v/>
      </c>
      <c r="G955" s="51" t="inlineStr"/>
      <c r="H955" s="51" t="inlineStr"/>
      <c r="I955" s="11" t="inlineStr"/>
      <c r="J955" s="12" t="inlineStr"/>
      <c r="K955" s="17" t="inlineStr"/>
      <c r="L955" s="11" t="inlineStr">
        <is>
          <t>Not Started</t>
        </is>
      </c>
    </row>
    <row r="956" ht="42" customHeight="1">
      <c r="A956" s="18" t="n">
        <v>954</v>
      </c>
      <c r="B956" s="52" t="inlineStr">
        <is>
          <t>SI-3(2)</t>
        </is>
      </c>
      <c r="C956" s="18" t="inlineStr">
        <is>
          <t>SI</t>
        </is>
      </c>
      <c r="D956" s="19" t="inlineStr">
        <is>
          <t>Security</t>
        </is>
      </c>
      <c r="E956" s="18">
        <f>IFERROR(TRACKER!G956,"Not Started")</f>
        <v/>
      </c>
      <c r="F956" s="53">
        <f>IFERROR('[Security.xlsx]SI-3-2'!B21,"")</f>
        <v/>
      </c>
      <c r="G956" s="53" t="inlineStr"/>
      <c r="H956" s="53" t="inlineStr"/>
      <c r="I956" s="18" t="inlineStr"/>
      <c r="J956" s="19" t="inlineStr"/>
      <c r="K956" s="22" t="inlineStr"/>
      <c r="L956" s="18" t="inlineStr">
        <is>
          <t>Not Started</t>
        </is>
      </c>
    </row>
    <row r="957" ht="42" customHeight="1">
      <c r="A957" s="11" t="n">
        <v>955</v>
      </c>
      <c r="B957" s="50" t="inlineStr">
        <is>
          <t>SI-3(7)</t>
        </is>
      </c>
      <c r="C957" s="11" t="inlineStr">
        <is>
          <t>SI</t>
        </is>
      </c>
      <c r="D957" s="12" t="inlineStr">
        <is>
          <t>Security</t>
        </is>
      </c>
      <c r="E957" s="11">
        <f>IFERROR(TRACKER!G957,"Not Started")</f>
        <v/>
      </c>
      <c r="F957" s="51">
        <f>IFERROR('[Security.xlsx]SI-3-7'!B21,"")</f>
        <v/>
      </c>
      <c r="G957" s="51" t="inlineStr"/>
      <c r="H957" s="51" t="inlineStr"/>
      <c r="I957" s="11" t="inlineStr"/>
      <c r="J957" s="12" t="inlineStr"/>
      <c r="K957" s="17" t="inlineStr"/>
      <c r="L957" s="11" t="inlineStr">
        <is>
          <t>Not Started</t>
        </is>
      </c>
    </row>
    <row r="958" ht="42" customHeight="1">
      <c r="A958" s="18" t="n">
        <v>956</v>
      </c>
      <c r="B958" s="52" t="inlineStr">
        <is>
          <t>SI-4</t>
        </is>
      </c>
      <c r="C958" s="18" t="inlineStr">
        <is>
          <t>SI</t>
        </is>
      </c>
      <c r="D958" s="19" t="inlineStr">
        <is>
          <t>Security</t>
        </is>
      </c>
      <c r="E958" s="18">
        <f>IFERROR(TRACKER!G958,"Not Started")</f>
        <v/>
      </c>
      <c r="F958" s="53">
        <f>IFERROR('[Security.xlsx]SI-4'!B21,"")</f>
        <v/>
      </c>
      <c r="G958" s="53" t="inlineStr"/>
      <c r="H958" s="53" t="inlineStr"/>
      <c r="I958" s="18" t="inlineStr"/>
      <c r="J958" s="19" t="inlineStr"/>
      <c r="K958" s="22" t="inlineStr"/>
      <c r="L958" s="18" t="inlineStr">
        <is>
          <t>Not Started</t>
        </is>
      </c>
    </row>
    <row r="959" ht="42" customHeight="1">
      <c r="A959" s="11" t="n">
        <v>957</v>
      </c>
      <c r="B959" s="50" t="inlineStr">
        <is>
          <t>SI-4(1)</t>
        </is>
      </c>
      <c r="C959" s="11" t="inlineStr">
        <is>
          <t>SI</t>
        </is>
      </c>
      <c r="D959" s="12" t="inlineStr">
        <is>
          <t>Security</t>
        </is>
      </c>
      <c r="E959" s="11">
        <f>IFERROR(TRACKER!G959,"Not Started")</f>
        <v/>
      </c>
      <c r="F959" s="51">
        <f>IFERROR('[Security.xlsx]SI-4-1'!B21,"")</f>
        <v/>
      </c>
      <c r="G959" s="51" t="inlineStr"/>
      <c r="H959" s="51" t="inlineStr"/>
      <c r="I959" s="11" t="inlineStr"/>
      <c r="J959" s="12" t="inlineStr"/>
      <c r="K959" s="17" t="inlineStr"/>
      <c r="L959" s="11" t="inlineStr">
        <is>
          <t>Not Started</t>
        </is>
      </c>
    </row>
    <row r="960" ht="42" customHeight="1">
      <c r="A960" s="18" t="n">
        <v>958</v>
      </c>
      <c r="B960" s="52" t="inlineStr">
        <is>
          <t>SI-4(2)</t>
        </is>
      </c>
      <c r="C960" s="18" t="inlineStr">
        <is>
          <t>SI</t>
        </is>
      </c>
      <c r="D960" s="19" t="inlineStr">
        <is>
          <t>Security</t>
        </is>
      </c>
      <c r="E960" s="18">
        <f>IFERROR(TRACKER!G960,"Not Started")</f>
        <v/>
      </c>
      <c r="F960" s="53">
        <f>IFERROR('[Security.xlsx]SI-4-2'!B21,"")</f>
        <v/>
      </c>
      <c r="G960" s="53" t="inlineStr"/>
      <c r="H960" s="53" t="inlineStr"/>
      <c r="I960" s="18" t="inlineStr"/>
      <c r="J960" s="19" t="inlineStr"/>
      <c r="K960" s="22" t="inlineStr"/>
      <c r="L960" s="18" t="inlineStr">
        <is>
          <t>Not Started</t>
        </is>
      </c>
    </row>
    <row r="961" ht="42" customHeight="1">
      <c r="A961" s="11" t="n">
        <v>959</v>
      </c>
      <c r="B961" s="50" t="inlineStr">
        <is>
          <t>SI-4(4)</t>
        </is>
      </c>
      <c r="C961" s="11" t="inlineStr">
        <is>
          <t>SI</t>
        </is>
      </c>
      <c r="D961" s="12" t="inlineStr">
        <is>
          <t>Security</t>
        </is>
      </c>
      <c r="E961" s="11">
        <f>IFERROR(TRACKER!G961,"Not Started")</f>
        <v/>
      </c>
      <c r="F961" s="51">
        <f>IFERROR('[Security.xlsx]SI-4-4'!B21,"")</f>
        <v/>
      </c>
      <c r="G961" s="51" t="inlineStr"/>
      <c r="H961" s="51" t="inlineStr"/>
      <c r="I961" s="11" t="inlineStr"/>
      <c r="J961" s="12" t="inlineStr"/>
      <c r="K961" s="17" t="inlineStr"/>
      <c r="L961" s="11" t="inlineStr">
        <is>
          <t>Not Started</t>
        </is>
      </c>
    </row>
    <row r="962" ht="42" customHeight="1">
      <c r="A962" s="18" t="n">
        <v>960</v>
      </c>
      <c r="B962" s="52" t="inlineStr">
        <is>
          <t>SI-4(5)</t>
        </is>
      </c>
      <c r="C962" s="18" t="inlineStr">
        <is>
          <t>SI</t>
        </is>
      </c>
      <c r="D962" s="19" t="inlineStr">
        <is>
          <t>Security</t>
        </is>
      </c>
      <c r="E962" s="18">
        <f>IFERROR(TRACKER!G962,"Not Started")</f>
        <v/>
      </c>
      <c r="F962" s="53">
        <f>IFERROR('[Security.xlsx]SI-4-5'!B21,"")</f>
        <v/>
      </c>
      <c r="G962" s="53" t="inlineStr"/>
      <c r="H962" s="53" t="inlineStr"/>
      <c r="I962" s="18" t="inlineStr"/>
      <c r="J962" s="19" t="inlineStr"/>
      <c r="K962" s="22" t="inlineStr"/>
      <c r="L962" s="18" t="inlineStr">
        <is>
          <t>Not Started</t>
        </is>
      </c>
    </row>
    <row r="963" ht="42" customHeight="1">
      <c r="A963" s="11" t="n">
        <v>961</v>
      </c>
      <c r="B963" s="50" t="inlineStr">
        <is>
          <t>SI-4(11)</t>
        </is>
      </c>
      <c r="C963" s="11" t="inlineStr">
        <is>
          <t>SI</t>
        </is>
      </c>
      <c r="D963" s="12" t="inlineStr">
        <is>
          <t>Security</t>
        </is>
      </c>
      <c r="E963" s="11">
        <f>IFERROR(TRACKER!G963,"Not Started")</f>
        <v/>
      </c>
      <c r="F963" s="51">
        <f>IFERROR('[Security.xlsx]SI-4-11'!B21,"")</f>
        <v/>
      </c>
      <c r="G963" s="51" t="inlineStr"/>
      <c r="H963" s="51" t="inlineStr"/>
      <c r="I963" s="11" t="inlineStr"/>
      <c r="J963" s="12" t="inlineStr"/>
      <c r="K963" s="17" t="inlineStr"/>
      <c r="L963" s="11" t="inlineStr">
        <is>
          <t>Not Started</t>
        </is>
      </c>
    </row>
    <row r="964" ht="42" customHeight="1">
      <c r="A964" s="18" t="n">
        <v>962</v>
      </c>
      <c r="B964" s="52" t="inlineStr">
        <is>
          <t>SI-6</t>
        </is>
      </c>
      <c r="C964" s="18" t="inlineStr">
        <is>
          <t>SI</t>
        </is>
      </c>
      <c r="D964" s="19" t="inlineStr">
        <is>
          <t>Security</t>
        </is>
      </c>
      <c r="E964" s="18">
        <f>IFERROR(TRACKER!G964,"Not Started")</f>
        <v/>
      </c>
      <c r="F964" s="53">
        <f>IFERROR('[Security.xlsx]SI-6'!B21,"")</f>
        <v/>
      </c>
      <c r="G964" s="53" t="inlineStr"/>
      <c r="H964" s="53" t="inlineStr"/>
      <c r="I964" s="18" t="inlineStr"/>
      <c r="J964" s="19" t="inlineStr"/>
      <c r="K964" s="22" t="inlineStr"/>
      <c r="L964" s="18" t="inlineStr">
        <is>
          <t>Not Started</t>
        </is>
      </c>
    </row>
    <row r="965" ht="42" customHeight="1">
      <c r="A965" s="11" t="n">
        <v>963</v>
      </c>
      <c r="B965" s="50" t="inlineStr">
        <is>
          <t>SI-7(7)</t>
        </is>
      </c>
      <c r="C965" s="11" t="inlineStr">
        <is>
          <t>SI</t>
        </is>
      </c>
      <c r="D965" s="12" t="inlineStr">
        <is>
          <t>Security</t>
        </is>
      </c>
      <c r="E965" s="11">
        <f>IFERROR(TRACKER!G965,"Not Started")</f>
        <v/>
      </c>
      <c r="F965" s="51">
        <f>IFERROR('[Security.xlsx]SI-7-7'!B21,"")</f>
        <v/>
      </c>
      <c r="G965" s="51" t="inlineStr"/>
      <c r="H965" s="51" t="inlineStr"/>
      <c r="I965" s="11" t="inlineStr"/>
      <c r="J965" s="12" t="inlineStr"/>
      <c r="K965" s="17" t="inlineStr"/>
      <c r="L965" s="11" t="inlineStr">
        <is>
          <t>Not Started</t>
        </is>
      </c>
    </row>
    <row r="966" ht="42" customHeight="1">
      <c r="A966" s="18" t="n">
        <v>964</v>
      </c>
      <c r="B966" s="52" t="inlineStr">
        <is>
          <t>SI-8</t>
        </is>
      </c>
      <c r="C966" s="18" t="inlineStr">
        <is>
          <t>SI</t>
        </is>
      </c>
      <c r="D966" s="19" t="inlineStr">
        <is>
          <t>Security</t>
        </is>
      </c>
      <c r="E966" s="18">
        <f>IFERROR(TRACKER!G966,"Not Started")</f>
        <v/>
      </c>
      <c r="F966" s="53">
        <f>IFERROR('[Security.xlsx]SI-8'!B21,"")</f>
        <v/>
      </c>
      <c r="G966" s="53" t="inlineStr"/>
      <c r="H966" s="53" t="inlineStr"/>
      <c r="I966" s="18" t="inlineStr"/>
      <c r="J966" s="19" t="inlineStr"/>
      <c r="K966" s="22" t="inlineStr"/>
      <c r="L966" s="18" t="inlineStr">
        <is>
          <t>Not Started</t>
        </is>
      </c>
    </row>
    <row r="967" ht="42" customHeight="1">
      <c r="A967" s="11" t="n">
        <v>965</v>
      </c>
      <c r="B967" s="50" t="inlineStr">
        <is>
          <t>SI-8(1)</t>
        </is>
      </c>
      <c r="C967" s="11" t="inlineStr">
        <is>
          <t>SI</t>
        </is>
      </c>
      <c r="D967" s="12" t="inlineStr">
        <is>
          <t>Security</t>
        </is>
      </c>
      <c r="E967" s="11">
        <f>IFERROR(TRACKER!G967,"Not Started")</f>
        <v/>
      </c>
      <c r="F967" s="51">
        <f>IFERROR('[Security.xlsx]SI-8-1'!B21,"")</f>
        <v/>
      </c>
      <c r="G967" s="51" t="inlineStr"/>
      <c r="H967" s="51" t="inlineStr"/>
      <c r="I967" s="11" t="inlineStr"/>
      <c r="J967" s="12" t="inlineStr"/>
      <c r="K967" s="17" t="inlineStr"/>
      <c r="L967" s="11" t="inlineStr">
        <is>
          <t>Not Started</t>
        </is>
      </c>
    </row>
    <row r="968" ht="42" customHeight="1">
      <c r="A968" s="18" t="n">
        <v>966</v>
      </c>
      <c r="B968" s="52" t="inlineStr">
        <is>
          <t>SI-8(2)</t>
        </is>
      </c>
      <c r="C968" s="18" t="inlineStr">
        <is>
          <t>SI</t>
        </is>
      </c>
      <c r="D968" s="19" t="inlineStr">
        <is>
          <t>Security</t>
        </is>
      </c>
      <c r="E968" s="18">
        <f>IFERROR(TRACKER!G968,"Not Started")</f>
        <v/>
      </c>
      <c r="F968" s="53">
        <f>IFERROR('[Security.xlsx]SI-8-2'!B21,"")</f>
        <v/>
      </c>
      <c r="G968" s="53" t="inlineStr"/>
      <c r="H968" s="53" t="inlineStr"/>
      <c r="I968" s="18" t="inlineStr"/>
      <c r="J968" s="19" t="inlineStr"/>
      <c r="K968" s="22" t="inlineStr"/>
      <c r="L968" s="18" t="inlineStr">
        <is>
          <t>Not Started</t>
        </is>
      </c>
    </row>
    <row r="969" ht="42" customHeight="1">
      <c r="A969" s="11" t="n">
        <v>967</v>
      </c>
      <c r="B969" s="50" t="inlineStr">
        <is>
          <t>SI-11</t>
        </is>
      </c>
      <c r="C969" s="11" t="inlineStr">
        <is>
          <t>SI</t>
        </is>
      </c>
      <c r="D969" s="12" t="inlineStr">
        <is>
          <t>Security</t>
        </is>
      </c>
      <c r="E969" s="11">
        <f>IFERROR(TRACKER!G969,"Not Started")</f>
        <v/>
      </c>
      <c r="F969" s="51">
        <f>IFERROR('[Security.xlsx]SI-11'!B21,"")</f>
        <v/>
      </c>
      <c r="G969" s="51" t="inlineStr"/>
      <c r="H969" s="51" t="inlineStr"/>
      <c r="I969" s="11" t="inlineStr"/>
      <c r="J969" s="12" t="inlineStr"/>
      <c r="K969" s="17" t="inlineStr"/>
      <c r="L969" s="11" t="inlineStr">
        <is>
          <t>Not Started</t>
        </is>
      </c>
    </row>
    <row r="970" ht="42" customHeight="1">
      <c r="A970" s="18" t="n">
        <v>968</v>
      </c>
      <c r="B970" s="52" t="inlineStr">
        <is>
          <t>AC-2(2)</t>
        </is>
      </c>
      <c r="C970" s="18" t="inlineStr">
        <is>
          <t>AC</t>
        </is>
      </c>
      <c r="D970" s="19" t="inlineStr">
        <is>
          <t>ServiceNow</t>
        </is>
      </c>
      <c r="E970" s="18">
        <f>IFERROR(TRACKER!G970,"Not Started")</f>
        <v/>
      </c>
      <c r="F970" s="53">
        <f>IFERROR('[ServiceNow.xlsx]AC-2-2'!B21,"")</f>
        <v/>
      </c>
      <c r="G970" s="53" t="inlineStr"/>
      <c r="H970" s="53" t="inlineStr"/>
      <c r="I970" s="18" t="inlineStr"/>
      <c r="J970" s="19" t="inlineStr"/>
      <c r="K970" s="22" t="inlineStr"/>
      <c r="L970" s="18" t="inlineStr">
        <is>
          <t>Not Started</t>
        </is>
      </c>
    </row>
    <row r="971" ht="42" customHeight="1">
      <c r="A971" s="11" t="n">
        <v>969</v>
      </c>
      <c r="B971" s="50" t="inlineStr">
        <is>
          <t>AC-2(3)</t>
        </is>
      </c>
      <c r="C971" s="11" t="inlineStr">
        <is>
          <t>AC</t>
        </is>
      </c>
      <c r="D971" s="12" t="inlineStr">
        <is>
          <t>ServiceNow</t>
        </is>
      </c>
      <c r="E971" s="11">
        <f>IFERROR(TRACKER!G971,"Not Started")</f>
        <v/>
      </c>
      <c r="F971" s="51">
        <f>IFERROR('[ServiceNow.xlsx]AC-2-3'!B21,"")</f>
        <v/>
      </c>
      <c r="G971" s="51" t="inlineStr"/>
      <c r="H971" s="51" t="inlineStr"/>
      <c r="I971" s="11" t="inlineStr"/>
      <c r="J971" s="12" t="inlineStr"/>
      <c r="K971" s="17" t="inlineStr"/>
      <c r="L971" s="11" t="inlineStr">
        <is>
          <t>Not Started</t>
        </is>
      </c>
    </row>
    <row r="972" ht="42" customHeight="1">
      <c r="A972" s="18" t="n">
        <v>970</v>
      </c>
      <c r="B972" s="52" t="inlineStr">
        <is>
          <t>AC-2(4)</t>
        </is>
      </c>
      <c r="C972" s="18" t="inlineStr">
        <is>
          <t>AC</t>
        </is>
      </c>
      <c r="D972" s="19" t="inlineStr">
        <is>
          <t>ServiceNow</t>
        </is>
      </c>
      <c r="E972" s="18">
        <f>IFERROR(TRACKER!G972,"Not Started")</f>
        <v/>
      </c>
      <c r="F972" s="53">
        <f>IFERROR('[ServiceNow.xlsx]AC-2-4'!B21,"")</f>
        <v/>
      </c>
      <c r="G972" s="53" t="inlineStr"/>
      <c r="H972" s="53" t="inlineStr"/>
      <c r="I972" s="18" t="inlineStr"/>
      <c r="J972" s="19" t="inlineStr"/>
      <c r="K972" s="22" t="inlineStr"/>
      <c r="L972" s="18" t="inlineStr">
        <is>
          <t>Not Started</t>
        </is>
      </c>
    </row>
    <row r="973" ht="42" customHeight="1">
      <c r="A973" s="11" t="n">
        <v>971</v>
      </c>
      <c r="B973" s="50" t="inlineStr">
        <is>
          <t>AC-2(7)</t>
        </is>
      </c>
      <c r="C973" s="11" t="inlineStr">
        <is>
          <t>AC</t>
        </is>
      </c>
      <c r="D973" s="12" t="inlineStr">
        <is>
          <t>ServiceNow</t>
        </is>
      </c>
      <c r="E973" s="11">
        <f>IFERROR(TRACKER!G973,"Not Started")</f>
        <v/>
      </c>
      <c r="F973" s="51">
        <f>IFERROR('[ServiceNow.xlsx]AC-2-7'!B21,"")</f>
        <v/>
      </c>
      <c r="G973" s="51" t="inlineStr"/>
      <c r="H973" s="51" t="inlineStr"/>
      <c r="I973" s="11" t="inlineStr"/>
      <c r="J973" s="12" t="inlineStr"/>
      <c r="K973" s="17" t="inlineStr"/>
      <c r="L973" s="11" t="inlineStr">
        <is>
          <t>Not Started</t>
        </is>
      </c>
    </row>
    <row r="974" ht="42" customHeight="1">
      <c r="A974" s="18" t="n">
        <v>972</v>
      </c>
      <c r="B974" s="52" t="inlineStr">
        <is>
          <t>AC-3</t>
        </is>
      </c>
      <c r="C974" s="18" t="inlineStr">
        <is>
          <t>AC</t>
        </is>
      </c>
      <c r="D974" s="19" t="inlineStr">
        <is>
          <t>ServiceNow</t>
        </is>
      </c>
      <c r="E974" s="18">
        <f>IFERROR(TRACKER!G974,"Not Started")</f>
        <v/>
      </c>
      <c r="F974" s="53">
        <f>IFERROR('[ServiceNow.xlsx]AC-3'!B21,"")</f>
        <v/>
      </c>
      <c r="G974" s="53" t="inlineStr"/>
      <c r="H974" s="53" t="inlineStr"/>
      <c r="I974" s="18" t="inlineStr"/>
      <c r="J974" s="19" t="inlineStr"/>
      <c r="K974" s="22" t="inlineStr"/>
      <c r="L974" s="18" t="inlineStr">
        <is>
          <t>Not Started</t>
        </is>
      </c>
    </row>
    <row r="975" ht="42" customHeight="1">
      <c r="A975" s="11" t="n">
        <v>973</v>
      </c>
      <c r="B975" s="50" t="inlineStr">
        <is>
          <t>AC-6</t>
        </is>
      </c>
      <c r="C975" s="11" t="inlineStr">
        <is>
          <t>AC</t>
        </is>
      </c>
      <c r="D975" s="12" t="inlineStr">
        <is>
          <t>ServiceNow</t>
        </is>
      </c>
      <c r="E975" s="11">
        <f>IFERROR(TRACKER!G975,"Not Started")</f>
        <v/>
      </c>
      <c r="F975" s="51">
        <f>IFERROR('[ServiceNow.xlsx]AC-6'!B21,"")</f>
        <v/>
      </c>
      <c r="G975" s="51" t="inlineStr"/>
      <c r="H975" s="51" t="inlineStr"/>
      <c r="I975" s="11" t="inlineStr"/>
      <c r="J975" s="12" t="inlineStr"/>
      <c r="K975" s="17" t="inlineStr"/>
      <c r="L975" s="11" t="inlineStr">
        <is>
          <t>Not Started</t>
        </is>
      </c>
    </row>
    <row r="976" ht="42" customHeight="1">
      <c r="A976" s="18" t="n">
        <v>974</v>
      </c>
      <c r="B976" s="52" t="inlineStr">
        <is>
          <t>AC-6(1)</t>
        </is>
      </c>
      <c r="C976" s="18" t="inlineStr">
        <is>
          <t>AC</t>
        </is>
      </c>
      <c r="D976" s="19" t="inlineStr">
        <is>
          <t>ServiceNow</t>
        </is>
      </c>
      <c r="E976" s="18">
        <f>IFERROR(TRACKER!G976,"Not Started")</f>
        <v/>
      </c>
      <c r="F976" s="53">
        <f>IFERROR('[ServiceNow.xlsx]AC-6-1'!B21,"")</f>
        <v/>
      </c>
      <c r="G976" s="53" t="inlineStr"/>
      <c r="H976" s="53" t="inlineStr"/>
      <c r="I976" s="18" t="inlineStr"/>
      <c r="J976" s="19" t="inlineStr"/>
      <c r="K976" s="22" t="inlineStr"/>
      <c r="L976" s="18" t="inlineStr">
        <is>
          <t>Not Started</t>
        </is>
      </c>
    </row>
    <row r="977" ht="42" customHeight="1">
      <c r="A977" s="11" t="n">
        <v>975</v>
      </c>
      <c r="B977" s="50" t="inlineStr">
        <is>
          <t>AC-6(9)</t>
        </is>
      </c>
      <c r="C977" s="11" t="inlineStr">
        <is>
          <t>AC</t>
        </is>
      </c>
      <c r="D977" s="12" t="inlineStr">
        <is>
          <t>ServiceNow</t>
        </is>
      </c>
      <c r="E977" s="11">
        <f>IFERROR(TRACKER!G977,"Not Started")</f>
        <v/>
      </c>
      <c r="F977" s="51">
        <f>IFERROR('[ServiceNow.xlsx]AC-6-9'!B21,"")</f>
        <v/>
      </c>
      <c r="G977" s="51" t="inlineStr"/>
      <c r="H977" s="51" t="inlineStr"/>
      <c r="I977" s="11" t="inlineStr"/>
      <c r="J977" s="12" t="inlineStr"/>
      <c r="K977" s="17" t="inlineStr"/>
      <c r="L977" s="11" t="inlineStr">
        <is>
          <t>Not Started</t>
        </is>
      </c>
    </row>
    <row r="978" ht="42" customHeight="1">
      <c r="A978" s="18" t="n">
        <v>976</v>
      </c>
      <c r="B978" s="52" t="inlineStr">
        <is>
          <t>AC-6(10)</t>
        </is>
      </c>
      <c r="C978" s="18" t="inlineStr">
        <is>
          <t>AC</t>
        </is>
      </c>
      <c r="D978" s="19" t="inlineStr">
        <is>
          <t>ServiceNow</t>
        </is>
      </c>
      <c r="E978" s="18">
        <f>IFERROR(TRACKER!G978,"Not Started")</f>
        <v/>
      </c>
      <c r="F978" s="53">
        <f>IFERROR('[ServiceNow.xlsx]AC-6-10'!B21,"")</f>
        <v/>
      </c>
      <c r="G978" s="53" t="inlineStr"/>
      <c r="H978" s="53" t="inlineStr"/>
      <c r="I978" s="18" t="inlineStr"/>
      <c r="J978" s="19" t="inlineStr"/>
      <c r="K978" s="22" t="inlineStr"/>
      <c r="L978" s="18" t="inlineStr">
        <is>
          <t>Not Started</t>
        </is>
      </c>
    </row>
    <row r="979" ht="42" customHeight="1">
      <c r="A979" s="11" t="n">
        <v>977</v>
      </c>
      <c r="B979" s="50" t="inlineStr">
        <is>
          <t>AC-7</t>
        </is>
      </c>
      <c r="C979" s="11" t="inlineStr">
        <is>
          <t>AC</t>
        </is>
      </c>
      <c r="D979" s="12" t="inlineStr">
        <is>
          <t>ServiceNow</t>
        </is>
      </c>
      <c r="E979" s="11">
        <f>IFERROR(TRACKER!G979,"Not Started")</f>
        <v/>
      </c>
      <c r="F979" s="51">
        <f>IFERROR('[ServiceNow.xlsx]AC-7'!B21,"")</f>
        <v/>
      </c>
      <c r="G979" s="51" t="inlineStr"/>
      <c r="H979" s="51" t="inlineStr"/>
      <c r="I979" s="11" t="inlineStr"/>
      <c r="J979" s="12" t="inlineStr"/>
      <c r="K979" s="17" t="inlineStr"/>
      <c r="L979" s="11" t="inlineStr">
        <is>
          <t>Not Started</t>
        </is>
      </c>
    </row>
    <row r="980" ht="42" customHeight="1">
      <c r="A980" s="18" t="n">
        <v>978</v>
      </c>
      <c r="B980" s="52" t="inlineStr">
        <is>
          <t>AC-10</t>
        </is>
      </c>
      <c r="C980" s="18" t="inlineStr">
        <is>
          <t>AC</t>
        </is>
      </c>
      <c r="D980" s="19" t="inlineStr">
        <is>
          <t>ServiceNow</t>
        </is>
      </c>
      <c r="E980" s="18">
        <f>IFERROR(TRACKER!G980,"Not Started")</f>
        <v/>
      </c>
      <c r="F980" s="53">
        <f>IFERROR('[ServiceNow.xlsx]AC-10'!B21,"")</f>
        <v/>
      </c>
      <c r="G980" s="53" t="inlineStr"/>
      <c r="H980" s="53" t="inlineStr"/>
      <c r="I980" s="18" t="inlineStr"/>
      <c r="J980" s="19" t="inlineStr"/>
      <c r="K980" s="22" t="inlineStr"/>
      <c r="L980" s="18" t="inlineStr">
        <is>
          <t>Not Started</t>
        </is>
      </c>
    </row>
    <row r="981" ht="42" customHeight="1">
      <c r="A981" s="11" t="n">
        <v>979</v>
      </c>
      <c r="B981" s="50" t="inlineStr">
        <is>
          <t>AC-11</t>
        </is>
      </c>
      <c r="C981" s="11" t="inlineStr">
        <is>
          <t>AC</t>
        </is>
      </c>
      <c r="D981" s="12" t="inlineStr">
        <is>
          <t>ServiceNow</t>
        </is>
      </c>
      <c r="E981" s="11">
        <f>IFERROR(TRACKER!G981,"Not Started")</f>
        <v/>
      </c>
      <c r="F981" s="51">
        <f>IFERROR('[ServiceNow.xlsx]AC-11'!B21,"")</f>
        <v/>
      </c>
      <c r="G981" s="51" t="inlineStr"/>
      <c r="H981" s="51" t="inlineStr"/>
      <c r="I981" s="11" t="inlineStr"/>
      <c r="J981" s="12" t="inlineStr"/>
      <c r="K981" s="17" t="inlineStr"/>
      <c r="L981" s="11" t="inlineStr">
        <is>
          <t>Not Started</t>
        </is>
      </c>
    </row>
    <row r="982" ht="42" customHeight="1">
      <c r="A982" s="18" t="n">
        <v>980</v>
      </c>
      <c r="B982" s="52" t="inlineStr">
        <is>
          <t>AC-11(1)</t>
        </is>
      </c>
      <c r="C982" s="18" t="inlineStr">
        <is>
          <t>AC</t>
        </is>
      </c>
      <c r="D982" s="19" t="inlineStr">
        <is>
          <t>ServiceNow</t>
        </is>
      </c>
      <c r="E982" s="18">
        <f>IFERROR(TRACKER!G982,"Not Started")</f>
        <v/>
      </c>
      <c r="F982" s="53">
        <f>IFERROR('[ServiceNow.xlsx]AC-11-1'!B21,"")</f>
        <v/>
      </c>
      <c r="G982" s="53" t="inlineStr"/>
      <c r="H982" s="53" t="inlineStr"/>
      <c r="I982" s="18" t="inlineStr"/>
      <c r="J982" s="19" t="inlineStr"/>
      <c r="K982" s="22" t="inlineStr"/>
      <c r="L982" s="18" t="inlineStr">
        <is>
          <t>Not Started</t>
        </is>
      </c>
    </row>
    <row r="983" ht="42" customHeight="1">
      <c r="A983" s="11" t="n">
        <v>981</v>
      </c>
      <c r="B983" s="50" t="inlineStr">
        <is>
          <t>AC-12</t>
        </is>
      </c>
      <c r="C983" s="11" t="inlineStr">
        <is>
          <t>AC</t>
        </is>
      </c>
      <c r="D983" s="12" t="inlineStr">
        <is>
          <t>ServiceNow</t>
        </is>
      </c>
      <c r="E983" s="11">
        <f>IFERROR(TRACKER!G983,"Not Started")</f>
        <v/>
      </c>
      <c r="F983" s="51">
        <f>IFERROR('[ServiceNow.xlsx]AC-12'!B21,"")</f>
        <v/>
      </c>
      <c r="G983" s="51" t="inlineStr"/>
      <c r="H983" s="51" t="inlineStr"/>
      <c r="I983" s="11" t="inlineStr"/>
      <c r="J983" s="12" t="inlineStr"/>
      <c r="K983" s="17" t="inlineStr"/>
      <c r="L983" s="11" t="inlineStr">
        <is>
          <t>Not Started</t>
        </is>
      </c>
    </row>
    <row r="984" ht="42" customHeight="1">
      <c r="A984" s="18" t="n">
        <v>982</v>
      </c>
      <c r="B984" s="52" t="inlineStr">
        <is>
          <t>AC-21</t>
        </is>
      </c>
      <c r="C984" s="18" t="inlineStr">
        <is>
          <t>AC</t>
        </is>
      </c>
      <c r="D984" s="19" t="inlineStr">
        <is>
          <t>ServiceNow</t>
        </is>
      </c>
      <c r="E984" s="18">
        <f>IFERROR(TRACKER!G984,"Not Started")</f>
        <v/>
      </c>
      <c r="F984" s="53">
        <f>IFERROR('[ServiceNow.xlsx]AC-21'!B21,"")</f>
        <v/>
      </c>
      <c r="G984" s="53" t="inlineStr"/>
      <c r="H984" s="53" t="inlineStr"/>
      <c r="I984" s="18" t="inlineStr"/>
      <c r="J984" s="19" t="inlineStr"/>
      <c r="K984" s="22" t="inlineStr"/>
      <c r="L984" s="18" t="inlineStr">
        <is>
          <t>Not Started</t>
        </is>
      </c>
    </row>
    <row r="985" ht="42" customHeight="1">
      <c r="A985" s="11" t="n">
        <v>983</v>
      </c>
      <c r="B985" s="50" t="inlineStr">
        <is>
          <t>AU-2</t>
        </is>
      </c>
      <c r="C985" s="11" t="inlineStr">
        <is>
          <t>AU</t>
        </is>
      </c>
      <c r="D985" s="12" t="inlineStr">
        <is>
          <t>ServiceNow</t>
        </is>
      </c>
      <c r="E985" s="11">
        <f>IFERROR(TRACKER!G985,"Not Started")</f>
        <v/>
      </c>
      <c r="F985" s="51">
        <f>IFERROR('[ServiceNow.xlsx]AU-2'!B21,"")</f>
        <v/>
      </c>
      <c r="G985" s="51" t="inlineStr"/>
      <c r="H985" s="51" t="inlineStr"/>
      <c r="I985" s="11" t="inlineStr"/>
      <c r="J985" s="12" t="inlineStr"/>
      <c r="K985" s="17" t="inlineStr"/>
      <c r="L985" s="11" t="inlineStr">
        <is>
          <t>Not Started</t>
        </is>
      </c>
    </row>
    <row r="986" ht="42" customHeight="1">
      <c r="A986" s="18" t="n">
        <v>984</v>
      </c>
      <c r="B986" s="52" t="inlineStr">
        <is>
          <t>AU-3</t>
        </is>
      </c>
      <c r="C986" s="18" t="inlineStr">
        <is>
          <t>AU</t>
        </is>
      </c>
      <c r="D986" s="19" t="inlineStr">
        <is>
          <t>ServiceNow</t>
        </is>
      </c>
      <c r="E986" s="18">
        <f>IFERROR(TRACKER!G986,"Not Started")</f>
        <v/>
      </c>
      <c r="F986" s="53">
        <f>IFERROR('[ServiceNow.xlsx]AU-3'!B21,"")</f>
        <v/>
      </c>
      <c r="G986" s="53" t="inlineStr"/>
      <c r="H986" s="53" t="inlineStr"/>
      <c r="I986" s="18" t="inlineStr"/>
      <c r="J986" s="19" t="inlineStr"/>
      <c r="K986" s="22" t="inlineStr"/>
      <c r="L986" s="18" t="inlineStr">
        <is>
          <t>Not Started</t>
        </is>
      </c>
    </row>
    <row r="987" ht="42" customHeight="1">
      <c r="A987" s="11" t="n">
        <v>985</v>
      </c>
      <c r="B987" s="50" t="inlineStr">
        <is>
          <t>AU-8</t>
        </is>
      </c>
      <c r="C987" s="11" t="inlineStr">
        <is>
          <t>AU</t>
        </is>
      </c>
      <c r="D987" s="12" t="inlineStr">
        <is>
          <t>ServiceNow</t>
        </is>
      </c>
      <c r="E987" s="11">
        <f>IFERROR(TRACKER!G987,"Not Started")</f>
        <v/>
      </c>
      <c r="F987" s="51">
        <f>IFERROR('[ServiceNow.xlsx]AU-8'!B21,"")</f>
        <v/>
      </c>
      <c r="G987" s="51" t="inlineStr"/>
      <c r="H987" s="51" t="inlineStr"/>
      <c r="I987" s="11" t="inlineStr"/>
      <c r="J987" s="12" t="inlineStr"/>
      <c r="K987" s="17" t="inlineStr"/>
      <c r="L987" s="11" t="inlineStr">
        <is>
          <t>Not Started</t>
        </is>
      </c>
    </row>
    <row r="988" ht="42" customHeight="1">
      <c r="A988" s="18" t="n">
        <v>986</v>
      </c>
      <c r="B988" s="52" t="inlineStr">
        <is>
          <t>AU-8(1)</t>
        </is>
      </c>
      <c r="C988" s="18" t="inlineStr">
        <is>
          <t>AU</t>
        </is>
      </c>
      <c r="D988" s="19" t="inlineStr">
        <is>
          <t>ServiceNow</t>
        </is>
      </c>
      <c r="E988" s="18">
        <f>IFERROR(TRACKER!G988,"Not Started")</f>
        <v/>
      </c>
      <c r="F988" s="53">
        <f>IFERROR('[ServiceNow.xlsx]AU-8-1'!B21,"")</f>
        <v/>
      </c>
      <c r="G988" s="53" t="inlineStr"/>
      <c r="H988" s="53" t="inlineStr"/>
      <c r="I988" s="18" t="inlineStr"/>
      <c r="J988" s="19" t="inlineStr"/>
      <c r="K988" s="22" t="inlineStr"/>
      <c r="L988" s="18" t="inlineStr">
        <is>
          <t>Not Started</t>
        </is>
      </c>
    </row>
    <row r="989" ht="42" customHeight="1">
      <c r="A989" s="11" t="n">
        <v>987</v>
      </c>
      <c r="B989" s="50" t="inlineStr">
        <is>
          <t>AU-9(2)</t>
        </is>
      </c>
      <c r="C989" s="11" t="inlineStr">
        <is>
          <t>AU</t>
        </is>
      </c>
      <c r="D989" s="12" t="inlineStr">
        <is>
          <t>ServiceNow</t>
        </is>
      </c>
      <c r="E989" s="11">
        <f>IFERROR(TRACKER!G989,"Not Started")</f>
        <v/>
      </c>
      <c r="F989" s="51">
        <f>IFERROR('[ServiceNow.xlsx]AU-9-2'!B21,"")</f>
        <v/>
      </c>
      <c r="G989" s="51" t="inlineStr"/>
      <c r="H989" s="51" t="inlineStr"/>
      <c r="I989" s="11" t="inlineStr"/>
      <c r="J989" s="12" t="inlineStr"/>
      <c r="K989" s="17" t="inlineStr"/>
      <c r="L989" s="11" t="inlineStr">
        <is>
          <t>Not Started</t>
        </is>
      </c>
    </row>
    <row r="990" ht="42" customHeight="1">
      <c r="A990" s="18" t="n">
        <v>988</v>
      </c>
      <c r="B990" s="52" t="inlineStr">
        <is>
          <t>AU-9(4)</t>
        </is>
      </c>
      <c r="C990" s="18" t="inlineStr">
        <is>
          <t>AU</t>
        </is>
      </c>
      <c r="D990" s="19" t="inlineStr">
        <is>
          <t>ServiceNow</t>
        </is>
      </c>
      <c r="E990" s="18">
        <f>IFERROR(TRACKER!G990,"Not Started")</f>
        <v/>
      </c>
      <c r="F990" s="53">
        <f>IFERROR('[ServiceNow.xlsx]AU-9-4'!B21,"")</f>
        <v/>
      </c>
      <c r="G990" s="53" t="inlineStr"/>
      <c r="H990" s="53" t="inlineStr"/>
      <c r="I990" s="18" t="inlineStr"/>
      <c r="J990" s="19" t="inlineStr"/>
      <c r="K990" s="22" t="inlineStr"/>
      <c r="L990" s="18" t="inlineStr">
        <is>
          <t>Not Started</t>
        </is>
      </c>
    </row>
    <row r="991" ht="42" customHeight="1">
      <c r="A991" s="11" t="n">
        <v>989</v>
      </c>
      <c r="B991" s="50" t="inlineStr">
        <is>
          <t>AU-11</t>
        </is>
      </c>
      <c r="C991" s="11" t="inlineStr">
        <is>
          <t>AU</t>
        </is>
      </c>
      <c r="D991" s="12" t="inlineStr">
        <is>
          <t>ServiceNow</t>
        </is>
      </c>
      <c r="E991" s="11">
        <f>IFERROR(TRACKER!G991,"Not Started")</f>
        <v/>
      </c>
      <c r="F991" s="51">
        <f>IFERROR('[ServiceNow.xlsx]AU-11'!B21,"")</f>
        <v/>
      </c>
      <c r="G991" s="51" t="inlineStr"/>
      <c r="H991" s="51" t="inlineStr"/>
      <c r="I991" s="11" t="inlineStr"/>
      <c r="J991" s="12" t="inlineStr"/>
      <c r="K991" s="17" t="inlineStr"/>
      <c r="L991" s="11" t="inlineStr">
        <is>
          <t>Not Started</t>
        </is>
      </c>
    </row>
    <row r="992" ht="42" customHeight="1">
      <c r="A992" s="18" t="n">
        <v>990</v>
      </c>
      <c r="B992" s="52" t="inlineStr">
        <is>
          <t>AU-12</t>
        </is>
      </c>
      <c r="C992" s="18" t="inlineStr">
        <is>
          <t>AU</t>
        </is>
      </c>
      <c r="D992" s="19" t="inlineStr">
        <is>
          <t>ServiceNow</t>
        </is>
      </c>
      <c r="E992" s="18">
        <f>IFERROR(TRACKER!G992,"Not Started")</f>
        <v/>
      </c>
      <c r="F992" s="53">
        <f>IFERROR('[ServiceNow.xlsx]AU-12'!B21,"")</f>
        <v/>
      </c>
      <c r="G992" s="53" t="inlineStr"/>
      <c r="H992" s="53" t="inlineStr"/>
      <c r="I992" s="18" t="inlineStr"/>
      <c r="J992" s="19" t="inlineStr"/>
      <c r="K992" s="22" t="inlineStr"/>
      <c r="L992" s="18" t="inlineStr">
        <is>
          <t>Not Started</t>
        </is>
      </c>
    </row>
    <row r="993" ht="42" customHeight="1">
      <c r="A993" s="11" t="n">
        <v>991</v>
      </c>
      <c r="B993" s="50" t="inlineStr">
        <is>
          <t>CA-9</t>
        </is>
      </c>
      <c r="C993" s="11" t="inlineStr">
        <is>
          <t>CA</t>
        </is>
      </c>
      <c r="D993" s="12" t="inlineStr">
        <is>
          <t>ServiceNow</t>
        </is>
      </c>
      <c r="E993" s="11">
        <f>IFERROR(TRACKER!G993,"Not Started")</f>
        <v/>
      </c>
      <c r="F993" s="51">
        <f>IFERROR('[ServiceNow.xlsx]CA-9'!B21,"")</f>
        <v/>
      </c>
      <c r="G993" s="51" t="inlineStr"/>
      <c r="H993" s="51" t="inlineStr"/>
      <c r="I993" s="11" t="inlineStr"/>
      <c r="J993" s="12" t="inlineStr"/>
      <c r="K993" s="17" t="inlineStr"/>
      <c r="L993" s="11" t="inlineStr">
        <is>
          <t>Not Started</t>
        </is>
      </c>
    </row>
    <row r="994" ht="42" customHeight="1">
      <c r="A994" s="18" t="n">
        <v>992</v>
      </c>
      <c r="B994" s="52" t="inlineStr">
        <is>
          <t>CM-2</t>
        </is>
      </c>
      <c r="C994" s="18" t="inlineStr">
        <is>
          <t>CM</t>
        </is>
      </c>
      <c r="D994" s="19" t="inlineStr">
        <is>
          <t>ServiceNow</t>
        </is>
      </c>
      <c r="E994" s="18">
        <f>IFERROR(TRACKER!G994,"Not Started")</f>
        <v/>
      </c>
      <c r="F994" s="53">
        <f>IFERROR('[ServiceNow.xlsx]CM-2'!B21,"")</f>
        <v/>
      </c>
      <c r="G994" s="53" t="inlineStr"/>
      <c r="H994" s="53" t="inlineStr"/>
      <c r="I994" s="18" t="inlineStr"/>
      <c r="J994" s="19" t="inlineStr"/>
      <c r="K994" s="22" t="inlineStr"/>
      <c r="L994" s="18" t="inlineStr">
        <is>
          <t>Not Started</t>
        </is>
      </c>
    </row>
    <row r="995" ht="42" customHeight="1">
      <c r="A995" s="11" t="n">
        <v>993</v>
      </c>
      <c r="B995" s="50" t="inlineStr">
        <is>
          <t>CM-2(1)</t>
        </is>
      </c>
      <c r="C995" s="11" t="inlineStr">
        <is>
          <t>CM</t>
        </is>
      </c>
      <c r="D995" s="12" t="inlineStr">
        <is>
          <t>ServiceNow</t>
        </is>
      </c>
      <c r="E995" s="11">
        <f>IFERROR(TRACKER!G995,"Not Started")</f>
        <v/>
      </c>
      <c r="F995" s="51">
        <f>IFERROR('[ServiceNow.xlsx]CM-2-1'!B21,"")</f>
        <v/>
      </c>
      <c r="G995" s="51" t="inlineStr"/>
      <c r="H995" s="51" t="inlineStr"/>
      <c r="I995" s="11" t="inlineStr"/>
      <c r="J995" s="12" t="inlineStr"/>
      <c r="K995" s="17" t="inlineStr"/>
      <c r="L995" s="11" t="inlineStr">
        <is>
          <t>Not Started</t>
        </is>
      </c>
    </row>
    <row r="996" ht="42" customHeight="1">
      <c r="A996" s="18" t="n">
        <v>994</v>
      </c>
      <c r="B996" s="52" t="inlineStr">
        <is>
          <t>CM-2(2)</t>
        </is>
      </c>
      <c r="C996" s="18" t="inlineStr">
        <is>
          <t>CM</t>
        </is>
      </c>
      <c r="D996" s="19" t="inlineStr">
        <is>
          <t>ServiceNow</t>
        </is>
      </c>
      <c r="E996" s="18">
        <f>IFERROR(TRACKER!G996,"Not Started")</f>
        <v/>
      </c>
      <c r="F996" s="53">
        <f>IFERROR('[ServiceNow.xlsx]CM-2-2'!B21,"")</f>
        <v/>
      </c>
      <c r="G996" s="53" t="inlineStr"/>
      <c r="H996" s="53" t="inlineStr"/>
      <c r="I996" s="18" t="inlineStr"/>
      <c r="J996" s="19" t="inlineStr"/>
      <c r="K996" s="22" t="inlineStr"/>
      <c r="L996" s="18" t="inlineStr">
        <is>
          <t>Not Started</t>
        </is>
      </c>
    </row>
    <row r="997" ht="42" customHeight="1">
      <c r="A997" s="11" t="n">
        <v>995</v>
      </c>
      <c r="B997" s="50" t="inlineStr">
        <is>
          <t>CM-2(3)</t>
        </is>
      </c>
      <c r="C997" s="11" t="inlineStr">
        <is>
          <t>CM</t>
        </is>
      </c>
      <c r="D997" s="12" t="inlineStr">
        <is>
          <t>ServiceNow</t>
        </is>
      </c>
      <c r="E997" s="11">
        <f>IFERROR(TRACKER!G997,"Not Started")</f>
        <v/>
      </c>
      <c r="F997" s="51">
        <f>IFERROR('[ServiceNow.xlsx]CM-2-3'!B21,"")</f>
        <v/>
      </c>
      <c r="G997" s="51" t="inlineStr"/>
      <c r="H997" s="51" t="inlineStr"/>
      <c r="I997" s="11" t="inlineStr"/>
      <c r="J997" s="12" t="inlineStr"/>
      <c r="K997" s="17" t="inlineStr"/>
      <c r="L997" s="11" t="inlineStr">
        <is>
          <t>Not Started</t>
        </is>
      </c>
    </row>
    <row r="998" ht="42" customHeight="1">
      <c r="A998" s="18" t="n">
        <v>996</v>
      </c>
      <c r="B998" s="52" t="inlineStr">
        <is>
          <t>CM-3</t>
        </is>
      </c>
      <c r="C998" s="18" t="inlineStr">
        <is>
          <t>CM</t>
        </is>
      </c>
      <c r="D998" s="19" t="inlineStr">
        <is>
          <t>ServiceNow</t>
        </is>
      </c>
      <c r="E998" s="18">
        <f>IFERROR(TRACKER!G998,"Not Started")</f>
        <v/>
      </c>
      <c r="F998" s="53">
        <f>IFERROR('[ServiceNow.xlsx]CM-3'!B21,"")</f>
        <v/>
      </c>
      <c r="G998" s="53" t="inlineStr"/>
      <c r="H998" s="53" t="inlineStr"/>
      <c r="I998" s="18" t="inlineStr"/>
      <c r="J998" s="19" t="inlineStr"/>
      <c r="K998" s="22" t="inlineStr"/>
      <c r="L998" s="18" t="inlineStr">
        <is>
          <t>Not Started</t>
        </is>
      </c>
    </row>
    <row r="999" ht="42" customHeight="1">
      <c r="A999" s="11" t="n">
        <v>997</v>
      </c>
      <c r="B999" s="50" t="inlineStr">
        <is>
          <t>CM-3(4)</t>
        </is>
      </c>
      <c r="C999" s="11" t="inlineStr">
        <is>
          <t>CM</t>
        </is>
      </c>
      <c r="D999" s="12" t="inlineStr">
        <is>
          <t>ServiceNow</t>
        </is>
      </c>
      <c r="E999" s="11">
        <f>IFERROR(TRACKER!G999,"Not Started")</f>
        <v/>
      </c>
      <c r="F999" s="51">
        <f>IFERROR('[ServiceNow.xlsx]CM-3-4'!B21,"")</f>
        <v/>
      </c>
      <c r="G999" s="51" t="inlineStr"/>
      <c r="H999" s="51" t="inlineStr"/>
      <c r="I999" s="11" t="inlineStr"/>
      <c r="J999" s="12" t="inlineStr"/>
      <c r="K999" s="17" t="inlineStr"/>
      <c r="L999" s="11" t="inlineStr">
        <is>
          <t>Not Started</t>
        </is>
      </c>
    </row>
    <row r="1000" ht="42" customHeight="1">
      <c r="A1000" s="18" t="n">
        <v>998</v>
      </c>
      <c r="B1000" s="52" t="inlineStr">
        <is>
          <t>CM-3(6)</t>
        </is>
      </c>
      <c r="C1000" s="18" t="inlineStr">
        <is>
          <t>CM</t>
        </is>
      </c>
      <c r="D1000" s="19" t="inlineStr">
        <is>
          <t>ServiceNow</t>
        </is>
      </c>
      <c r="E1000" s="18">
        <f>IFERROR(TRACKER!G1000,"Not Started")</f>
        <v/>
      </c>
      <c r="F1000" s="53">
        <f>IFERROR('[ServiceNow.xlsx]CM-3-6'!B21,"")</f>
        <v/>
      </c>
      <c r="G1000" s="53" t="inlineStr"/>
      <c r="H1000" s="53" t="inlineStr"/>
      <c r="I1000" s="18" t="inlineStr"/>
      <c r="J1000" s="19" t="inlineStr"/>
      <c r="K1000" s="22" t="inlineStr"/>
      <c r="L1000" s="18" t="inlineStr">
        <is>
          <t>Not Started</t>
        </is>
      </c>
    </row>
    <row r="1001" ht="42" customHeight="1">
      <c r="A1001" s="11" t="n">
        <v>999</v>
      </c>
      <c r="B1001" s="50" t="inlineStr">
        <is>
          <t>CM-4</t>
        </is>
      </c>
      <c r="C1001" s="11" t="inlineStr">
        <is>
          <t>CM</t>
        </is>
      </c>
      <c r="D1001" s="12" t="inlineStr">
        <is>
          <t>ServiceNow</t>
        </is>
      </c>
      <c r="E1001" s="11">
        <f>IFERROR(TRACKER!G1001,"Not Started")</f>
        <v/>
      </c>
      <c r="F1001" s="51">
        <f>IFERROR('[ServiceNow.xlsx]CM-4'!B21,"")</f>
        <v/>
      </c>
      <c r="G1001" s="51" t="inlineStr"/>
      <c r="H1001" s="51" t="inlineStr"/>
      <c r="I1001" s="11" t="inlineStr"/>
      <c r="J1001" s="12" t="inlineStr"/>
      <c r="K1001" s="17" t="inlineStr"/>
      <c r="L1001" s="11" t="inlineStr">
        <is>
          <t>Not Started</t>
        </is>
      </c>
    </row>
    <row r="1002" ht="42" customHeight="1">
      <c r="A1002" s="18" t="n">
        <v>1000</v>
      </c>
      <c r="B1002" s="52" t="inlineStr">
        <is>
          <t>CM-5</t>
        </is>
      </c>
      <c r="C1002" s="18" t="inlineStr">
        <is>
          <t>CM</t>
        </is>
      </c>
      <c r="D1002" s="19" t="inlineStr">
        <is>
          <t>ServiceNow</t>
        </is>
      </c>
      <c r="E1002" s="18">
        <f>IFERROR(TRACKER!G1002,"Not Started")</f>
        <v/>
      </c>
      <c r="F1002" s="53">
        <f>IFERROR('[ServiceNow.xlsx]CM-5'!B21,"")</f>
        <v/>
      </c>
      <c r="G1002" s="53" t="inlineStr"/>
      <c r="H1002" s="53" t="inlineStr"/>
      <c r="I1002" s="18" t="inlineStr"/>
      <c r="J1002" s="19" t="inlineStr"/>
      <c r="K1002" s="22" t="inlineStr"/>
      <c r="L1002" s="18" t="inlineStr">
        <is>
          <t>Not Started</t>
        </is>
      </c>
    </row>
    <row r="1003" ht="42" customHeight="1">
      <c r="A1003" s="11" t="n">
        <v>1001</v>
      </c>
      <c r="B1003" s="50" t="inlineStr">
        <is>
          <t>CM-5(1)</t>
        </is>
      </c>
      <c r="C1003" s="11" t="inlineStr">
        <is>
          <t>CM</t>
        </is>
      </c>
      <c r="D1003" s="12" t="inlineStr">
        <is>
          <t>ServiceNow</t>
        </is>
      </c>
      <c r="E1003" s="11">
        <f>IFERROR(TRACKER!G1003,"Not Started")</f>
        <v/>
      </c>
      <c r="F1003" s="51">
        <f>IFERROR('[ServiceNow.xlsx]CM-5-1'!B21,"")</f>
        <v/>
      </c>
      <c r="G1003" s="51" t="inlineStr"/>
      <c r="H1003" s="51" t="inlineStr"/>
      <c r="I1003" s="11" t="inlineStr"/>
      <c r="J1003" s="12" t="inlineStr"/>
      <c r="K1003" s="17" t="inlineStr"/>
      <c r="L1003" s="11" t="inlineStr">
        <is>
          <t>Not Started</t>
        </is>
      </c>
    </row>
    <row r="1004" ht="42" customHeight="1">
      <c r="A1004" s="18" t="n">
        <v>1002</v>
      </c>
      <c r="B1004" s="52" t="inlineStr">
        <is>
          <t>CM-5(5)</t>
        </is>
      </c>
      <c r="C1004" s="18" t="inlineStr">
        <is>
          <t>CM</t>
        </is>
      </c>
      <c r="D1004" s="19" t="inlineStr">
        <is>
          <t>ServiceNow</t>
        </is>
      </c>
      <c r="E1004" s="18">
        <f>IFERROR(TRACKER!G1004,"Not Started")</f>
        <v/>
      </c>
      <c r="F1004" s="53">
        <f>IFERROR('[ServiceNow.xlsx]CM-5-5'!B21,"")</f>
        <v/>
      </c>
      <c r="G1004" s="53" t="inlineStr"/>
      <c r="H1004" s="53" t="inlineStr"/>
      <c r="I1004" s="18" t="inlineStr"/>
      <c r="J1004" s="19" t="inlineStr"/>
      <c r="K1004" s="22" t="inlineStr"/>
      <c r="L1004" s="18" t="inlineStr">
        <is>
          <t>Not Started</t>
        </is>
      </c>
    </row>
    <row r="1005" ht="42" customHeight="1">
      <c r="A1005" s="11" t="n">
        <v>1003</v>
      </c>
      <c r="B1005" s="50" t="inlineStr">
        <is>
          <t>CM-5(6)</t>
        </is>
      </c>
      <c r="C1005" s="11" t="inlineStr">
        <is>
          <t>CM</t>
        </is>
      </c>
      <c r="D1005" s="12" t="inlineStr">
        <is>
          <t>ServiceNow</t>
        </is>
      </c>
      <c r="E1005" s="11">
        <f>IFERROR(TRACKER!G1005,"Not Started")</f>
        <v/>
      </c>
      <c r="F1005" s="51">
        <f>IFERROR('[ServiceNow.xlsx]CM-5-6'!B21,"")</f>
        <v/>
      </c>
      <c r="G1005" s="51" t="inlineStr"/>
      <c r="H1005" s="51" t="inlineStr"/>
      <c r="I1005" s="11" t="inlineStr"/>
      <c r="J1005" s="12" t="inlineStr"/>
      <c r="K1005" s="17" t="inlineStr"/>
      <c r="L1005" s="11" t="inlineStr">
        <is>
          <t>Not Started</t>
        </is>
      </c>
    </row>
    <row r="1006" ht="42" customHeight="1">
      <c r="A1006" s="18" t="n">
        <v>1004</v>
      </c>
      <c r="B1006" s="52" t="inlineStr">
        <is>
          <t>CM-6</t>
        </is>
      </c>
      <c r="C1006" s="18" t="inlineStr">
        <is>
          <t>CM</t>
        </is>
      </c>
      <c r="D1006" s="19" t="inlineStr">
        <is>
          <t>ServiceNow</t>
        </is>
      </c>
      <c r="E1006" s="18">
        <f>IFERROR(TRACKER!G1006,"Not Started")</f>
        <v/>
      </c>
      <c r="F1006" s="53">
        <f>IFERROR('[ServiceNow.xlsx]CM-6'!B21,"")</f>
        <v/>
      </c>
      <c r="G1006" s="53" t="inlineStr"/>
      <c r="H1006" s="53" t="inlineStr"/>
      <c r="I1006" s="18" t="inlineStr"/>
      <c r="J1006" s="19" t="inlineStr"/>
      <c r="K1006" s="22" t="inlineStr"/>
      <c r="L1006" s="18" t="inlineStr">
        <is>
          <t>Not Started</t>
        </is>
      </c>
    </row>
    <row r="1007" ht="42" customHeight="1">
      <c r="A1007" s="11" t="n">
        <v>1005</v>
      </c>
      <c r="B1007" s="50" t="inlineStr">
        <is>
          <t>CM-6(1)</t>
        </is>
      </c>
      <c r="C1007" s="11" t="inlineStr">
        <is>
          <t>CM</t>
        </is>
      </c>
      <c r="D1007" s="12" t="inlineStr">
        <is>
          <t>ServiceNow</t>
        </is>
      </c>
      <c r="E1007" s="11">
        <f>IFERROR(TRACKER!G1007,"Not Started")</f>
        <v/>
      </c>
      <c r="F1007" s="51">
        <f>IFERROR('[ServiceNow.xlsx]CM-6-1'!B21,"")</f>
        <v/>
      </c>
      <c r="G1007" s="51" t="inlineStr"/>
      <c r="H1007" s="51" t="inlineStr"/>
      <c r="I1007" s="11" t="inlineStr"/>
      <c r="J1007" s="12" t="inlineStr"/>
      <c r="K1007" s="17" t="inlineStr"/>
      <c r="L1007" s="11" t="inlineStr">
        <is>
          <t>Not Started</t>
        </is>
      </c>
    </row>
    <row r="1008" ht="42" customHeight="1">
      <c r="A1008" s="18" t="n">
        <v>1006</v>
      </c>
      <c r="B1008" s="52" t="inlineStr">
        <is>
          <t>CM-6(2)</t>
        </is>
      </c>
      <c r="C1008" s="18" t="inlineStr">
        <is>
          <t>CM</t>
        </is>
      </c>
      <c r="D1008" s="19" t="inlineStr">
        <is>
          <t>ServiceNow</t>
        </is>
      </c>
      <c r="E1008" s="18">
        <f>IFERROR(TRACKER!G1008,"Not Started")</f>
        <v/>
      </c>
      <c r="F1008" s="53">
        <f>IFERROR('[ServiceNow.xlsx]CM-6-2'!B21,"")</f>
        <v/>
      </c>
      <c r="G1008" s="53" t="inlineStr"/>
      <c r="H1008" s="53" t="inlineStr"/>
      <c r="I1008" s="18" t="inlineStr"/>
      <c r="J1008" s="19" t="inlineStr"/>
      <c r="K1008" s="22" t="inlineStr"/>
      <c r="L1008" s="18" t="inlineStr">
        <is>
          <t>Not Started</t>
        </is>
      </c>
    </row>
    <row r="1009" ht="42" customHeight="1">
      <c r="A1009" s="11" t="n">
        <v>1007</v>
      </c>
      <c r="B1009" s="50" t="inlineStr">
        <is>
          <t>CM-7</t>
        </is>
      </c>
      <c r="C1009" s="11" t="inlineStr">
        <is>
          <t>CM</t>
        </is>
      </c>
      <c r="D1009" s="12" t="inlineStr">
        <is>
          <t>ServiceNow</t>
        </is>
      </c>
      <c r="E1009" s="11">
        <f>IFERROR(TRACKER!G1009,"Not Started")</f>
        <v/>
      </c>
      <c r="F1009" s="51">
        <f>IFERROR('[ServiceNow.xlsx]CM-7'!B21,"")</f>
        <v/>
      </c>
      <c r="G1009" s="51" t="inlineStr"/>
      <c r="H1009" s="51" t="inlineStr"/>
      <c r="I1009" s="11" t="inlineStr"/>
      <c r="J1009" s="12" t="inlineStr"/>
      <c r="K1009" s="17" t="inlineStr"/>
      <c r="L1009" s="11" t="inlineStr">
        <is>
          <t>Not Started</t>
        </is>
      </c>
    </row>
    <row r="1010" ht="42" customHeight="1">
      <c r="A1010" s="18" t="n">
        <v>1008</v>
      </c>
      <c r="B1010" s="52" t="inlineStr">
        <is>
          <t>CM-7(1)</t>
        </is>
      </c>
      <c r="C1010" s="18" t="inlineStr">
        <is>
          <t>CM</t>
        </is>
      </c>
      <c r="D1010" s="19" t="inlineStr">
        <is>
          <t>ServiceNow</t>
        </is>
      </c>
      <c r="E1010" s="18">
        <f>IFERROR(TRACKER!G1010,"Not Started")</f>
        <v/>
      </c>
      <c r="F1010" s="53">
        <f>IFERROR('[ServiceNow.xlsx]CM-7-1'!B21,"")</f>
        <v/>
      </c>
      <c r="G1010" s="53" t="inlineStr"/>
      <c r="H1010" s="53" t="inlineStr"/>
      <c r="I1010" s="18" t="inlineStr"/>
      <c r="J1010" s="19" t="inlineStr"/>
      <c r="K1010" s="22" t="inlineStr"/>
      <c r="L1010" s="18" t="inlineStr">
        <is>
          <t>Not Started</t>
        </is>
      </c>
    </row>
    <row r="1011" ht="42" customHeight="1">
      <c r="A1011" s="11" t="n">
        <v>1009</v>
      </c>
      <c r="B1011" s="50" t="inlineStr">
        <is>
          <t>CM-7(5)</t>
        </is>
      </c>
      <c r="C1011" s="11" t="inlineStr">
        <is>
          <t>CM</t>
        </is>
      </c>
      <c r="D1011" s="12" t="inlineStr">
        <is>
          <t>ServiceNow</t>
        </is>
      </c>
      <c r="E1011" s="11">
        <f>IFERROR(TRACKER!G1011,"Not Started")</f>
        <v/>
      </c>
      <c r="F1011" s="51">
        <f>IFERROR('[ServiceNow.xlsx]CM-7-5'!B21,"")</f>
        <v/>
      </c>
      <c r="G1011" s="51" t="inlineStr"/>
      <c r="H1011" s="51" t="inlineStr"/>
      <c r="I1011" s="11" t="inlineStr"/>
      <c r="J1011" s="12" t="inlineStr"/>
      <c r="K1011" s="17" t="inlineStr"/>
      <c r="L1011" s="11" t="inlineStr">
        <is>
          <t>Not Started</t>
        </is>
      </c>
    </row>
    <row r="1012" ht="42" customHeight="1">
      <c r="A1012" s="18" t="n">
        <v>1010</v>
      </c>
      <c r="B1012" s="52" t="inlineStr">
        <is>
          <t>CM-8</t>
        </is>
      </c>
      <c r="C1012" s="18" t="inlineStr">
        <is>
          <t>CM</t>
        </is>
      </c>
      <c r="D1012" s="19" t="inlineStr">
        <is>
          <t>ServiceNow</t>
        </is>
      </c>
      <c r="E1012" s="18">
        <f>IFERROR(TRACKER!G1012,"Not Started")</f>
        <v/>
      </c>
      <c r="F1012" s="53">
        <f>IFERROR('[ServiceNow.xlsx]CM-8'!B21,"")</f>
        <v/>
      </c>
      <c r="G1012" s="53" t="inlineStr"/>
      <c r="H1012" s="53" t="inlineStr"/>
      <c r="I1012" s="18" t="inlineStr"/>
      <c r="J1012" s="19" t="inlineStr"/>
      <c r="K1012" s="22" t="inlineStr"/>
      <c r="L1012" s="18" t="inlineStr">
        <is>
          <t>Not Started</t>
        </is>
      </c>
    </row>
    <row r="1013" ht="42" customHeight="1">
      <c r="A1013" s="11" t="n">
        <v>1011</v>
      </c>
      <c r="B1013" s="50" t="inlineStr">
        <is>
          <t>CM-8(1)</t>
        </is>
      </c>
      <c r="C1013" s="11" t="inlineStr">
        <is>
          <t>CM</t>
        </is>
      </c>
      <c r="D1013" s="12" t="inlineStr">
        <is>
          <t>ServiceNow</t>
        </is>
      </c>
      <c r="E1013" s="11">
        <f>IFERROR(TRACKER!G1013,"Not Started")</f>
        <v/>
      </c>
      <c r="F1013" s="51">
        <f>IFERROR('[ServiceNow.xlsx]CM-8-1'!B21,"")</f>
        <v/>
      </c>
      <c r="G1013" s="51" t="inlineStr"/>
      <c r="H1013" s="51" t="inlineStr"/>
      <c r="I1013" s="11" t="inlineStr"/>
      <c r="J1013" s="12" t="inlineStr"/>
      <c r="K1013" s="17" t="inlineStr"/>
      <c r="L1013" s="11" t="inlineStr">
        <is>
          <t>Not Started</t>
        </is>
      </c>
    </row>
    <row r="1014" ht="42" customHeight="1">
      <c r="A1014" s="18" t="n">
        <v>1012</v>
      </c>
      <c r="B1014" s="52" t="inlineStr">
        <is>
          <t>CM-8(2)</t>
        </is>
      </c>
      <c r="C1014" s="18" t="inlineStr">
        <is>
          <t>CM</t>
        </is>
      </c>
      <c r="D1014" s="19" t="inlineStr">
        <is>
          <t>ServiceNow</t>
        </is>
      </c>
      <c r="E1014" s="18">
        <f>IFERROR(TRACKER!G1014,"Not Started")</f>
        <v/>
      </c>
      <c r="F1014" s="53">
        <f>IFERROR('[ServiceNow.xlsx]CM-8-2'!B21,"")</f>
        <v/>
      </c>
      <c r="G1014" s="53" t="inlineStr"/>
      <c r="H1014" s="53" t="inlineStr"/>
      <c r="I1014" s="18" t="inlineStr"/>
      <c r="J1014" s="19" t="inlineStr"/>
      <c r="K1014" s="22" t="inlineStr"/>
      <c r="L1014" s="18" t="inlineStr">
        <is>
          <t>Not Started</t>
        </is>
      </c>
    </row>
    <row r="1015" ht="42" customHeight="1">
      <c r="A1015" s="11" t="n">
        <v>1013</v>
      </c>
      <c r="B1015" s="50" t="inlineStr">
        <is>
          <t>CM-8(3)</t>
        </is>
      </c>
      <c r="C1015" s="11" t="inlineStr">
        <is>
          <t>CM</t>
        </is>
      </c>
      <c r="D1015" s="12" t="inlineStr">
        <is>
          <t>ServiceNow</t>
        </is>
      </c>
      <c r="E1015" s="11">
        <f>IFERROR(TRACKER!G1015,"Not Started")</f>
        <v/>
      </c>
      <c r="F1015" s="51">
        <f>IFERROR('[ServiceNow.xlsx]CM-8-3'!B21,"")</f>
        <v/>
      </c>
      <c r="G1015" s="51" t="inlineStr"/>
      <c r="H1015" s="51" t="inlineStr"/>
      <c r="I1015" s="11" t="inlineStr"/>
      <c r="J1015" s="12" t="inlineStr"/>
      <c r="K1015" s="17" t="inlineStr"/>
      <c r="L1015" s="11" t="inlineStr">
        <is>
          <t>Not Started</t>
        </is>
      </c>
    </row>
    <row r="1016" ht="42" customHeight="1">
      <c r="A1016" s="18" t="n">
        <v>1014</v>
      </c>
      <c r="B1016" s="52" t="inlineStr">
        <is>
          <t>CM-8(5)</t>
        </is>
      </c>
      <c r="C1016" s="18" t="inlineStr">
        <is>
          <t>CM</t>
        </is>
      </c>
      <c r="D1016" s="19" t="inlineStr">
        <is>
          <t>ServiceNow</t>
        </is>
      </c>
      <c r="E1016" s="18">
        <f>IFERROR(TRACKER!G1016,"Not Started")</f>
        <v/>
      </c>
      <c r="F1016" s="53">
        <f>IFERROR('[ServiceNow.xlsx]CM-8-5'!B21,"")</f>
        <v/>
      </c>
      <c r="G1016" s="53" t="inlineStr"/>
      <c r="H1016" s="53" t="inlineStr"/>
      <c r="I1016" s="18" t="inlineStr"/>
      <c r="J1016" s="19" t="inlineStr"/>
      <c r="K1016" s="22" t="inlineStr"/>
      <c r="L1016" s="18" t="inlineStr">
        <is>
          <t>Not Started</t>
        </is>
      </c>
    </row>
    <row r="1017" ht="42" customHeight="1">
      <c r="A1017" s="11" t="n">
        <v>1015</v>
      </c>
      <c r="B1017" s="50" t="inlineStr">
        <is>
          <t>CM-10</t>
        </is>
      </c>
      <c r="C1017" s="11" t="inlineStr">
        <is>
          <t>CM</t>
        </is>
      </c>
      <c r="D1017" s="12" t="inlineStr">
        <is>
          <t>ServiceNow</t>
        </is>
      </c>
      <c r="E1017" s="11">
        <f>IFERROR(TRACKER!G1017,"Not Started")</f>
        <v/>
      </c>
      <c r="F1017" s="51">
        <f>IFERROR('[ServiceNow.xlsx]CM-10'!B21,"")</f>
        <v/>
      </c>
      <c r="G1017" s="51" t="inlineStr"/>
      <c r="H1017" s="51" t="inlineStr"/>
      <c r="I1017" s="11" t="inlineStr"/>
      <c r="J1017" s="12" t="inlineStr"/>
      <c r="K1017" s="17" t="inlineStr"/>
      <c r="L1017" s="11" t="inlineStr">
        <is>
          <t>Not Started</t>
        </is>
      </c>
    </row>
    <row r="1018" ht="42" customHeight="1">
      <c r="A1018" s="18" t="n">
        <v>1016</v>
      </c>
      <c r="B1018" s="52" t="inlineStr">
        <is>
          <t>CP-7</t>
        </is>
      </c>
      <c r="C1018" s="18" t="inlineStr">
        <is>
          <t>CP</t>
        </is>
      </c>
      <c r="D1018" s="19" t="inlineStr">
        <is>
          <t>ServiceNow</t>
        </is>
      </c>
      <c r="E1018" s="18">
        <f>IFERROR(TRACKER!G1018,"Not Started")</f>
        <v/>
      </c>
      <c r="F1018" s="53">
        <f>IFERROR('[ServiceNow.xlsx]CP-7'!B21,"")</f>
        <v/>
      </c>
      <c r="G1018" s="53" t="inlineStr"/>
      <c r="H1018" s="53" t="inlineStr"/>
      <c r="I1018" s="18" t="inlineStr"/>
      <c r="J1018" s="19" t="inlineStr"/>
      <c r="K1018" s="22" t="inlineStr"/>
      <c r="L1018" s="18" t="inlineStr">
        <is>
          <t>Not Started</t>
        </is>
      </c>
    </row>
    <row r="1019" ht="42" customHeight="1">
      <c r="A1019" s="11" t="n">
        <v>1017</v>
      </c>
      <c r="B1019" s="50" t="inlineStr">
        <is>
          <t>CP-7(1)</t>
        </is>
      </c>
      <c r="C1019" s="11" t="inlineStr">
        <is>
          <t>CP</t>
        </is>
      </c>
      <c r="D1019" s="12" t="inlineStr">
        <is>
          <t>ServiceNow</t>
        </is>
      </c>
      <c r="E1019" s="11">
        <f>IFERROR(TRACKER!G1019,"Not Started")</f>
        <v/>
      </c>
      <c r="F1019" s="51">
        <f>IFERROR('[ServiceNow.xlsx]CP-7-1'!B21,"")</f>
        <v/>
      </c>
      <c r="G1019" s="51" t="inlineStr"/>
      <c r="H1019" s="51" t="inlineStr"/>
      <c r="I1019" s="11" t="inlineStr"/>
      <c r="J1019" s="12" t="inlineStr"/>
      <c r="K1019" s="17" t="inlineStr"/>
      <c r="L1019" s="11" t="inlineStr">
        <is>
          <t>Not Started</t>
        </is>
      </c>
    </row>
    <row r="1020" ht="42" customHeight="1">
      <c r="A1020" s="18" t="n">
        <v>1018</v>
      </c>
      <c r="B1020" s="52" t="inlineStr">
        <is>
          <t>CP-7(4)</t>
        </is>
      </c>
      <c r="C1020" s="18" t="inlineStr">
        <is>
          <t>CP</t>
        </is>
      </c>
      <c r="D1020" s="19" t="inlineStr">
        <is>
          <t>ServiceNow</t>
        </is>
      </c>
      <c r="E1020" s="18">
        <f>IFERROR(TRACKER!G1020,"Not Started")</f>
        <v/>
      </c>
      <c r="F1020" s="53">
        <f>IFERROR('[ServiceNow.xlsx]CP-7-4'!B21,"")</f>
        <v/>
      </c>
      <c r="G1020" s="53" t="inlineStr"/>
      <c r="H1020" s="53" t="inlineStr"/>
      <c r="I1020" s="18" t="inlineStr"/>
      <c r="J1020" s="19" t="inlineStr"/>
      <c r="K1020" s="22" t="inlineStr"/>
      <c r="L1020" s="18" t="inlineStr">
        <is>
          <t>Not Started</t>
        </is>
      </c>
    </row>
    <row r="1021" ht="42" customHeight="1">
      <c r="A1021" s="11" t="n">
        <v>1019</v>
      </c>
      <c r="B1021" s="50" t="inlineStr">
        <is>
          <t>CP-9</t>
        </is>
      </c>
      <c r="C1021" s="11" t="inlineStr">
        <is>
          <t>CP</t>
        </is>
      </c>
      <c r="D1021" s="12" t="inlineStr">
        <is>
          <t>ServiceNow</t>
        </is>
      </c>
      <c r="E1021" s="11">
        <f>IFERROR(TRACKER!G1021,"Not Started")</f>
        <v/>
      </c>
      <c r="F1021" s="51">
        <f>IFERROR('[ServiceNow.xlsx]CP-9'!B21,"")</f>
        <v/>
      </c>
      <c r="G1021" s="51" t="inlineStr"/>
      <c r="H1021" s="51" t="inlineStr"/>
      <c r="I1021" s="11" t="inlineStr"/>
      <c r="J1021" s="12" t="inlineStr"/>
      <c r="K1021" s="17" t="inlineStr"/>
      <c r="L1021" s="11" t="inlineStr">
        <is>
          <t>Not Started</t>
        </is>
      </c>
    </row>
    <row r="1022" ht="42" customHeight="1">
      <c r="A1022" s="18" t="n">
        <v>1020</v>
      </c>
      <c r="B1022" s="52" t="inlineStr">
        <is>
          <t>CP-10</t>
        </is>
      </c>
      <c r="C1022" s="18" t="inlineStr">
        <is>
          <t>CP</t>
        </is>
      </c>
      <c r="D1022" s="19" t="inlineStr">
        <is>
          <t>ServiceNow</t>
        </is>
      </c>
      <c r="E1022" s="18">
        <f>IFERROR(TRACKER!G1022,"Not Started")</f>
        <v/>
      </c>
      <c r="F1022" s="53">
        <f>IFERROR('[ServiceNow.xlsx]CP-10'!B21,"")</f>
        <v/>
      </c>
      <c r="G1022" s="53" t="inlineStr"/>
      <c r="H1022" s="53" t="inlineStr"/>
      <c r="I1022" s="18" t="inlineStr"/>
      <c r="J1022" s="19" t="inlineStr"/>
      <c r="K1022" s="22" t="inlineStr"/>
      <c r="L1022" s="18" t="inlineStr">
        <is>
          <t>Not Started</t>
        </is>
      </c>
    </row>
    <row r="1023" ht="42" customHeight="1">
      <c r="A1023" s="11" t="n">
        <v>1021</v>
      </c>
      <c r="B1023" s="50" t="inlineStr">
        <is>
          <t>CP-10(2)</t>
        </is>
      </c>
      <c r="C1023" s="11" t="inlineStr">
        <is>
          <t>CP</t>
        </is>
      </c>
      <c r="D1023" s="12" t="inlineStr">
        <is>
          <t>ServiceNow</t>
        </is>
      </c>
      <c r="E1023" s="11">
        <f>IFERROR(TRACKER!G1023,"Not Started")</f>
        <v/>
      </c>
      <c r="F1023" s="51">
        <f>IFERROR('[ServiceNow.xlsx]CP-10-2'!B21,"")</f>
        <v/>
      </c>
      <c r="G1023" s="51" t="inlineStr"/>
      <c r="H1023" s="51" t="inlineStr"/>
      <c r="I1023" s="11" t="inlineStr"/>
      <c r="J1023" s="12" t="inlineStr"/>
      <c r="K1023" s="17" t="inlineStr"/>
      <c r="L1023" s="11" t="inlineStr">
        <is>
          <t>Not Started</t>
        </is>
      </c>
    </row>
    <row r="1024" ht="42" customHeight="1">
      <c r="A1024" s="18" t="n">
        <v>1022</v>
      </c>
      <c r="B1024" s="52" t="inlineStr">
        <is>
          <t>CP-10(4)</t>
        </is>
      </c>
      <c r="C1024" s="18" t="inlineStr">
        <is>
          <t>CP</t>
        </is>
      </c>
      <c r="D1024" s="19" t="inlineStr">
        <is>
          <t>ServiceNow</t>
        </is>
      </c>
      <c r="E1024" s="18">
        <f>IFERROR(TRACKER!G1024,"Not Started")</f>
        <v/>
      </c>
      <c r="F1024" s="53">
        <f>IFERROR('[ServiceNow.xlsx]CP-10-4'!B21,"")</f>
        <v/>
      </c>
      <c r="G1024" s="53" t="inlineStr"/>
      <c r="H1024" s="53" t="inlineStr"/>
      <c r="I1024" s="18" t="inlineStr"/>
      <c r="J1024" s="19" t="inlineStr"/>
      <c r="K1024" s="22" t="inlineStr"/>
      <c r="L1024" s="18" t="inlineStr">
        <is>
          <t>Not Started</t>
        </is>
      </c>
    </row>
    <row r="1025" ht="42" customHeight="1">
      <c r="A1025" s="11" t="n">
        <v>1023</v>
      </c>
      <c r="B1025" s="50" t="inlineStr">
        <is>
          <t>IA-2</t>
        </is>
      </c>
      <c r="C1025" s="11" t="inlineStr">
        <is>
          <t>IA</t>
        </is>
      </c>
      <c r="D1025" s="12" t="inlineStr">
        <is>
          <t>ServiceNow</t>
        </is>
      </c>
      <c r="E1025" s="11">
        <f>IFERROR(TRACKER!G1025,"Not Started")</f>
        <v/>
      </c>
      <c r="F1025" s="51">
        <f>IFERROR('[ServiceNow.xlsx]IA-2'!B21,"")</f>
        <v/>
      </c>
      <c r="G1025" s="51" t="inlineStr"/>
      <c r="H1025" s="51" t="inlineStr"/>
      <c r="I1025" s="11" t="inlineStr"/>
      <c r="J1025" s="12" t="inlineStr"/>
      <c r="K1025" s="17" t="inlineStr"/>
      <c r="L1025" s="11" t="inlineStr">
        <is>
          <t>Not Started</t>
        </is>
      </c>
    </row>
    <row r="1026" ht="42" customHeight="1">
      <c r="A1026" s="18" t="n">
        <v>1024</v>
      </c>
      <c r="B1026" s="52" t="inlineStr">
        <is>
          <t>IR-4(1)</t>
        </is>
      </c>
      <c r="C1026" s="18" t="inlineStr">
        <is>
          <t>IR</t>
        </is>
      </c>
      <c r="D1026" s="19" t="inlineStr">
        <is>
          <t>ServiceNow</t>
        </is>
      </c>
      <c r="E1026" s="18">
        <f>IFERROR(TRACKER!G1026,"Not Started")</f>
        <v/>
      </c>
      <c r="F1026" s="53">
        <f>IFERROR('[ServiceNow.xlsx]IR-4-1'!B21,"")</f>
        <v/>
      </c>
      <c r="G1026" s="53" t="inlineStr"/>
      <c r="H1026" s="53" t="inlineStr"/>
      <c r="I1026" s="18" t="inlineStr"/>
      <c r="J1026" s="19" t="inlineStr"/>
      <c r="K1026" s="22" t="inlineStr"/>
      <c r="L1026" s="18" t="inlineStr">
        <is>
          <t>Not Started</t>
        </is>
      </c>
    </row>
    <row r="1027" ht="42" customHeight="1">
      <c r="A1027" s="11" t="n">
        <v>1025</v>
      </c>
      <c r="B1027" s="50" t="inlineStr">
        <is>
          <t>IR-5</t>
        </is>
      </c>
      <c r="C1027" s="11" t="inlineStr">
        <is>
          <t>IR</t>
        </is>
      </c>
      <c r="D1027" s="12" t="inlineStr">
        <is>
          <t>ServiceNow</t>
        </is>
      </c>
      <c r="E1027" s="11">
        <f>IFERROR(TRACKER!G1027,"Not Started")</f>
        <v/>
      </c>
      <c r="F1027" s="51">
        <f>IFERROR('[ServiceNow.xlsx]IR-5'!B21,"")</f>
        <v/>
      </c>
      <c r="G1027" s="51" t="inlineStr"/>
      <c r="H1027" s="51" t="inlineStr"/>
      <c r="I1027" s="11" t="inlineStr"/>
      <c r="J1027" s="12" t="inlineStr"/>
      <c r="K1027" s="17" t="inlineStr"/>
      <c r="L1027" s="11" t="inlineStr">
        <is>
          <t>Not Started</t>
        </is>
      </c>
    </row>
    <row r="1028" ht="42" customHeight="1">
      <c r="A1028" s="18" t="n">
        <v>1026</v>
      </c>
      <c r="B1028" s="52" t="inlineStr">
        <is>
          <t>IR-6(1)</t>
        </is>
      </c>
      <c r="C1028" s="18" t="inlineStr">
        <is>
          <t>IR</t>
        </is>
      </c>
      <c r="D1028" s="19" t="inlineStr">
        <is>
          <t>ServiceNow</t>
        </is>
      </c>
      <c r="E1028" s="18">
        <f>IFERROR(TRACKER!G1028,"Not Started")</f>
        <v/>
      </c>
      <c r="F1028" s="53">
        <f>IFERROR('[ServiceNow.xlsx]IR-6-1'!B21,"")</f>
        <v/>
      </c>
      <c r="G1028" s="53" t="inlineStr"/>
      <c r="H1028" s="53" t="inlineStr"/>
      <c r="I1028" s="18" t="inlineStr"/>
      <c r="J1028" s="19" t="inlineStr"/>
      <c r="K1028" s="22" t="inlineStr"/>
      <c r="L1028" s="18" t="inlineStr">
        <is>
          <t>Not Started</t>
        </is>
      </c>
    </row>
    <row r="1029" ht="42" customHeight="1">
      <c r="A1029" s="11" t="n">
        <v>1027</v>
      </c>
      <c r="B1029" s="50" t="inlineStr">
        <is>
          <t>IR-7(1)</t>
        </is>
      </c>
      <c r="C1029" s="11" t="inlineStr">
        <is>
          <t>IR</t>
        </is>
      </c>
      <c r="D1029" s="12" t="inlineStr">
        <is>
          <t>ServiceNow</t>
        </is>
      </c>
      <c r="E1029" s="11">
        <f>IFERROR(TRACKER!G1029,"Not Started")</f>
        <v/>
      </c>
      <c r="F1029" s="51">
        <f>IFERROR('[ServiceNow.xlsx]IR-7-1'!B21,"")</f>
        <v/>
      </c>
      <c r="G1029" s="51" t="inlineStr"/>
      <c r="H1029" s="51" t="inlineStr"/>
      <c r="I1029" s="11" t="inlineStr"/>
      <c r="J1029" s="12" t="inlineStr"/>
      <c r="K1029" s="17" t="inlineStr"/>
      <c r="L1029" s="11" t="inlineStr">
        <is>
          <t>Not Started</t>
        </is>
      </c>
    </row>
    <row r="1030" ht="42" customHeight="1">
      <c r="A1030" s="18" t="n">
        <v>1028</v>
      </c>
      <c r="B1030" s="52" t="inlineStr">
        <is>
          <t>MA-2</t>
        </is>
      </c>
      <c r="C1030" s="18" t="inlineStr">
        <is>
          <t>MA</t>
        </is>
      </c>
      <c r="D1030" s="19" t="inlineStr">
        <is>
          <t>ServiceNow</t>
        </is>
      </c>
      <c r="E1030" s="18">
        <f>IFERROR(TRACKER!G1030,"Not Started")</f>
        <v/>
      </c>
      <c r="F1030" s="53">
        <f>IFERROR('[ServiceNow.xlsx]MA-2'!B21,"")</f>
        <v/>
      </c>
      <c r="G1030" s="53" t="inlineStr"/>
      <c r="H1030" s="53" t="inlineStr"/>
      <c r="I1030" s="18" t="inlineStr"/>
      <c r="J1030" s="19" t="inlineStr"/>
      <c r="K1030" s="22" t="inlineStr"/>
      <c r="L1030" s="18" t="inlineStr">
        <is>
          <t>Not Started</t>
        </is>
      </c>
    </row>
    <row r="1031" ht="42" customHeight="1">
      <c r="A1031" s="11" t="n">
        <v>1029</v>
      </c>
      <c r="B1031" s="50" t="inlineStr">
        <is>
          <t>MP-8(1)</t>
        </is>
      </c>
      <c r="C1031" s="11" t="inlineStr">
        <is>
          <t>MP</t>
        </is>
      </c>
      <c r="D1031" s="12" t="inlineStr">
        <is>
          <t>ServiceNow</t>
        </is>
      </c>
      <c r="E1031" s="11">
        <f>IFERROR(TRACKER!G1031,"Not Started")</f>
        <v/>
      </c>
      <c r="F1031" s="51">
        <f>IFERROR('[ServiceNow.xlsx]MP-8-1'!B21,"")</f>
        <v/>
      </c>
      <c r="G1031" s="51" t="inlineStr"/>
      <c r="H1031" s="51" t="inlineStr"/>
      <c r="I1031" s="11" t="inlineStr"/>
      <c r="J1031" s="12" t="inlineStr"/>
      <c r="K1031" s="17" t="inlineStr"/>
      <c r="L1031" s="11" t="inlineStr">
        <is>
          <t>Not Started</t>
        </is>
      </c>
    </row>
    <row r="1032" ht="42" customHeight="1">
      <c r="A1032" s="18" t="n">
        <v>1030</v>
      </c>
      <c r="B1032" s="52" t="inlineStr">
        <is>
          <t>SA-9(5)</t>
        </is>
      </c>
      <c r="C1032" s="18" t="inlineStr">
        <is>
          <t>SA</t>
        </is>
      </c>
      <c r="D1032" s="19" t="inlineStr">
        <is>
          <t>ServiceNow</t>
        </is>
      </c>
      <c r="E1032" s="18">
        <f>IFERROR(TRACKER!G1032,"Not Started")</f>
        <v/>
      </c>
      <c r="F1032" s="53">
        <f>IFERROR('[ServiceNow.xlsx]SA-9-5'!B21,"")</f>
        <v/>
      </c>
      <c r="G1032" s="53" t="inlineStr"/>
      <c r="H1032" s="53" t="inlineStr"/>
      <c r="I1032" s="18" t="inlineStr"/>
      <c r="J1032" s="19" t="inlineStr"/>
      <c r="K1032" s="22" t="inlineStr"/>
      <c r="L1032" s="18" t="inlineStr">
        <is>
          <t>Not Started</t>
        </is>
      </c>
    </row>
    <row r="1033" ht="42" customHeight="1">
      <c r="A1033" s="11" t="n">
        <v>1031</v>
      </c>
      <c r="B1033" s="50" t="inlineStr">
        <is>
          <t>SA-10</t>
        </is>
      </c>
      <c r="C1033" s="11" t="inlineStr">
        <is>
          <t>SA</t>
        </is>
      </c>
      <c r="D1033" s="12" t="inlineStr">
        <is>
          <t>ServiceNow</t>
        </is>
      </c>
      <c r="E1033" s="11">
        <f>IFERROR(TRACKER!G1033,"Not Started")</f>
        <v/>
      </c>
      <c r="F1033" s="51">
        <f>IFERROR('[ServiceNow.xlsx]SA-10'!B21,"")</f>
        <v/>
      </c>
      <c r="G1033" s="51" t="inlineStr"/>
      <c r="H1033" s="51" t="inlineStr"/>
      <c r="I1033" s="11" t="inlineStr"/>
      <c r="J1033" s="12" t="inlineStr"/>
      <c r="K1033" s="17" t="inlineStr"/>
      <c r="L1033" s="11" t="inlineStr">
        <is>
          <t>Not Started</t>
        </is>
      </c>
    </row>
    <row r="1034" ht="42" customHeight="1">
      <c r="A1034" s="18" t="n">
        <v>1032</v>
      </c>
      <c r="B1034" s="52" t="inlineStr">
        <is>
          <t>SA-10(1)</t>
        </is>
      </c>
      <c r="C1034" s="18" t="inlineStr">
        <is>
          <t>SA</t>
        </is>
      </c>
      <c r="D1034" s="19" t="inlineStr">
        <is>
          <t>ServiceNow</t>
        </is>
      </c>
      <c r="E1034" s="18">
        <f>IFERROR(TRACKER!G1034,"Not Started")</f>
        <v/>
      </c>
      <c r="F1034" s="53">
        <f>IFERROR('[ServiceNow.xlsx]SA-10-1'!B21,"")</f>
        <v/>
      </c>
      <c r="G1034" s="53" t="inlineStr"/>
      <c r="H1034" s="53" t="inlineStr"/>
      <c r="I1034" s="18" t="inlineStr"/>
      <c r="J1034" s="19" t="inlineStr"/>
      <c r="K1034" s="22" t="inlineStr"/>
      <c r="L1034" s="18" t="inlineStr">
        <is>
          <t>Not Started</t>
        </is>
      </c>
    </row>
    <row r="1035" ht="42" customHeight="1">
      <c r="A1035" s="11" t="n">
        <v>1033</v>
      </c>
      <c r="B1035" s="50" t="inlineStr">
        <is>
          <t>SA-11</t>
        </is>
      </c>
      <c r="C1035" s="11" t="inlineStr">
        <is>
          <t>SA</t>
        </is>
      </c>
      <c r="D1035" s="12" t="inlineStr">
        <is>
          <t>ServiceNow</t>
        </is>
      </c>
      <c r="E1035" s="11">
        <f>IFERROR(TRACKER!G1035,"Not Started")</f>
        <v/>
      </c>
      <c r="F1035" s="51">
        <f>IFERROR('[ServiceNow.xlsx]SA-11'!B21,"")</f>
        <v/>
      </c>
      <c r="G1035" s="51" t="inlineStr"/>
      <c r="H1035" s="51" t="inlineStr"/>
      <c r="I1035" s="11" t="inlineStr"/>
      <c r="J1035" s="12" t="inlineStr"/>
      <c r="K1035" s="17" t="inlineStr"/>
      <c r="L1035" s="11" t="inlineStr">
        <is>
          <t>Not Started</t>
        </is>
      </c>
    </row>
    <row r="1036" ht="42" customHeight="1">
      <c r="A1036" s="18" t="n">
        <v>1034</v>
      </c>
      <c r="B1036" s="52" t="inlineStr">
        <is>
          <t>SC-2</t>
        </is>
      </c>
      <c r="C1036" s="18" t="inlineStr">
        <is>
          <t>SC</t>
        </is>
      </c>
      <c r="D1036" s="19" t="inlineStr">
        <is>
          <t>ServiceNow</t>
        </is>
      </c>
      <c r="E1036" s="18">
        <f>IFERROR(TRACKER!G1036,"Not Started")</f>
        <v/>
      </c>
      <c r="F1036" s="53">
        <f>IFERROR('[ServiceNow.xlsx]SC-2'!B21,"")</f>
        <v/>
      </c>
      <c r="G1036" s="53" t="inlineStr"/>
      <c r="H1036" s="53" t="inlineStr"/>
      <c r="I1036" s="18" t="inlineStr"/>
      <c r="J1036" s="19" t="inlineStr"/>
      <c r="K1036" s="22" t="inlineStr"/>
      <c r="L1036" s="18" t="inlineStr">
        <is>
          <t>Not Started</t>
        </is>
      </c>
    </row>
    <row r="1037" ht="42" customHeight="1">
      <c r="A1037" s="11" t="n">
        <v>1035</v>
      </c>
      <c r="B1037" s="50" t="inlineStr">
        <is>
          <t>SC-7(13)</t>
        </is>
      </c>
      <c r="C1037" s="11" t="inlineStr">
        <is>
          <t>SC</t>
        </is>
      </c>
      <c r="D1037" s="12" t="inlineStr">
        <is>
          <t>ServiceNow</t>
        </is>
      </c>
      <c r="E1037" s="11">
        <f>IFERROR(TRACKER!G1037,"Not Started")</f>
        <v/>
      </c>
      <c r="F1037" s="51">
        <f>IFERROR('[ServiceNow.xlsx]SC-7-13'!B21,"")</f>
        <v/>
      </c>
      <c r="G1037" s="51" t="inlineStr"/>
      <c r="H1037" s="51" t="inlineStr"/>
      <c r="I1037" s="11" t="inlineStr"/>
      <c r="J1037" s="12" t="inlineStr"/>
      <c r="K1037" s="17" t="inlineStr"/>
      <c r="L1037" s="11" t="inlineStr">
        <is>
          <t>Not Started</t>
        </is>
      </c>
    </row>
    <row r="1038" ht="42" customHeight="1">
      <c r="A1038" s="18" t="n">
        <v>1036</v>
      </c>
      <c r="B1038" s="52" t="inlineStr">
        <is>
          <t>SC-8</t>
        </is>
      </c>
      <c r="C1038" s="18" t="inlineStr">
        <is>
          <t>SC</t>
        </is>
      </c>
      <c r="D1038" s="19" t="inlineStr">
        <is>
          <t>ServiceNow</t>
        </is>
      </c>
      <c r="E1038" s="18">
        <f>IFERROR(TRACKER!G1038,"Not Started")</f>
        <v/>
      </c>
      <c r="F1038" s="53">
        <f>IFERROR('[ServiceNow.xlsx]SC-8'!B21,"")</f>
        <v/>
      </c>
      <c r="G1038" s="53" t="inlineStr"/>
      <c r="H1038" s="53" t="inlineStr"/>
      <c r="I1038" s="18" t="inlineStr"/>
      <c r="J1038" s="19" t="inlineStr"/>
      <c r="K1038" s="22" t="inlineStr"/>
      <c r="L1038" s="18" t="inlineStr">
        <is>
          <t>Not Started</t>
        </is>
      </c>
    </row>
    <row r="1039" ht="42" customHeight="1">
      <c r="A1039" s="11" t="n">
        <v>1037</v>
      </c>
      <c r="B1039" s="50" t="inlineStr">
        <is>
          <t>SC-23</t>
        </is>
      </c>
      <c r="C1039" s="11" t="inlineStr">
        <is>
          <t>SC</t>
        </is>
      </c>
      <c r="D1039" s="12" t="inlineStr">
        <is>
          <t>ServiceNow</t>
        </is>
      </c>
      <c r="E1039" s="11">
        <f>IFERROR(TRACKER!G1039,"Not Started")</f>
        <v/>
      </c>
      <c r="F1039" s="51">
        <f>IFERROR('[ServiceNow.xlsx]SC-23'!B21,"")</f>
        <v/>
      </c>
      <c r="G1039" s="51" t="inlineStr"/>
      <c r="H1039" s="51" t="inlineStr"/>
      <c r="I1039" s="11" t="inlineStr"/>
      <c r="J1039" s="12" t="inlineStr"/>
      <c r="K1039" s="17" t="inlineStr"/>
      <c r="L1039" s="11" t="inlineStr">
        <is>
          <t>Not Started</t>
        </is>
      </c>
    </row>
    <row r="1040" ht="42" customHeight="1">
      <c r="A1040" s="18" t="n">
        <v>1038</v>
      </c>
      <c r="B1040" s="52" t="inlineStr">
        <is>
          <t>SC-23(1)</t>
        </is>
      </c>
      <c r="C1040" s="18" t="inlineStr">
        <is>
          <t>SC</t>
        </is>
      </c>
      <c r="D1040" s="19" t="inlineStr">
        <is>
          <t>ServiceNow</t>
        </is>
      </c>
      <c r="E1040" s="18">
        <f>IFERROR(TRACKER!G1040,"Not Started")</f>
        <v/>
      </c>
      <c r="F1040" s="53">
        <f>IFERROR('[ServiceNow.xlsx]SC-23-1'!B21,"")</f>
        <v/>
      </c>
      <c r="G1040" s="53" t="inlineStr"/>
      <c r="H1040" s="53" t="inlineStr"/>
      <c r="I1040" s="18" t="inlineStr"/>
      <c r="J1040" s="19" t="inlineStr"/>
      <c r="K1040" s="22" t="inlineStr"/>
      <c r="L1040" s="18" t="inlineStr">
        <is>
          <t>Not Started</t>
        </is>
      </c>
    </row>
    <row r="1041" ht="42" customHeight="1">
      <c r="A1041" s="11" t="n">
        <v>1039</v>
      </c>
      <c r="B1041" s="50" t="inlineStr">
        <is>
          <t>SC-28</t>
        </is>
      </c>
      <c r="C1041" s="11" t="inlineStr">
        <is>
          <t>SC</t>
        </is>
      </c>
      <c r="D1041" s="12" t="inlineStr">
        <is>
          <t>ServiceNow</t>
        </is>
      </c>
      <c r="E1041" s="11">
        <f>IFERROR(TRACKER!G1041,"Not Started")</f>
        <v/>
      </c>
      <c r="F1041" s="51">
        <f>IFERROR('[ServiceNow.xlsx]SC-28'!B21,"")</f>
        <v/>
      </c>
      <c r="G1041" s="51" t="inlineStr"/>
      <c r="H1041" s="51" t="inlineStr"/>
      <c r="I1041" s="11" t="inlineStr"/>
      <c r="J1041" s="12" t="inlineStr"/>
      <c r="K1041" s="17" t="inlineStr"/>
      <c r="L1041" s="11" t="inlineStr">
        <is>
          <t>Not Started</t>
        </is>
      </c>
    </row>
    <row r="1042" ht="42" customHeight="1">
      <c r="A1042" s="18" t="n">
        <v>1040</v>
      </c>
      <c r="B1042" s="52" t="inlineStr">
        <is>
          <t>SC-28(1)</t>
        </is>
      </c>
      <c r="C1042" s="18" t="inlineStr">
        <is>
          <t>SC</t>
        </is>
      </c>
      <c r="D1042" s="19" t="inlineStr">
        <is>
          <t>ServiceNow</t>
        </is>
      </c>
      <c r="E1042" s="18">
        <f>IFERROR(TRACKER!G1042,"Not Started")</f>
        <v/>
      </c>
      <c r="F1042" s="53">
        <f>IFERROR('[ServiceNow.xlsx]SC-28-1'!B21,"")</f>
        <v/>
      </c>
      <c r="G1042" s="53" t="inlineStr"/>
      <c r="H1042" s="53" t="inlineStr"/>
      <c r="I1042" s="18" t="inlineStr"/>
      <c r="J1042" s="19" t="inlineStr"/>
      <c r="K1042" s="22" t="inlineStr"/>
      <c r="L1042" s="18" t="inlineStr">
        <is>
          <t>Not Started</t>
        </is>
      </c>
    </row>
    <row r="1043" ht="42" customHeight="1">
      <c r="A1043" s="11" t="n">
        <v>1041</v>
      </c>
      <c r="B1043" s="50" t="inlineStr">
        <is>
          <t>SI-2</t>
        </is>
      </c>
      <c r="C1043" s="11" t="inlineStr">
        <is>
          <t>SI</t>
        </is>
      </c>
      <c r="D1043" s="12" t="inlineStr">
        <is>
          <t>ServiceNow</t>
        </is>
      </c>
      <c r="E1043" s="11">
        <f>IFERROR(TRACKER!G1043,"Not Started")</f>
        <v/>
      </c>
      <c r="F1043" s="51">
        <f>IFERROR('[ServiceNow.xlsx]SI-2'!B21,"")</f>
        <v/>
      </c>
      <c r="G1043" s="51" t="inlineStr"/>
      <c r="H1043" s="51" t="inlineStr"/>
      <c r="I1043" s="11" t="inlineStr"/>
      <c r="J1043" s="12" t="inlineStr"/>
      <c r="K1043" s="17" t="inlineStr"/>
      <c r="L1043" s="11" t="inlineStr">
        <is>
          <t>Not Started</t>
        </is>
      </c>
    </row>
    <row r="1044" ht="42" customHeight="1">
      <c r="A1044" s="18" t="n">
        <v>1042</v>
      </c>
      <c r="B1044" s="52" t="inlineStr">
        <is>
          <t>SI-2(3)</t>
        </is>
      </c>
      <c r="C1044" s="18" t="inlineStr">
        <is>
          <t>SI</t>
        </is>
      </c>
      <c r="D1044" s="19" t="inlineStr">
        <is>
          <t>ServiceNow</t>
        </is>
      </c>
      <c r="E1044" s="18">
        <f>IFERROR(TRACKER!G1044,"Not Started")</f>
        <v/>
      </c>
      <c r="F1044" s="53">
        <f>IFERROR('[ServiceNow.xlsx]SI-2-3'!B21,"")</f>
        <v/>
      </c>
      <c r="G1044" s="53" t="inlineStr"/>
      <c r="H1044" s="53" t="inlineStr"/>
      <c r="I1044" s="18" t="inlineStr"/>
      <c r="J1044" s="19" t="inlineStr"/>
      <c r="K1044" s="22" t="inlineStr"/>
      <c r="L1044" s="18" t="inlineStr">
        <is>
          <t>Not Started</t>
        </is>
      </c>
    </row>
    <row r="1045" ht="42" customHeight="1">
      <c r="A1045" s="11" t="n">
        <v>1043</v>
      </c>
      <c r="B1045" s="50" t="inlineStr">
        <is>
          <t>SI-4(20)</t>
        </is>
      </c>
      <c r="C1045" s="11" t="inlineStr">
        <is>
          <t>SI</t>
        </is>
      </c>
      <c r="D1045" s="12" t="inlineStr">
        <is>
          <t>ServiceNow</t>
        </is>
      </c>
      <c r="E1045" s="11">
        <f>IFERROR(TRACKER!G1045,"Not Started")</f>
        <v/>
      </c>
      <c r="F1045" s="51">
        <f>IFERROR('[ServiceNow.xlsx]SI-4-20'!B21,"")</f>
        <v/>
      </c>
      <c r="G1045" s="51" t="inlineStr"/>
      <c r="H1045" s="51" t="inlineStr"/>
      <c r="I1045" s="11" t="inlineStr"/>
      <c r="J1045" s="12" t="inlineStr"/>
      <c r="K1045" s="17" t="inlineStr"/>
      <c r="L1045" s="11" t="inlineStr">
        <is>
          <t>Not Started</t>
        </is>
      </c>
    </row>
    <row r="1046" ht="42" customHeight="1">
      <c r="A1046" s="18" t="n">
        <v>1044</v>
      </c>
      <c r="B1046" s="52" t="inlineStr">
        <is>
          <t>SI-6</t>
        </is>
      </c>
      <c r="C1046" s="18" t="inlineStr">
        <is>
          <t>SI</t>
        </is>
      </c>
      <c r="D1046" s="19" t="inlineStr">
        <is>
          <t>ServiceNow</t>
        </is>
      </c>
      <c r="E1046" s="18">
        <f>IFERROR(TRACKER!G1046,"Not Started")</f>
        <v/>
      </c>
      <c r="F1046" s="53">
        <f>IFERROR('[ServiceNow.xlsx]SI-6'!B21,"")</f>
        <v/>
      </c>
      <c r="G1046" s="53" t="inlineStr"/>
      <c r="H1046" s="53" t="inlineStr"/>
      <c r="I1046" s="18" t="inlineStr"/>
      <c r="J1046" s="19" t="inlineStr"/>
      <c r="K1046" s="22" t="inlineStr"/>
      <c r="L1046" s="18" t="inlineStr">
        <is>
          <t>Not Started</t>
        </is>
      </c>
    </row>
    <row r="1047" ht="42" customHeight="1">
      <c r="A1047" s="11" t="n">
        <v>1045</v>
      </c>
      <c r="B1047" s="50" t="inlineStr">
        <is>
          <t>SI-10</t>
        </is>
      </c>
      <c r="C1047" s="11" t="inlineStr">
        <is>
          <t>SI</t>
        </is>
      </c>
      <c r="D1047" s="12" t="inlineStr">
        <is>
          <t>ServiceNow</t>
        </is>
      </c>
      <c r="E1047" s="11">
        <f>IFERROR(TRACKER!G1047,"Not Started")</f>
        <v/>
      </c>
      <c r="F1047" s="51">
        <f>IFERROR('[ServiceNow.xlsx]SI-10'!B21,"")</f>
        <v/>
      </c>
      <c r="G1047" s="51" t="inlineStr"/>
      <c r="H1047" s="51" t="inlineStr"/>
      <c r="I1047" s="11" t="inlineStr"/>
      <c r="J1047" s="12" t="inlineStr"/>
      <c r="K1047" s="17" t="inlineStr"/>
      <c r="L1047" s="11" t="inlineStr">
        <is>
          <t>Not Started</t>
        </is>
      </c>
    </row>
    <row r="1048" ht="42" customHeight="1">
      <c r="A1048" s="18" t="n">
        <v>1046</v>
      </c>
      <c r="B1048" s="52" t="inlineStr">
        <is>
          <t>SI-11</t>
        </is>
      </c>
      <c r="C1048" s="18" t="inlineStr">
        <is>
          <t>SI</t>
        </is>
      </c>
      <c r="D1048" s="19" t="inlineStr">
        <is>
          <t>ServiceNow</t>
        </is>
      </c>
      <c r="E1048" s="18">
        <f>IFERROR(TRACKER!G1048,"Not Started")</f>
        <v/>
      </c>
      <c r="F1048" s="53">
        <f>IFERROR('[ServiceNow.xlsx]SI-11'!B21,"")</f>
        <v/>
      </c>
      <c r="G1048" s="53" t="inlineStr"/>
      <c r="H1048" s="53" t="inlineStr"/>
      <c r="I1048" s="18" t="inlineStr"/>
      <c r="J1048" s="19" t="inlineStr"/>
      <c r="K1048" s="22" t="inlineStr"/>
      <c r="L1048" s="18" t="inlineStr">
        <is>
          <t>Not Started</t>
        </is>
      </c>
    </row>
    <row r="1049" ht="42" customHeight="1">
      <c r="A1049" s="11" t="n">
        <v>1047</v>
      </c>
      <c r="B1049" s="50" t="inlineStr">
        <is>
          <t>SI-12</t>
        </is>
      </c>
      <c r="C1049" s="11" t="inlineStr">
        <is>
          <t>SI</t>
        </is>
      </c>
      <c r="D1049" s="12" t="inlineStr">
        <is>
          <t>ServiceNow</t>
        </is>
      </c>
      <c r="E1049" s="11">
        <f>IFERROR(TRACKER!G1049,"Not Started")</f>
        <v/>
      </c>
      <c r="F1049" s="51">
        <f>IFERROR('[ServiceNow.xlsx]SI-12'!B21,"")</f>
        <v/>
      </c>
      <c r="G1049" s="51" t="inlineStr"/>
      <c r="H1049" s="51" t="inlineStr"/>
      <c r="I1049" s="11" t="inlineStr"/>
      <c r="J1049" s="12" t="inlineStr"/>
      <c r="K1049" s="17" t="inlineStr"/>
      <c r="L1049" s="11" t="inlineStr">
        <is>
          <t>Not Started</t>
        </is>
      </c>
    </row>
    <row r="1050" ht="42" customHeight="1">
      <c r="A1050" s="18" t="n">
        <v>1048</v>
      </c>
      <c r="B1050" s="52" t="inlineStr">
        <is>
          <t>AU-2</t>
        </is>
      </c>
      <c r="C1050" s="18" t="inlineStr">
        <is>
          <t>AU</t>
        </is>
      </c>
      <c r="D1050" s="19" t="inlineStr">
        <is>
          <t>Storage</t>
        </is>
      </c>
      <c r="E1050" s="18">
        <f>IFERROR(TRACKER!G1050,"Not Started")</f>
        <v/>
      </c>
      <c r="F1050" s="53">
        <f>IFERROR('[Storage.xlsx]AU-2'!B21,"")</f>
        <v/>
      </c>
      <c r="G1050" s="53" t="inlineStr"/>
      <c r="H1050" s="53" t="inlineStr"/>
      <c r="I1050" s="18" t="inlineStr"/>
      <c r="J1050" s="19" t="inlineStr"/>
      <c r="K1050" s="22" t="inlineStr"/>
      <c r="L1050" s="18" t="inlineStr">
        <is>
          <t>Not Started</t>
        </is>
      </c>
    </row>
    <row r="1051" ht="42" customHeight="1">
      <c r="A1051" s="11" t="n">
        <v>1049</v>
      </c>
      <c r="B1051" s="50" t="inlineStr">
        <is>
          <t>AU-3</t>
        </is>
      </c>
      <c r="C1051" s="11" t="inlineStr">
        <is>
          <t>AU</t>
        </is>
      </c>
      <c r="D1051" s="12" t="inlineStr">
        <is>
          <t>Storage</t>
        </is>
      </c>
      <c r="E1051" s="11">
        <f>IFERROR(TRACKER!G1051,"Not Started")</f>
        <v/>
      </c>
      <c r="F1051" s="51">
        <f>IFERROR('[Storage.xlsx]AU-3'!B21,"")</f>
        <v/>
      </c>
      <c r="G1051" s="51" t="inlineStr"/>
      <c r="H1051" s="51" t="inlineStr"/>
      <c r="I1051" s="11" t="inlineStr"/>
      <c r="J1051" s="12" t="inlineStr"/>
      <c r="K1051" s="17" t="inlineStr"/>
      <c r="L1051" s="11" t="inlineStr">
        <is>
          <t>Not Started</t>
        </is>
      </c>
    </row>
    <row r="1052" ht="42" customHeight="1">
      <c r="A1052" s="18" t="n">
        <v>1050</v>
      </c>
      <c r="B1052" s="52" t="inlineStr">
        <is>
          <t>AU-3(1)</t>
        </is>
      </c>
      <c r="C1052" s="18" t="inlineStr">
        <is>
          <t>AU</t>
        </is>
      </c>
      <c r="D1052" s="19" t="inlineStr">
        <is>
          <t>Storage</t>
        </is>
      </c>
      <c r="E1052" s="18">
        <f>IFERROR(TRACKER!G1052,"Not Started")</f>
        <v/>
      </c>
      <c r="F1052" s="53">
        <f>IFERROR('[Storage.xlsx]AU-3-1'!B21,"")</f>
        <v/>
      </c>
      <c r="G1052" s="53" t="inlineStr"/>
      <c r="H1052" s="53" t="inlineStr"/>
      <c r="I1052" s="18" t="inlineStr"/>
      <c r="J1052" s="19" t="inlineStr"/>
      <c r="K1052" s="22" t="inlineStr"/>
      <c r="L1052" s="18" t="inlineStr">
        <is>
          <t>Not Started</t>
        </is>
      </c>
    </row>
    <row r="1053" ht="42" customHeight="1">
      <c r="A1053" s="11" t="n">
        <v>1051</v>
      </c>
      <c r="B1053" s="50" t="inlineStr">
        <is>
          <t>AU-9(2)</t>
        </is>
      </c>
      <c r="C1053" s="11" t="inlineStr">
        <is>
          <t>AU</t>
        </is>
      </c>
      <c r="D1053" s="12" t="inlineStr">
        <is>
          <t>Storage</t>
        </is>
      </c>
      <c r="E1053" s="11">
        <f>IFERROR(TRACKER!G1053,"Not Started")</f>
        <v/>
      </c>
      <c r="F1053" s="51">
        <f>IFERROR('[Storage.xlsx]AU-9-2'!B21,"")</f>
        <v/>
      </c>
      <c r="G1053" s="51" t="inlineStr"/>
      <c r="H1053" s="51" t="inlineStr"/>
      <c r="I1053" s="11" t="inlineStr"/>
      <c r="J1053" s="12" t="inlineStr"/>
      <c r="K1053" s="17" t="inlineStr"/>
      <c r="L1053" s="11" t="inlineStr">
        <is>
          <t>Not Started</t>
        </is>
      </c>
    </row>
    <row r="1054" ht="42" customHeight="1">
      <c r="A1054" s="18" t="n">
        <v>1052</v>
      </c>
      <c r="B1054" s="52" t="inlineStr">
        <is>
          <t>AU-11</t>
        </is>
      </c>
      <c r="C1054" s="18" t="inlineStr">
        <is>
          <t>AU</t>
        </is>
      </c>
      <c r="D1054" s="19" t="inlineStr">
        <is>
          <t>Storage</t>
        </is>
      </c>
      <c r="E1054" s="18">
        <f>IFERROR(TRACKER!G1054,"Not Started")</f>
        <v/>
      </c>
      <c r="F1054" s="53">
        <f>IFERROR('[Storage.xlsx]AU-11'!B21,"")</f>
        <v/>
      </c>
      <c r="G1054" s="53" t="inlineStr"/>
      <c r="H1054" s="53" t="inlineStr"/>
      <c r="I1054" s="18" t="inlineStr"/>
      <c r="J1054" s="19" t="inlineStr"/>
      <c r="K1054" s="22" t="inlineStr"/>
      <c r="L1054" s="18" t="inlineStr">
        <is>
          <t>Not Started</t>
        </is>
      </c>
    </row>
    <row r="1055" ht="42" customHeight="1">
      <c r="A1055" s="11" t="n">
        <v>1053</v>
      </c>
      <c r="B1055" s="50" t="inlineStr">
        <is>
          <t>AU-12</t>
        </is>
      </c>
      <c r="C1055" s="11" t="inlineStr">
        <is>
          <t>AU</t>
        </is>
      </c>
      <c r="D1055" s="12" t="inlineStr">
        <is>
          <t>Storage</t>
        </is>
      </c>
      <c r="E1055" s="11">
        <f>IFERROR(TRACKER!G1055,"Not Started")</f>
        <v/>
      </c>
      <c r="F1055" s="51">
        <f>IFERROR('[Storage.xlsx]AU-12'!B21,"")</f>
        <v/>
      </c>
      <c r="G1055" s="51" t="inlineStr"/>
      <c r="H1055" s="51" t="inlineStr"/>
      <c r="I1055" s="11" t="inlineStr"/>
      <c r="J1055" s="12" t="inlineStr"/>
      <c r="K1055" s="17" t="inlineStr"/>
      <c r="L1055" s="11" t="inlineStr">
        <is>
          <t>Not Started</t>
        </is>
      </c>
    </row>
    <row r="1056" ht="42" customHeight="1">
      <c r="A1056" s="18" t="n">
        <v>1054</v>
      </c>
      <c r="B1056" s="52" t="inlineStr">
        <is>
          <t>CM-2(3)</t>
        </is>
      </c>
      <c r="C1056" s="18" t="inlineStr">
        <is>
          <t>CM</t>
        </is>
      </c>
      <c r="D1056" s="19" t="inlineStr">
        <is>
          <t>Storage</t>
        </is>
      </c>
      <c r="E1056" s="18">
        <f>IFERROR(TRACKER!G1056,"Not Started")</f>
        <v/>
      </c>
      <c r="F1056" s="53">
        <f>IFERROR('[Storage.xlsx]CM-2-3'!B21,"")</f>
        <v/>
      </c>
      <c r="G1056" s="53" t="inlineStr"/>
      <c r="H1056" s="53" t="inlineStr"/>
      <c r="I1056" s="18" t="inlineStr"/>
      <c r="J1056" s="19" t="inlineStr"/>
      <c r="K1056" s="22" t="inlineStr"/>
      <c r="L1056" s="18" t="inlineStr">
        <is>
          <t>Not Started</t>
        </is>
      </c>
    </row>
    <row r="1057" ht="42" customHeight="1">
      <c r="A1057" s="11" t="n">
        <v>1055</v>
      </c>
      <c r="B1057" s="50" t="inlineStr">
        <is>
          <t>CM-6</t>
        </is>
      </c>
      <c r="C1057" s="11" t="inlineStr">
        <is>
          <t>CM</t>
        </is>
      </c>
      <c r="D1057" s="12" t="inlineStr">
        <is>
          <t>Storage</t>
        </is>
      </c>
      <c r="E1057" s="11">
        <f>IFERROR(TRACKER!G1057,"Not Started")</f>
        <v/>
      </c>
      <c r="F1057" s="51">
        <f>IFERROR('[Storage.xlsx]CM-6'!B21,"")</f>
        <v/>
      </c>
      <c r="G1057" s="51" t="inlineStr"/>
      <c r="H1057" s="51" t="inlineStr"/>
      <c r="I1057" s="11" t="inlineStr"/>
      <c r="J1057" s="12" t="inlineStr"/>
      <c r="K1057" s="17" t="inlineStr"/>
      <c r="L1057" s="11" t="inlineStr">
        <is>
          <t>Not Started</t>
        </is>
      </c>
    </row>
    <row r="1058" ht="42" customHeight="1">
      <c r="A1058" s="18" t="n">
        <v>1056</v>
      </c>
      <c r="B1058" s="52" t="inlineStr">
        <is>
          <t>CM-7</t>
        </is>
      </c>
      <c r="C1058" s="18" t="inlineStr">
        <is>
          <t>CM</t>
        </is>
      </c>
      <c r="D1058" s="19" t="inlineStr">
        <is>
          <t>Storage</t>
        </is>
      </c>
      <c r="E1058" s="18">
        <f>IFERROR(TRACKER!G1058,"Not Started")</f>
        <v/>
      </c>
      <c r="F1058" s="53">
        <f>IFERROR('[Storage.xlsx]CM-7'!B21,"")</f>
        <v/>
      </c>
      <c r="G1058" s="53" t="inlineStr"/>
      <c r="H1058" s="53" t="inlineStr"/>
      <c r="I1058" s="18" t="inlineStr"/>
      <c r="J1058" s="19" t="inlineStr"/>
      <c r="K1058" s="22" t="inlineStr"/>
      <c r="L1058" s="18" t="inlineStr">
        <is>
          <t>Not Started</t>
        </is>
      </c>
    </row>
    <row r="1059" ht="42" customHeight="1">
      <c r="A1059" s="11" t="n">
        <v>1057</v>
      </c>
      <c r="B1059" s="50" t="inlineStr">
        <is>
          <t>CM-7(1)</t>
        </is>
      </c>
      <c r="C1059" s="11" t="inlineStr">
        <is>
          <t>CM</t>
        </is>
      </c>
      <c r="D1059" s="12" t="inlineStr">
        <is>
          <t>Storage</t>
        </is>
      </c>
      <c r="E1059" s="11">
        <f>IFERROR(TRACKER!G1059,"Not Started")</f>
        <v/>
      </c>
      <c r="F1059" s="51">
        <f>IFERROR('[Storage.xlsx]CM-7-1'!B21,"")</f>
        <v/>
      </c>
      <c r="G1059" s="51" t="inlineStr"/>
      <c r="H1059" s="51" t="inlineStr"/>
      <c r="I1059" s="11" t="inlineStr"/>
      <c r="J1059" s="12" t="inlineStr"/>
      <c r="K1059" s="17" t="inlineStr"/>
      <c r="L1059" s="11" t="inlineStr">
        <is>
          <t>Not Started</t>
        </is>
      </c>
    </row>
    <row r="1060" ht="42" customHeight="1">
      <c r="A1060" s="18" t="n">
        <v>1058</v>
      </c>
      <c r="B1060" s="52" t="inlineStr">
        <is>
          <t>CP-6</t>
        </is>
      </c>
      <c r="C1060" s="18" t="inlineStr">
        <is>
          <t>CP</t>
        </is>
      </c>
      <c r="D1060" s="19" t="inlineStr">
        <is>
          <t>Storage</t>
        </is>
      </c>
      <c r="E1060" s="18">
        <f>IFERROR(TRACKER!G1060,"Not Started")</f>
        <v/>
      </c>
      <c r="F1060" s="53">
        <f>IFERROR('[Storage.xlsx]CP-6'!B21,"")</f>
        <v/>
      </c>
      <c r="G1060" s="53" t="inlineStr"/>
      <c r="H1060" s="53" t="inlineStr"/>
      <c r="I1060" s="18" t="inlineStr"/>
      <c r="J1060" s="19" t="inlineStr"/>
      <c r="K1060" s="22" t="inlineStr"/>
      <c r="L1060" s="18" t="inlineStr">
        <is>
          <t>Not Started</t>
        </is>
      </c>
    </row>
    <row r="1061" ht="42" customHeight="1">
      <c r="A1061" s="11" t="n">
        <v>1059</v>
      </c>
      <c r="B1061" s="50" t="inlineStr">
        <is>
          <t>CP-6(2)</t>
        </is>
      </c>
      <c r="C1061" s="11" t="inlineStr">
        <is>
          <t>CP</t>
        </is>
      </c>
      <c r="D1061" s="12" t="inlineStr">
        <is>
          <t>Storage</t>
        </is>
      </c>
      <c r="E1061" s="11">
        <f>IFERROR(TRACKER!G1061,"Not Started")</f>
        <v/>
      </c>
      <c r="F1061" s="51">
        <f>IFERROR('[Storage.xlsx]CP-6-2'!B21,"")</f>
        <v/>
      </c>
      <c r="G1061" s="51" t="inlineStr"/>
      <c r="H1061" s="51" t="inlineStr"/>
      <c r="I1061" s="11" t="inlineStr"/>
      <c r="J1061" s="12" t="inlineStr"/>
      <c r="K1061" s="17" t="inlineStr"/>
      <c r="L1061" s="11" t="inlineStr">
        <is>
          <t>Not Started</t>
        </is>
      </c>
    </row>
    <row r="1062" ht="42" customHeight="1">
      <c r="A1062" s="18" t="n">
        <v>1060</v>
      </c>
      <c r="B1062" s="52" t="inlineStr">
        <is>
          <t>CP-9</t>
        </is>
      </c>
      <c r="C1062" s="18" t="inlineStr">
        <is>
          <t>CP</t>
        </is>
      </c>
      <c r="D1062" s="19" t="inlineStr">
        <is>
          <t>Storage</t>
        </is>
      </c>
      <c r="E1062" s="18">
        <f>IFERROR(TRACKER!G1062,"Not Started")</f>
        <v/>
      </c>
      <c r="F1062" s="53">
        <f>IFERROR('[Storage.xlsx]CP-9'!B21,"")</f>
        <v/>
      </c>
      <c r="G1062" s="53" t="inlineStr"/>
      <c r="H1062" s="53" t="inlineStr"/>
      <c r="I1062" s="18" t="inlineStr"/>
      <c r="J1062" s="19" t="inlineStr"/>
      <c r="K1062" s="22" t="inlineStr"/>
      <c r="L1062" s="18" t="inlineStr">
        <is>
          <t>Not Started</t>
        </is>
      </c>
    </row>
    <row r="1063" ht="42" customHeight="1">
      <c r="A1063" s="11" t="n">
        <v>1061</v>
      </c>
      <c r="B1063" s="50" t="inlineStr">
        <is>
          <t>CP-9(1)</t>
        </is>
      </c>
      <c r="C1063" s="11" t="inlineStr">
        <is>
          <t>CP</t>
        </is>
      </c>
      <c r="D1063" s="12" t="inlineStr">
        <is>
          <t>Storage</t>
        </is>
      </c>
      <c r="E1063" s="11">
        <f>IFERROR(TRACKER!G1063,"Not Started")</f>
        <v/>
      </c>
      <c r="F1063" s="51">
        <f>IFERROR('[Storage.xlsx]CP-9-1'!B21,"")</f>
        <v/>
      </c>
      <c r="G1063" s="51" t="inlineStr"/>
      <c r="H1063" s="51" t="inlineStr"/>
      <c r="I1063" s="11" t="inlineStr"/>
      <c r="J1063" s="12" t="inlineStr"/>
      <c r="K1063" s="17" t="inlineStr"/>
      <c r="L1063" s="11" t="inlineStr">
        <is>
          <t>Not Started</t>
        </is>
      </c>
    </row>
    <row r="1064" ht="42" customHeight="1">
      <c r="A1064" s="18" t="n">
        <v>1062</v>
      </c>
      <c r="B1064" s="52" t="inlineStr">
        <is>
          <t>CP-9(2)</t>
        </is>
      </c>
      <c r="C1064" s="18" t="inlineStr">
        <is>
          <t>CP</t>
        </is>
      </c>
      <c r="D1064" s="19" t="inlineStr">
        <is>
          <t>Storage</t>
        </is>
      </c>
      <c r="E1064" s="18">
        <f>IFERROR(TRACKER!G1064,"Not Started")</f>
        <v/>
      </c>
      <c r="F1064" s="53">
        <f>IFERROR('[Storage.xlsx]CP-9-2'!B21,"")</f>
        <v/>
      </c>
      <c r="G1064" s="53" t="inlineStr"/>
      <c r="H1064" s="53" t="inlineStr"/>
      <c r="I1064" s="18" t="inlineStr"/>
      <c r="J1064" s="19" t="inlineStr"/>
      <c r="K1064" s="22" t="inlineStr"/>
      <c r="L1064" s="18" t="inlineStr">
        <is>
          <t>Not Started</t>
        </is>
      </c>
    </row>
    <row r="1065" ht="42" customHeight="1">
      <c r="A1065" s="11" t="n">
        <v>1063</v>
      </c>
      <c r="B1065" s="50" t="inlineStr">
        <is>
          <t>CP-9(3)</t>
        </is>
      </c>
      <c r="C1065" s="11" t="inlineStr">
        <is>
          <t>CP</t>
        </is>
      </c>
      <c r="D1065" s="12" t="inlineStr">
        <is>
          <t>Storage</t>
        </is>
      </c>
      <c r="E1065" s="11">
        <f>IFERROR(TRACKER!G1065,"Not Started")</f>
        <v/>
      </c>
      <c r="F1065" s="51">
        <f>IFERROR('[Storage.xlsx]CP-9-3'!B21,"")</f>
        <v/>
      </c>
      <c r="G1065" s="51" t="inlineStr"/>
      <c r="H1065" s="51" t="inlineStr"/>
      <c r="I1065" s="11" t="inlineStr"/>
      <c r="J1065" s="12" t="inlineStr"/>
      <c r="K1065" s="17" t="inlineStr"/>
      <c r="L1065" s="11" t="inlineStr">
        <is>
          <t>Not Started</t>
        </is>
      </c>
    </row>
    <row r="1066" ht="42" customHeight="1">
      <c r="A1066" s="18" t="n">
        <v>1064</v>
      </c>
      <c r="B1066" s="52" t="inlineStr">
        <is>
          <t>CP-9(5)</t>
        </is>
      </c>
      <c r="C1066" s="18" t="inlineStr">
        <is>
          <t>CP</t>
        </is>
      </c>
      <c r="D1066" s="19" t="inlineStr">
        <is>
          <t>Storage</t>
        </is>
      </c>
      <c r="E1066" s="18">
        <f>IFERROR(TRACKER!G1066,"Not Started")</f>
        <v/>
      </c>
      <c r="F1066" s="53">
        <f>IFERROR('[Storage.xlsx]CP-9-5'!B21,"")</f>
        <v/>
      </c>
      <c r="G1066" s="53" t="inlineStr"/>
      <c r="H1066" s="53" t="inlineStr"/>
      <c r="I1066" s="18" t="inlineStr"/>
      <c r="J1066" s="19" t="inlineStr"/>
      <c r="K1066" s="22" t="inlineStr"/>
      <c r="L1066" s="18" t="inlineStr">
        <is>
          <t>Not Started</t>
        </is>
      </c>
    </row>
    <row r="1067" ht="42" customHeight="1">
      <c r="A1067" s="11" t="n">
        <v>1065</v>
      </c>
      <c r="B1067" s="50" t="inlineStr">
        <is>
          <t>CP-9(7)</t>
        </is>
      </c>
      <c r="C1067" s="11" t="inlineStr">
        <is>
          <t>CP</t>
        </is>
      </c>
      <c r="D1067" s="12" t="inlineStr">
        <is>
          <t>Storage</t>
        </is>
      </c>
      <c r="E1067" s="11">
        <f>IFERROR(TRACKER!G1067,"Not Started")</f>
        <v/>
      </c>
      <c r="F1067" s="51">
        <f>IFERROR('[Storage.xlsx]CP-9-7'!B21,"")</f>
        <v/>
      </c>
      <c r="G1067" s="51" t="inlineStr"/>
      <c r="H1067" s="51" t="inlineStr"/>
      <c r="I1067" s="11" t="inlineStr"/>
      <c r="J1067" s="12" t="inlineStr"/>
      <c r="K1067" s="17" t="inlineStr"/>
      <c r="L1067" s="11" t="inlineStr">
        <is>
          <t>Not Started</t>
        </is>
      </c>
    </row>
    <row r="1068" ht="42" customHeight="1">
      <c r="A1068" s="18" t="n">
        <v>1066</v>
      </c>
      <c r="B1068" s="52" t="inlineStr">
        <is>
          <t>CP-10</t>
        </is>
      </c>
      <c r="C1068" s="18" t="inlineStr">
        <is>
          <t>CP</t>
        </is>
      </c>
      <c r="D1068" s="19" t="inlineStr">
        <is>
          <t>Storage</t>
        </is>
      </c>
      <c r="E1068" s="18">
        <f>IFERROR(TRACKER!G1068,"Not Started")</f>
        <v/>
      </c>
      <c r="F1068" s="53">
        <f>IFERROR('[Storage.xlsx]CP-10'!B21,"")</f>
        <v/>
      </c>
      <c r="G1068" s="53" t="inlineStr"/>
      <c r="H1068" s="53" t="inlineStr"/>
      <c r="I1068" s="18" t="inlineStr"/>
      <c r="J1068" s="19" t="inlineStr"/>
      <c r="K1068" s="22" t="inlineStr"/>
      <c r="L1068" s="18" t="inlineStr">
        <is>
          <t>Not Started</t>
        </is>
      </c>
    </row>
    <row r="1069" ht="42" customHeight="1">
      <c r="A1069" s="11" t="n">
        <v>1067</v>
      </c>
      <c r="B1069" s="50" t="inlineStr">
        <is>
          <t>CP-10(4)</t>
        </is>
      </c>
      <c r="C1069" s="11" t="inlineStr">
        <is>
          <t>CP</t>
        </is>
      </c>
      <c r="D1069" s="12" t="inlineStr">
        <is>
          <t>Storage</t>
        </is>
      </c>
      <c r="E1069" s="11">
        <f>IFERROR(TRACKER!G1069,"Not Started")</f>
        <v/>
      </c>
      <c r="F1069" s="51">
        <f>IFERROR('[Storage.xlsx]CP-10-4'!B21,"")</f>
        <v/>
      </c>
      <c r="G1069" s="51" t="inlineStr"/>
      <c r="H1069" s="51" t="inlineStr"/>
      <c r="I1069" s="11" t="inlineStr"/>
      <c r="J1069" s="12" t="inlineStr"/>
      <c r="K1069" s="17" t="inlineStr"/>
      <c r="L1069" s="11" t="inlineStr">
        <is>
          <t>Not Started</t>
        </is>
      </c>
    </row>
    <row r="1070" ht="42" customHeight="1">
      <c r="A1070" s="18" t="n">
        <v>1068</v>
      </c>
      <c r="B1070" s="52" t="inlineStr">
        <is>
          <t>SA-9(5)</t>
        </is>
      </c>
      <c r="C1070" s="18" t="inlineStr">
        <is>
          <t>SA</t>
        </is>
      </c>
      <c r="D1070" s="19" t="inlineStr">
        <is>
          <t>Storage</t>
        </is>
      </c>
      <c r="E1070" s="18">
        <f>IFERROR(TRACKER!G1070,"Not Started")</f>
        <v/>
      </c>
      <c r="F1070" s="53">
        <f>IFERROR('[Storage.xlsx]SA-9-5'!B21,"")</f>
        <v/>
      </c>
      <c r="G1070" s="53" t="inlineStr"/>
      <c r="H1070" s="53" t="inlineStr"/>
      <c r="I1070" s="18" t="inlineStr"/>
      <c r="J1070" s="19" t="inlineStr"/>
      <c r="K1070" s="22" t="inlineStr"/>
      <c r="L1070" s="18" t="inlineStr">
        <is>
          <t>Not Started</t>
        </is>
      </c>
    </row>
    <row r="1071" ht="42" customHeight="1">
      <c r="A1071" s="11" t="n">
        <v>1069</v>
      </c>
      <c r="B1071" s="50" t="inlineStr">
        <is>
          <t>SC-4</t>
        </is>
      </c>
      <c r="C1071" s="11" t="inlineStr">
        <is>
          <t>SC</t>
        </is>
      </c>
      <c r="D1071" s="12" t="inlineStr">
        <is>
          <t>Storage</t>
        </is>
      </c>
      <c r="E1071" s="11">
        <f>IFERROR(TRACKER!G1071,"Not Started")</f>
        <v/>
      </c>
      <c r="F1071" s="51">
        <f>IFERROR('[Storage.xlsx]SC-4'!B21,"")</f>
        <v/>
      </c>
      <c r="G1071" s="51" t="inlineStr"/>
      <c r="H1071" s="51" t="inlineStr"/>
      <c r="I1071" s="11" t="inlineStr"/>
      <c r="J1071" s="12" t="inlineStr"/>
      <c r="K1071" s="17" t="inlineStr"/>
      <c r="L1071" s="11" t="inlineStr">
        <is>
          <t>Not Started</t>
        </is>
      </c>
    </row>
    <row r="1072" ht="42" customHeight="1">
      <c r="A1072" s="18" t="n">
        <v>1070</v>
      </c>
      <c r="B1072" s="52" t="inlineStr">
        <is>
          <t>SC-13</t>
        </is>
      </c>
      <c r="C1072" s="18" t="inlineStr">
        <is>
          <t>SC</t>
        </is>
      </c>
      <c r="D1072" s="19" t="inlineStr">
        <is>
          <t>Storage</t>
        </is>
      </c>
      <c r="E1072" s="18">
        <f>IFERROR(TRACKER!G1072,"Not Started")</f>
        <v/>
      </c>
      <c r="F1072" s="53">
        <f>IFERROR('[Storage.xlsx]SC-13'!B21,"")</f>
        <v/>
      </c>
      <c r="G1072" s="53" t="inlineStr"/>
      <c r="H1072" s="53" t="inlineStr"/>
      <c r="I1072" s="18" t="inlineStr"/>
      <c r="J1072" s="19" t="inlineStr"/>
      <c r="K1072" s="22" t="inlineStr"/>
      <c r="L1072" s="18" t="inlineStr">
        <is>
          <t>Not Started</t>
        </is>
      </c>
    </row>
    <row r="1073" ht="42" customHeight="1">
      <c r="A1073" s="11" t="n">
        <v>1071</v>
      </c>
      <c r="B1073" s="50" t="inlineStr">
        <is>
          <t>SC-28</t>
        </is>
      </c>
      <c r="C1073" s="11" t="inlineStr">
        <is>
          <t>SC</t>
        </is>
      </c>
      <c r="D1073" s="12" t="inlineStr">
        <is>
          <t>Storage</t>
        </is>
      </c>
      <c r="E1073" s="11">
        <f>IFERROR(TRACKER!G1073,"Not Started")</f>
        <v/>
      </c>
      <c r="F1073" s="51">
        <f>IFERROR('[Storage.xlsx]SC-28'!B21,"")</f>
        <v/>
      </c>
      <c r="G1073" s="51" t="inlineStr"/>
      <c r="H1073" s="51" t="inlineStr"/>
      <c r="I1073" s="11" t="inlineStr"/>
      <c r="J1073" s="12" t="inlineStr"/>
      <c r="K1073" s="17" t="inlineStr"/>
      <c r="L1073" s="11" t="inlineStr">
        <is>
          <t>Not Started</t>
        </is>
      </c>
    </row>
    <row r="1074" ht="42" customHeight="1">
      <c r="A1074" s="18" t="n">
        <v>1072</v>
      </c>
      <c r="B1074" s="52" t="inlineStr">
        <is>
          <t>SC-28(1)</t>
        </is>
      </c>
      <c r="C1074" s="18" t="inlineStr">
        <is>
          <t>SC</t>
        </is>
      </c>
      <c r="D1074" s="19" t="inlineStr">
        <is>
          <t>Storage</t>
        </is>
      </c>
      <c r="E1074" s="18">
        <f>IFERROR(TRACKER!G1074,"Not Started")</f>
        <v/>
      </c>
      <c r="F1074" s="53">
        <f>IFERROR('[Storage.xlsx]SC-28-1'!B21,"")</f>
        <v/>
      </c>
      <c r="G1074" s="53" t="inlineStr"/>
      <c r="H1074" s="53" t="inlineStr"/>
      <c r="I1074" s="18" t="inlineStr"/>
      <c r="J1074" s="19" t="inlineStr"/>
      <c r="K1074" s="22" t="inlineStr"/>
      <c r="L1074" s="18" t="inlineStr">
        <is>
          <t>Not Started</t>
        </is>
      </c>
    </row>
    <row r="1075" ht="42" customHeight="1">
      <c r="A1075" s="11" t="n">
        <v>1073</v>
      </c>
      <c r="B1075" s="50" t="inlineStr">
        <is>
          <t>SI-4(2)</t>
        </is>
      </c>
      <c r="C1075" s="11" t="inlineStr">
        <is>
          <t>SI</t>
        </is>
      </c>
      <c r="D1075" s="12" t="inlineStr">
        <is>
          <t>Storage</t>
        </is>
      </c>
      <c r="E1075" s="11">
        <f>IFERROR(TRACKER!G1075,"Not Started")</f>
        <v/>
      </c>
      <c r="F1075" s="51">
        <f>IFERROR('[Storage.xlsx]SI-4-2'!B21,"")</f>
        <v/>
      </c>
      <c r="G1075" s="51" t="inlineStr"/>
      <c r="H1075" s="51" t="inlineStr"/>
      <c r="I1075" s="11" t="inlineStr"/>
      <c r="J1075" s="12" t="inlineStr"/>
      <c r="K1075" s="17" t="inlineStr"/>
      <c r="L1075" s="11" t="inlineStr">
        <is>
          <t>Not Started</t>
        </is>
      </c>
    </row>
    <row r="1076" ht="42" customHeight="1">
      <c r="A1076" s="18" t="n">
        <v>1074</v>
      </c>
      <c r="B1076" s="52" t="inlineStr">
        <is>
          <t>SI-6</t>
        </is>
      </c>
      <c r="C1076" s="18" t="inlineStr">
        <is>
          <t>SI</t>
        </is>
      </c>
      <c r="D1076" s="19" t="inlineStr">
        <is>
          <t>Storage</t>
        </is>
      </c>
      <c r="E1076" s="18">
        <f>IFERROR(TRACKER!G1076,"Not Started")</f>
        <v/>
      </c>
      <c r="F1076" s="53">
        <f>IFERROR('[Storage.xlsx]SI-6'!B21,"")</f>
        <v/>
      </c>
      <c r="G1076" s="53" t="inlineStr"/>
      <c r="H1076" s="53" t="inlineStr"/>
      <c r="I1076" s="18" t="inlineStr"/>
      <c r="J1076" s="19" t="inlineStr"/>
      <c r="K1076" s="22" t="inlineStr"/>
      <c r="L1076" s="18" t="inlineStr">
        <is>
          <t>Not Started</t>
        </is>
      </c>
    </row>
    <row r="1077" ht="42" customHeight="1">
      <c r="A1077" s="11" t="n">
        <v>1075</v>
      </c>
      <c r="B1077" s="50" t="inlineStr">
        <is>
          <t>AC-2(2)</t>
        </is>
      </c>
      <c r="C1077" s="11" t="inlineStr">
        <is>
          <t>AC</t>
        </is>
      </c>
      <c r="D1077" s="12" t="inlineStr">
        <is>
          <t>Tenable Nessus</t>
        </is>
      </c>
      <c r="E1077" s="11">
        <f>IFERROR(TRACKER!G1077,"Not Started")</f>
        <v/>
      </c>
      <c r="F1077" s="51">
        <f>IFERROR('[Tenable_Nessus.xlsx]AC-2-2'!B21,"")</f>
        <v/>
      </c>
      <c r="G1077" s="51" t="inlineStr"/>
      <c r="H1077" s="51" t="inlineStr"/>
      <c r="I1077" s="11" t="inlineStr"/>
      <c r="J1077" s="12" t="inlineStr"/>
      <c r="K1077" s="17" t="inlineStr"/>
      <c r="L1077" s="11" t="inlineStr">
        <is>
          <t>Not Started</t>
        </is>
      </c>
    </row>
    <row r="1078" ht="42" customHeight="1">
      <c r="A1078" s="18" t="n">
        <v>1076</v>
      </c>
      <c r="B1078" s="52" t="inlineStr">
        <is>
          <t>AC-2(3)</t>
        </is>
      </c>
      <c r="C1078" s="18" t="inlineStr">
        <is>
          <t>AC</t>
        </is>
      </c>
      <c r="D1078" s="19" t="inlineStr">
        <is>
          <t>Tenable Nessus</t>
        </is>
      </c>
      <c r="E1078" s="18">
        <f>IFERROR(TRACKER!G1078,"Not Started")</f>
        <v/>
      </c>
      <c r="F1078" s="53">
        <f>IFERROR('[Tenable_Nessus.xlsx]AC-2-3'!B21,"")</f>
        <v/>
      </c>
      <c r="G1078" s="53" t="inlineStr"/>
      <c r="H1078" s="53" t="inlineStr"/>
      <c r="I1078" s="18" t="inlineStr"/>
      <c r="J1078" s="19" t="inlineStr"/>
      <c r="K1078" s="22" t="inlineStr"/>
      <c r="L1078" s="18" t="inlineStr">
        <is>
          <t>Not Started</t>
        </is>
      </c>
    </row>
    <row r="1079" ht="42" customHeight="1">
      <c r="A1079" s="11" t="n">
        <v>1077</v>
      </c>
      <c r="B1079" s="50" t="inlineStr">
        <is>
          <t>AC-2(4)</t>
        </is>
      </c>
      <c r="C1079" s="11" t="inlineStr">
        <is>
          <t>AC</t>
        </is>
      </c>
      <c r="D1079" s="12" t="inlineStr">
        <is>
          <t>Tenable Nessus</t>
        </is>
      </c>
      <c r="E1079" s="11">
        <f>IFERROR(TRACKER!G1079,"Not Started")</f>
        <v/>
      </c>
      <c r="F1079" s="51">
        <f>IFERROR('[Tenable_Nessus.xlsx]AC-2-4'!B21,"")</f>
        <v/>
      </c>
      <c r="G1079" s="51" t="inlineStr"/>
      <c r="H1079" s="51" t="inlineStr"/>
      <c r="I1079" s="11" t="inlineStr"/>
      <c r="J1079" s="12" t="inlineStr"/>
      <c r="K1079" s="17" t="inlineStr"/>
      <c r="L1079" s="11" t="inlineStr">
        <is>
          <t>Not Started</t>
        </is>
      </c>
    </row>
    <row r="1080" ht="42" customHeight="1">
      <c r="A1080" s="18" t="n">
        <v>1078</v>
      </c>
      <c r="B1080" s="52" t="inlineStr">
        <is>
          <t>AU-2</t>
        </is>
      </c>
      <c r="C1080" s="18" t="inlineStr">
        <is>
          <t>AU</t>
        </is>
      </c>
      <c r="D1080" s="19" t="inlineStr">
        <is>
          <t>Tenable Nessus</t>
        </is>
      </c>
      <c r="E1080" s="18">
        <f>IFERROR(TRACKER!G1080,"Not Started")</f>
        <v/>
      </c>
      <c r="F1080" s="53">
        <f>IFERROR('[Tenable_Nessus.xlsx]AU-2'!B21,"")</f>
        <v/>
      </c>
      <c r="G1080" s="53" t="inlineStr"/>
      <c r="H1080" s="53" t="inlineStr"/>
      <c r="I1080" s="18" t="inlineStr"/>
      <c r="J1080" s="19" t="inlineStr"/>
      <c r="K1080" s="22" t="inlineStr"/>
      <c r="L1080" s="18" t="inlineStr">
        <is>
          <t>Not Started</t>
        </is>
      </c>
    </row>
    <row r="1081" ht="42" customHeight="1">
      <c r="A1081" s="11" t="n">
        <v>1079</v>
      </c>
      <c r="B1081" s="50" t="inlineStr">
        <is>
          <t>AU-3</t>
        </is>
      </c>
      <c r="C1081" s="11" t="inlineStr">
        <is>
          <t>AU</t>
        </is>
      </c>
      <c r="D1081" s="12" t="inlineStr">
        <is>
          <t>Tenable Nessus</t>
        </is>
      </c>
      <c r="E1081" s="11">
        <f>IFERROR(TRACKER!G1081,"Not Started")</f>
        <v/>
      </c>
      <c r="F1081" s="51">
        <f>IFERROR('[Tenable_Nessus.xlsx]AU-3'!B21,"")</f>
        <v/>
      </c>
      <c r="G1081" s="51" t="inlineStr"/>
      <c r="H1081" s="51" t="inlineStr"/>
      <c r="I1081" s="11" t="inlineStr"/>
      <c r="J1081" s="12" t="inlineStr"/>
      <c r="K1081" s="17" t="inlineStr"/>
      <c r="L1081" s="11" t="inlineStr">
        <is>
          <t>Not Started</t>
        </is>
      </c>
    </row>
    <row r="1082" ht="42" customHeight="1">
      <c r="A1082" s="18" t="n">
        <v>1080</v>
      </c>
      <c r="B1082" s="52" t="inlineStr">
        <is>
          <t>AU-3(1)</t>
        </is>
      </c>
      <c r="C1082" s="18" t="inlineStr">
        <is>
          <t>AU</t>
        </is>
      </c>
      <c r="D1082" s="19" t="inlineStr">
        <is>
          <t>Tenable Nessus</t>
        </is>
      </c>
      <c r="E1082" s="18">
        <f>IFERROR(TRACKER!G1082,"Not Started")</f>
        <v/>
      </c>
      <c r="F1082" s="53">
        <f>IFERROR('[Tenable_Nessus.xlsx]AU-3-1'!B21,"")</f>
        <v/>
      </c>
      <c r="G1082" s="53" t="inlineStr"/>
      <c r="H1082" s="53" t="inlineStr"/>
      <c r="I1082" s="18" t="inlineStr"/>
      <c r="J1082" s="19" t="inlineStr"/>
      <c r="K1082" s="22" t="inlineStr"/>
      <c r="L1082" s="18" t="inlineStr">
        <is>
          <t>Not Started</t>
        </is>
      </c>
    </row>
    <row r="1083" ht="42" customHeight="1">
      <c r="A1083" s="11" t="n">
        <v>1081</v>
      </c>
      <c r="B1083" s="50" t="inlineStr">
        <is>
          <t>AU-8</t>
        </is>
      </c>
      <c r="C1083" s="11" t="inlineStr">
        <is>
          <t>AU</t>
        </is>
      </c>
      <c r="D1083" s="12" t="inlineStr">
        <is>
          <t>Tenable Nessus</t>
        </is>
      </c>
      <c r="E1083" s="11">
        <f>IFERROR(TRACKER!G1083,"Not Started")</f>
        <v/>
      </c>
      <c r="F1083" s="51">
        <f>IFERROR('[Tenable_Nessus.xlsx]AU-8'!B21,"")</f>
        <v/>
      </c>
      <c r="G1083" s="51" t="inlineStr"/>
      <c r="H1083" s="51" t="inlineStr"/>
      <c r="I1083" s="11" t="inlineStr"/>
      <c r="J1083" s="12" t="inlineStr"/>
      <c r="K1083" s="17" t="inlineStr"/>
      <c r="L1083" s="11" t="inlineStr">
        <is>
          <t>Not Started</t>
        </is>
      </c>
    </row>
    <row r="1084" ht="42" customHeight="1">
      <c r="A1084" s="18" t="n">
        <v>1082</v>
      </c>
      <c r="B1084" s="52" t="inlineStr">
        <is>
          <t>AU-8(1)</t>
        </is>
      </c>
      <c r="C1084" s="18" t="inlineStr">
        <is>
          <t>AU</t>
        </is>
      </c>
      <c r="D1084" s="19" t="inlineStr">
        <is>
          <t>Tenable Nessus</t>
        </is>
      </c>
      <c r="E1084" s="18">
        <f>IFERROR(TRACKER!G1084,"Not Started")</f>
        <v/>
      </c>
      <c r="F1084" s="53">
        <f>IFERROR('[Tenable_Nessus.xlsx]AU-8-1'!B21,"")</f>
        <v/>
      </c>
      <c r="G1084" s="53" t="inlineStr"/>
      <c r="H1084" s="53" t="inlineStr"/>
      <c r="I1084" s="18" t="inlineStr"/>
      <c r="J1084" s="19" t="inlineStr"/>
      <c r="K1084" s="22" t="inlineStr"/>
      <c r="L1084" s="18" t="inlineStr">
        <is>
          <t>Not Started</t>
        </is>
      </c>
    </row>
    <row r="1085" ht="42" customHeight="1">
      <c r="A1085" s="11" t="n">
        <v>1083</v>
      </c>
      <c r="B1085" s="50" t="inlineStr">
        <is>
          <t>AU-12</t>
        </is>
      </c>
      <c r="C1085" s="11" t="inlineStr">
        <is>
          <t>AU</t>
        </is>
      </c>
      <c r="D1085" s="12" t="inlineStr">
        <is>
          <t>Tenable Nessus</t>
        </is>
      </c>
      <c r="E1085" s="11">
        <f>IFERROR(TRACKER!G1085,"Not Started")</f>
        <v/>
      </c>
      <c r="F1085" s="51">
        <f>IFERROR('[Tenable_Nessus.xlsx]AU-12'!B21,"")</f>
        <v/>
      </c>
      <c r="G1085" s="51" t="inlineStr"/>
      <c r="H1085" s="51" t="inlineStr"/>
      <c r="I1085" s="11" t="inlineStr"/>
      <c r="J1085" s="12" t="inlineStr"/>
      <c r="K1085" s="17" t="inlineStr"/>
      <c r="L1085" s="11" t="inlineStr">
        <is>
          <t>Not Started</t>
        </is>
      </c>
    </row>
    <row r="1086" ht="42" customHeight="1">
      <c r="A1086" s="18" t="n">
        <v>1084</v>
      </c>
      <c r="B1086" s="52" t="inlineStr">
        <is>
          <t>CA-2(2)</t>
        </is>
      </c>
      <c r="C1086" s="18" t="inlineStr">
        <is>
          <t>CA</t>
        </is>
      </c>
      <c r="D1086" s="19" t="inlineStr">
        <is>
          <t>Tenable Nessus</t>
        </is>
      </c>
      <c r="E1086" s="18">
        <f>IFERROR(TRACKER!G1086,"Not Started")</f>
        <v/>
      </c>
      <c r="F1086" s="53">
        <f>IFERROR('[Tenable_Nessus.xlsx]CA-2-2'!B21,"")</f>
        <v/>
      </c>
      <c r="G1086" s="53" t="inlineStr"/>
      <c r="H1086" s="53" t="inlineStr"/>
      <c r="I1086" s="18" t="inlineStr"/>
      <c r="J1086" s="19" t="inlineStr"/>
      <c r="K1086" s="22" t="inlineStr"/>
      <c r="L1086" s="18" t="inlineStr">
        <is>
          <t>Not Started</t>
        </is>
      </c>
    </row>
    <row r="1087" ht="42" customHeight="1">
      <c r="A1087" s="11" t="n">
        <v>1085</v>
      </c>
      <c r="B1087" s="50" t="inlineStr">
        <is>
          <t>CA-9</t>
        </is>
      </c>
      <c r="C1087" s="11" t="inlineStr">
        <is>
          <t>CA</t>
        </is>
      </c>
      <c r="D1087" s="12" t="inlineStr">
        <is>
          <t>Tenable Nessus</t>
        </is>
      </c>
      <c r="E1087" s="11">
        <f>IFERROR(TRACKER!G1087,"Not Started")</f>
        <v/>
      </c>
      <c r="F1087" s="51">
        <f>IFERROR('[Tenable_Nessus.xlsx]CA-9'!B21,"")</f>
        <v/>
      </c>
      <c r="G1087" s="51" t="inlineStr"/>
      <c r="H1087" s="51" t="inlineStr"/>
      <c r="I1087" s="11" t="inlineStr"/>
      <c r="J1087" s="12" t="inlineStr"/>
      <c r="K1087" s="17" t="inlineStr"/>
      <c r="L1087" s="11" t="inlineStr">
        <is>
          <t>Not Started</t>
        </is>
      </c>
    </row>
    <row r="1088" ht="42" customHeight="1">
      <c r="A1088" s="18" t="n">
        <v>1086</v>
      </c>
      <c r="B1088" s="52" t="inlineStr">
        <is>
          <t>CM-2</t>
        </is>
      </c>
      <c r="C1088" s="18" t="inlineStr">
        <is>
          <t>CM</t>
        </is>
      </c>
      <c r="D1088" s="19" t="inlineStr">
        <is>
          <t>Tenable Nessus</t>
        </is>
      </c>
      <c r="E1088" s="18">
        <f>IFERROR(TRACKER!G1088,"Not Started")</f>
        <v/>
      </c>
      <c r="F1088" s="53">
        <f>IFERROR('[Tenable_Nessus.xlsx]CM-2'!B21,"")</f>
        <v/>
      </c>
      <c r="G1088" s="53" t="inlineStr"/>
      <c r="H1088" s="53" t="inlineStr"/>
      <c r="I1088" s="18" t="inlineStr"/>
      <c r="J1088" s="19" t="inlineStr"/>
      <c r="K1088" s="22" t="inlineStr"/>
      <c r="L1088" s="18" t="inlineStr">
        <is>
          <t>Not Started</t>
        </is>
      </c>
    </row>
    <row r="1089" ht="42" customHeight="1">
      <c r="A1089" s="11" t="n">
        <v>1087</v>
      </c>
      <c r="B1089" s="50" t="inlineStr">
        <is>
          <t>CM-2(1)</t>
        </is>
      </c>
      <c r="C1089" s="11" t="inlineStr">
        <is>
          <t>CM</t>
        </is>
      </c>
      <c r="D1089" s="12" t="inlineStr">
        <is>
          <t>Tenable Nessus</t>
        </is>
      </c>
      <c r="E1089" s="11">
        <f>IFERROR(TRACKER!G1089,"Not Started")</f>
        <v/>
      </c>
      <c r="F1089" s="51">
        <f>IFERROR('[Tenable_Nessus.xlsx]CM-2-1'!B21,"")</f>
        <v/>
      </c>
      <c r="G1089" s="51" t="inlineStr"/>
      <c r="H1089" s="51" t="inlineStr"/>
      <c r="I1089" s="11" t="inlineStr"/>
      <c r="J1089" s="12" t="inlineStr"/>
      <c r="K1089" s="17" t="inlineStr"/>
      <c r="L1089" s="11" t="inlineStr">
        <is>
          <t>Not Started</t>
        </is>
      </c>
    </row>
    <row r="1090" ht="42" customHeight="1">
      <c r="A1090" s="18" t="n">
        <v>1088</v>
      </c>
      <c r="B1090" s="52" t="inlineStr">
        <is>
          <t>CM-6</t>
        </is>
      </c>
      <c r="C1090" s="18" t="inlineStr">
        <is>
          <t>CM</t>
        </is>
      </c>
      <c r="D1090" s="19" t="inlineStr">
        <is>
          <t>Tenable Nessus</t>
        </is>
      </c>
      <c r="E1090" s="18">
        <f>IFERROR(TRACKER!G1090,"Not Started")</f>
        <v/>
      </c>
      <c r="F1090" s="53">
        <f>IFERROR('[Tenable_Nessus.xlsx]CM-6'!B21,"")</f>
        <v/>
      </c>
      <c r="G1090" s="53" t="inlineStr"/>
      <c r="H1090" s="53" t="inlineStr"/>
      <c r="I1090" s="18" t="inlineStr"/>
      <c r="J1090" s="19" t="inlineStr"/>
      <c r="K1090" s="22" t="inlineStr"/>
      <c r="L1090" s="18" t="inlineStr">
        <is>
          <t>Not Started</t>
        </is>
      </c>
    </row>
    <row r="1091" ht="42" customHeight="1">
      <c r="A1091" s="11" t="n">
        <v>1089</v>
      </c>
      <c r="B1091" s="50" t="inlineStr">
        <is>
          <t>CM-7</t>
        </is>
      </c>
      <c r="C1091" s="11" t="inlineStr">
        <is>
          <t>CM</t>
        </is>
      </c>
      <c r="D1091" s="12" t="inlineStr">
        <is>
          <t>Tenable Nessus</t>
        </is>
      </c>
      <c r="E1091" s="11">
        <f>IFERROR(TRACKER!G1091,"Not Started")</f>
        <v/>
      </c>
      <c r="F1091" s="51">
        <f>IFERROR('[Tenable_Nessus.xlsx]CM-7'!B21,"")</f>
        <v/>
      </c>
      <c r="G1091" s="51" t="inlineStr"/>
      <c r="H1091" s="51" t="inlineStr"/>
      <c r="I1091" s="11" t="inlineStr"/>
      <c r="J1091" s="12" t="inlineStr"/>
      <c r="K1091" s="17" t="inlineStr"/>
      <c r="L1091" s="11" t="inlineStr">
        <is>
          <t>Not Started</t>
        </is>
      </c>
    </row>
    <row r="1092" ht="42" customHeight="1">
      <c r="A1092" s="18" t="n">
        <v>1090</v>
      </c>
      <c r="B1092" s="52" t="inlineStr">
        <is>
          <t>CM-7(1)</t>
        </is>
      </c>
      <c r="C1092" s="18" t="inlineStr">
        <is>
          <t>CM</t>
        </is>
      </c>
      <c r="D1092" s="19" t="inlineStr">
        <is>
          <t>Tenable Nessus</t>
        </is>
      </c>
      <c r="E1092" s="18">
        <f>IFERROR(TRACKER!G1092,"Not Started")</f>
        <v/>
      </c>
      <c r="F1092" s="53">
        <f>IFERROR('[Tenable_Nessus.xlsx]CM-7-1'!B21,"")</f>
        <v/>
      </c>
      <c r="G1092" s="53" t="inlineStr"/>
      <c r="H1092" s="53" t="inlineStr"/>
      <c r="I1092" s="18" t="inlineStr"/>
      <c r="J1092" s="19" t="inlineStr"/>
      <c r="K1092" s="22" t="inlineStr"/>
      <c r="L1092" s="18" t="inlineStr">
        <is>
          <t>Not Started</t>
        </is>
      </c>
    </row>
    <row r="1093" ht="42" customHeight="1">
      <c r="A1093" s="11" t="n">
        <v>1091</v>
      </c>
      <c r="B1093" s="50" t="inlineStr">
        <is>
          <t>CP-7</t>
        </is>
      </c>
      <c r="C1093" s="11" t="inlineStr">
        <is>
          <t>CP</t>
        </is>
      </c>
      <c r="D1093" s="12" t="inlineStr">
        <is>
          <t>Tenable Nessus</t>
        </is>
      </c>
      <c r="E1093" s="11">
        <f>IFERROR(TRACKER!G1093,"Not Started")</f>
        <v/>
      </c>
      <c r="F1093" s="51">
        <f>IFERROR('[Tenable_Nessus.xlsx]CP-7'!B21,"")</f>
        <v/>
      </c>
      <c r="G1093" s="51" t="inlineStr"/>
      <c r="H1093" s="51" t="inlineStr"/>
      <c r="I1093" s="11" t="inlineStr"/>
      <c r="J1093" s="12" t="inlineStr"/>
      <c r="K1093" s="17" t="inlineStr"/>
      <c r="L1093" s="11" t="inlineStr">
        <is>
          <t>Not Started</t>
        </is>
      </c>
    </row>
    <row r="1094" ht="42" customHeight="1">
      <c r="A1094" s="18" t="n">
        <v>1092</v>
      </c>
      <c r="B1094" s="52" t="inlineStr">
        <is>
          <t>CP-7(1)</t>
        </is>
      </c>
      <c r="C1094" s="18" t="inlineStr">
        <is>
          <t>CP</t>
        </is>
      </c>
      <c r="D1094" s="19" t="inlineStr">
        <is>
          <t>Tenable Nessus</t>
        </is>
      </c>
      <c r="E1094" s="18">
        <f>IFERROR(TRACKER!G1094,"Not Started")</f>
        <v/>
      </c>
      <c r="F1094" s="53">
        <f>IFERROR('[Tenable_Nessus.xlsx]CP-7-1'!B21,"")</f>
        <v/>
      </c>
      <c r="G1094" s="53" t="inlineStr"/>
      <c r="H1094" s="53" t="inlineStr"/>
      <c r="I1094" s="18" t="inlineStr"/>
      <c r="J1094" s="19" t="inlineStr"/>
      <c r="K1094" s="22" t="inlineStr"/>
      <c r="L1094" s="18" t="inlineStr">
        <is>
          <t>Not Started</t>
        </is>
      </c>
    </row>
    <row r="1095" ht="42" customHeight="1">
      <c r="A1095" s="11" t="n">
        <v>1093</v>
      </c>
      <c r="B1095" s="50" t="inlineStr">
        <is>
          <t>CP-7(4)</t>
        </is>
      </c>
      <c r="C1095" s="11" t="inlineStr">
        <is>
          <t>CP</t>
        </is>
      </c>
      <c r="D1095" s="12" t="inlineStr">
        <is>
          <t>Tenable Nessus</t>
        </is>
      </c>
      <c r="E1095" s="11">
        <f>IFERROR(TRACKER!G1095,"Not Started")</f>
        <v/>
      </c>
      <c r="F1095" s="51">
        <f>IFERROR('[Tenable_Nessus.xlsx]CP-7-4'!B21,"")</f>
        <v/>
      </c>
      <c r="G1095" s="51" t="inlineStr"/>
      <c r="H1095" s="51" t="inlineStr"/>
      <c r="I1095" s="11" t="inlineStr"/>
      <c r="J1095" s="12" t="inlineStr"/>
      <c r="K1095" s="17" t="inlineStr"/>
      <c r="L1095" s="11" t="inlineStr">
        <is>
          <t>Not Started</t>
        </is>
      </c>
    </row>
    <row r="1096" ht="42" customHeight="1">
      <c r="A1096" s="18" t="n">
        <v>1094</v>
      </c>
      <c r="B1096" s="52" t="inlineStr">
        <is>
          <t>CP-9</t>
        </is>
      </c>
      <c r="C1096" s="18" t="inlineStr">
        <is>
          <t>CP</t>
        </is>
      </c>
      <c r="D1096" s="19" t="inlineStr">
        <is>
          <t>Tenable Nessus</t>
        </is>
      </c>
      <c r="E1096" s="18">
        <f>IFERROR(TRACKER!G1096,"Not Started")</f>
        <v/>
      </c>
      <c r="F1096" s="53">
        <f>IFERROR('[Tenable_Nessus.xlsx]CP-9'!B21,"")</f>
        <v/>
      </c>
      <c r="G1096" s="53" t="inlineStr"/>
      <c r="H1096" s="53" t="inlineStr"/>
      <c r="I1096" s="18" t="inlineStr"/>
      <c r="J1096" s="19" t="inlineStr"/>
      <c r="K1096" s="22" t="inlineStr"/>
      <c r="L1096" s="18" t="inlineStr">
        <is>
          <t>Not Started</t>
        </is>
      </c>
    </row>
    <row r="1097" ht="42" customHeight="1">
      <c r="A1097" s="11" t="n">
        <v>1095</v>
      </c>
      <c r="B1097" s="50" t="inlineStr">
        <is>
          <t>CP-10</t>
        </is>
      </c>
      <c r="C1097" s="11" t="inlineStr">
        <is>
          <t>CP</t>
        </is>
      </c>
      <c r="D1097" s="12" t="inlineStr">
        <is>
          <t>Tenable Nessus</t>
        </is>
      </c>
      <c r="E1097" s="11">
        <f>IFERROR(TRACKER!G1097,"Not Started")</f>
        <v/>
      </c>
      <c r="F1097" s="51">
        <f>IFERROR('[Tenable_Nessus.xlsx]CP-10'!B21,"")</f>
        <v/>
      </c>
      <c r="G1097" s="51" t="inlineStr"/>
      <c r="H1097" s="51" t="inlineStr"/>
      <c r="I1097" s="11" t="inlineStr"/>
      <c r="J1097" s="12" t="inlineStr"/>
      <c r="K1097" s="17" t="inlineStr"/>
      <c r="L1097" s="11" t="inlineStr">
        <is>
          <t>Not Started</t>
        </is>
      </c>
    </row>
    <row r="1098" ht="42" customHeight="1">
      <c r="A1098" s="18" t="n">
        <v>1096</v>
      </c>
      <c r="B1098" s="52" t="inlineStr">
        <is>
          <t>CP-10(4)</t>
        </is>
      </c>
      <c r="C1098" s="18" t="inlineStr">
        <is>
          <t>CP</t>
        </is>
      </c>
      <c r="D1098" s="19" t="inlineStr">
        <is>
          <t>Tenable Nessus</t>
        </is>
      </c>
      <c r="E1098" s="18">
        <f>IFERROR(TRACKER!G1098,"Not Started")</f>
        <v/>
      </c>
      <c r="F1098" s="53">
        <f>IFERROR('[Tenable_Nessus.xlsx]CP-10-4'!B21,"")</f>
        <v/>
      </c>
      <c r="G1098" s="53" t="inlineStr"/>
      <c r="H1098" s="53" t="inlineStr"/>
      <c r="I1098" s="18" t="inlineStr"/>
      <c r="J1098" s="19" t="inlineStr"/>
      <c r="K1098" s="22" t="inlineStr"/>
      <c r="L1098" s="18" t="inlineStr">
        <is>
          <t>Not Started</t>
        </is>
      </c>
    </row>
    <row r="1099" ht="42" customHeight="1">
      <c r="A1099" s="11" t="n">
        <v>1097</v>
      </c>
      <c r="B1099" s="50" t="inlineStr">
        <is>
          <t>RA-5</t>
        </is>
      </c>
      <c r="C1099" s="11" t="inlineStr">
        <is>
          <t>RA</t>
        </is>
      </c>
      <c r="D1099" s="12" t="inlineStr">
        <is>
          <t>Tenable Nessus</t>
        </is>
      </c>
      <c r="E1099" s="11">
        <f>IFERROR(TRACKER!G1099,"Not Started")</f>
        <v/>
      </c>
      <c r="F1099" s="51">
        <f>IFERROR('[Tenable_Nessus.xlsx]RA-5'!B21,"")</f>
        <v/>
      </c>
      <c r="G1099" s="51" t="inlineStr"/>
      <c r="H1099" s="51" t="inlineStr"/>
      <c r="I1099" s="11" t="inlineStr"/>
      <c r="J1099" s="12" t="inlineStr"/>
      <c r="K1099" s="17" t="inlineStr"/>
      <c r="L1099" s="11" t="inlineStr">
        <is>
          <t>Not Started</t>
        </is>
      </c>
    </row>
    <row r="1100" ht="42" customHeight="1">
      <c r="A1100" s="18" t="n">
        <v>1098</v>
      </c>
      <c r="B1100" s="52" t="inlineStr">
        <is>
          <t>RA-5(1)</t>
        </is>
      </c>
      <c r="C1100" s="18" t="inlineStr">
        <is>
          <t>RA</t>
        </is>
      </c>
      <c r="D1100" s="19" t="inlineStr">
        <is>
          <t>Tenable Nessus</t>
        </is>
      </c>
      <c r="E1100" s="18">
        <f>IFERROR(TRACKER!G1100,"Not Started")</f>
        <v/>
      </c>
      <c r="F1100" s="53">
        <f>IFERROR('[Tenable_Nessus.xlsx]RA-5-1'!B21,"")</f>
        <v/>
      </c>
      <c r="G1100" s="53" t="inlineStr"/>
      <c r="H1100" s="53" t="inlineStr"/>
      <c r="I1100" s="18" t="inlineStr"/>
      <c r="J1100" s="19" t="inlineStr"/>
      <c r="K1100" s="22" t="inlineStr"/>
      <c r="L1100" s="18" t="inlineStr">
        <is>
          <t>Not Started</t>
        </is>
      </c>
    </row>
    <row r="1101" ht="42" customHeight="1">
      <c r="A1101" s="11" t="n">
        <v>1099</v>
      </c>
      <c r="B1101" s="50" t="inlineStr">
        <is>
          <t>RA-5(2)</t>
        </is>
      </c>
      <c r="C1101" s="11" t="inlineStr">
        <is>
          <t>RA</t>
        </is>
      </c>
      <c r="D1101" s="12" t="inlineStr">
        <is>
          <t>Tenable Nessus</t>
        </is>
      </c>
      <c r="E1101" s="11">
        <f>IFERROR(TRACKER!G1101,"Not Started")</f>
        <v/>
      </c>
      <c r="F1101" s="51">
        <f>IFERROR('[Tenable_Nessus.xlsx]RA-5-2'!B21,"")</f>
        <v/>
      </c>
      <c r="G1101" s="51" t="inlineStr"/>
      <c r="H1101" s="51" t="inlineStr"/>
      <c r="I1101" s="11" t="inlineStr"/>
      <c r="J1101" s="12" t="inlineStr"/>
      <c r="K1101" s="17" t="inlineStr"/>
      <c r="L1101" s="11" t="inlineStr">
        <is>
          <t>Not Started</t>
        </is>
      </c>
    </row>
    <row r="1102" ht="42" customHeight="1">
      <c r="A1102" s="18" t="n">
        <v>1100</v>
      </c>
      <c r="B1102" s="52" t="inlineStr">
        <is>
          <t>RA-5(3)</t>
        </is>
      </c>
      <c r="C1102" s="18" t="inlineStr">
        <is>
          <t>RA</t>
        </is>
      </c>
      <c r="D1102" s="19" t="inlineStr">
        <is>
          <t>Tenable Nessus</t>
        </is>
      </c>
      <c r="E1102" s="18">
        <f>IFERROR(TRACKER!G1102,"Not Started")</f>
        <v/>
      </c>
      <c r="F1102" s="53">
        <f>IFERROR('[Tenable_Nessus.xlsx]RA-5-3'!B21,"")</f>
        <v/>
      </c>
      <c r="G1102" s="53" t="inlineStr"/>
      <c r="H1102" s="53" t="inlineStr"/>
      <c r="I1102" s="18" t="inlineStr"/>
      <c r="J1102" s="19" t="inlineStr"/>
      <c r="K1102" s="22" t="inlineStr"/>
      <c r="L1102" s="18" t="inlineStr">
        <is>
          <t>Not Started</t>
        </is>
      </c>
    </row>
    <row r="1103" ht="42" customHeight="1">
      <c r="A1103" s="11" t="n">
        <v>1101</v>
      </c>
      <c r="B1103" s="50" t="inlineStr">
        <is>
          <t>RA-5(5)</t>
        </is>
      </c>
      <c r="C1103" s="11" t="inlineStr">
        <is>
          <t>RA</t>
        </is>
      </c>
      <c r="D1103" s="12" t="inlineStr">
        <is>
          <t>Tenable Nessus</t>
        </is>
      </c>
      <c r="E1103" s="11">
        <f>IFERROR(TRACKER!G1103,"Not Started")</f>
        <v/>
      </c>
      <c r="F1103" s="51">
        <f>IFERROR('[Tenable_Nessus.xlsx]RA-5-5'!B21,"")</f>
        <v/>
      </c>
      <c r="G1103" s="51" t="inlineStr"/>
      <c r="H1103" s="51" t="inlineStr"/>
      <c r="I1103" s="11" t="inlineStr"/>
      <c r="J1103" s="12" t="inlineStr"/>
      <c r="K1103" s="17" t="inlineStr"/>
      <c r="L1103" s="11" t="inlineStr">
        <is>
          <t>Not Started</t>
        </is>
      </c>
    </row>
    <row r="1104" ht="42" customHeight="1">
      <c r="A1104" s="18" t="n">
        <v>1102</v>
      </c>
      <c r="B1104" s="52" t="inlineStr">
        <is>
          <t>RA-5(6)</t>
        </is>
      </c>
      <c r="C1104" s="18" t="inlineStr">
        <is>
          <t>RA</t>
        </is>
      </c>
      <c r="D1104" s="19" t="inlineStr">
        <is>
          <t>Tenable Nessus</t>
        </is>
      </c>
      <c r="E1104" s="18">
        <f>IFERROR(TRACKER!G1104,"Not Started")</f>
        <v/>
      </c>
      <c r="F1104" s="53">
        <f>IFERROR('[Tenable_Nessus.xlsx]RA-5-6'!B21,"")</f>
        <v/>
      </c>
      <c r="G1104" s="53" t="inlineStr"/>
      <c r="H1104" s="53" t="inlineStr"/>
      <c r="I1104" s="18" t="inlineStr"/>
      <c r="J1104" s="19" t="inlineStr"/>
      <c r="K1104" s="22" t="inlineStr"/>
      <c r="L1104" s="18" t="inlineStr">
        <is>
          <t>Not Started</t>
        </is>
      </c>
    </row>
    <row r="1105" ht="42" customHeight="1">
      <c r="A1105" s="11" t="n">
        <v>1103</v>
      </c>
      <c r="B1105" s="50" t="inlineStr">
        <is>
          <t>RA-5(8)</t>
        </is>
      </c>
      <c r="C1105" s="11" t="inlineStr">
        <is>
          <t>RA</t>
        </is>
      </c>
      <c r="D1105" s="12" t="inlineStr">
        <is>
          <t>Tenable Nessus</t>
        </is>
      </c>
      <c r="E1105" s="11">
        <f>IFERROR(TRACKER!G1105,"Not Started")</f>
        <v/>
      </c>
      <c r="F1105" s="51">
        <f>IFERROR('[Tenable_Nessus.xlsx]RA-5-8'!B21,"")</f>
        <v/>
      </c>
      <c r="G1105" s="51" t="inlineStr"/>
      <c r="H1105" s="51" t="inlineStr"/>
      <c r="I1105" s="11" t="inlineStr"/>
      <c r="J1105" s="12" t="inlineStr"/>
      <c r="K1105" s="17" t="inlineStr"/>
      <c r="L1105" s="11" t="inlineStr">
        <is>
          <t>Not Started</t>
        </is>
      </c>
    </row>
    <row r="1106" ht="42" customHeight="1">
      <c r="A1106" s="18" t="n">
        <v>1104</v>
      </c>
      <c r="B1106" s="52" t="inlineStr">
        <is>
          <t>SA-4</t>
        </is>
      </c>
      <c r="C1106" s="18" t="inlineStr">
        <is>
          <t>SA</t>
        </is>
      </c>
      <c r="D1106" s="19" t="inlineStr">
        <is>
          <t>Tenable Nessus</t>
        </is>
      </c>
      <c r="E1106" s="18">
        <f>IFERROR(TRACKER!G1106,"Not Started")</f>
        <v/>
      </c>
      <c r="F1106" s="53">
        <f>IFERROR('[Tenable_Nessus.xlsx]SA-4'!B21,"")</f>
        <v/>
      </c>
      <c r="G1106" s="53" t="inlineStr"/>
      <c r="H1106" s="53" t="inlineStr"/>
      <c r="I1106" s="18" t="inlineStr"/>
      <c r="J1106" s="19" t="inlineStr"/>
      <c r="K1106" s="22" t="inlineStr"/>
      <c r="L1106" s="18" t="inlineStr">
        <is>
          <t>Not Started</t>
        </is>
      </c>
    </row>
    <row r="1107" ht="42" customHeight="1">
      <c r="A1107" s="11" t="n">
        <v>1105</v>
      </c>
      <c r="B1107" s="50" t="inlineStr">
        <is>
          <t>SA-4(1)</t>
        </is>
      </c>
      <c r="C1107" s="11" t="inlineStr">
        <is>
          <t>SA</t>
        </is>
      </c>
      <c r="D1107" s="12" t="inlineStr">
        <is>
          <t>Tenable Nessus</t>
        </is>
      </c>
      <c r="E1107" s="11">
        <f>IFERROR(TRACKER!G1107,"Not Started")</f>
        <v/>
      </c>
      <c r="F1107" s="51">
        <f>IFERROR('[Tenable_Nessus.xlsx]SA-4-1'!B21,"")</f>
        <v/>
      </c>
      <c r="G1107" s="51" t="inlineStr"/>
      <c r="H1107" s="51" t="inlineStr"/>
      <c r="I1107" s="11" t="inlineStr"/>
      <c r="J1107" s="12" t="inlineStr"/>
      <c r="K1107" s="17" t="inlineStr"/>
      <c r="L1107" s="11" t="inlineStr">
        <is>
          <t>Not Started</t>
        </is>
      </c>
    </row>
    <row r="1108" ht="42" customHeight="1">
      <c r="A1108" s="18" t="n">
        <v>1106</v>
      </c>
      <c r="B1108" s="52" t="inlineStr">
        <is>
          <t>SA-4(2)</t>
        </is>
      </c>
      <c r="C1108" s="18" t="inlineStr">
        <is>
          <t>SA</t>
        </is>
      </c>
      <c r="D1108" s="19" t="inlineStr">
        <is>
          <t>Tenable Nessus</t>
        </is>
      </c>
      <c r="E1108" s="18">
        <f>IFERROR(TRACKER!G1108,"Not Started")</f>
        <v/>
      </c>
      <c r="F1108" s="53">
        <f>IFERROR('[Tenable_Nessus.xlsx]SA-4-2'!B21,"")</f>
        <v/>
      </c>
      <c r="G1108" s="53" t="inlineStr"/>
      <c r="H1108" s="53" t="inlineStr"/>
      <c r="I1108" s="18" t="inlineStr"/>
      <c r="J1108" s="19" t="inlineStr"/>
      <c r="K1108" s="22" t="inlineStr"/>
      <c r="L1108" s="18" t="inlineStr">
        <is>
          <t>Not Started</t>
        </is>
      </c>
    </row>
    <row r="1109" ht="42" customHeight="1">
      <c r="A1109" s="11" t="n">
        <v>1107</v>
      </c>
      <c r="B1109" s="50" t="inlineStr">
        <is>
          <t>SA-4(8)</t>
        </is>
      </c>
      <c r="C1109" s="11" t="inlineStr">
        <is>
          <t>SA</t>
        </is>
      </c>
      <c r="D1109" s="12" t="inlineStr">
        <is>
          <t>Tenable Nessus</t>
        </is>
      </c>
      <c r="E1109" s="11">
        <f>IFERROR(TRACKER!G1109,"Not Started")</f>
        <v/>
      </c>
      <c r="F1109" s="51">
        <f>IFERROR('[Tenable_Nessus.xlsx]SA-4-8'!B21,"")</f>
        <v/>
      </c>
      <c r="G1109" s="51" t="inlineStr"/>
      <c r="H1109" s="51" t="inlineStr"/>
      <c r="I1109" s="11" t="inlineStr"/>
      <c r="J1109" s="12" t="inlineStr"/>
      <c r="K1109" s="17" t="inlineStr"/>
      <c r="L1109" s="11" t="inlineStr">
        <is>
          <t>Not Started</t>
        </is>
      </c>
    </row>
    <row r="1110" ht="42" customHeight="1">
      <c r="A1110" s="18" t="n">
        <v>1108</v>
      </c>
      <c r="B1110" s="52" t="inlineStr">
        <is>
          <t>SA-4(9)</t>
        </is>
      </c>
      <c r="C1110" s="18" t="inlineStr">
        <is>
          <t>SA</t>
        </is>
      </c>
      <c r="D1110" s="19" t="inlineStr">
        <is>
          <t>Tenable Nessus</t>
        </is>
      </c>
      <c r="E1110" s="18">
        <f>IFERROR(TRACKER!G1110,"Not Started")</f>
        <v/>
      </c>
      <c r="F1110" s="53">
        <f>IFERROR('[Tenable_Nessus.xlsx]SA-4-9'!B21,"")</f>
        <v/>
      </c>
      <c r="G1110" s="53" t="inlineStr"/>
      <c r="H1110" s="53" t="inlineStr"/>
      <c r="I1110" s="18" t="inlineStr"/>
      <c r="J1110" s="19" t="inlineStr"/>
      <c r="K1110" s="22" t="inlineStr"/>
      <c r="L1110" s="18" t="inlineStr">
        <is>
          <t>Not Started</t>
        </is>
      </c>
    </row>
    <row r="1111" ht="42" customHeight="1">
      <c r="A1111" s="11" t="n">
        <v>1109</v>
      </c>
      <c r="B1111" s="50" t="inlineStr">
        <is>
          <t>SA-5</t>
        </is>
      </c>
      <c r="C1111" s="11" t="inlineStr">
        <is>
          <t>SA</t>
        </is>
      </c>
      <c r="D1111" s="12" t="inlineStr">
        <is>
          <t>Tenable Nessus</t>
        </is>
      </c>
      <c r="E1111" s="11">
        <f>IFERROR(TRACKER!G1111,"Not Started")</f>
        <v/>
      </c>
      <c r="F1111" s="51">
        <f>IFERROR('[Tenable_Nessus.xlsx]SA-5'!B21,"")</f>
        <v/>
      </c>
      <c r="G1111" s="51" t="inlineStr"/>
      <c r="H1111" s="51" t="inlineStr"/>
      <c r="I1111" s="11" t="inlineStr"/>
      <c r="J1111" s="12" t="inlineStr"/>
      <c r="K1111" s="17" t="inlineStr"/>
      <c r="L1111" s="11" t="inlineStr">
        <is>
          <t>Not Started</t>
        </is>
      </c>
    </row>
    <row r="1112" ht="42" customHeight="1">
      <c r="A1112" s="18" t="n">
        <v>1110</v>
      </c>
      <c r="B1112" s="52" t="inlineStr">
        <is>
          <t>SA-9(2)</t>
        </is>
      </c>
      <c r="C1112" s="18" t="inlineStr">
        <is>
          <t>SA</t>
        </is>
      </c>
      <c r="D1112" s="19" t="inlineStr">
        <is>
          <t>Tenable Nessus</t>
        </is>
      </c>
      <c r="E1112" s="18">
        <f>IFERROR(TRACKER!G1112,"Not Started")</f>
        <v/>
      </c>
      <c r="F1112" s="53">
        <f>IFERROR('[Tenable_Nessus.xlsx]SA-9-2'!B21,"")</f>
        <v/>
      </c>
      <c r="G1112" s="53" t="inlineStr"/>
      <c r="H1112" s="53" t="inlineStr"/>
      <c r="I1112" s="18" t="inlineStr"/>
      <c r="J1112" s="19" t="inlineStr"/>
      <c r="K1112" s="22" t="inlineStr"/>
      <c r="L1112" s="18" t="inlineStr">
        <is>
          <t>Not Started</t>
        </is>
      </c>
    </row>
    <row r="1113" ht="42" customHeight="1">
      <c r="A1113" s="11" t="n">
        <v>1111</v>
      </c>
      <c r="B1113" s="50" t="inlineStr">
        <is>
          <t>SA-9(5)</t>
        </is>
      </c>
      <c r="C1113" s="11" t="inlineStr">
        <is>
          <t>SA</t>
        </is>
      </c>
      <c r="D1113" s="12" t="inlineStr">
        <is>
          <t>Tenable Nessus</t>
        </is>
      </c>
      <c r="E1113" s="11">
        <f>IFERROR(TRACKER!G1113,"Not Started")</f>
        <v/>
      </c>
      <c r="F1113" s="51">
        <f>IFERROR('[Tenable_Nessus.xlsx]SA-9-5'!B21,"")</f>
        <v/>
      </c>
      <c r="G1113" s="51" t="inlineStr"/>
      <c r="H1113" s="51" t="inlineStr"/>
      <c r="I1113" s="11" t="inlineStr"/>
      <c r="J1113" s="12" t="inlineStr"/>
      <c r="K1113" s="17" t="inlineStr"/>
      <c r="L1113" s="11" t="inlineStr">
        <is>
          <t>Not Started</t>
        </is>
      </c>
    </row>
    <row r="1114" ht="42" customHeight="1">
      <c r="A1114" s="18" t="n">
        <v>1112</v>
      </c>
      <c r="B1114" s="52" t="inlineStr">
        <is>
          <t>SA-11(2)</t>
        </is>
      </c>
      <c r="C1114" s="18" t="inlineStr">
        <is>
          <t>SA</t>
        </is>
      </c>
      <c r="D1114" s="19" t="inlineStr">
        <is>
          <t>Tenable Nessus</t>
        </is>
      </c>
      <c r="E1114" s="18">
        <f>IFERROR(TRACKER!G1114,"Not Started")</f>
        <v/>
      </c>
      <c r="F1114" s="53">
        <f>IFERROR('[Tenable_Nessus.xlsx]SA-11-2'!B21,"")</f>
        <v/>
      </c>
      <c r="G1114" s="53" t="inlineStr"/>
      <c r="H1114" s="53" t="inlineStr"/>
      <c r="I1114" s="18" t="inlineStr"/>
      <c r="J1114" s="19" t="inlineStr"/>
      <c r="K1114" s="22" t="inlineStr"/>
      <c r="L1114" s="18" t="inlineStr">
        <is>
          <t>Not Started</t>
        </is>
      </c>
    </row>
    <row r="1115" ht="42" customHeight="1">
      <c r="A1115" s="11" t="n">
        <v>1113</v>
      </c>
      <c r="B1115" s="50" t="inlineStr">
        <is>
          <t>SA-11(8)</t>
        </is>
      </c>
      <c r="C1115" s="11" t="inlineStr">
        <is>
          <t>SA</t>
        </is>
      </c>
      <c r="D1115" s="12" t="inlineStr">
        <is>
          <t>Tenable Nessus</t>
        </is>
      </c>
      <c r="E1115" s="11">
        <f>IFERROR(TRACKER!G1115,"Not Started")</f>
        <v/>
      </c>
      <c r="F1115" s="51">
        <f>IFERROR('[Tenable_Nessus.xlsx]SA-11-8'!B21,"")</f>
        <v/>
      </c>
      <c r="G1115" s="51" t="inlineStr"/>
      <c r="H1115" s="51" t="inlineStr"/>
      <c r="I1115" s="11" t="inlineStr"/>
      <c r="J1115" s="12" t="inlineStr"/>
      <c r="K1115" s="17" t="inlineStr"/>
      <c r="L1115" s="11" t="inlineStr">
        <is>
          <t>Not Started</t>
        </is>
      </c>
    </row>
    <row r="1116" ht="42" customHeight="1">
      <c r="A1116" s="18" t="n">
        <v>1114</v>
      </c>
      <c r="B1116" s="52" t="inlineStr">
        <is>
          <t>SC-2</t>
        </is>
      </c>
      <c r="C1116" s="18" t="inlineStr">
        <is>
          <t>SC</t>
        </is>
      </c>
      <c r="D1116" s="19" t="inlineStr">
        <is>
          <t>Tenable Nessus</t>
        </is>
      </c>
      <c r="E1116" s="18">
        <f>IFERROR(TRACKER!G1116,"Not Started")</f>
        <v/>
      </c>
      <c r="F1116" s="53">
        <f>IFERROR('[Tenable_Nessus.xlsx]SC-2'!B21,"")</f>
        <v/>
      </c>
      <c r="G1116" s="53" t="inlineStr"/>
      <c r="H1116" s="53" t="inlineStr"/>
      <c r="I1116" s="18" t="inlineStr"/>
      <c r="J1116" s="19" t="inlineStr"/>
      <c r="K1116" s="22" t="inlineStr"/>
      <c r="L1116" s="18" t="inlineStr">
        <is>
          <t>Not Started</t>
        </is>
      </c>
    </row>
    <row r="1117" ht="42" customHeight="1">
      <c r="A1117" s="11" t="n">
        <v>1115</v>
      </c>
      <c r="B1117" s="50" t="inlineStr">
        <is>
          <t>SC-7(13)</t>
        </is>
      </c>
      <c r="C1117" s="11" t="inlineStr">
        <is>
          <t>SC</t>
        </is>
      </c>
      <c r="D1117" s="12" t="inlineStr">
        <is>
          <t>Tenable Nessus</t>
        </is>
      </c>
      <c r="E1117" s="11">
        <f>IFERROR(TRACKER!G1117,"Not Started")</f>
        <v/>
      </c>
      <c r="F1117" s="51">
        <f>IFERROR('[Tenable_Nessus.xlsx]SC-7-13'!B21,"")</f>
        <v/>
      </c>
      <c r="G1117" s="51" t="inlineStr"/>
      <c r="H1117" s="51" t="inlineStr"/>
      <c r="I1117" s="11" t="inlineStr"/>
      <c r="J1117" s="12" t="inlineStr"/>
      <c r="K1117" s="17" t="inlineStr"/>
      <c r="L1117" s="11" t="inlineStr">
        <is>
          <t>Not Started</t>
        </is>
      </c>
    </row>
    <row r="1118" ht="42" customHeight="1">
      <c r="A1118" s="18" t="n">
        <v>1116</v>
      </c>
      <c r="B1118" s="52" t="inlineStr">
        <is>
          <t>SC-8</t>
        </is>
      </c>
      <c r="C1118" s="18" t="inlineStr">
        <is>
          <t>SC</t>
        </is>
      </c>
      <c r="D1118" s="19" t="inlineStr">
        <is>
          <t>Tenable Nessus</t>
        </is>
      </c>
      <c r="E1118" s="18">
        <f>IFERROR(TRACKER!G1118,"Not Started")</f>
        <v/>
      </c>
      <c r="F1118" s="53">
        <f>IFERROR('[Tenable_Nessus.xlsx]SC-8'!B21,"")</f>
        <v/>
      </c>
      <c r="G1118" s="53" t="inlineStr"/>
      <c r="H1118" s="53" t="inlineStr"/>
      <c r="I1118" s="18" t="inlineStr"/>
      <c r="J1118" s="19" t="inlineStr"/>
      <c r="K1118" s="22" t="inlineStr"/>
      <c r="L1118" s="18" t="inlineStr">
        <is>
          <t>Not Started</t>
        </is>
      </c>
    </row>
    <row r="1119" ht="42" customHeight="1">
      <c r="A1119" s="11" t="n">
        <v>1117</v>
      </c>
      <c r="B1119" s="50" t="inlineStr">
        <is>
          <t>SC-8(1)</t>
        </is>
      </c>
      <c r="C1119" s="11" t="inlineStr">
        <is>
          <t>SC</t>
        </is>
      </c>
      <c r="D1119" s="12" t="inlineStr">
        <is>
          <t>Tenable Nessus</t>
        </is>
      </c>
      <c r="E1119" s="11">
        <f>IFERROR(TRACKER!G1119,"Not Started")</f>
        <v/>
      </c>
      <c r="F1119" s="51">
        <f>IFERROR('[Tenable_Nessus.xlsx]SC-8-1'!B21,"")</f>
        <v/>
      </c>
      <c r="G1119" s="51" t="inlineStr"/>
      <c r="H1119" s="51" t="inlineStr"/>
      <c r="I1119" s="11" t="inlineStr"/>
      <c r="J1119" s="12" t="inlineStr"/>
      <c r="K1119" s="17" t="inlineStr"/>
      <c r="L1119" s="11" t="inlineStr">
        <is>
          <t>Not Started</t>
        </is>
      </c>
    </row>
    <row r="1120" ht="42" customHeight="1">
      <c r="A1120" s="18" t="n">
        <v>1118</v>
      </c>
      <c r="B1120" s="52" t="inlineStr">
        <is>
          <t>SC-23</t>
        </is>
      </c>
      <c r="C1120" s="18" t="inlineStr">
        <is>
          <t>SC</t>
        </is>
      </c>
      <c r="D1120" s="19" t="inlineStr">
        <is>
          <t>Tenable Nessus</t>
        </is>
      </c>
      <c r="E1120" s="18">
        <f>IFERROR(TRACKER!G1120,"Not Started")</f>
        <v/>
      </c>
      <c r="F1120" s="53">
        <f>IFERROR('[Tenable_Nessus.xlsx]SC-23'!B21,"")</f>
        <v/>
      </c>
      <c r="G1120" s="53" t="inlineStr"/>
      <c r="H1120" s="53" t="inlineStr"/>
      <c r="I1120" s="18" t="inlineStr"/>
      <c r="J1120" s="19" t="inlineStr"/>
      <c r="K1120" s="22" t="inlineStr"/>
      <c r="L1120" s="18" t="inlineStr">
        <is>
          <t>Not Started</t>
        </is>
      </c>
    </row>
    <row r="1121" ht="42" customHeight="1">
      <c r="A1121" s="11" t="n">
        <v>1119</v>
      </c>
      <c r="B1121" s="50" t="inlineStr">
        <is>
          <t>SC-23(1)</t>
        </is>
      </c>
      <c r="C1121" s="11" t="inlineStr">
        <is>
          <t>SC</t>
        </is>
      </c>
      <c r="D1121" s="12" t="inlineStr">
        <is>
          <t>Tenable Nessus</t>
        </is>
      </c>
      <c r="E1121" s="11">
        <f>IFERROR(TRACKER!G1121,"Not Started")</f>
        <v/>
      </c>
      <c r="F1121" s="51">
        <f>IFERROR('[Tenable_Nessus.xlsx]SC-23-1'!B21,"")</f>
        <v/>
      </c>
      <c r="G1121" s="51" t="inlineStr"/>
      <c r="H1121" s="51" t="inlineStr"/>
      <c r="I1121" s="11" t="inlineStr"/>
      <c r="J1121" s="12" t="inlineStr"/>
      <c r="K1121" s="17" t="inlineStr"/>
      <c r="L1121" s="11" t="inlineStr">
        <is>
          <t>Not Started</t>
        </is>
      </c>
    </row>
    <row r="1122" ht="42" customHeight="1">
      <c r="A1122" s="18" t="n">
        <v>1120</v>
      </c>
      <c r="B1122" s="52" t="inlineStr">
        <is>
          <t>SI-2</t>
        </is>
      </c>
      <c r="C1122" s="18" t="inlineStr">
        <is>
          <t>SI</t>
        </is>
      </c>
      <c r="D1122" s="19" t="inlineStr">
        <is>
          <t>Tenable Nessus</t>
        </is>
      </c>
      <c r="E1122" s="18">
        <f>IFERROR(TRACKER!G1122,"Not Started")</f>
        <v/>
      </c>
      <c r="F1122" s="53">
        <f>IFERROR('[Tenable_Nessus.xlsx]SI-2'!B21,"")</f>
        <v/>
      </c>
      <c r="G1122" s="53" t="inlineStr"/>
      <c r="H1122" s="53" t="inlineStr"/>
      <c r="I1122" s="18" t="inlineStr"/>
      <c r="J1122" s="19" t="inlineStr"/>
      <c r="K1122" s="22" t="inlineStr"/>
      <c r="L1122" s="18" t="inlineStr">
        <is>
          <t>Not Started</t>
        </is>
      </c>
    </row>
    <row r="1123" ht="42" customHeight="1">
      <c r="A1123" s="11" t="n">
        <v>1121</v>
      </c>
      <c r="B1123" s="50" t="inlineStr">
        <is>
          <t>SI-2(2)</t>
        </is>
      </c>
      <c r="C1123" s="11" t="inlineStr">
        <is>
          <t>SI</t>
        </is>
      </c>
      <c r="D1123" s="12" t="inlineStr">
        <is>
          <t>Tenable Nessus</t>
        </is>
      </c>
      <c r="E1123" s="11">
        <f>IFERROR(TRACKER!G1123,"Not Started")</f>
        <v/>
      </c>
      <c r="F1123" s="51">
        <f>IFERROR('[Tenable_Nessus.xlsx]SI-2-2'!B21,"")</f>
        <v/>
      </c>
      <c r="G1123" s="51" t="inlineStr"/>
      <c r="H1123" s="51" t="inlineStr"/>
      <c r="I1123" s="11" t="inlineStr"/>
      <c r="J1123" s="12" t="inlineStr"/>
      <c r="K1123" s="17" t="inlineStr"/>
      <c r="L1123" s="11" t="inlineStr">
        <is>
          <t>Not Started</t>
        </is>
      </c>
    </row>
    <row r="1124" ht="42" customHeight="1">
      <c r="A1124" s="18" t="n">
        <v>1122</v>
      </c>
      <c r="B1124" s="52" t="inlineStr">
        <is>
          <t>SI-4(5)</t>
        </is>
      </c>
      <c r="C1124" s="18" t="inlineStr">
        <is>
          <t>SI</t>
        </is>
      </c>
      <c r="D1124" s="19" t="inlineStr">
        <is>
          <t>Tenable Nessus</t>
        </is>
      </c>
      <c r="E1124" s="18">
        <f>IFERROR(TRACKER!G1124,"Not Started")</f>
        <v/>
      </c>
      <c r="F1124" s="53">
        <f>IFERROR('[Tenable_Nessus.xlsx]SI-4-5'!B21,"")</f>
        <v/>
      </c>
      <c r="G1124" s="53" t="inlineStr"/>
      <c r="H1124" s="53" t="inlineStr"/>
      <c r="I1124" s="18" t="inlineStr"/>
      <c r="J1124" s="19" t="inlineStr"/>
      <c r="K1124" s="22" t="inlineStr"/>
      <c r="L1124" s="18" t="inlineStr">
        <is>
          <t>Not Started</t>
        </is>
      </c>
    </row>
    <row r="1125" ht="42" customHeight="1">
      <c r="A1125" s="11" t="n">
        <v>1123</v>
      </c>
      <c r="B1125" s="50" t="inlineStr">
        <is>
          <t>SI-6</t>
        </is>
      </c>
      <c r="C1125" s="11" t="inlineStr">
        <is>
          <t>SI</t>
        </is>
      </c>
      <c r="D1125" s="12" t="inlineStr">
        <is>
          <t>Tenable Nessus</t>
        </is>
      </c>
      <c r="E1125" s="11">
        <f>IFERROR(TRACKER!G1125,"Not Started")</f>
        <v/>
      </c>
      <c r="F1125" s="51">
        <f>IFERROR('[Tenable_Nessus.xlsx]SI-6'!B21,"")</f>
        <v/>
      </c>
      <c r="G1125" s="51" t="inlineStr"/>
      <c r="H1125" s="51" t="inlineStr"/>
      <c r="I1125" s="11" t="inlineStr"/>
      <c r="J1125" s="12" t="inlineStr"/>
      <c r="K1125" s="17" t="inlineStr"/>
      <c r="L1125" s="11" t="inlineStr">
        <is>
          <t>Not Started</t>
        </is>
      </c>
    </row>
    <row r="1126" ht="42" customHeight="1">
      <c r="A1126" s="18" t="n">
        <v>1124</v>
      </c>
      <c r="B1126" s="52" t="inlineStr">
        <is>
          <t>SI-7</t>
        </is>
      </c>
      <c r="C1126" s="18" t="inlineStr">
        <is>
          <t>SI</t>
        </is>
      </c>
      <c r="D1126" s="19" t="inlineStr">
        <is>
          <t>Tenable Nessus</t>
        </is>
      </c>
      <c r="E1126" s="18">
        <f>IFERROR(TRACKER!G1126,"Not Started")</f>
        <v/>
      </c>
      <c r="F1126" s="53">
        <f>IFERROR('[Tenable_Nessus.xlsx]SI-7'!B21,"")</f>
        <v/>
      </c>
      <c r="G1126" s="53" t="inlineStr"/>
      <c r="H1126" s="53" t="inlineStr"/>
      <c r="I1126" s="18" t="inlineStr"/>
      <c r="J1126" s="19" t="inlineStr"/>
      <c r="K1126" s="22" t="inlineStr"/>
      <c r="L1126" s="18" t="inlineStr">
        <is>
          <t>Not Started</t>
        </is>
      </c>
    </row>
    <row r="1127" ht="42" customHeight="1">
      <c r="A1127" s="11" t="n">
        <v>1125</v>
      </c>
      <c r="B1127" s="50" t="inlineStr">
        <is>
          <t>SI-7(1)</t>
        </is>
      </c>
      <c r="C1127" s="11" t="inlineStr">
        <is>
          <t>SI</t>
        </is>
      </c>
      <c r="D1127" s="12" t="inlineStr">
        <is>
          <t>Tenable Nessus</t>
        </is>
      </c>
      <c r="E1127" s="11">
        <f>IFERROR(TRACKER!G1127,"Not Started")</f>
        <v/>
      </c>
      <c r="F1127" s="51">
        <f>IFERROR('[Tenable_Nessus.xlsx]SI-7-1'!B21,"")</f>
        <v/>
      </c>
      <c r="G1127" s="51" t="inlineStr"/>
      <c r="H1127" s="51" t="inlineStr"/>
      <c r="I1127" s="11" t="inlineStr"/>
      <c r="J1127" s="12" t="inlineStr"/>
      <c r="K1127" s="17" t="inlineStr"/>
      <c r="L1127" s="11" t="inlineStr">
        <is>
          <t>Not Started</t>
        </is>
      </c>
    </row>
    <row r="1128" ht="42" customHeight="1">
      <c r="A1128" s="18" t="n">
        <v>1126</v>
      </c>
      <c r="B1128" s="52" t="inlineStr">
        <is>
          <t>SI-7(7)</t>
        </is>
      </c>
      <c r="C1128" s="18" t="inlineStr">
        <is>
          <t>SI</t>
        </is>
      </c>
      <c r="D1128" s="19" t="inlineStr">
        <is>
          <t>Tenable Nessus</t>
        </is>
      </c>
      <c r="E1128" s="18">
        <f>IFERROR(TRACKER!G1128,"Not Started")</f>
        <v/>
      </c>
      <c r="F1128" s="53">
        <f>IFERROR('[Tenable_Nessus.xlsx]SI-7-7'!B21,"")</f>
        <v/>
      </c>
      <c r="G1128" s="53" t="inlineStr"/>
      <c r="H1128" s="53" t="inlineStr"/>
      <c r="I1128" s="18" t="inlineStr"/>
      <c r="J1128" s="19" t="inlineStr"/>
      <c r="K1128" s="22" t="inlineStr"/>
      <c r="L1128" s="18" t="inlineStr">
        <is>
          <t>Not Started</t>
        </is>
      </c>
    </row>
    <row r="1129" ht="42" customHeight="1">
      <c r="A1129" s="11" t="n">
        <v>1127</v>
      </c>
      <c r="B1129" s="50" t="inlineStr">
        <is>
          <t>SI-11</t>
        </is>
      </c>
      <c r="C1129" s="11" t="inlineStr">
        <is>
          <t>SI</t>
        </is>
      </c>
      <c r="D1129" s="12" t="inlineStr">
        <is>
          <t>Tenable Nessus</t>
        </is>
      </c>
      <c r="E1129" s="11">
        <f>IFERROR(TRACKER!G1129,"Not Started")</f>
        <v/>
      </c>
      <c r="F1129" s="51">
        <f>IFERROR('[Tenable_Nessus.xlsx]SI-11'!B21,"")</f>
        <v/>
      </c>
      <c r="G1129" s="51" t="inlineStr"/>
      <c r="H1129" s="51" t="inlineStr"/>
      <c r="I1129" s="11" t="inlineStr"/>
      <c r="J1129" s="12" t="inlineStr"/>
      <c r="K1129" s="17" t="inlineStr"/>
      <c r="L1129" s="11" t="inlineStr">
        <is>
          <t>Not Started</t>
        </is>
      </c>
    </row>
    <row r="1130" ht="42" customHeight="1">
      <c r="A1130" s="18" t="n">
        <v>1128</v>
      </c>
      <c r="B1130" s="52" t="inlineStr">
        <is>
          <t>SI-12</t>
        </is>
      </c>
      <c r="C1130" s="18" t="inlineStr">
        <is>
          <t>SI</t>
        </is>
      </c>
      <c r="D1130" s="19" t="inlineStr">
        <is>
          <t>Tenable Nessus</t>
        </is>
      </c>
      <c r="E1130" s="18">
        <f>IFERROR(TRACKER!G1130,"Not Started")</f>
        <v/>
      </c>
      <c r="F1130" s="53">
        <f>IFERROR('[Tenable_Nessus.xlsx]SI-12'!B21,"")</f>
        <v/>
      </c>
      <c r="G1130" s="53" t="inlineStr"/>
      <c r="H1130" s="53" t="inlineStr"/>
      <c r="I1130" s="18" t="inlineStr"/>
      <c r="J1130" s="19" t="inlineStr"/>
      <c r="K1130" s="22" t="inlineStr"/>
      <c r="L1130" s="18" t="inlineStr">
        <is>
          <t>Not Started</t>
        </is>
      </c>
    </row>
    <row r="1131" ht="42" customHeight="1">
      <c r="A1131" s="11" t="n">
        <v>1129</v>
      </c>
      <c r="B1131" s="50" t="inlineStr">
        <is>
          <t>AC-2(2)</t>
        </is>
      </c>
      <c r="C1131" s="11" t="inlineStr">
        <is>
          <t>AC</t>
        </is>
      </c>
      <c r="D1131" s="12" t="inlineStr">
        <is>
          <t>Tenable Security Centre+</t>
        </is>
      </c>
      <c r="E1131" s="11">
        <f>IFERROR(TRACKER!G1131,"Not Started")</f>
        <v/>
      </c>
      <c r="F1131" s="51">
        <f>IFERROR('[Tenable_Security_Centre_Plus.xlsx]AC-2-2'!B21,"")</f>
        <v/>
      </c>
      <c r="G1131" s="51" t="inlineStr"/>
      <c r="H1131" s="51" t="inlineStr"/>
      <c r="I1131" s="11" t="inlineStr"/>
      <c r="J1131" s="12" t="inlineStr"/>
      <c r="K1131" s="17" t="inlineStr"/>
      <c r="L1131" s="11" t="inlineStr">
        <is>
          <t>Not Started</t>
        </is>
      </c>
    </row>
    <row r="1132" ht="42" customHeight="1">
      <c r="A1132" s="18" t="n">
        <v>1130</v>
      </c>
      <c r="B1132" s="52" t="inlineStr">
        <is>
          <t>AC-2(3)</t>
        </is>
      </c>
      <c r="C1132" s="18" t="inlineStr">
        <is>
          <t>AC</t>
        </is>
      </c>
      <c r="D1132" s="19" t="inlineStr">
        <is>
          <t>Tenable Security Centre+</t>
        </is>
      </c>
      <c r="E1132" s="18">
        <f>IFERROR(TRACKER!G1132,"Not Started")</f>
        <v/>
      </c>
      <c r="F1132" s="53">
        <f>IFERROR('[Tenable_Security_Centre_Plus.xlsx]AC-2-3'!B21,"")</f>
        <v/>
      </c>
      <c r="G1132" s="53" t="inlineStr"/>
      <c r="H1132" s="53" t="inlineStr"/>
      <c r="I1132" s="18" t="inlineStr"/>
      <c r="J1132" s="19" t="inlineStr"/>
      <c r="K1132" s="22" t="inlineStr"/>
      <c r="L1132" s="18" t="inlineStr">
        <is>
          <t>Not Started</t>
        </is>
      </c>
    </row>
    <row r="1133" ht="42" customHeight="1">
      <c r="A1133" s="11" t="n">
        <v>1131</v>
      </c>
      <c r="B1133" s="50" t="inlineStr">
        <is>
          <t>AC-2(4)</t>
        </is>
      </c>
      <c r="C1133" s="11" t="inlineStr">
        <is>
          <t>AC</t>
        </is>
      </c>
      <c r="D1133" s="12" t="inlineStr">
        <is>
          <t>Tenable Security Centre+</t>
        </is>
      </c>
      <c r="E1133" s="11">
        <f>IFERROR(TRACKER!G1133,"Not Started")</f>
        <v/>
      </c>
      <c r="F1133" s="51">
        <f>IFERROR('[Tenable_Security_Centre_Plus.xlsx]AC-2-4'!B21,"")</f>
        <v/>
      </c>
      <c r="G1133" s="51" t="inlineStr"/>
      <c r="H1133" s="51" t="inlineStr"/>
      <c r="I1133" s="11" t="inlineStr"/>
      <c r="J1133" s="12" t="inlineStr"/>
      <c r="K1133" s="17" t="inlineStr"/>
      <c r="L1133" s="11" t="inlineStr">
        <is>
          <t>Not Started</t>
        </is>
      </c>
    </row>
    <row r="1134" ht="42" customHeight="1">
      <c r="A1134" s="18" t="n">
        <v>1132</v>
      </c>
      <c r="B1134" s="52" t="inlineStr">
        <is>
          <t>AC-3</t>
        </is>
      </c>
      <c r="C1134" s="18" t="inlineStr">
        <is>
          <t>AC</t>
        </is>
      </c>
      <c r="D1134" s="19" t="inlineStr">
        <is>
          <t>Tenable Security Centre+</t>
        </is>
      </c>
      <c r="E1134" s="18">
        <f>IFERROR(TRACKER!G1134,"Not Started")</f>
        <v/>
      </c>
      <c r="F1134" s="53">
        <f>IFERROR('[Tenable_Security_Centre_Plus.xlsx]AC-3'!B21,"")</f>
        <v/>
      </c>
      <c r="G1134" s="53" t="inlineStr"/>
      <c r="H1134" s="53" t="inlineStr"/>
      <c r="I1134" s="18" t="inlineStr"/>
      <c r="J1134" s="19" t="inlineStr"/>
      <c r="K1134" s="22" t="inlineStr"/>
      <c r="L1134" s="18" t="inlineStr">
        <is>
          <t>Not Started</t>
        </is>
      </c>
    </row>
    <row r="1135" ht="42" customHeight="1">
      <c r="A1135" s="11" t="n">
        <v>1133</v>
      </c>
      <c r="B1135" s="50" t="inlineStr">
        <is>
          <t>AC-6</t>
        </is>
      </c>
      <c r="C1135" s="11" t="inlineStr">
        <is>
          <t>AC</t>
        </is>
      </c>
      <c r="D1135" s="12" t="inlineStr">
        <is>
          <t>Tenable Security Centre+</t>
        </is>
      </c>
      <c r="E1135" s="11">
        <f>IFERROR(TRACKER!G1135,"Not Started")</f>
        <v/>
      </c>
      <c r="F1135" s="51">
        <f>IFERROR('[Tenable_Security_Centre_Plus.xlsx]AC-6'!B21,"")</f>
        <v/>
      </c>
      <c r="G1135" s="51" t="inlineStr"/>
      <c r="H1135" s="51" t="inlineStr"/>
      <c r="I1135" s="11" t="inlineStr"/>
      <c r="J1135" s="12" t="inlineStr"/>
      <c r="K1135" s="17" t="inlineStr"/>
      <c r="L1135" s="11" t="inlineStr">
        <is>
          <t>Not Started</t>
        </is>
      </c>
    </row>
    <row r="1136" ht="42" customHeight="1">
      <c r="A1136" s="18" t="n">
        <v>1134</v>
      </c>
      <c r="B1136" s="52" t="inlineStr">
        <is>
          <t>AC-6(1)</t>
        </is>
      </c>
      <c r="C1136" s="18" t="inlineStr">
        <is>
          <t>AC</t>
        </is>
      </c>
      <c r="D1136" s="19" t="inlineStr">
        <is>
          <t>Tenable Security Centre+</t>
        </is>
      </c>
      <c r="E1136" s="18">
        <f>IFERROR(TRACKER!G1136,"Not Started")</f>
        <v/>
      </c>
      <c r="F1136" s="53">
        <f>IFERROR('[Tenable_Security_Centre_Plus.xlsx]AC-6-1'!B21,"")</f>
        <v/>
      </c>
      <c r="G1136" s="53" t="inlineStr"/>
      <c r="H1136" s="53" t="inlineStr"/>
      <c r="I1136" s="18" t="inlineStr"/>
      <c r="J1136" s="19" t="inlineStr"/>
      <c r="K1136" s="22" t="inlineStr"/>
      <c r="L1136" s="18" t="inlineStr">
        <is>
          <t>Not Started</t>
        </is>
      </c>
    </row>
    <row r="1137" ht="42" customHeight="1">
      <c r="A1137" s="11" t="n">
        <v>1135</v>
      </c>
      <c r="B1137" s="50" t="inlineStr">
        <is>
          <t>AC-6(9)</t>
        </is>
      </c>
      <c r="C1137" s="11" t="inlineStr">
        <is>
          <t>AC</t>
        </is>
      </c>
      <c r="D1137" s="12" t="inlineStr">
        <is>
          <t>Tenable Security Centre+</t>
        </is>
      </c>
      <c r="E1137" s="11">
        <f>IFERROR(TRACKER!G1137,"Not Started")</f>
        <v/>
      </c>
      <c r="F1137" s="51">
        <f>IFERROR('[Tenable_Security_Centre_Plus.xlsx]AC-6-9'!B21,"")</f>
        <v/>
      </c>
      <c r="G1137" s="51" t="inlineStr"/>
      <c r="H1137" s="51" t="inlineStr"/>
      <c r="I1137" s="11" t="inlineStr"/>
      <c r="J1137" s="12" t="inlineStr"/>
      <c r="K1137" s="17" t="inlineStr"/>
      <c r="L1137" s="11" t="inlineStr">
        <is>
          <t>Not Started</t>
        </is>
      </c>
    </row>
    <row r="1138" ht="42" customHeight="1">
      <c r="A1138" s="18" t="n">
        <v>1136</v>
      </c>
      <c r="B1138" s="52" t="inlineStr">
        <is>
          <t>AC-6(10)</t>
        </is>
      </c>
      <c r="C1138" s="18" t="inlineStr">
        <is>
          <t>AC</t>
        </is>
      </c>
      <c r="D1138" s="19" t="inlineStr">
        <is>
          <t>Tenable Security Centre+</t>
        </is>
      </c>
      <c r="E1138" s="18">
        <f>IFERROR(TRACKER!G1138,"Not Started")</f>
        <v/>
      </c>
      <c r="F1138" s="53">
        <f>IFERROR('[Tenable_Security_Centre_Plus.xlsx]AC-6-10'!B21,"")</f>
        <v/>
      </c>
      <c r="G1138" s="53" t="inlineStr"/>
      <c r="H1138" s="53" t="inlineStr"/>
      <c r="I1138" s="18" t="inlineStr"/>
      <c r="J1138" s="19" t="inlineStr"/>
      <c r="K1138" s="22" t="inlineStr"/>
      <c r="L1138" s="18" t="inlineStr">
        <is>
          <t>Not Started</t>
        </is>
      </c>
    </row>
    <row r="1139" ht="42" customHeight="1">
      <c r="A1139" s="11" t="n">
        <v>1137</v>
      </c>
      <c r="B1139" s="50" t="inlineStr">
        <is>
          <t>AC-7</t>
        </is>
      </c>
      <c r="C1139" s="11" t="inlineStr">
        <is>
          <t>AC</t>
        </is>
      </c>
      <c r="D1139" s="12" t="inlineStr">
        <is>
          <t>Tenable Security Centre+</t>
        </is>
      </c>
      <c r="E1139" s="11">
        <f>IFERROR(TRACKER!G1139,"Not Started")</f>
        <v/>
      </c>
      <c r="F1139" s="51">
        <f>IFERROR('[Tenable_Security_Centre_Plus.xlsx]AC-7'!B21,"")</f>
        <v/>
      </c>
      <c r="G1139" s="51" t="inlineStr"/>
      <c r="H1139" s="51" t="inlineStr"/>
      <c r="I1139" s="11" t="inlineStr"/>
      <c r="J1139" s="12" t="inlineStr"/>
      <c r="K1139" s="17" t="inlineStr"/>
      <c r="L1139" s="11" t="inlineStr">
        <is>
          <t>Not Started</t>
        </is>
      </c>
    </row>
    <row r="1140" ht="42" customHeight="1">
      <c r="A1140" s="18" t="n">
        <v>1138</v>
      </c>
      <c r="B1140" s="52" t="inlineStr">
        <is>
          <t>AC-17(2)</t>
        </is>
      </c>
      <c r="C1140" s="18" t="inlineStr">
        <is>
          <t>AC</t>
        </is>
      </c>
      <c r="D1140" s="19" t="inlineStr">
        <is>
          <t>Tenable Security Centre+</t>
        </is>
      </c>
      <c r="E1140" s="18">
        <f>IFERROR(TRACKER!G1140,"Not Started")</f>
        <v/>
      </c>
      <c r="F1140" s="53">
        <f>IFERROR('[Tenable_Security_Centre_Plus.xlsx]AC-17-2'!B21,"")</f>
        <v/>
      </c>
      <c r="G1140" s="53" t="inlineStr"/>
      <c r="H1140" s="53" t="inlineStr"/>
      <c r="I1140" s="18" t="inlineStr"/>
      <c r="J1140" s="19" t="inlineStr"/>
      <c r="K1140" s="22" t="inlineStr"/>
      <c r="L1140" s="18" t="inlineStr">
        <is>
          <t>Not Started</t>
        </is>
      </c>
    </row>
    <row r="1141" ht="42" customHeight="1">
      <c r="A1141" s="11" t="n">
        <v>1139</v>
      </c>
      <c r="B1141" s="50" t="inlineStr">
        <is>
          <t>AU-2</t>
        </is>
      </c>
      <c r="C1141" s="11" t="inlineStr">
        <is>
          <t>AU</t>
        </is>
      </c>
      <c r="D1141" s="12" t="inlineStr">
        <is>
          <t>Tenable Security Centre+</t>
        </is>
      </c>
      <c r="E1141" s="11">
        <f>IFERROR(TRACKER!G1141,"Not Started")</f>
        <v/>
      </c>
      <c r="F1141" s="51">
        <f>IFERROR('[Tenable_Security_Centre_Plus.xlsx]AU-2'!B21,"")</f>
        <v/>
      </c>
      <c r="G1141" s="51" t="inlineStr"/>
      <c r="H1141" s="51" t="inlineStr"/>
      <c r="I1141" s="11" t="inlineStr"/>
      <c r="J1141" s="12" t="inlineStr"/>
      <c r="K1141" s="17" t="inlineStr"/>
      <c r="L1141" s="11" t="inlineStr">
        <is>
          <t>Not Started</t>
        </is>
      </c>
    </row>
    <row r="1142" ht="42" customHeight="1">
      <c r="A1142" s="18" t="n">
        <v>1140</v>
      </c>
      <c r="B1142" s="52" t="inlineStr">
        <is>
          <t>AU-3</t>
        </is>
      </c>
      <c r="C1142" s="18" t="inlineStr">
        <is>
          <t>AU</t>
        </is>
      </c>
      <c r="D1142" s="19" t="inlineStr">
        <is>
          <t>Tenable Security Centre+</t>
        </is>
      </c>
      <c r="E1142" s="18">
        <f>IFERROR(TRACKER!G1142,"Not Started")</f>
        <v/>
      </c>
      <c r="F1142" s="53">
        <f>IFERROR('[Tenable_Security_Centre_Plus.xlsx]AU-3'!B21,"")</f>
        <v/>
      </c>
      <c r="G1142" s="53" t="inlineStr"/>
      <c r="H1142" s="53" t="inlineStr"/>
      <c r="I1142" s="18" t="inlineStr"/>
      <c r="J1142" s="19" t="inlineStr"/>
      <c r="K1142" s="22" t="inlineStr"/>
      <c r="L1142" s="18" t="inlineStr">
        <is>
          <t>Not Started</t>
        </is>
      </c>
    </row>
    <row r="1143" ht="42" customHeight="1">
      <c r="A1143" s="11" t="n">
        <v>1141</v>
      </c>
      <c r="B1143" s="50" t="inlineStr">
        <is>
          <t>AU-3(1)</t>
        </is>
      </c>
      <c r="C1143" s="11" t="inlineStr">
        <is>
          <t>AU</t>
        </is>
      </c>
      <c r="D1143" s="12" t="inlineStr">
        <is>
          <t>Tenable Security Centre+</t>
        </is>
      </c>
      <c r="E1143" s="11">
        <f>IFERROR(TRACKER!G1143,"Not Started")</f>
        <v/>
      </c>
      <c r="F1143" s="51">
        <f>IFERROR('[Tenable_Security_Centre_Plus.xlsx]AU-3-1'!B21,"")</f>
        <v/>
      </c>
      <c r="G1143" s="51" t="inlineStr"/>
      <c r="H1143" s="51" t="inlineStr"/>
      <c r="I1143" s="11" t="inlineStr"/>
      <c r="J1143" s="12" t="inlineStr"/>
      <c r="K1143" s="17" t="inlineStr"/>
      <c r="L1143" s="11" t="inlineStr">
        <is>
          <t>Not Started</t>
        </is>
      </c>
    </row>
    <row r="1144" ht="42" customHeight="1">
      <c r="A1144" s="18" t="n">
        <v>1142</v>
      </c>
      <c r="B1144" s="52" t="inlineStr">
        <is>
          <t>AU-8</t>
        </is>
      </c>
      <c r="C1144" s="18" t="inlineStr">
        <is>
          <t>AU</t>
        </is>
      </c>
      <c r="D1144" s="19" t="inlineStr">
        <is>
          <t>Tenable Security Centre+</t>
        </is>
      </c>
      <c r="E1144" s="18">
        <f>IFERROR(TRACKER!G1144,"Not Started")</f>
        <v/>
      </c>
      <c r="F1144" s="53">
        <f>IFERROR('[Tenable_Security_Centre_Plus.xlsx]AU-8'!B21,"")</f>
        <v/>
      </c>
      <c r="G1144" s="53" t="inlineStr"/>
      <c r="H1144" s="53" t="inlineStr"/>
      <c r="I1144" s="18" t="inlineStr"/>
      <c r="J1144" s="19" t="inlineStr"/>
      <c r="K1144" s="22" t="inlineStr"/>
      <c r="L1144" s="18" t="inlineStr">
        <is>
          <t>Not Started</t>
        </is>
      </c>
    </row>
    <row r="1145" ht="42" customHeight="1">
      <c r="A1145" s="11" t="n">
        <v>1143</v>
      </c>
      <c r="B1145" s="50" t="inlineStr">
        <is>
          <t>AU-8(1)</t>
        </is>
      </c>
      <c r="C1145" s="11" t="inlineStr">
        <is>
          <t>AU</t>
        </is>
      </c>
      <c r="D1145" s="12" t="inlineStr">
        <is>
          <t>Tenable Security Centre+</t>
        </is>
      </c>
      <c r="E1145" s="11">
        <f>IFERROR(TRACKER!G1145,"Not Started")</f>
        <v/>
      </c>
      <c r="F1145" s="51">
        <f>IFERROR('[Tenable_Security_Centre_Plus.xlsx]AU-8-1'!B21,"")</f>
        <v/>
      </c>
      <c r="G1145" s="51" t="inlineStr"/>
      <c r="H1145" s="51" t="inlineStr"/>
      <c r="I1145" s="11" t="inlineStr"/>
      <c r="J1145" s="12" t="inlineStr"/>
      <c r="K1145" s="17" t="inlineStr"/>
      <c r="L1145" s="11" t="inlineStr">
        <is>
          <t>Not Started</t>
        </is>
      </c>
    </row>
    <row r="1146" ht="42" customHeight="1">
      <c r="A1146" s="18" t="n">
        <v>1144</v>
      </c>
      <c r="B1146" s="52" t="inlineStr">
        <is>
          <t>AU-12</t>
        </is>
      </c>
      <c r="C1146" s="18" t="inlineStr">
        <is>
          <t>AU</t>
        </is>
      </c>
      <c r="D1146" s="19" t="inlineStr">
        <is>
          <t>Tenable Security Centre+</t>
        </is>
      </c>
      <c r="E1146" s="18">
        <f>IFERROR(TRACKER!G1146,"Not Started")</f>
        <v/>
      </c>
      <c r="F1146" s="53">
        <f>IFERROR('[Tenable_Security_Centre_Plus.xlsx]AU-12'!B21,"")</f>
        <v/>
      </c>
      <c r="G1146" s="53" t="inlineStr"/>
      <c r="H1146" s="53" t="inlineStr"/>
      <c r="I1146" s="18" t="inlineStr"/>
      <c r="J1146" s="19" t="inlineStr"/>
      <c r="K1146" s="22" t="inlineStr"/>
      <c r="L1146" s="18" t="inlineStr">
        <is>
          <t>Not Started</t>
        </is>
      </c>
    </row>
    <row r="1147" ht="42" customHeight="1">
      <c r="A1147" s="11" t="n">
        <v>1145</v>
      </c>
      <c r="B1147" s="50" t="inlineStr">
        <is>
          <t>CA-2(2)</t>
        </is>
      </c>
      <c r="C1147" s="11" t="inlineStr">
        <is>
          <t>CA</t>
        </is>
      </c>
      <c r="D1147" s="12" t="inlineStr">
        <is>
          <t>Tenable Security Centre+</t>
        </is>
      </c>
      <c r="E1147" s="11">
        <f>IFERROR(TRACKER!G1147,"Not Started")</f>
        <v/>
      </c>
      <c r="F1147" s="51">
        <f>IFERROR('[Tenable_Security_Centre_Plus.xlsx]CA-2-2'!B21,"")</f>
        <v/>
      </c>
      <c r="G1147" s="51" t="inlineStr"/>
      <c r="H1147" s="51" t="inlineStr"/>
      <c r="I1147" s="11" t="inlineStr"/>
      <c r="J1147" s="12" t="inlineStr"/>
      <c r="K1147" s="17" t="inlineStr"/>
      <c r="L1147" s="11" t="inlineStr">
        <is>
          <t>Not Started</t>
        </is>
      </c>
    </row>
    <row r="1148" ht="42" customHeight="1">
      <c r="A1148" s="18" t="n">
        <v>1146</v>
      </c>
      <c r="B1148" s="52" t="inlineStr">
        <is>
          <t>CA-9</t>
        </is>
      </c>
      <c r="C1148" s="18" t="inlineStr">
        <is>
          <t>CA</t>
        </is>
      </c>
      <c r="D1148" s="19" t="inlineStr">
        <is>
          <t>Tenable Security Centre+</t>
        </is>
      </c>
      <c r="E1148" s="18">
        <f>IFERROR(TRACKER!G1148,"Not Started")</f>
        <v/>
      </c>
      <c r="F1148" s="53">
        <f>IFERROR('[Tenable_Security_Centre_Plus.xlsx]CA-9'!B21,"")</f>
        <v/>
      </c>
      <c r="G1148" s="53" t="inlineStr"/>
      <c r="H1148" s="53" t="inlineStr"/>
      <c r="I1148" s="18" t="inlineStr"/>
      <c r="J1148" s="19" t="inlineStr"/>
      <c r="K1148" s="22" t="inlineStr"/>
      <c r="L1148" s="18" t="inlineStr">
        <is>
          <t>Not Started</t>
        </is>
      </c>
    </row>
    <row r="1149" ht="42" customHeight="1">
      <c r="A1149" s="11" t="n">
        <v>1147</v>
      </c>
      <c r="B1149" s="50" t="inlineStr">
        <is>
          <t>CM-2</t>
        </is>
      </c>
      <c r="C1149" s="11" t="inlineStr">
        <is>
          <t>CM</t>
        </is>
      </c>
      <c r="D1149" s="12" t="inlineStr">
        <is>
          <t>Tenable Security Centre+</t>
        </is>
      </c>
      <c r="E1149" s="11">
        <f>IFERROR(TRACKER!G1149,"Not Started")</f>
        <v/>
      </c>
      <c r="F1149" s="51">
        <f>IFERROR('[Tenable_Security_Centre_Plus.xlsx]CM-2'!B21,"")</f>
        <v/>
      </c>
      <c r="G1149" s="51" t="inlineStr"/>
      <c r="H1149" s="51" t="inlineStr"/>
      <c r="I1149" s="11" t="inlineStr"/>
      <c r="J1149" s="12" t="inlineStr"/>
      <c r="K1149" s="17" t="inlineStr"/>
      <c r="L1149" s="11" t="inlineStr">
        <is>
          <t>Not Started</t>
        </is>
      </c>
    </row>
    <row r="1150" ht="42" customHeight="1">
      <c r="A1150" s="18" t="n">
        <v>1148</v>
      </c>
      <c r="B1150" s="52" t="inlineStr">
        <is>
          <t>CM-2(1)</t>
        </is>
      </c>
      <c r="C1150" s="18" t="inlineStr">
        <is>
          <t>CM</t>
        </is>
      </c>
      <c r="D1150" s="19" t="inlineStr">
        <is>
          <t>Tenable Security Centre+</t>
        </is>
      </c>
      <c r="E1150" s="18">
        <f>IFERROR(TRACKER!G1150,"Not Started")</f>
        <v/>
      </c>
      <c r="F1150" s="53">
        <f>IFERROR('[Tenable_Security_Centre_Plus.xlsx]CM-2-1'!B21,"")</f>
        <v/>
      </c>
      <c r="G1150" s="53" t="inlineStr"/>
      <c r="H1150" s="53" t="inlineStr"/>
      <c r="I1150" s="18" t="inlineStr"/>
      <c r="J1150" s="19" t="inlineStr"/>
      <c r="K1150" s="22" t="inlineStr"/>
      <c r="L1150" s="18" t="inlineStr">
        <is>
          <t>Not Started</t>
        </is>
      </c>
    </row>
    <row r="1151" ht="42" customHeight="1">
      <c r="A1151" s="11" t="n">
        <v>1149</v>
      </c>
      <c r="B1151" s="50" t="inlineStr">
        <is>
          <t>CM-6</t>
        </is>
      </c>
      <c r="C1151" s="11" t="inlineStr">
        <is>
          <t>CM</t>
        </is>
      </c>
      <c r="D1151" s="12" t="inlineStr">
        <is>
          <t>Tenable Security Centre+</t>
        </is>
      </c>
      <c r="E1151" s="11">
        <f>IFERROR(TRACKER!G1151,"Not Started")</f>
        <v/>
      </c>
      <c r="F1151" s="51">
        <f>IFERROR('[Tenable_Security_Centre_Plus.xlsx]CM-6'!B21,"")</f>
        <v/>
      </c>
      <c r="G1151" s="51" t="inlineStr"/>
      <c r="H1151" s="51" t="inlineStr"/>
      <c r="I1151" s="11" t="inlineStr"/>
      <c r="J1151" s="12" t="inlineStr"/>
      <c r="K1151" s="17" t="inlineStr"/>
      <c r="L1151" s="11" t="inlineStr">
        <is>
          <t>Not Started</t>
        </is>
      </c>
    </row>
    <row r="1152" ht="42" customHeight="1">
      <c r="A1152" s="18" t="n">
        <v>1150</v>
      </c>
      <c r="B1152" s="52" t="inlineStr">
        <is>
          <t>CM-7</t>
        </is>
      </c>
      <c r="C1152" s="18" t="inlineStr">
        <is>
          <t>CM</t>
        </is>
      </c>
      <c r="D1152" s="19" t="inlineStr">
        <is>
          <t>Tenable Security Centre+</t>
        </is>
      </c>
      <c r="E1152" s="18">
        <f>IFERROR(TRACKER!G1152,"Not Started")</f>
        <v/>
      </c>
      <c r="F1152" s="53">
        <f>IFERROR('[Tenable_Security_Centre_Plus.xlsx]CM-7'!B21,"")</f>
        <v/>
      </c>
      <c r="G1152" s="53" t="inlineStr"/>
      <c r="H1152" s="53" t="inlineStr"/>
      <c r="I1152" s="18" t="inlineStr"/>
      <c r="J1152" s="19" t="inlineStr"/>
      <c r="K1152" s="22" t="inlineStr"/>
      <c r="L1152" s="18" t="inlineStr">
        <is>
          <t>Not Started</t>
        </is>
      </c>
    </row>
    <row r="1153" ht="42" customHeight="1">
      <c r="A1153" s="11" t="n">
        <v>1151</v>
      </c>
      <c r="B1153" s="50" t="inlineStr">
        <is>
          <t>CM-7(1)</t>
        </is>
      </c>
      <c r="C1153" s="11" t="inlineStr">
        <is>
          <t>CM</t>
        </is>
      </c>
      <c r="D1153" s="12" t="inlineStr">
        <is>
          <t>Tenable Security Centre+</t>
        </is>
      </c>
      <c r="E1153" s="11">
        <f>IFERROR(TRACKER!G1153,"Not Started")</f>
        <v/>
      </c>
      <c r="F1153" s="51">
        <f>IFERROR('[Tenable_Security_Centre_Plus.xlsx]CM-7-1'!B21,"")</f>
        <v/>
      </c>
      <c r="G1153" s="51" t="inlineStr"/>
      <c r="H1153" s="51" t="inlineStr"/>
      <c r="I1153" s="11" t="inlineStr"/>
      <c r="J1153" s="12" t="inlineStr"/>
      <c r="K1153" s="17" t="inlineStr"/>
      <c r="L1153" s="11" t="inlineStr">
        <is>
          <t>Not Started</t>
        </is>
      </c>
    </row>
    <row r="1154" ht="42" customHeight="1">
      <c r="A1154" s="18" t="n">
        <v>1152</v>
      </c>
      <c r="B1154" s="52" t="inlineStr">
        <is>
          <t>CP-7</t>
        </is>
      </c>
      <c r="C1154" s="18" t="inlineStr">
        <is>
          <t>CP</t>
        </is>
      </c>
      <c r="D1154" s="19" t="inlineStr">
        <is>
          <t>Tenable Security Centre+</t>
        </is>
      </c>
      <c r="E1154" s="18">
        <f>IFERROR(TRACKER!G1154,"Not Started")</f>
        <v/>
      </c>
      <c r="F1154" s="53">
        <f>IFERROR('[Tenable_Security_Centre_Plus.xlsx]CP-7'!B21,"")</f>
        <v/>
      </c>
      <c r="G1154" s="53" t="inlineStr"/>
      <c r="H1154" s="53" t="inlineStr"/>
      <c r="I1154" s="18" t="inlineStr"/>
      <c r="J1154" s="19" t="inlineStr"/>
      <c r="K1154" s="22" t="inlineStr"/>
      <c r="L1154" s="18" t="inlineStr">
        <is>
          <t>Not Started</t>
        </is>
      </c>
    </row>
    <row r="1155" ht="42" customHeight="1">
      <c r="A1155" s="11" t="n">
        <v>1153</v>
      </c>
      <c r="B1155" s="50" t="inlineStr">
        <is>
          <t>CP-7(1)</t>
        </is>
      </c>
      <c r="C1155" s="11" t="inlineStr">
        <is>
          <t>CP</t>
        </is>
      </c>
      <c r="D1155" s="12" t="inlineStr">
        <is>
          <t>Tenable Security Centre+</t>
        </is>
      </c>
      <c r="E1155" s="11">
        <f>IFERROR(TRACKER!G1155,"Not Started")</f>
        <v/>
      </c>
      <c r="F1155" s="51">
        <f>IFERROR('[Tenable_Security_Centre_Plus.xlsx]CP-7-1'!B21,"")</f>
        <v/>
      </c>
      <c r="G1155" s="51" t="inlineStr"/>
      <c r="H1155" s="51" t="inlineStr"/>
      <c r="I1155" s="11" t="inlineStr"/>
      <c r="J1155" s="12" t="inlineStr"/>
      <c r="K1155" s="17" t="inlineStr"/>
      <c r="L1155" s="11" t="inlineStr">
        <is>
          <t>Not Started</t>
        </is>
      </c>
    </row>
    <row r="1156" ht="42" customHeight="1">
      <c r="A1156" s="18" t="n">
        <v>1154</v>
      </c>
      <c r="B1156" s="52" t="inlineStr">
        <is>
          <t>CP-7(4)</t>
        </is>
      </c>
      <c r="C1156" s="18" t="inlineStr">
        <is>
          <t>CP</t>
        </is>
      </c>
      <c r="D1156" s="19" t="inlineStr">
        <is>
          <t>Tenable Security Centre+</t>
        </is>
      </c>
      <c r="E1156" s="18">
        <f>IFERROR(TRACKER!G1156,"Not Started")</f>
        <v/>
      </c>
      <c r="F1156" s="53">
        <f>IFERROR('[Tenable_Security_Centre_Plus.xlsx]CP-7-4'!B21,"")</f>
        <v/>
      </c>
      <c r="G1156" s="53" t="inlineStr"/>
      <c r="H1156" s="53" t="inlineStr"/>
      <c r="I1156" s="18" t="inlineStr"/>
      <c r="J1156" s="19" t="inlineStr"/>
      <c r="K1156" s="22" t="inlineStr"/>
      <c r="L1156" s="18" t="inlineStr">
        <is>
          <t>Not Started</t>
        </is>
      </c>
    </row>
    <row r="1157" ht="42" customHeight="1">
      <c r="A1157" s="11" t="n">
        <v>1155</v>
      </c>
      <c r="B1157" s="50" t="inlineStr">
        <is>
          <t>CP-9</t>
        </is>
      </c>
      <c r="C1157" s="11" t="inlineStr">
        <is>
          <t>CP</t>
        </is>
      </c>
      <c r="D1157" s="12" t="inlineStr">
        <is>
          <t>Tenable Security Centre+</t>
        </is>
      </c>
      <c r="E1157" s="11">
        <f>IFERROR(TRACKER!G1157,"Not Started")</f>
        <v/>
      </c>
      <c r="F1157" s="51">
        <f>IFERROR('[Tenable_Security_Centre_Plus.xlsx]CP-9'!B21,"")</f>
        <v/>
      </c>
      <c r="G1157" s="51" t="inlineStr"/>
      <c r="H1157" s="51" t="inlineStr"/>
      <c r="I1157" s="11" t="inlineStr"/>
      <c r="J1157" s="12" t="inlineStr"/>
      <c r="K1157" s="17" t="inlineStr"/>
      <c r="L1157" s="11" t="inlineStr">
        <is>
          <t>Not Started</t>
        </is>
      </c>
    </row>
    <row r="1158" ht="42" customHeight="1">
      <c r="A1158" s="18" t="n">
        <v>1156</v>
      </c>
      <c r="B1158" s="52" t="inlineStr">
        <is>
          <t>CP-10</t>
        </is>
      </c>
      <c r="C1158" s="18" t="inlineStr">
        <is>
          <t>CP</t>
        </is>
      </c>
      <c r="D1158" s="19" t="inlineStr">
        <is>
          <t>Tenable Security Centre+</t>
        </is>
      </c>
      <c r="E1158" s="18">
        <f>IFERROR(TRACKER!G1158,"Not Started")</f>
        <v/>
      </c>
      <c r="F1158" s="53">
        <f>IFERROR('[Tenable_Security_Centre_Plus.xlsx]CP-10'!B21,"")</f>
        <v/>
      </c>
      <c r="G1158" s="53" t="inlineStr"/>
      <c r="H1158" s="53" t="inlineStr"/>
      <c r="I1158" s="18" t="inlineStr"/>
      <c r="J1158" s="19" t="inlineStr"/>
      <c r="K1158" s="22" t="inlineStr"/>
      <c r="L1158" s="18" t="inlineStr">
        <is>
          <t>Not Started</t>
        </is>
      </c>
    </row>
    <row r="1159" ht="42" customHeight="1">
      <c r="A1159" s="11" t="n">
        <v>1157</v>
      </c>
      <c r="B1159" s="50" t="inlineStr">
        <is>
          <t>CP-10(4)</t>
        </is>
      </c>
      <c r="C1159" s="11" t="inlineStr">
        <is>
          <t>CP</t>
        </is>
      </c>
      <c r="D1159" s="12" t="inlineStr">
        <is>
          <t>Tenable Security Centre+</t>
        </is>
      </c>
      <c r="E1159" s="11">
        <f>IFERROR(TRACKER!G1159,"Not Started")</f>
        <v/>
      </c>
      <c r="F1159" s="51">
        <f>IFERROR('[Tenable_Security_Centre_Plus.xlsx]CP-10-4'!B21,"")</f>
        <v/>
      </c>
      <c r="G1159" s="51" t="inlineStr"/>
      <c r="H1159" s="51" t="inlineStr"/>
      <c r="I1159" s="11" t="inlineStr"/>
      <c r="J1159" s="12" t="inlineStr"/>
      <c r="K1159" s="17" t="inlineStr"/>
      <c r="L1159" s="11" t="inlineStr">
        <is>
          <t>Not Started</t>
        </is>
      </c>
    </row>
    <row r="1160" ht="42" customHeight="1">
      <c r="A1160" s="18" t="n">
        <v>1158</v>
      </c>
      <c r="B1160" s="52" t="inlineStr">
        <is>
          <t>RA-5</t>
        </is>
      </c>
      <c r="C1160" s="18" t="inlineStr">
        <is>
          <t>RA</t>
        </is>
      </c>
      <c r="D1160" s="19" t="inlineStr">
        <is>
          <t>Tenable Security Centre+</t>
        </is>
      </c>
      <c r="E1160" s="18">
        <f>IFERROR(TRACKER!G1160,"Not Started")</f>
        <v/>
      </c>
      <c r="F1160" s="53">
        <f>IFERROR('[Tenable_Security_Centre_Plus.xlsx]RA-5'!B21,"")</f>
        <v/>
      </c>
      <c r="G1160" s="53" t="inlineStr"/>
      <c r="H1160" s="53" t="inlineStr"/>
      <c r="I1160" s="18" t="inlineStr"/>
      <c r="J1160" s="19" t="inlineStr"/>
      <c r="K1160" s="22" t="inlineStr"/>
      <c r="L1160" s="18" t="inlineStr">
        <is>
          <t>Not Started</t>
        </is>
      </c>
    </row>
    <row r="1161" ht="42" customHeight="1">
      <c r="A1161" s="11" t="n">
        <v>1159</v>
      </c>
      <c r="B1161" s="50" t="inlineStr">
        <is>
          <t>RA-5(1)</t>
        </is>
      </c>
      <c r="C1161" s="11" t="inlineStr">
        <is>
          <t>RA</t>
        </is>
      </c>
      <c r="D1161" s="12" t="inlineStr">
        <is>
          <t>Tenable Security Centre+</t>
        </is>
      </c>
      <c r="E1161" s="11">
        <f>IFERROR(TRACKER!G1161,"Not Started")</f>
        <v/>
      </c>
      <c r="F1161" s="51">
        <f>IFERROR('[Tenable_Security_Centre_Plus.xlsx]RA-5-1'!B21,"")</f>
        <v/>
      </c>
      <c r="G1161" s="51" t="inlineStr"/>
      <c r="H1161" s="51" t="inlineStr"/>
      <c r="I1161" s="11" t="inlineStr"/>
      <c r="J1161" s="12" t="inlineStr"/>
      <c r="K1161" s="17" t="inlineStr"/>
      <c r="L1161" s="11" t="inlineStr">
        <is>
          <t>Not Started</t>
        </is>
      </c>
    </row>
    <row r="1162" ht="42" customHeight="1">
      <c r="A1162" s="18" t="n">
        <v>1160</v>
      </c>
      <c r="B1162" s="52" t="inlineStr">
        <is>
          <t>RA-5(2)</t>
        </is>
      </c>
      <c r="C1162" s="18" t="inlineStr">
        <is>
          <t>RA</t>
        </is>
      </c>
      <c r="D1162" s="19" t="inlineStr">
        <is>
          <t>Tenable Security Centre+</t>
        </is>
      </c>
      <c r="E1162" s="18">
        <f>IFERROR(TRACKER!G1162,"Not Started")</f>
        <v/>
      </c>
      <c r="F1162" s="53">
        <f>IFERROR('[Tenable_Security_Centre_Plus.xlsx]RA-5-2'!B21,"")</f>
        <v/>
      </c>
      <c r="G1162" s="53" t="inlineStr"/>
      <c r="H1162" s="53" t="inlineStr"/>
      <c r="I1162" s="18" t="inlineStr"/>
      <c r="J1162" s="19" t="inlineStr"/>
      <c r="K1162" s="22" t="inlineStr"/>
      <c r="L1162" s="18" t="inlineStr">
        <is>
          <t>Not Started</t>
        </is>
      </c>
    </row>
    <row r="1163" ht="42" customHeight="1">
      <c r="A1163" s="11" t="n">
        <v>1161</v>
      </c>
      <c r="B1163" s="50" t="inlineStr">
        <is>
          <t>RA-5(3)</t>
        </is>
      </c>
      <c r="C1163" s="11" t="inlineStr">
        <is>
          <t>RA</t>
        </is>
      </c>
      <c r="D1163" s="12" t="inlineStr">
        <is>
          <t>Tenable Security Centre+</t>
        </is>
      </c>
      <c r="E1163" s="11">
        <f>IFERROR(TRACKER!G1163,"Not Started")</f>
        <v/>
      </c>
      <c r="F1163" s="51">
        <f>IFERROR('[Tenable_Security_Centre_Plus.xlsx]RA-5-3'!B21,"")</f>
        <v/>
      </c>
      <c r="G1163" s="51" t="inlineStr"/>
      <c r="H1163" s="51" t="inlineStr"/>
      <c r="I1163" s="11" t="inlineStr"/>
      <c r="J1163" s="12" t="inlineStr"/>
      <c r="K1163" s="17" t="inlineStr"/>
      <c r="L1163" s="11" t="inlineStr">
        <is>
          <t>Not Started</t>
        </is>
      </c>
    </row>
    <row r="1164" ht="42" customHeight="1">
      <c r="A1164" s="18" t="n">
        <v>1162</v>
      </c>
      <c r="B1164" s="52" t="inlineStr">
        <is>
          <t>RA-5(5)</t>
        </is>
      </c>
      <c r="C1164" s="18" t="inlineStr">
        <is>
          <t>RA</t>
        </is>
      </c>
      <c r="D1164" s="19" t="inlineStr">
        <is>
          <t>Tenable Security Centre+</t>
        </is>
      </c>
      <c r="E1164" s="18">
        <f>IFERROR(TRACKER!G1164,"Not Started")</f>
        <v/>
      </c>
      <c r="F1164" s="53">
        <f>IFERROR('[Tenable_Security_Centre_Plus.xlsx]RA-5-5'!B21,"")</f>
        <v/>
      </c>
      <c r="G1164" s="53" t="inlineStr"/>
      <c r="H1164" s="53" t="inlineStr"/>
      <c r="I1164" s="18" t="inlineStr"/>
      <c r="J1164" s="19" t="inlineStr"/>
      <c r="K1164" s="22" t="inlineStr"/>
      <c r="L1164" s="18" t="inlineStr">
        <is>
          <t>Not Started</t>
        </is>
      </c>
    </row>
    <row r="1165" ht="42" customHeight="1">
      <c r="A1165" s="11" t="n">
        <v>1163</v>
      </c>
      <c r="B1165" s="50" t="inlineStr">
        <is>
          <t>RA-5(6)</t>
        </is>
      </c>
      <c r="C1165" s="11" t="inlineStr">
        <is>
          <t>RA</t>
        </is>
      </c>
      <c r="D1165" s="12" t="inlineStr">
        <is>
          <t>Tenable Security Centre+</t>
        </is>
      </c>
      <c r="E1165" s="11">
        <f>IFERROR(TRACKER!G1165,"Not Started")</f>
        <v/>
      </c>
      <c r="F1165" s="51">
        <f>IFERROR('[Tenable_Security_Centre_Plus.xlsx]RA-5-6'!B21,"")</f>
        <v/>
      </c>
      <c r="G1165" s="51" t="inlineStr"/>
      <c r="H1165" s="51" t="inlineStr"/>
      <c r="I1165" s="11" t="inlineStr"/>
      <c r="J1165" s="12" t="inlineStr"/>
      <c r="K1165" s="17" t="inlineStr"/>
      <c r="L1165" s="11" t="inlineStr">
        <is>
          <t>Not Started</t>
        </is>
      </c>
    </row>
    <row r="1166" ht="42" customHeight="1">
      <c r="A1166" s="18" t="n">
        <v>1164</v>
      </c>
      <c r="B1166" s="52" t="inlineStr">
        <is>
          <t>RA-5(8)</t>
        </is>
      </c>
      <c r="C1166" s="18" t="inlineStr">
        <is>
          <t>RA</t>
        </is>
      </c>
      <c r="D1166" s="19" t="inlineStr">
        <is>
          <t>Tenable Security Centre+</t>
        </is>
      </c>
      <c r="E1166" s="18">
        <f>IFERROR(TRACKER!G1166,"Not Started")</f>
        <v/>
      </c>
      <c r="F1166" s="53">
        <f>IFERROR('[Tenable_Security_Centre_Plus.xlsx]RA-5-8'!B21,"")</f>
        <v/>
      </c>
      <c r="G1166" s="53" t="inlineStr"/>
      <c r="H1166" s="53" t="inlineStr"/>
      <c r="I1166" s="18" t="inlineStr"/>
      <c r="J1166" s="19" t="inlineStr"/>
      <c r="K1166" s="22" t="inlineStr"/>
      <c r="L1166" s="18" t="inlineStr">
        <is>
          <t>Not Started</t>
        </is>
      </c>
    </row>
    <row r="1167" ht="42" customHeight="1">
      <c r="A1167" s="11" t="n">
        <v>1165</v>
      </c>
      <c r="B1167" s="50" t="inlineStr">
        <is>
          <t>SA-4</t>
        </is>
      </c>
      <c r="C1167" s="11" t="inlineStr">
        <is>
          <t>SA</t>
        </is>
      </c>
      <c r="D1167" s="12" t="inlineStr">
        <is>
          <t>Tenable Security Centre+</t>
        </is>
      </c>
      <c r="E1167" s="11">
        <f>IFERROR(TRACKER!G1167,"Not Started")</f>
        <v/>
      </c>
      <c r="F1167" s="51">
        <f>IFERROR('[Tenable_Security_Centre_Plus.xlsx]SA-4'!B21,"")</f>
        <v/>
      </c>
      <c r="G1167" s="51" t="inlineStr"/>
      <c r="H1167" s="51" t="inlineStr"/>
      <c r="I1167" s="11" t="inlineStr"/>
      <c r="J1167" s="12" t="inlineStr"/>
      <c r="K1167" s="17" t="inlineStr"/>
      <c r="L1167" s="11" t="inlineStr">
        <is>
          <t>Not Started</t>
        </is>
      </c>
    </row>
    <row r="1168" ht="42" customHeight="1">
      <c r="A1168" s="18" t="n">
        <v>1166</v>
      </c>
      <c r="B1168" s="52" t="inlineStr">
        <is>
          <t>SA-4(1)</t>
        </is>
      </c>
      <c r="C1168" s="18" t="inlineStr">
        <is>
          <t>SA</t>
        </is>
      </c>
      <c r="D1168" s="19" t="inlineStr">
        <is>
          <t>Tenable Security Centre+</t>
        </is>
      </c>
      <c r="E1168" s="18">
        <f>IFERROR(TRACKER!G1168,"Not Started")</f>
        <v/>
      </c>
      <c r="F1168" s="53">
        <f>IFERROR('[Tenable_Security_Centre_Plus.xlsx]SA-4-1'!B21,"")</f>
        <v/>
      </c>
      <c r="G1168" s="53" t="inlineStr"/>
      <c r="H1168" s="53" t="inlineStr"/>
      <c r="I1168" s="18" t="inlineStr"/>
      <c r="J1168" s="19" t="inlineStr"/>
      <c r="K1168" s="22" t="inlineStr"/>
      <c r="L1168" s="18" t="inlineStr">
        <is>
          <t>Not Started</t>
        </is>
      </c>
    </row>
    <row r="1169" ht="42" customHeight="1">
      <c r="A1169" s="11" t="n">
        <v>1167</v>
      </c>
      <c r="B1169" s="50" t="inlineStr">
        <is>
          <t>SA-4(2)</t>
        </is>
      </c>
      <c r="C1169" s="11" t="inlineStr">
        <is>
          <t>SA</t>
        </is>
      </c>
      <c r="D1169" s="12" t="inlineStr">
        <is>
          <t>Tenable Security Centre+</t>
        </is>
      </c>
      <c r="E1169" s="11">
        <f>IFERROR(TRACKER!G1169,"Not Started")</f>
        <v/>
      </c>
      <c r="F1169" s="51">
        <f>IFERROR('[Tenable_Security_Centre_Plus.xlsx]SA-4-2'!B21,"")</f>
        <v/>
      </c>
      <c r="G1169" s="51" t="inlineStr"/>
      <c r="H1169" s="51" t="inlineStr"/>
      <c r="I1169" s="11" t="inlineStr"/>
      <c r="J1169" s="12" t="inlineStr"/>
      <c r="K1169" s="17" t="inlineStr"/>
      <c r="L1169" s="11" t="inlineStr">
        <is>
          <t>Not Started</t>
        </is>
      </c>
    </row>
    <row r="1170" ht="42" customHeight="1">
      <c r="A1170" s="18" t="n">
        <v>1168</v>
      </c>
      <c r="B1170" s="52" t="inlineStr">
        <is>
          <t>SA-4(8)</t>
        </is>
      </c>
      <c r="C1170" s="18" t="inlineStr">
        <is>
          <t>SA</t>
        </is>
      </c>
      <c r="D1170" s="19" t="inlineStr">
        <is>
          <t>Tenable Security Centre+</t>
        </is>
      </c>
      <c r="E1170" s="18">
        <f>IFERROR(TRACKER!G1170,"Not Started")</f>
        <v/>
      </c>
      <c r="F1170" s="53">
        <f>IFERROR('[Tenable_Security_Centre_Plus.xlsx]SA-4-8'!B21,"")</f>
        <v/>
      </c>
      <c r="G1170" s="53" t="inlineStr"/>
      <c r="H1170" s="53" t="inlineStr"/>
      <c r="I1170" s="18" t="inlineStr"/>
      <c r="J1170" s="19" t="inlineStr"/>
      <c r="K1170" s="22" t="inlineStr"/>
      <c r="L1170" s="18" t="inlineStr">
        <is>
          <t>Not Started</t>
        </is>
      </c>
    </row>
    <row r="1171" ht="42" customHeight="1">
      <c r="A1171" s="11" t="n">
        <v>1169</v>
      </c>
      <c r="B1171" s="50" t="inlineStr">
        <is>
          <t>SA-4(9)</t>
        </is>
      </c>
      <c r="C1171" s="11" t="inlineStr">
        <is>
          <t>SA</t>
        </is>
      </c>
      <c r="D1171" s="12" t="inlineStr">
        <is>
          <t>Tenable Security Centre+</t>
        </is>
      </c>
      <c r="E1171" s="11">
        <f>IFERROR(TRACKER!G1171,"Not Started")</f>
        <v/>
      </c>
      <c r="F1171" s="51">
        <f>IFERROR('[Tenable_Security_Centre_Plus.xlsx]SA-4-9'!B21,"")</f>
        <v/>
      </c>
      <c r="G1171" s="51" t="inlineStr"/>
      <c r="H1171" s="51" t="inlineStr"/>
      <c r="I1171" s="11" t="inlineStr"/>
      <c r="J1171" s="12" t="inlineStr"/>
      <c r="K1171" s="17" t="inlineStr"/>
      <c r="L1171" s="11" t="inlineStr">
        <is>
          <t>Not Started</t>
        </is>
      </c>
    </row>
    <row r="1172" ht="42" customHeight="1">
      <c r="A1172" s="18" t="n">
        <v>1170</v>
      </c>
      <c r="B1172" s="52" t="inlineStr">
        <is>
          <t>SA-5</t>
        </is>
      </c>
      <c r="C1172" s="18" t="inlineStr">
        <is>
          <t>SA</t>
        </is>
      </c>
      <c r="D1172" s="19" t="inlineStr">
        <is>
          <t>Tenable Security Centre+</t>
        </is>
      </c>
      <c r="E1172" s="18">
        <f>IFERROR(TRACKER!G1172,"Not Started")</f>
        <v/>
      </c>
      <c r="F1172" s="53">
        <f>IFERROR('[Tenable_Security_Centre_Plus.xlsx]SA-5'!B21,"")</f>
        <v/>
      </c>
      <c r="G1172" s="53" t="inlineStr"/>
      <c r="H1172" s="53" t="inlineStr"/>
      <c r="I1172" s="18" t="inlineStr"/>
      <c r="J1172" s="19" t="inlineStr"/>
      <c r="K1172" s="22" t="inlineStr"/>
      <c r="L1172" s="18" t="inlineStr">
        <is>
          <t>Not Started</t>
        </is>
      </c>
    </row>
    <row r="1173" ht="42" customHeight="1">
      <c r="A1173" s="11" t="n">
        <v>1171</v>
      </c>
      <c r="B1173" s="50" t="inlineStr">
        <is>
          <t>SA-9(2)</t>
        </is>
      </c>
      <c r="C1173" s="11" t="inlineStr">
        <is>
          <t>SA</t>
        </is>
      </c>
      <c r="D1173" s="12" t="inlineStr">
        <is>
          <t>Tenable Security Centre+</t>
        </is>
      </c>
      <c r="E1173" s="11">
        <f>IFERROR(TRACKER!G1173,"Not Started")</f>
        <v/>
      </c>
      <c r="F1173" s="51">
        <f>IFERROR('[Tenable_Security_Centre_Plus.xlsx]SA-9-2'!B21,"")</f>
        <v/>
      </c>
      <c r="G1173" s="51" t="inlineStr"/>
      <c r="H1173" s="51" t="inlineStr"/>
      <c r="I1173" s="11" t="inlineStr"/>
      <c r="J1173" s="12" t="inlineStr"/>
      <c r="K1173" s="17" t="inlineStr"/>
      <c r="L1173" s="11" t="inlineStr">
        <is>
          <t>Not Started</t>
        </is>
      </c>
    </row>
    <row r="1174" ht="42" customHeight="1">
      <c r="A1174" s="18" t="n">
        <v>1172</v>
      </c>
      <c r="B1174" s="52" t="inlineStr">
        <is>
          <t>SA-9(5)</t>
        </is>
      </c>
      <c r="C1174" s="18" t="inlineStr">
        <is>
          <t>SA</t>
        </is>
      </c>
      <c r="D1174" s="19" t="inlineStr">
        <is>
          <t>Tenable Security Centre+</t>
        </is>
      </c>
      <c r="E1174" s="18">
        <f>IFERROR(TRACKER!G1174,"Not Started")</f>
        <v/>
      </c>
      <c r="F1174" s="53">
        <f>IFERROR('[Tenable_Security_Centre_Plus.xlsx]SA-9-5'!B21,"")</f>
        <v/>
      </c>
      <c r="G1174" s="53" t="inlineStr"/>
      <c r="H1174" s="53" t="inlineStr"/>
      <c r="I1174" s="18" t="inlineStr"/>
      <c r="J1174" s="19" t="inlineStr"/>
      <c r="K1174" s="22" t="inlineStr"/>
      <c r="L1174" s="18" t="inlineStr">
        <is>
          <t>Not Started</t>
        </is>
      </c>
    </row>
    <row r="1175" ht="42" customHeight="1">
      <c r="A1175" s="11" t="n">
        <v>1173</v>
      </c>
      <c r="B1175" s="50" t="inlineStr">
        <is>
          <t>SA-11(2)</t>
        </is>
      </c>
      <c r="C1175" s="11" t="inlineStr">
        <is>
          <t>SA</t>
        </is>
      </c>
      <c r="D1175" s="12" t="inlineStr">
        <is>
          <t>Tenable Security Centre+</t>
        </is>
      </c>
      <c r="E1175" s="11">
        <f>IFERROR(TRACKER!G1175,"Not Started")</f>
        <v/>
      </c>
      <c r="F1175" s="51">
        <f>IFERROR('[Tenable_Security_Centre_Plus.xlsx]SA-11-2'!B21,"")</f>
        <v/>
      </c>
      <c r="G1175" s="51" t="inlineStr"/>
      <c r="H1175" s="51" t="inlineStr"/>
      <c r="I1175" s="11" t="inlineStr"/>
      <c r="J1175" s="12" t="inlineStr"/>
      <c r="K1175" s="17" t="inlineStr"/>
      <c r="L1175" s="11" t="inlineStr">
        <is>
          <t>Not Started</t>
        </is>
      </c>
    </row>
    <row r="1176" ht="42" customHeight="1">
      <c r="A1176" s="18" t="n">
        <v>1174</v>
      </c>
      <c r="B1176" s="52" t="inlineStr">
        <is>
          <t>SA-11(8)</t>
        </is>
      </c>
      <c r="C1176" s="18" t="inlineStr">
        <is>
          <t>SA</t>
        </is>
      </c>
      <c r="D1176" s="19" t="inlineStr">
        <is>
          <t>Tenable Security Centre+</t>
        </is>
      </c>
      <c r="E1176" s="18">
        <f>IFERROR(TRACKER!G1176,"Not Started")</f>
        <v/>
      </c>
      <c r="F1176" s="53">
        <f>IFERROR('[Tenable_Security_Centre_Plus.xlsx]SA-11-8'!B21,"")</f>
        <v/>
      </c>
      <c r="G1176" s="53" t="inlineStr"/>
      <c r="H1176" s="53" t="inlineStr"/>
      <c r="I1176" s="18" t="inlineStr"/>
      <c r="J1176" s="19" t="inlineStr"/>
      <c r="K1176" s="22" t="inlineStr"/>
      <c r="L1176" s="18" t="inlineStr">
        <is>
          <t>Not Started</t>
        </is>
      </c>
    </row>
    <row r="1177" ht="42" customHeight="1">
      <c r="A1177" s="11" t="n">
        <v>1175</v>
      </c>
      <c r="B1177" s="50" t="inlineStr">
        <is>
          <t>SC-2</t>
        </is>
      </c>
      <c r="C1177" s="11" t="inlineStr">
        <is>
          <t>SC</t>
        </is>
      </c>
      <c r="D1177" s="12" t="inlineStr">
        <is>
          <t>Tenable Security Centre+</t>
        </is>
      </c>
      <c r="E1177" s="11">
        <f>IFERROR(TRACKER!G1177,"Not Started")</f>
        <v/>
      </c>
      <c r="F1177" s="51">
        <f>IFERROR('[Tenable_Security_Centre_Plus.xlsx]SC-2'!B21,"")</f>
        <v/>
      </c>
      <c r="G1177" s="51" t="inlineStr"/>
      <c r="H1177" s="51" t="inlineStr"/>
      <c r="I1177" s="11" t="inlineStr"/>
      <c r="J1177" s="12" t="inlineStr"/>
      <c r="K1177" s="17" t="inlineStr"/>
      <c r="L1177" s="11" t="inlineStr">
        <is>
          <t>Not Started</t>
        </is>
      </c>
    </row>
    <row r="1178" ht="42" customHeight="1">
      <c r="A1178" s="18" t="n">
        <v>1176</v>
      </c>
      <c r="B1178" s="52" t="inlineStr">
        <is>
          <t>SC-7(13)</t>
        </is>
      </c>
      <c r="C1178" s="18" t="inlineStr">
        <is>
          <t>SC</t>
        </is>
      </c>
      <c r="D1178" s="19" t="inlineStr">
        <is>
          <t>Tenable Security Centre+</t>
        </is>
      </c>
      <c r="E1178" s="18">
        <f>IFERROR(TRACKER!G1178,"Not Started")</f>
        <v/>
      </c>
      <c r="F1178" s="53">
        <f>IFERROR('[Tenable_Security_Centre_Plus.xlsx]SC-7-13'!B21,"")</f>
        <v/>
      </c>
      <c r="G1178" s="53" t="inlineStr"/>
      <c r="H1178" s="53" t="inlineStr"/>
      <c r="I1178" s="18" t="inlineStr"/>
      <c r="J1178" s="19" t="inlineStr"/>
      <c r="K1178" s="22" t="inlineStr"/>
      <c r="L1178" s="18" t="inlineStr">
        <is>
          <t>Not Started</t>
        </is>
      </c>
    </row>
    <row r="1179" ht="42" customHeight="1">
      <c r="A1179" s="11" t="n">
        <v>1177</v>
      </c>
      <c r="B1179" s="50" t="inlineStr">
        <is>
          <t>SC-8</t>
        </is>
      </c>
      <c r="C1179" s="11" t="inlineStr">
        <is>
          <t>SC</t>
        </is>
      </c>
      <c r="D1179" s="12" t="inlineStr">
        <is>
          <t>Tenable Security Centre+</t>
        </is>
      </c>
      <c r="E1179" s="11">
        <f>IFERROR(TRACKER!G1179,"Not Started")</f>
        <v/>
      </c>
      <c r="F1179" s="51">
        <f>IFERROR('[Tenable_Security_Centre_Plus.xlsx]SC-8'!B21,"")</f>
        <v/>
      </c>
      <c r="G1179" s="51" t="inlineStr"/>
      <c r="H1179" s="51" t="inlineStr"/>
      <c r="I1179" s="11" t="inlineStr"/>
      <c r="J1179" s="12" t="inlineStr"/>
      <c r="K1179" s="17" t="inlineStr"/>
      <c r="L1179" s="11" t="inlineStr">
        <is>
          <t>Not Started</t>
        </is>
      </c>
    </row>
    <row r="1180" ht="42" customHeight="1">
      <c r="A1180" s="18" t="n">
        <v>1178</v>
      </c>
      <c r="B1180" s="52" t="inlineStr">
        <is>
          <t>SC-8(1)</t>
        </is>
      </c>
      <c r="C1180" s="18" t="inlineStr">
        <is>
          <t>SC</t>
        </is>
      </c>
      <c r="D1180" s="19" t="inlineStr">
        <is>
          <t>Tenable Security Centre+</t>
        </is>
      </c>
      <c r="E1180" s="18">
        <f>IFERROR(TRACKER!G1180,"Not Started")</f>
        <v/>
      </c>
      <c r="F1180" s="53">
        <f>IFERROR('[Tenable_Security_Centre_Plus.xlsx]SC-8-1'!B21,"")</f>
        <v/>
      </c>
      <c r="G1180" s="53" t="inlineStr"/>
      <c r="H1180" s="53" t="inlineStr"/>
      <c r="I1180" s="18" t="inlineStr"/>
      <c r="J1180" s="19" t="inlineStr"/>
      <c r="K1180" s="22" t="inlineStr"/>
      <c r="L1180" s="18" t="inlineStr">
        <is>
          <t>Not Started</t>
        </is>
      </c>
    </row>
    <row r="1181" ht="42" customHeight="1">
      <c r="A1181" s="11" t="n">
        <v>1179</v>
      </c>
      <c r="B1181" s="50" t="inlineStr">
        <is>
          <t>SC-23</t>
        </is>
      </c>
      <c r="C1181" s="11" t="inlineStr">
        <is>
          <t>SC</t>
        </is>
      </c>
      <c r="D1181" s="12" t="inlineStr">
        <is>
          <t>Tenable Security Centre+</t>
        </is>
      </c>
      <c r="E1181" s="11">
        <f>IFERROR(TRACKER!G1181,"Not Started")</f>
        <v/>
      </c>
      <c r="F1181" s="51">
        <f>IFERROR('[Tenable_Security_Centre_Plus.xlsx]SC-23'!B21,"")</f>
        <v/>
      </c>
      <c r="G1181" s="51" t="inlineStr"/>
      <c r="H1181" s="51" t="inlineStr"/>
      <c r="I1181" s="11" t="inlineStr"/>
      <c r="J1181" s="12" t="inlineStr"/>
      <c r="K1181" s="17" t="inlineStr"/>
      <c r="L1181" s="11" t="inlineStr">
        <is>
          <t>Not Started</t>
        </is>
      </c>
    </row>
    <row r="1182" ht="42" customHeight="1">
      <c r="A1182" s="18" t="n">
        <v>1180</v>
      </c>
      <c r="B1182" s="52" t="inlineStr">
        <is>
          <t>SC-23(1)</t>
        </is>
      </c>
      <c r="C1182" s="18" t="inlineStr">
        <is>
          <t>SC</t>
        </is>
      </c>
      <c r="D1182" s="19" t="inlineStr">
        <is>
          <t>Tenable Security Centre+</t>
        </is>
      </c>
      <c r="E1182" s="18">
        <f>IFERROR(TRACKER!G1182,"Not Started")</f>
        <v/>
      </c>
      <c r="F1182" s="53">
        <f>IFERROR('[Tenable_Security_Centre_Plus.xlsx]SC-23-1'!B21,"")</f>
        <v/>
      </c>
      <c r="G1182" s="53" t="inlineStr"/>
      <c r="H1182" s="53" t="inlineStr"/>
      <c r="I1182" s="18" t="inlineStr"/>
      <c r="J1182" s="19" t="inlineStr"/>
      <c r="K1182" s="22" t="inlineStr"/>
      <c r="L1182" s="18" t="inlineStr">
        <is>
          <t>Not Started</t>
        </is>
      </c>
    </row>
    <row r="1183" ht="42" customHeight="1">
      <c r="A1183" s="11" t="n">
        <v>1181</v>
      </c>
      <c r="B1183" s="50" t="inlineStr">
        <is>
          <t>SI-2</t>
        </is>
      </c>
      <c r="C1183" s="11" t="inlineStr">
        <is>
          <t>SI</t>
        </is>
      </c>
      <c r="D1183" s="12" t="inlineStr">
        <is>
          <t>Tenable Security Centre+</t>
        </is>
      </c>
      <c r="E1183" s="11">
        <f>IFERROR(TRACKER!G1183,"Not Started")</f>
        <v/>
      </c>
      <c r="F1183" s="51">
        <f>IFERROR('[Tenable_Security_Centre_Plus.xlsx]SI-2'!B21,"")</f>
        <v/>
      </c>
      <c r="G1183" s="51" t="inlineStr"/>
      <c r="H1183" s="51" t="inlineStr"/>
      <c r="I1183" s="11" t="inlineStr"/>
      <c r="J1183" s="12" t="inlineStr"/>
      <c r="K1183" s="17" t="inlineStr"/>
      <c r="L1183" s="11" t="inlineStr">
        <is>
          <t>Not Started</t>
        </is>
      </c>
    </row>
    <row r="1184" ht="42" customHeight="1">
      <c r="A1184" s="18" t="n">
        <v>1182</v>
      </c>
      <c r="B1184" s="52" t="inlineStr">
        <is>
          <t>SI-2(2)</t>
        </is>
      </c>
      <c r="C1184" s="18" t="inlineStr">
        <is>
          <t>SI</t>
        </is>
      </c>
      <c r="D1184" s="19" t="inlineStr">
        <is>
          <t>Tenable Security Centre+</t>
        </is>
      </c>
      <c r="E1184" s="18">
        <f>IFERROR(TRACKER!G1184,"Not Started")</f>
        <v/>
      </c>
      <c r="F1184" s="53">
        <f>IFERROR('[Tenable_Security_Centre_Plus.xlsx]SI-2-2'!B21,"")</f>
        <v/>
      </c>
      <c r="G1184" s="53" t="inlineStr"/>
      <c r="H1184" s="53" t="inlineStr"/>
      <c r="I1184" s="18" t="inlineStr"/>
      <c r="J1184" s="19" t="inlineStr"/>
      <c r="K1184" s="22" t="inlineStr"/>
      <c r="L1184" s="18" t="inlineStr">
        <is>
          <t>Not Started</t>
        </is>
      </c>
    </row>
    <row r="1185" ht="42" customHeight="1">
      <c r="A1185" s="11" t="n">
        <v>1183</v>
      </c>
      <c r="B1185" s="50" t="inlineStr">
        <is>
          <t>SI-4(5)</t>
        </is>
      </c>
      <c r="C1185" s="11" t="inlineStr">
        <is>
          <t>SI</t>
        </is>
      </c>
      <c r="D1185" s="12" t="inlineStr">
        <is>
          <t>Tenable Security Centre+</t>
        </is>
      </c>
      <c r="E1185" s="11">
        <f>IFERROR(TRACKER!G1185,"Not Started")</f>
        <v/>
      </c>
      <c r="F1185" s="51">
        <f>IFERROR('[Tenable_Security_Centre_Plus.xlsx]SI-4-5'!B21,"")</f>
        <v/>
      </c>
      <c r="G1185" s="51" t="inlineStr"/>
      <c r="H1185" s="51" t="inlineStr"/>
      <c r="I1185" s="11" t="inlineStr"/>
      <c r="J1185" s="12" t="inlineStr"/>
      <c r="K1185" s="17" t="inlineStr"/>
      <c r="L1185" s="11" t="inlineStr">
        <is>
          <t>Not Started</t>
        </is>
      </c>
    </row>
    <row r="1186" ht="42" customHeight="1">
      <c r="A1186" s="18" t="n">
        <v>1184</v>
      </c>
      <c r="B1186" s="52" t="inlineStr">
        <is>
          <t>SI-6</t>
        </is>
      </c>
      <c r="C1186" s="18" t="inlineStr">
        <is>
          <t>SI</t>
        </is>
      </c>
      <c r="D1186" s="19" t="inlineStr">
        <is>
          <t>Tenable Security Centre+</t>
        </is>
      </c>
      <c r="E1186" s="18">
        <f>IFERROR(TRACKER!G1186,"Not Started")</f>
        <v/>
      </c>
      <c r="F1186" s="53">
        <f>IFERROR('[Tenable_Security_Centre_Plus.xlsx]SI-6'!B21,"")</f>
        <v/>
      </c>
      <c r="G1186" s="53" t="inlineStr"/>
      <c r="H1186" s="53" t="inlineStr"/>
      <c r="I1186" s="18" t="inlineStr"/>
      <c r="J1186" s="19" t="inlineStr"/>
      <c r="K1186" s="22" t="inlineStr"/>
      <c r="L1186" s="18" t="inlineStr">
        <is>
          <t>Not Started</t>
        </is>
      </c>
    </row>
    <row r="1187" ht="42" customHeight="1">
      <c r="A1187" s="11" t="n">
        <v>1185</v>
      </c>
      <c r="B1187" s="50" t="inlineStr">
        <is>
          <t>SI-7</t>
        </is>
      </c>
      <c r="C1187" s="11" t="inlineStr">
        <is>
          <t>SI</t>
        </is>
      </c>
      <c r="D1187" s="12" t="inlineStr">
        <is>
          <t>Tenable Security Centre+</t>
        </is>
      </c>
      <c r="E1187" s="11">
        <f>IFERROR(TRACKER!G1187,"Not Started")</f>
        <v/>
      </c>
      <c r="F1187" s="51">
        <f>IFERROR('[Tenable_Security_Centre_Plus.xlsx]SI-7'!B21,"")</f>
        <v/>
      </c>
      <c r="G1187" s="51" t="inlineStr"/>
      <c r="H1187" s="51" t="inlineStr"/>
      <c r="I1187" s="11" t="inlineStr"/>
      <c r="J1187" s="12" t="inlineStr"/>
      <c r="K1187" s="17" t="inlineStr"/>
      <c r="L1187" s="11" t="inlineStr">
        <is>
          <t>Not Started</t>
        </is>
      </c>
    </row>
    <row r="1188" ht="42" customHeight="1">
      <c r="A1188" s="18" t="n">
        <v>1186</v>
      </c>
      <c r="B1188" s="52" t="inlineStr">
        <is>
          <t>SI-7(1)</t>
        </is>
      </c>
      <c r="C1188" s="18" t="inlineStr">
        <is>
          <t>SI</t>
        </is>
      </c>
      <c r="D1188" s="19" t="inlineStr">
        <is>
          <t>Tenable Security Centre+</t>
        </is>
      </c>
      <c r="E1188" s="18">
        <f>IFERROR(TRACKER!G1188,"Not Started")</f>
        <v/>
      </c>
      <c r="F1188" s="53">
        <f>IFERROR('[Tenable_Security_Centre_Plus.xlsx]SI-7-1'!B21,"")</f>
        <v/>
      </c>
      <c r="G1188" s="53" t="inlineStr"/>
      <c r="H1188" s="53" t="inlineStr"/>
      <c r="I1188" s="18" t="inlineStr"/>
      <c r="J1188" s="19" t="inlineStr"/>
      <c r="K1188" s="22" t="inlineStr"/>
      <c r="L1188" s="18" t="inlineStr">
        <is>
          <t>Not Started</t>
        </is>
      </c>
    </row>
    <row r="1189" ht="42" customHeight="1">
      <c r="A1189" s="11" t="n">
        <v>1187</v>
      </c>
      <c r="B1189" s="50" t="inlineStr">
        <is>
          <t>SI-7(7)</t>
        </is>
      </c>
      <c r="C1189" s="11" t="inlineStr">
        <is>
          <t>SI</t>
        </is>
      </c>
      <c r="D1189" s="12" t="inlineStr">
        <is>
          <t>Tenable Security Centre+</t>
        </is>
      </c>
      <c r="E1189" s="11">
        <f>IFERROR(TRACKER!G1189,"Not Started")</f>
        <v/>
      </c>
      <c r="F1189" s="51">
        <f>IFERROR('[Tenable_Security_Centre_Plus.xlsx]SI-7-7'!B21,"")</f>
        <v/>
      </c>
      <c r="G1189" s="51" t="inlineStr"/>
      <c r="H1189" s="51" t="inlineStr"/>
      <c r="I1189" s="11" t="inlineStr"/>
      <c r="J1189" s="12" t="inlineStr"/>
      <c r="K1189" s="17" t="inlineStr"/>
      <c r="L1189" s="11" t="inlineStr">
        <is>
          <t>Not Started</t>
        </is>
      </c>
    </row>
    <row r="1190" ht="42" customHeight="1">
      <c r="A1190" s="18" t="n">
        <v>1188</v>
      </c>
      <c r="B1190" s="52" t="inlineStr">
        <is>
          <t>SI-11</t>
        </is>
      </c>
      <c r="C1190" s="18" t="inlineStr">
        <is>
          <t>SI</t>
        </is>
      </c>
      <c r="D1190" s="19" t="inlineStr">
        <is>
          <t>Tenable Security Centre+</t>
        </is>
      </c>
      <c r="E1190" s="18">
        <f>IFERROR(TRACKER!G1190,"Not Started")</f>
        <v/>
      </c>
      <c r="F1190" s="53">
        <f>IFERROR('[Tenable_Security_Centre_Plus.xlsx]SI-11'!B21,"")</f>
        <v/>
      </c>
      <c r="G1190" s="53" t="inlineStr"/>
      <c r="H1190" s="53" t="inlineStr"/>
      <c r="I1190" s="18" t="inlineStr"/>
      <c r="J1190" s="19" t="inlineStr"/>
      <c r="K1190" s="22" t="inlineStr"/>
      <c r="L1190" s="18" t="inlineStr">
        <is>
          <t>Not Started</t>
        </is>
      </c>
    </row>
    <row r="1191" ht="42" customHeight="1">
      <c r="A1191" s="11" t="n">
        <v>1189</v>
      </c>
      <c r="B1191" s="50" t="inlineStr">
        <is>
          <t>SI-12</t>
        </is>
      </c>
      <c r="C1191" s="11" t="inlineStr">
        <is>
          <t>SI</t>
        </is>
      </c>
      <c r="D1191" s="12" t="inlineStr">
        <is>
          <t>Tenable Security Centre+</t>
        </is>
      </c>
      <c r="E1191" s="11">
        <f>IFERROR(TRACKER!G1191,"Not Started")</f>
        <v/>
      </c>
      <c r="F1191" s="51">
        <f>IFERROR('[Tenable_Security_Centre_Plus.xlsx]SI-12'!B21,"")</f>
        <v/>
      </c>
      <c r="G1191" s="51" t="inlineStr"/>
      <c r="H1191" s="51" t="inlineStr"/>
      <c r="I1191" s="11" t="inlineStr"/>
      <c r="J1191" s="12" t="inlineStr"/>
      <c r="K1191" s="17" t="inlineStr"/>
      <c r="L1191" s="11" t="inlineStr">
        <is>
          <t>Not Started</t>
        </is>
      </c>
    </row>
    <row r="1192" ht="42" customHeight="1">
      <c r="A1192" s="18" t="n">
        <v>1190</v>
      </c>
      <c r="B1192" s="52" t="inlineStr">
        <is>
          <t>AC-3</t>
        </is>
      </c>
      <c r="C1192" s="18" t="inlineStr">
        <is>
          <t>AC</t>
        </is>
      </c>
      <c r="D1192" s="19" t="inlineStr">
        <is>
          <t>Virtual Desktop Infrastructure</t>
        </is>
      </c>
      <c r="E1192" s="18">
        <f>IFERROR(TRACKER!G1192,"Not Started")</f>
        <v/>
      </c>
      <c r="F1192" s="53">
        <f>IFERROR('[Virtual_Desktop_Infrastructure.xlsx]AC-3'!B21,"")</f>
        <v/>
      </c>
      <c r="G1192" s="53" t="inlineStr"/>
      <c r="H1192" s="53" t="inlineStr"/>
      <c r="I1192" s="18" t="inlineStr"/>
      <c r="J1192" s="19" t="inlineStr"/>
      <c r="K1192" s="22" t="inlineStr"/>
      <c r="L1192" s="18" t="inlineStr">
        <is>
          <t>Not Started</t>
        </is>
      </c>
    </row>
    <row r="1193" ht="42" customHeight="1">
      <c r="A1193" s="11" t="n">
        <v>1191</v>
      </c>
      <c r="B1193" s="50" t="inlineStr">
        <is>
          <t>AC-6</t>
        </is>
      </c>
      <c r="C1193" s="11" t="inlineStr">
        <is>
          <t>AC</t>
        </is>
      </c>
      <c r="D1193" s="12" t="inlineStr">
        <is>
          <t>Virtual Desktop Infrastructure</t>
        </is>
      </c>
      <c r="E1193" s="11">
        <f>IFERROR(TRACKER!G1193,"Not Started")</f>
        <v/>
      </c>
      <c r="F1193" s="51">
        <f>IFERROR('[Virtual_Desktop_Infrastructure.xlsx]AC-6'!B21,"")</f>
        <v/>
      </c>
      <c r="G1193" s="51" t="inlineStr"/>
      <c r="H1193" s="51" t="inlineStr"/>
      <c r="I1193" s="11" t="inlineStr"/>
      <c r="J1193" s="12" t="inlineStr"/>
      <c r="K1193" s="17" t="inlineStr"/>
      <c r="L1193" s="11" t="inlineStr">
        <is>
          <t>Not Started</t>
        </is>
      </c>
    </row>
    <row r="1194" ht="42" customHeight="1">
      <c r="A1194" s="18" t="n">
        <v>1192</v>
      </c>
      <c r="B1194" s="52" t="inlineStr">
        <is>
          <t>AC-6(1)</t>
        </is>
      </c>
      <c r="C1194" s="18" t="inlineStr">
        <is>
          <t>AC</t>
        </is>
      </c>
      <c r="D1194" s="19" t="inlineStr">
        <is>
          <t>Virtual Desktop Infrastructure</t>
        </is>
      </c>
      <c r="E1194" s="18">
        <f>IFERROR(TRACKER!G1194,"Not Started")</f>
        <v/>
      </c>
      <c r="F1194" s="53">
        <f>IFERROR('[Virtual_Desktop_Infrastructure.xlsx]AC-6-1'!B21,"")</f>
        <v/>
      </c>
      <c r="G1194" s="53" t="inlineStr"/>
      <c r="H1194" s="53" t="inlineStr"/>
      <c r="I1194" s="18" t="inlineStr"/>
      <c r="J1194" s="19" t="inlineStr"/>
      <c r="K1194" s="22" t="inlineStr"/>
      <c r="L1194" s="18" t="inlineStr">
        <is>
          <t>Not Started</t>
        </is>
      </c>
    </row>
    <row r="1195" ht="42" customHeight="1">
      <c r="A1195" s="11" t="n">
        <v>1193</v>
      </c>
      <c r="B1195" s="50" t="inlineStr">
        <is>
          <t>AC-7</t>
        </is>
      </c>
      <c r="C1195" s="11" t="inlineStr">
        <is>
          <t>AC</t>
        </is>
      </c>
      <c r="D1195" s="12" t="inlineStr">
        <is>
          <t>Virtual Desktop Infrastructure</t>
        </is>
      </c>
      <c r="E1195" s="11">
        <f>IFERROR(TRACKER!G1195,"Not Started")</f>
        <v/>
      </c>
      <c r="F1195" s="51">
        <f>IFERROR('[Virtual_Desktop_Infrastructure.xlsx]AC-7'!B21,"")</f>
        <v/>
      </c>
      <c r="G1195" s="51" t="inlineStr"/>
      <c r="H1195" s="51" t="inlineStr"/>
      <c r="I1195" s="11" t="inlineStr"/>
      <c r="J1195" s="12" t="inlineStr"/>
      <c r="K1195" s="17" t="inlineStr"/>
      <c r="L1195" s="11" t="inlineStr">
        <is>
          <t>Not Started</t>
        </is>
      </c>
    </row>
    <row r="1196" ht="42" customHeight="1">
      <c r="A1196" s="18" t="n">
        <v>1194</v>
      </c>
      <c r="B1196" s="52" t="inlineStr">
        <is>
          <t>AC-8</t>
        </is>
      </c>
      <c r="C1196" s="18" t="inlineStr">
        <is>
          <t>AC</t>
        </is>
      </c>
      <c r="D1196" s="19" t="inlineStr">
        <is>
          <t>Virtual Desktop Infrastructure</t>
        </is>
      </c>
      <c r="E1196" s="18">
        <f>IFERROR(TRACKER!G1196,"Not Started")</f>
        <v/>
      </c>
      <c r="F1196" s="53">
        <f>IFERROR('[Virtual_Desktop_Infrastructure.xlsx]AC-8'!B21,"")</f>
        <v/>
      </c>
      <c r="G1196" s="53" t="inlineStr"/>
      <c r="H1196" s="53" t="inlineStr"/>
      <c r="I1196" s="18" t="inlineStr"/>
      <c r="J1196" s="19" t="inlineStr"/>
      <c r="K1196" s="22" t="inlineStr"/>
      <c r="L1196" s="18" t="inlineStr">
        <is>
          <t>Not Started</t>
        </is>
      </c>
    </row>
    <row r="1197" ht="42" customHeight="1">
      <c r="A1197" s="11" t="n">
        <v>1195</v>
      </c>
      <c r="B1197" s="50" t="inlineStr">
        <is>
          <t>AC-11</t>
        </is>
      </c>
      <c r="C1197" s="11" t="inlineStr">
        <is>
          <t>AC</t>
        </is>
      </c>
      <c r="D1197" s="12" t="inlineStr">
        <is>
          <t>Virtual Desktop Infrastructure</t>
        </is>
      </c>
      <c r="E1197" s="11">
        <f>IFERROR(TRACKER!G1197,"Not Started")</f>
        <v/>
      </c>
      <c r="F1197" s="51">
        <f>IFERROR('[Virtual_Desktop_Infrastructure.xlsx]AC-11'!B21,"")</f>
        <v/>
      </c>
      <c r="G1197" s="51" t="inlineStr"/>
      <c r="H1197" s="51" t="inlineStr"/>
      <c r="I1197" s="11" t="inlineStr"/>
      <c r="J1197" s="12" t="inlineStr"/>
      <c r="K1197" s="17" t="inlineStr"/>
      <c r="L1197" s="11" t="inlineStr">
        <is>
          <t>Not Started</t>
        </is>
      </c>
    </row>
    <row r="1198" ht="42" customHeight="1">
      <c r="A1198" s="18" t="n">
        <v>1196</v>
      </c>
      <c r="B1198" s="52" t="inlineStr">
        <is>
          <t>AC-11(1)</t>
        </is>
      </c>
      <c r="C1198" s="18" t="inlineStr">
        <is>
          <t>AC</t>
        </is>
      </c>
      <c r="D1198" s="19" t="inlineStr">
        <is>
          <t>Virtual Desktop Infrastructure</t>
        </is>
      </c>
      <c r="E1198" s="18">
        <f>IFERROR(TRACKER!G1198,"Not Started")</f>
        <v/>
      </c>
      <c r="F1198" s="53">
        <f>IFERROR('[Virtual_Desktop_Infrastructure.xlsx]AC-11-1'!B21,"")</f>
        <v/>
      </c>
      <c r="G1198" s="53" t="inlineStr"/>
      <c r="H1198" s="53" t="inlineStr"/>
      <c r="I1198" s="18" t="inlineStr"/>
      <c r="J1198" s="19" t="inlineStr"/>
      <c r="K1198" s="22" t="inlineStr"/>
      <c r="L1198" s="18" t="inlineStr">
        <is>
          <t>Not Started</t>
        </is>
      </c>
    </row>
    <row r="1199" ht="42" customHeight="1">
      <c r="A1199" s="11" t="n">
        <v>1197</v>
      </c>
      <c r="B1199" s="50" t="inlineStr">
        <is>
          <t>AC-12</t>
        </is>
      </c>
      <c r="C1199" s="11" t="inlineStr">
        <is>
          <t>AC</t>
        </is>
      </c>
      <c r="D1199" s="12" t="inlineStr">
        <is>
          <t>Virtual Desktop Infrastructure</t>
        </is>
      </c>
      <c r="E1199" s="11">
        <f>IFERROR(TRACKER!G1199,"Not Started")</f>
        <v/>
      </c>
      <c r="F1199" s="51">
        <f>IFERROR('[Virtual_Desktop_Infrastructure.xlsx]AC-12'!B21,"")</f>
        <v/>
      </c>
      <c r="G1199" s="51" t="inlineStr"/>
      <c r="H1199" s="51" t="inlineStr"/>
      <c r="I1199" s="11" t="inlineStr"/>
      <c r="J1199" s="12" t="inlineStr"/>
      <c r="K1199" s="17" t="inlineStr"/>
      <c r="L1199" s="11" t="inlineStr">
        <is>
          <t>Not Started</t>
        </is>
      </c>
    </row>
    <row r="1200" ht="42" customHeight="1">
      <c r="A1200" s="18" t="n">
        <v>1198</v>
      </c>
      <c r="B1200" s="52" t="inlineStr">
        <is>
          <t>AC-17(1)</t>
        </is>
      </c>
      <c r="C1200" s="18" t="inlineStr">
        <is>
          <t>AC</t>
        </is>
      </c>
      <c r="D1200" s="19" t="inlineStr">
        <is>
          <t>Virtual Desktop Infrastructure</t>
        </is>
      </c>
      <c r="E1200" s="18">
        <f>IFERROR(TRACKER!G1200,"Not Started")</f>
        <v/>
      </c>
      <c r="F1200" s="53">
        <f>IFERROR('[Virtual_Desktop_Infrastructure.xlsx]AC-17-1'!B21,"")</f>
        <v/>
      </c>
      <c r="G1200" s="53" t="inlineStr"/>
      <c r="H1200" s="53" t="inlineStr"/>
      <c r="I1200" s="18" t="inlineStr"/>
      <c r="J1200" s="19" t="inlineStr"/>
      <c r="K1200" s="22" t="inlineStr"/>
      <c r="L1200" s="18" t="inlineStr">
        <is>
          <t>Not Started</t>
        </is>
      </c>
    </row>
    <row r="1201" ht="42" customHeight="1">
      <c r="A1201" s="11" t="n">
        <v>1199</v>
      </c>
      <c r="B1201" s="50" t="inlineStr">
        <is>
          <t>AC-17(2)</t>
        </is>
      </c>
      <c r="C1201" s="11" t="inlineStr">
        <is>
          <t>AC</t>
        </is>
      </c>
      <c r="D1201" s="12" t="inlineStr">
        <is>
          <t>Virtual Desktop Infrastructure</t>
        </is>
      </c>
      <c r="E1201" s="11">
        <f>IFERROR(TRACKER!G1201,"Not Started")</f>
        <v/>
      </c>
      <c r="F1201" s="51">
        <f>IFERROR('[Virtual_Desktop_Infrastructure.xlsx]AC-17-2'!B21,"")</f>
        <v/>
      </c>
      <c r="G1201" s="51" t="inlineStr"/>
      <c r="H1201" s="51" t="inlineStr"/>
      <c r="I1201" s="11" t="inlineStr"/>
      <c r="J1201" s="12" t="inlineStr"/>
      <c r="K1201" s="17" t="inlineStr"/>
      <c r="L1201" s="11" t="inlineStr">
        <is>
          <t>Not Started</t>
        </is>
      </c>
    </row>
    <row r="1202" ht="42" customHeight="1">
      <c r="A1202" s="18" t="n">
        <v>1200</v>
      </c>
      <c r="B1202" s="52" t="inlineStr">
        <is>
          <t>AC-17(100)</t>
        </is>
      </c>
      <c r="C1202" s="18" t="inlineStr">
        <is>
          <t>AC</t>
        </is>
      </c>
      <c r="D1202" s="19" t="inlineStr">
        <is>
          <t>Virtual Desktop Infrastructure</t>
        </is>
      </c>
      <c r="E1202" s="18">
        <f>IFERROR(TRACKER!G1202,"Not Started")</f>
        <v/>
      </c>
      <c r="F1202" s="53">
        <f>IFERROR('[Virtual_Desktop_Infrastructure.xlsx]AC-17-100'!B21,"")</f>
        <v/>
      </c>
      <c r="G1202" s="53" t="inlineStr"/>
      <c r="H1202" s="53" t="inlineStr"/>
      <c r="I1202" s="18" t="inlineStr"/>
      <c r="J1202" s="19" t="inlineStr"/>
      <c r="K1202" s="22" t="inlineStr"/>
      <c r="L1202" s="18" t="inlineStr">
        <is>
          <t>Not Started</t>
        </is>
      </c>
    </row>
    <row r="1203" ht="42" customHeight="1">
      <c r="A1203" s="11" t="n">
        <v>1201</v>
      </c>
      <c r="B1203" s="50" t="inlineStr">
        <is>
          <t>AU-2</t>
        </is>
      </c>
      <c r="C1203" s="11" t="inlineStr">
        <is>
          <t>AU</t>
        </is>
      </c>
      <c r="D1203" s="12" t="inlineStr">
        <is>
          <t>Virtual Desktop Infrastructure</t>
        </is>
      </c>
      <c r="E1203" s="11">
        <f>IFERROR(TRACKER!G1203,"Not Started")</f>
        <v/>
      </c>
      <c r="F1203" s="51">
        <f>IFERROR('[Virtual_Desktop_Infrastructure.xlsx]AU-2'!B21,"")</f>
        <v/>
      </c>
      <c r="G1203" s="51" t="inlineStr"/>
      <c r="H1203" s="51" t="inlineStr"/>
      <c r="I1203" s="11" t="inlineStr"/>
      <c r="J1203" s="12" t="inlineStr"/>
      <c r="K1203" s="17" t="inlineStr"/>
      <c r="L1203" s="11" t="inlineStr">
        <is>
          <t>Not Started</t>
        </is>
      </c>
    </row>
    <row r="1204" ht="42" customHeight="1">
      <c r="A1204" s="18" t="n">
        <v>1202</v>
      </c>
      <c r="B1204" s="52" t="inlineStr">
        <is>
          <t>AU-3</t>
        </is>
      </c>
      <c r="C1204" s="18" t="inlineStr">
        <is>
          <t>AU</t>
        </is>
      </c>
      <c r="D1204" s="19" t="inlineStr">
        <is>
          <t>Virtual Desktop Infrastructure</t>
        </is>
      </c>
      <c r="E1204" s="18">
        <f>IFERROR(TRACKER!G1204,"Not Started")</f>
        <v/>
      </c>
      <c r="F1204" s="53">
        <f>IFERROR('[Virtual_Desktop_Infrastructure.xlsx]AU-3'!B21,"")</f>
        <v/>
      </c>
      <c r="G1204" s="53" t="inlineStr"/>
      <c r="H1204" s="53" t="inlineStr"/>
      <c r="I1204" s="18" t="inlineStr"/>
      <c r="J1204" s="19" t="inlineStr"/>
      <c r="K1204" s="22" t="inlineStr"/>
      <c r="L1204" s="18" t="inlineStr">
        <is>
          <t>Not Started</t>
        </is>
      </c>
    </row>
    <row r="1205" ht="42" customHeight="1">
      <c r="A1205" s="11" t="n">
        <v>1203</v>
      </c>
      <c r="B1205" s="50" t="inlineStr">
        <is>
          <t>AU-3(1)</t>
        </is>
      </c>
      <c r="C1205" s="11" t="inlineStr">
        <is>
          <t>AU</t>
        </is>
      </c>
      <c r="D1205" s="12" t="inlineStr">
        <is>
          <t>Virtual Desktop Infrastructure</t>
        </is>
      </c>
      <c r="E1205" s="11">
        <f>IFERROR(TRACKER!G1205,"Not Started")</f>
        <v/>
      </c>
      <c r="F1205" s="51">
        <f>IFERROR('[Virtual_Desktop_Infrastructure.xlsx]AU-3-1'!B21,"")</f>
        <v/>
      </c>
      <c r="G1205" s="51" t="inlineStr"/>
      <c r="H1205" s="51" t="inlineStr"/>
      <c r="I1205" s="11" t="inlineStr"/>
      <c r="J1205" s="12" t="inlineStr"/>
      <c r="K1205" s="17" t="inlineStr"/>
      <c r="L1205" s="11" t="inlineStr">
        <is>
          <t>Not Started</t>
        </is>
      </c>
    </row>
    <row r="1206" ht="42" customHeight="1">
      <c r="A1206" s="18" t="n">
        <v>1204</v>
      </c>
      <c r="B1206" s="52" t="inlineStr">
        <is>
          <t>AU-9(2)</t>
        </is>
      </c>
      <c r="C1206" s="18" t="inlineStr">
        <is>
          <t>AU</t>
        </is>
      </c>
      <c r="D1206" s="19" t="inlineStr">
        <is>
          <t>Virtual Desktop Infrastructure</t>
        </is>
      </c>
      <c r="E1206" s="18">
        <f>IFERROR(TRACKER!G1206,"Not Started")</f>
        <v/>
      </c>
      <c r="F1206" s="53">
        <f>IFERROR('[Virtual_Desktop_Infrastructure.xlsx]AU-9-2'!B21,"")</f>
        <v/>
      </c>
      <c r="G1206" s="53" t="inlineStr"/>
      <c r="H1206" s="53" t="inlineStr"/>
      <c r="I1206" s="18" t="inlineStr"/>
      <c r="J1206" s="19" t="inlineStr"/>
      <c r="K1206" s="22" t="inlineStr"/>
      <c r="L1206" s="18" t="inlineStr">
        <is>
          <t>Not Started</t>
        </is>
      </c>
    </row>
    <row r="1207" ht="42" customHeight="1">
      <c r="A1207" s="11" t="n">
        <v>1205</v>
      </c>
      <c r="B1207" s="50" t="inlineStr">
        <is>
          <t>AU-12</t>
        </is>
      </c>
      <c r="C1207" s="11" t="inlineStr">
        <is>
          <t>AU</t>
        </is>
      </c>
      <c r="D1207" s="12" t="inlineStr">
        <is>
          <t>Virtual Desktop Infrastructure</t>
        </is>
      </c>
      <c r="E1207" s="11">
        <f>IFERROR(TRACKER!G1207,"Not Started")</f>
        <v/>
      </c>
      <c r="F1207" s="51">
        <f>IFERROR('[Virtual_Desktop_Infrastructure.xlsx]AU-12'!B21,"")</f>
        <v/>
      </c>
      <c r="G1207" s="51" t="inlineStr"/>
      <c r="H1207" s="51" t="inlineStr"/>
      <c r="I1207" s="11" t="inlineStr"/>
      <c r="J1207" s="12" t="inlineStr"/>
      <c r="K1207" s="17" t="inlineStr"/>
      <c r="L1207" s="11" t="inlineStr">
        <is>
          <t>Not Started</t>
        </is>
      </c>
    </row>
    <row r="1208" ht="42" customHeight="1">
      <c r="A1208" s="18" t="n">
        <v>1206</v>
      </c>
      <c r="B1208" s="52" t="inlineStr">
        <is>
          <t>CA-9</t>
        </is>
      </c>
      <c r="C1208" s="18" t="inlineStr">
        <is>
          <t>CA</t>
        </is>
      </c>
      <c r="D1208" s="19" t="inlineStr">
        <is>
          <t>Virtual Desktop Infrastructure</t>
        </is>
      </c>
      <c r="E1208" s="18">
        <f>IFERROR(TRACKER!G1208,"Not Started")</f>
        <v/>
      </c>
      <c r="F1208" s="53">
        <f>IFERROR('[Virtual_Desktop_Infrastructure.xlsx]CA-9'!B21,"")</f>
        <v/>
      </c>
      <c r="G1208" s="53" t="inlineStr"/>
      <c r="H1208" s="53" t="inlineStr"/>
      <c r="I1208" s="18" t="inlineStr"/>
      <c r="J1208" s="19" t="inlineStr"/>
      <c r="K1208" s="22" t="inlineStr"/>
      <c r="L1208" s="18" t="inlineStr">
        <is>
          <t>Not Started</t>
        </is>
      </c>
    </row>
    <row r="1209" ht="42" customHeight="1">
      <c r="A1209" s="11" t="n">
        <v>1207</v>
      </c>
      <c r="B1209" s="50" t="inlineStr">
        <is>
          <t>CM-6</t>
        </is>
      </c>
      <c r="C1209" s="11" t="inlineStr">
        <is>
          <t>CM</t>
        </is>
      </c>
      <c r="D1209" s="12" t="inlineStr">
        <is>
          <t>Virtual Desktop Infrastructure</t>
        </is>
      </c>
      <c r="E1209" s="11">
        <f>IFERROR(TRACKER!G1209,"Not Started")</f>
        <v/>
      </c>
      <c r="F1209" s="51">
        <f>IFERROR('[Virtual_Desktop_Infrastructure.xlsx]CM-6'!B21,"")</f>
        <v/>
      </c>
      <c r="G1209" s="51" t="inlineStr"/>
      <c r="H1209" s="51" t="inlineStr"/>
      <c r="I1209" s="11" t="inlineStr"/>
      <c r="J1209" s="12" t="inlineStr"/>
      <c r="K1209" s="17" t="inlineStr"/>
      <c r="L1209" s="11" t="inlineStr">
        <is>
          <t>Not Started</t>
        </is>
      </c>
    </row>
    <row r="1210" ht="42" customHeight="1">
      <c r="A1210" s="18" t="n">
        <v>1208</v>
      </c>
      <c r="B1210" s="52" t="inlineStr">
        <is>
          <t>CM-7</t>
        </is>
      </c>
      <c r="C1210" s="18" t="inlineStr">
        <is>
          <t>CM</t>
        </is>
      </c>
      <c r="D1210" s="19" t="inlineStr">
        <is>
          <t>Virtual Desktop Infrastructure</t>
        </is>
      </c>
      <c r="E1210" s="18">
        <f>IFERROR(TRACKER!G1210,"Not Started")</f>
        <v/>
      </c>
      <c r="F1210" s="53">
        <f>IFERROR('[Virtual_Desktop_Infrastructure.xlsx]CM-7'!B21,"")</f>
        <v/>
      </c>
      <c r="G1210" s="53" t="inlineStr"/>
      <c r="H1210" s="53" t="inlineStr"/>
      <c r="I1210" s="18" t="inlineStr"/>
      <c r="J1210" s="19" t="inlineStr"/>
      <c r="K1210" s="22" t="inlineStr"/>
      <c r="L1210" s="18" t="inlineStr">
        <is>
          <t>Not Started</t>
        </is>
      </c>
    </row>
    <row r="1211" ht="42" customHeight="1">
      <c r="A1211" s="11" t="n">
        <v>1209</v>
      </c>
      <c r="B1211" s="50" t="inlineStr">
        <is>
          <t>CM-7(1)</t>
        </is>
      </c>
      <c r="C1211" s="11" t="inlineStr">
        <is>
          <t>CM</t>
        </is>
      </c>
      <c r="D1211" s="12" t="inlineStr">
        <is>
          <t>Virtual Desktop Infrastructure</t>
        </is>
      </c>
      <c r="E1211" s="11">
        <f>IFERROR(TRACKER!G1211,"Not Started")</f>
        <v/>
      </c>
      <c r="F1211" s="51">
        <f>IFERROR('[Virtual_Desktop_Infrastructure.xlsx]CM-7-1'!B21,"")</f>
        <v/>
      </c>
      <c r="G1211" s="51" t="inlineStr"/>
      <c r="H1211" s="51" t="inlineStr"/>
      <c r="I1211" s="11" t="inlineStr"/>
      <c r="J1211" s="12" t="inlineStr"/>
      <c r="K1211" s="17" t="inlineStr"/>
      <c r="L1211" s="11" t="inlineStr">
        <is>
          <t>Not Started</t>
        </is>
      </c>
    </row>
    <row r="1212" ht="42" customHeight="1">
      <c r="A1212" s="18" t="n">
        <v>1210</v>
      </c>
      <c r="B1212" s="52" t="inlineStr">
        <is>
          <t>CM-7(5)</t>
        </is>
      </c>
      <c r="C1212" s="18" t="inlineStr">
        <is>
          <t>CM</t>
        </is>
      </c>
      <c r="D1212" s="19" t="inlineStr">
        <is>
          <t>Virtual Desktop Infrastructure</t>
        </is>
      </c>
      <c r="E1212" s="18">
        <f>IFERROR(TRACKER!G1212,"Not Started")</f>
        <v/>
      </c>
      <c r="F1212" s="53">
        <f>IFERROR('[Virtual_Desktop_Infrastructure.xlsx]CM-7-5'!B21,"")</f>
        <v/>
      </c>
      <c r="G1212" s="53" t="inlineStr"/>
      <c r="H1212" s="53" t="inlineStr"/>
      <c r="I1212" s="18" t="inlineStr"/>
      <c r="J1212" s="19" t="inlineStr"/>
      <c r="K1212" s="22" t="inlineStr"/>
      <c r="L1212" s="18" t="inlineStr">
        <is>
          <t>Not Started</t>
        </is>
      </c>
    </row>
    <row r="1213" ht="42" customHeight="1">
      <c r="A1213" s="11" t="n">
        <v>1211</v>
      </c>
      <c r="B1213" s="50" t="inlineStr">
        <is>
          <t>CM-11</t>
        </is>
      </c>
      <c r="C1213" s="11" t="inlineStr">
        <is>
          <t>CM</t>
        </is>
      </c>
      <c r="D1213" s="12" t="inlineStr">
        <is>
          <t>Virtual Desktop Infrastructure</t>
        </is>
      </c>
      <c r="E1213" s="11">
        <f>IFERROR(TRACKER!G1213,"Not Started")</f>
        <v/>
      </c>
      <c r="F1213" s="51">
        <f>IFERROR('[Virtual_Desktop_Infrastructure.xlsx]CM-11'!B21,"")</f>
        <v/>
      </c>
      <c r="G1213" s="51" t="inlineStr"/>
      <c r="H1213" s="51" t="inlineStr"/>
      <c r="I1213" s="11" t="inlineStr"/>
      <c r="J1213" s="12" t="inlineStr"/>
      <c r="K1213" s="17" t="inlineStr"/>
      <c r="L1213" s="11" t="inlineStr">
        <is>
          <t>Not Started</t>
        </is>
      </c>
    </row>
    <row r="1214" ht="42" customHeight="1">
      <c r="A1214" s="18" t="n">
        <v>1212</v>
      </c>
      <c r="B1214" s="52" t="inlineStr">
        <is>
          <t>CP-6</t>
        </is>
      </c>
      <c r="C1214" s="18" t="inlineStr">
        <is>
          <t>CP</t>
        </is>
      </c>
      <c r="D1214" s="19" t="inlineStr">
        <is>
          <t>Virtual Desktop Infrastructure</t>
        </is>
      </c>
      <c r="E1214" s="18">
        <f>IFERROR(TRACKER!G1214,"Not Started")</f>
        <v/>
      </c>
      <c r="F1214" s="53">
        <f>IFERROR('[Virtual_Desktop_Infrastructure.xlsx]CP-6'!B21,"")</f>
        <v/>
      </c>
      <c r="G1214" s="53" t="inlineStr"/>
      <c r="H1214" s="53" t="inlineStr"/>
      <c r="I1214" s="18" t="inlineStr"/>
      <c r="J1214" s="19" t="inlineStr"/>
      <c r="K1214" s="22" t="inlineStr"/>
      <c r="L1214" s="18" t="inlineStr">
        <is>
          <t>Not Started</t>
        </is>
      </c>
    </row>
    <row r="1215" ht="42" customHeight="1">
      <c r="A1215" s="11" t="n">
        <v>1213</v>
      </c>
      <c r="B1215" s="50" t="inlineStr">
        <is>
          <t>CP-6(2)</t>
        </is>
      </c>
      <c r="C1215" s="11" t="inlineStr">
        <is>
          <t>CP</t>
        </is>
      </c>
      <c r="D1215" s="12" t="inlineStr">
        <is>
          <t>Virtual Desktop Infrastructure</t>
        </is>
      </c>
      <c r="E1215" s="11">
        <f>IFERROR(TRACKER!G1215,"Not Started")</f>
        <v/>
      </c>
      <c r="F1215" s="51">
        <f>IFERROR('[Virtual_Desktop_Infrastructure.xlsx]CP-6-2'!B21,"")</f>
        <v/>
      </c>
      <c r="G1215" s="51" t="inlineStr"/>
      <c r="H1215" s="51" t="inlineStr"/>
      <c r="I1215" s="11" t="inlineStr"/>
      <c r="J1215" s="12" t="inlineStr"/>
      <c r="K1215" s="17" t="inlineStr"/>
      <c r="L1215" s="11" t="inlineStr">
        <is>
          <t>Not Started</t>
        </is>
      </c>
    </row>
    <row r="1216" ht="42" customHeight="1">
      <c r="A1216" s="18" t="n">
        <v>1214</v>
      </c>
      <c r="B1216" s="52" t="inlineStr">
        <is>
          <t>CP-7</t>
        </is>
      </c>
      <c r="C1216" s="18" t="inlineStr">
        <is>
          <t>CP</t>
        </is>
      </c>
      <c r="D1216" s="19" t="inlineStr">
        <is>
          <t>Virtual Desktop Infrastructure</t>
        </is>
      </c>
      <c r="E1216" s="18">
        <f>IFERROR(TRACKER!G1216,"Not Started")</f>
        <v/>
      </c>
      <c r="F1216" s="53">
        <f>IFERROR('[Virtual_Desktop_Infrastructure.xlsx]CP-7'!B21,"")</f>
        <v/>
      </c>
      <c r="G1216" s="53" t="inlineStr"/>
      <c r="H1216" s="53" t="inlineStr"/>
      <c r="I1216" s="18" t="inlineStr"/>
      <c r="J1216" s="19" t="inlineStr"/>
      <c r="K1216" s="22" t="inlineStr"/>
      <c r="L1216" s="18" t="inlineStr">
        <is>
          <t>Not Started</t>
        </is>
      </c>
    </row>
    <row r="1217" ht="42" customHeight="1">
      <c r="A1217" s="11" t="n">
        <v>1215</v>
      </c>
      <c r="B1217" s="50" t="inlineStr">
        <is>
          <t>CP-7(4)</t>
        </is>
      </c>
      <c r="C1217" s="11" t="inlineStr">
        <is>
          <t>CP</t>
        </is>
      </c>
      <c r="D1217" s="12" t="inlineStr">
        <is>
          <t>Virtual Desktop Infrastructure</t>
        </is>
      </c>
      <c r="E1217" s="11">
        <f>IFERROR(TRACKER!G1217,"Not Started")</f>
        <v/>
      </c>
      <c r="F1217" s="51">
        <f>IFERROR('[Virtual_Desktop_Infrastructure.xlsx]CP-7-4'!B21,"")</f>
        <v/>
      </c>
      <c r="G1217" s="51" t="inlineStr"/>
      <c r="H1217" s="51" t="inlineStr"/>
      <c r="I1217" s="11" t="inlineStr"/>
      <c r="J1217" s="12" t="inlineStr"/>
      <c r="K1217" s="17" t="inlineStr"/>
      <c r="L1217" s="11" t="inlineStr">
        <is>
          <t>Not Started</t>
        </is>
      </c>
    </row>
    <row r="1218" ht="42" customHeight="1">
      <c r="A1218" s="18" t="n">
        <v>1216</v>
      </c>
      <c r="B1218" s="52" t="inlineStr">
        <is>
          <t>CP-9</t>
        </is>
      </c>
      <c r="C1218" s="18" t="inlineStr">
        <is>
          <t>CP</t>
        </is>
      </c>
      <c r="D1218" s="19" t="inlineStr">
        <is>
          <t>Virtual Desktop Infrastructure</t>
        </is>
      </c>
      <c r="E1218" s="18">
        <f>IFERROR(TRACKER!G1218,"Not Started")</f>
        <v/>
      </c>
      <c r="F1218" s="53">
        <f>IFERROR('[Virtual_Desktop_Infrastructure.xlsx]CP-9'!B21,"")</f>
        <v/>
      </c>
      <c r="G1218" s="53" t="inlineStr"/>
      <c r="H1218" s="53" t="inlineStr"/>
      <c r="I1218" s="18" t="inlineStr"/>
      <c r="J1218" s="19" t="inlineStr"/>
      <c r="K1218" s="22" t="inlineStr"/>
      <c r="L1218" s="18" t="inlineStr">
        <is>
          <t>Not Started</t>
        </is>
      </c>
    </row>
    <row r="1219" ht="42" customHeight="1">
      <c r="A1219" s="11" t="n">
        <v>1217</v>
      </c>
      <c r="B1219" s="50" t="inlineStr">
        <is>
          <t>CP-9(1)</t>
        </is>
      </c>
      <c r="C1219" s="11" t="inlineStr">
        <is>
          <t>CP</t>
        </is>
      </c>
      <c r="D1219" s="12" t="inlineStr">
        <is>
          <t>Virtual Desktop Infrastructure</t>
        </is>
      </c>
      <c r="E1219" s="11">
        <f>IFERROR(TRACKER!G1219,"Not Started")</f>
        <v/>
      </c>
      <c r="F1219" s="51">
        <f>IFERROR('[Virtual_Desktop_Infrastructure.xlsx]CP-9-1'!B21,"")</f>
        <v/>
      </c>
      <c r="G1219" s="51" t="inlineStr"/>
      <c r="H1219" s="51" t="inlineStr"/>
      <c r="I1219" s="11" t="inlineStr"/>
      <c r="J1219" s="12" t="inlineStr"/>
      <c r="K1219" s="17" t="inlineStr"/>
      <c r="L1219" s="11" t="inlineStr">
        <is>
          <t>Not Started</t>
        </is>
      </c>
    </row>
    <row r="1220" ht="42" customHeight="1">
      <c r="A1220" s="18" t="n">
        <v>1218</v>
      </c>
      <c r="B1220" s="52" t="inlineStr">
        <is>
          <t>CP-9(2)</t>
        </is>
      </c>
      <c r="C1220" s="18" t="inlineStr">
        <is>
          <t>CP</t>
        </is>
      </c>
      <c r="D1220" s="19" t="inlineStr">
        <is>
          <t>Virtual Desktop Infrastructure</t>
        </is>
      </c>
      <c r="E1220" s="18">
        <f>IFERROR(TRACKER!G1220,"Not Started")</f>
        <v/>
      </c>
      <c r="F1220" s="53">
        <f>IFERROR('[Virtual_Desktop_Infrastructure.xlsx]CP-9-2'!B21,"")</f>
        <v/>
      </c>
      <c r="G1220" s="53" t="inlineStr"/>
      <c r="H1220" s="53" t="inlineStr"/>
      <c r="I1220" s="18" t="inlineStr"/>
      <c r="J1220" s="19" t="inlineStr"/>
      <c r="K1220" s="22" t="inlineStr"/>
      <c r="L1220" s="18" t="inlineStr">
        <is>
          <t>Not Started</t>
        </is>
      </c>
    </row>
    <row r="1221" ht="42" customHeight="1">
      <c r="A1221" s="11" t="n">
        <v>1219</v>
      </c>
      <c r="B1221" s="50" t="inlineStr">
        <is>
          <t>CP-9(3)</t>
        </is>
      </c>
      <c r="C1221" s="11" t="inlineStr">
        <is>
          <t>CP</t>
        </is>
      </c>
      <c r="D1221" s="12" t="inlineStr">
        <is>
          <t>Virtual Desktop Infrastructure</t>
        </is>
      </c>
      <c r="E1221" s="11">
        <f>IFERROR(TRACKER!G1221,"Not Started")</f>
        <v/>
      </c>
      <c r="F1221" s="51">
        <f>IFERROR('[Virtual_Desktop_Infrastructure.xlsx]CP-9-3'!B21,"")</f>
        <v/>
      </c>
      <c r="G1221" s="51" t="inlineStr"/>
      <c r="H1221" s="51" t="inlineStr"/>
      <c r="I1221" s="11" t="inlineStr"/>
      <c r="J1221" s="12" t="inlineStr"/>
      <c r="K1221" s="17" t="inlineStr"/>
      <c r="L1221" s="11" t="inlineStr">
        <is>
          <t>Not Started</t>
        </is>
      </c>
    </row>
    <row r="1222" ht="42" customHeight="1">
      <c r="A1222" s="18" t="n">
        <v>1220</v>
      </c>
      <c r="B1222" s="52" t="inlineStr">
        <is>
          <t>CP-9(5)</t>
        </is>
      </c>
      <c r="C1222" s="18" t="inlineStr">
        <is>
          <t>CP</t>
        </is>
      </c>
      <c r="D1222" s="19" t="inlineStr">
        <is>
          <t>Virtual Desktop Infrastructure</t>
        </is>
      </c>
      <c r="E1222" s="18">
        <f>IFERROR(TRACKER!G1222,"Not Started")</f>
        <v/>
      </c>
      <c r="F1222" s="53">
        <f>IFERROR('[Virtual_Desktop_Infrastructure.xlsx]CP-9-5'!B21,"")</f>
        <v/>
      </c>
      <c r="G1222" s="53" t="inlineStr"/>
      <c r="H1222" s="53" t="inlineStr"/>
      <c r="I1222" s="18" t="inlineStr"/>
      <c r="J1222" s="19" t="inlineStr"/>
      <c r="K1222" s="22" t="inlineStr"/>
      <c r="L1222" s="18" t="inlineStr">
        <is>
          <t>Not Started</t>
        </is>
      </c>
    </row>
    <row r="1223" ht="42" customHeight="1">
      <c r="A1223" s="11" t="n">
        <v>1221</v>
      </c>
      <c r="B1223" s="50" t="inlineStr">
        <is>
          <t>CP-9(7)</t>
        </is>
      </c>
      <c r="C1223" s="11" t="inlineStr">
        <is>
          <t>CP</t>
        </is>
      </c>
      <c r="D1223" s="12" t="inlineStr">
        <is>
          <t>Virtual Desktop Infrastructure</t>
        </is>
      </c>
      <c r="E1223" s="11">
        <f>IFERROR(TRACKER!G1223,"Not Started")</f>
        <v/>
      </c>
      <c r="F1223" s="51">
        <f>IFERROR('[Virtual_Desktop_Infrastructure.xlsx]CP-9-7'!B21,"")</f>
        <v/>
      </c>
      <c r="G1223" s="51" t="inlineStr"/>
      <c r="H1223" s="51" t="inlineStr"/>
      <c r="I1223" s="11" t="inlineStr"/>
      <c r="J1223" s="12" t="inlineStr"/>
      <c r="K1223" s="17" t="inlineStr"/>
      <c r="L1223" s="11" t="inlineStr">
        <is>
          <t>Not Started</t>
        </is>
      </c>
    </row>
    <row r="1224" ht="42" customHeight="1">
      <c r="A1224" s="18" t="n">
        <v>1222</v>
      </c>
      <c r="B1224" s="52" t="inlineStr">
        <is>
          <t>CP-10</t>
        </is>
      </c>
      <c r="C1224" s="18" t="inlineStr">
        <is>
          <t>CP</t>
        </is>
      </c>
      <c r="D1224" s="19" t="inlineStr">
        <is>
          <t>Virtual Desktop Infrastructure</t>
        </is>
      </c>
      <c r="E1224" s="18">
        <f>IFERROR(TRACKER!G1224,"Not Started")</f>
        <v/>
      </c>
      <c r="F1224" s="53">
        <f>IFERROR('[Virtual_Desktop_Infrastructure.xlsx]CP-10'!B21,"")</f>
        <v/>
      </c>
      <c r="G1224" s="53" t="inlineStr"/>
      <c r="H1224" s="53" t="inlineStr"/>
      <c r="I1224" s="18" t="inlineStr"/>
      <c r="J1224" s="19" t="inlineStr"/>
      <c r="K1224" s="22" t="inlineStr"/>
      <c r="L1224" s="18" t="inlineStr">
        <is>
          <t>Not Started</t>
        </is>
      </c>
    </row>
    <row r="1225" ht="42" customHeight="1">
      <c r="A1225" s="11" t="n">
        <v>1223</v>
      </c>
      <c r="B1225" s="50" t="inlineStr">
        <is>
          <t>CP-10(4)</t>
        </is>
      </c>
      <c r="C1225" s="11" t="inlineStr">
        <is>
          <t>CP</t>
        </is>
      </c>
      <c r="D1225" s="12" t="inlineStr">
        <is>
          <t>Virtual Desktop Infrastructure</t>
        </is>
      </c>
      <c r="E1225" s="11">
        <f>IFERROR(TRACKER!G1225,"Not Started")</f>
        <v/>
      </c>
      <c r="F1225" s="51">
        <f>IFERROR('[Virtual_Desktop_Infrastructure.xlsx]CP-10-4'!B21,"")</f>
        <v/>
      </c>
      <c r="G1225" s="51" t="inlineStr"/>
      <c r="H1225" s="51" t="inlineStr"/>
      <c r="I1225" s="11" t="inlineStr"/>
      <c r="J1225" s="12" t="inlineStr"/>
      <c r="K1225" s="17" t="inlineStr"/>
      <c r="L1225" s="11" t="inlineStr">
        <is>
          <t>Not Started</t>
        </is>
      </c>
    </row>
    <row r="1226" ht="42" customHeight="1">
      <c r="A1226" s="18" t="n">
        <v>1224</v>
      </c>
      <c r="B1226" s="52" t="inlineStr">
        <is>
          <t>IA-5(6)</t>
        </is>
      </c>
      <c r="C1226" s="18" t="inlineStr">
        <is>
          <t>IA</t>
        </is>
      </c>
      <c r="D1226" s="19" t="inlineStr">
        <is>
          <t>Virtual Desktop Infrastructure</t>
        </is>
      </c>
      <c r="E1226" s="18">
        <f>IFERROR(TRACKER!G1226,"Not Started")</f>
        <v/>
      </c>
      <c r="F1226" s="53">
        <f>IFERROR('[Virtual_Desktop_Infrastructure.xlsx]IA-5-6'!B21,"")</f>
        <v/>
      </c>
      <c r="G1226" s="53" t="inlineStr"/>
      <c r="H1226" s="53" t="inlineStr"/>
      <c r="I1226" s="18" t="inlineStr"/>
      <c r="J1226" s="19" t="inlineStr"/>
      <c r="K1226" s="22" t="inlineStr"/>
      <c r="L1226" s="18" t="inlineStr">
        <is>
          <t>Not Started</t>
        </is>
      </c>
    </row>
    <row r="1227" ht="42" customHeight="1">
      <c r="A1227" s="11" t="n">
        <v>1225</v>
      </c>
      <c r="B1227" s="50" t="inlineStr">
        <is>
          <t>SA-9(5)</t>
        </is>
      </c>
      <c r="C1227" s="11" t="inlineStr">
        <is>
          <t>SA</t>
        </is>
      </c>
      <c r="D1227" s="12" t="inlineStr">
        <is>
          <t>Virtual Desktop Infrastructure</t>
        </is>
      </c>
      <c r="E1227" s="11">
        <f>IFERROR(TRACKER!G1227,"Not Started")</f>
        <v/>
      </c>
      <c r="F1227" s="51">
        <f>IFERROR('[Virtual_Desktop_Infrastructure.xlsx]SA-9-5'!B21,"")</f>
        <v/>
      </c>
      <c r="G1227" s="51" t="inlineStr"/>
      <c r="H1227" s="51" t="inlineStr"/>
      <c r="I1227" s="11" t="inlineStr"/>
      <c r="J1227" s="12" t="inlineStr"/>
      <c r="K1227" s="17" t="inlineStr"/>
      <c r="L1227" s="11" t="inlineStr">
        <is>
          <t>Not Started</t>
        </is>
      </c>
    </row>
    <row r="1228" ht="42" customHeight="1">
      <c r="A1228" s="18" t="n">
        <v>1226</v>
      </c>
      <c r="B1228" s="52" t="inlineStr">
        <is>
          <t>SA-10(1)</t>
        </is>
      </c>
      <c r="C1228" s="18" t="inlineStr">
        <is>
          <t>SA</t>
        </is>
      </c>
      <c r="D1228" s="19" t="inlineStr">
        <is>
          <t>Virtual Desktop Infrastructure</t>
        </is>
      </c>
      <c r="E1228" s="18">
        <f>IFERROR(TRACKER!G1228,"Not Started")</f>
        <v/>
      </c>
      <c r="F1228" s="53">
        <f>IFERROR('[Virtual_Desktop_Infrastructure.xlsx]SA-10-1'!B21,"")</f>
        <v/>
      </c>
      <c r="G1228" s="53" t="inlineStr"/>
      <c r="H1228" s="53" t="inlineStr"/>
      <c r="I1228" s="18" t="inlineStr"/>
      <c r="J1228" s="19" t="inlineStr"/>
      <c r="K1228" s="22" t="inlineStr"/>
      <c r="L1228" s="18" t="inlineStr">
        <is>
          <t>Not Started</t>
        </is>
      </c>
    </row>
    <row r="1229" ht="42" customHeight="1">
      <c r="A1229" s="11" t="n">
        <v>1227</v>
      </c>
      <c r="B1229" s="50" t="inlineStr">
        <is>
          <t>SC-4</t>
        </is>
      </c>
      <c r="C1229" s="11" t="inlineStr">
        <is>
          <t>SC</t>
        </is>
      </c>
      <c r="D1229" s="12" t="inlineStr">
        <is>
          <t>Virtual Desktop Infrastructure</t>
        </is>
      </c>
      <c r="E1229" s="11">
        <f>IFERROR(TRACKER!G1229,"Not Started")</f>
        <v/>
      </c>
      <c r="F1229" s="51">
        <f>IFERROR('[Virtual_Desktop_Infrastructure.xlsx]SC-4'!B21,"")</f>
        <v/>
      </c>
      <c r="G1229" s="51" t="inlineStr"/>
      <c r="H1229" s="51" t="inlineStr"/>
      <c r="I1229" s="11" t="inlineStr"/>
      <c r="J1229" s="12" t="inlineStr"/>
      <c r="K1229" s="17" t="inlineStr"/>
      <c r="L1229" s="11" t="inlineStr">
        <is>
          <t>Not Started</t>
        </is>
      </c>
    </row>
    <row r="1230" ht="42" customHeight="1">
      <c r="A1230" s="18" t="n">
        <v>1228</v>
      </c>
      <c r="B1230" s="52" t="inlineStr">
        <is>
          <t>SC-6</t>
        </is>
      </c>
      <c r="C1230" s="18" t="inlineStr">
        <is>
          <t>SC</t>
        </is>
      </c>
      <c r="D1230" s="19" t="inlineStr">
        <is>
          <t>Virtual Desktop Infrastructure</t>
        </is>
      </c>
      <c r="E1230" s="18">
        <f>IFERROR(TRACKER!G1230,"Not Started")</f>
        <v/>
      </c>
      <c r="F1230" s="53">
        <f>IFERROR('[Virtual_Desktop_Infrastructure.xlsx]SC-6'!B21,"")</f>
        <v/>
      </c>
      <c r="G1230" s="53" t="inlineStr"/>
      <c r="H1230" s="53" t="inlineStr"/>
      <c r="I1230" s="18" t="inlineStr"/>
      <c r="J1230" s="19" t="inlineStr"/>
      <c r="K1230" s="22" t="inlineStr"/>
      <c r="L1230" s="18" t="inlineStr">
        <is>
          <t>Not Started</t>
        </is>
      </c>
    </row>
    <row r="1231" ht="42" customHeight="1">
      <c r="A1231" s="11" t="n">
        <v>1229</v>
      </c>
      <c r="B1231" s="50" t="inlineStr">
        <is>
          <t>SC-7(7)</t>
        </is>
      </c>
      <c r="C1231" s="11" t="inlineStr">
        <is>
          <t>SC</t>
        </is>
      </c>
      <c r="D1231" s="12" t="inlineStr">
        <is>
          <t>Virtual Desktop Infrastructure</t>
        </is>
      </c>
      <c r="E1231" s="11">
        <f>IFERROR(TRACKER!G1231,"Not Started")</f>
        <v/>
      </c>
      <c r="F1231" s="51">
        <f>IFERROR('[Virtual_Desktop_Infrastructure.xlsx]SC-7-7'!B21,"")</f>
        <v/>
      </c>
      <c r="G1231" s="51" t="inlineStr"/>
      <c r="H1231" s="51" t="inlineStr"/>
      <c r="I1231" s="11" t="inlineStr"/>
      <c r="J1231" s="12" t="inlineStr"/>
      <c r="K1231" s="17" t="inlineStr"/>
      <c r="L1231" s="11" t="inlineStr">
        <is>
          <t>Not Started</t>
        </is>
      </c>
    </row>
    <row r="1232" ht="42" customHeight="1">
      <c r="A1232" s="18" t="n">
        <v>1230</v>
      </c>
      <c r="B1232" s="52" t="inlineStr">
        <is>
          <t>SC-7(12)</t>
        </is>
      </c>
      <c r="C1232" s="18" t="inlineStr">
        <is>
          <t>SC</t>
        </is>
      </c>
      <c r="D1232" s="19" t="inlineStr">
        <is>
          <t>Virtual Desktop Infrastructure</t>
        </is>
      </c>
      <c r="E1232" s="18">
        <f>IFERROR(TRACKER!G1232,"Not Started")</f>
        <v/>
      </c>
      <c r="F1232" s="53">
        <f>IFERROR('[Virtual_Desktop_Infrastructure.xlsx]SC-7-12'!B21,"")</f>
        <v/>
      </c>
      <c r="G1232" s="53" t="inlineStr"/>
      <c r="H1232" s="53" t="inlineStr"/>
      <c r="I1232" s="18" t="inlineStr"/>
      <c r="J1232" s="19" t="inlineStr"/>
      <c r="K1232" s="22" t="inlineStr"/>
      <c r="L1232" s="18" t="inlineStr">
        <is>
          <t>Not Started</t>
        </is>
      </c>
    </row>
    <row r="1233" ht="42" customHeight="1">
      <c r="A1233" s="11" t="n">
        <v>1231</v>
      </c>
      <c r="B1233" s="50" t="inlineStr">
        <is>
          <t>SC-8</t>
        </is>
      </c>
      <c r="C1233" s="11" t="inlineStr">
        <is>
          <t>SC</t>
        </is>
      </c>
      <c r="D1233" s="12" t="inlineStr">
        <is>
          <t>Virtual Desktop Infrastructure</t>
        </is>
      </c>
      <c r="E1233" s="11">
        <f>IFERROR(TRACKER!G1233,"Not Started")</f>
        <v/>
      </c>
      <c r="F1233" s="51">
        <f>IFERROR('[Virtual_Desktop_Infrastructure.xlsx]SC-8'!B21,"")</f>
        <v/>
      </c>
      <c r="G1233" s="51" t="inlineStr"/>
      <c r="H1233" s="51" t="inlineStr"/>
      <c r="I1233" s="11" t="inlineStr"/>
      <c r="J1233" s="12" t="inlineStr"/>
      <c r="K1233" s="17" t="inlineStr"/>
      <c r="L1233" s="11" t="inlineStr">
        <is>
          <t>Not Started</t>
        </is>
      </c>
    </row>
    <row r="1234" ht="42" customHeight="1">
      <c r="A1234" s="18" t="n">
        <v>1232</v>
      </c>
      <c r="B1234" s="52" t="inlineStr">
        <is>
          <t>SC-8(1)</t>
        </is>
      </c>
      <c r="C1234" s="18" t="inlineStr">
        <is>
          <t>SC</t>
        </is>
      </c>
      <c r="D1234" s="19" t="inlineStr">
        <is>
          <t>Virtual Desktop Infrastructure</t>
        </is>
      </c>
      <c r="E1234" s="18">
        <f>IFERROR(TRACKER!G1234,"Not Started")</f>
        <v/>
      </c>
      <c r="F1234" s="53">
        <f>IFERROR('[Virtual_Desktop_Infrastructure.xlsx]SC-8-1'!B21,"")</f>
        <v/>
      </c>
      <c r="G1234" s="53" t="inlineStr"/>
      <c r="H1234" s="53" t="inlineStr"/>
      <c r="I1234" s="18" t="inlineStr"/>
      <c r="J1234" s="19" t="inlineStr"/>
      <c r="K1234" s="22" t="inlineStr"/>
      <c r="L1234" s="18" t="inlineStr">
        <is>
          <t>Not Started</t>
        </is>
      </c>
    </row>
    <row r="1235" ht="42" customHeight="1">
      <c r="A1235" s="11" t="n">
        <v>1233</v>
      </c>
      <c r="B1235" s="50" t="inlineStr">
        <is>
          <t>SC-10</t>
        </is>
      </c>
      <c r="C1235" s="11" t="inlineStr">
        <is>
          <t>SC</t>
        </is>
      </c>
      <c r="D1235" s="12" t="inlineStr">
        <is>
          <t>Virtual Desktop Infrastructure</t>
        </is>
      </c>
      <c r="E1235" s="11">
        <f>IFERROR(TRACKER!G1235,"Not Started")</f>
        <v/>
      </c>
      <c r="F1235" s="51">
        <f>IFERROR('[Virtual_Desktop_Infrastructure.xlsx]SC-10'!B21,"")</f>
        <v/>
      </c>
      <c r="G1235" s="51" t="inlineStr"/>
      <c r="H1235" s="51" t="inlineStr"/>
      <c r="I1235" s="11" t="inlineStr"/>
      <c r="J1235" s="12" t="inlineStr"/>
      <c r="K1235" s="17" t="inlineStr"/>
      <c r="L1235" s="11" t="inlineStr">
        <is>
          <t>Not Started</t>
        </is>
      </c>
    </row>
    <row r="1236" ht="42" customHeight="1">
      <c r="A1236" s="18" t="n">
        <v>1234</v>
      </c>
      <c r="B1236" s="52" t="inlineStr">
        <is>
          <t>SC-13</t>
        </is>
      </c>
      <c r="C1236" s="18" t="inlineStr">
        <is>
          <t>SC</t>
        </is>
      </c>
      <c r="D1236" s="19" t="inlineStr">
        <is>
          <t>Virtual Desktop Infrastructure</t>
        </is>
      </c>
      <c r="E1236" s="18">
        <f>IFERROR(TRACKER!G1236,"Not Started")</f>
        <v/>
      </c>
      <c r="F1236" s="53">
        <f>IFERROR('[Virtual_Desktop_Infrastructure.xlsx]SC-13'!B21,"")</f>
        <v/>
      </c>
      <c r="G1236" s="53" t="inlineStr"/>
      <c r="H1236" s="53" t="inlineStr"/>
      <c r="I1236" s="18" t="inlineStr"/>
      <c r="J1236" s="19" t="inlineStr"/>
      <c r="K1236" s="22" t="inlineStr"/>
      <c r="L1236" s="18" t="inlineStr">
        <is>
          <t>Not Started</t>
        </is>
      </c>
    </row>
    <row r="1237" ht="42" customHeight="1">
      <c r="A1237" s="11" t="n">
        <v>1235</v>
      </c>
      <c r="B1237" s="50" t="inlineStr">
        <is>
          <t>SC-18</t>
        </is>
      </c>
      <c r="C1237" s="11" t="inlineStr">
        <is>
          <t>SC</t>
        </is>
      </c>
      <c r="D1237" s="12" t="inlineStr">
        <is>
          <t>Virtual Desktop Infrastructure</t>
        </is>
      </c>
      <c r="E1237" s="11">
        <f>IFERROR(TRACKER!G1237,"Not Started")</f>
        <v/>
      </c>
      <c r="F1237" s="51">
        <f>IFERROR('[Virtual_Desktop_Infrastructure.xlsx]SC-18'!B21,"")</f>
        <v/>
      </c>
      <c r="G1237" s="51" t="inlineStr"/>
      <c r="H1237" s="51" t="inlineStr"/>
      <c r="I1237" s="11" t="inlineStr"/>
      <c r="J1237" s="12" t="inlineStr"/>
      <c r="K1237" s="17" t="inlineStr"/>
      <c r="L1237" s="11" t="inlineStr">
        <is>
          <t>Not Started</t>
        </is>
      </c>
    </row>
    <row r="1238" ht="42" customHeight="1">
      <c r="A1238" s="18" t="n">
        <v>1236</v>
      </c>
      <c r="B1238" s="52" t="inlineStr">
        <is>
          <t>SC-18(3)</t>
        </is>
      </c>
      <c r="C1238" s="18" t="inlineStr">
        <is>
          <t>SC</t>
        </is>
      </c>
      <c r="D1238" s="19" t="inlineStr">
        <is>
          <t>Virtual Desktop Infrastructure</t>
        </is>
      </c>
      <c r="E1238" s="18">
        <f>IFERROR(TRACKER!G1238,"Not Started")</f>
        <v/>
      </c>
      <c r="F1238" s="53">
        <f>IFERROR('[Virtual_Desktop_Infrastructure.xlsx]SC-18-3'!B21,"")</f>
        <v/>
      </c>
      <c r="G1238" s="53" t="inlineStr"/>
      <c r="H1238" s="53" t="inlineStr"/>
      <c r="I1238" s="18" t="inlineStr"/>
      <c r="J1238" s="19" t="inlineStr"/>
      <c r="K1238" s="22" t="inlineStr"/>
      <c r="L1238" s="18" t="inlineStr">
        <is>
          <t>Not Started</t>
        </is>
      </c>
    </row>
    <row r="1239" ht="42" customHeight="1">
      <c r="A1239" s="11" t="n">
        <v>1237</v>
      </c>
      <c r="B1239" s="50" t="inlineStr">
        <is>
          <t>SC-18(4)</t>
        </is>
      </c>
      <c r="C1239" s="11" t="inlineStr">
        <is>
          <t>SC</t>
        </is>
      </c>
      <c r="D1239" s="12" t="inlineStr">
        <is>
          <t>Virtual Desktop Infrastructure</t>
        </is>
      </c>
      <c r="E1239" s="11">
        <f>IFERROR(TRACKER!G1239,"Not Started")</f>
        <v/>
      </c>
      <c r="F1239" s="51">
        <f>IFERROR('[Virtual_Desktop_Infrastructure.xlsx]SC-18-4'!B21,"")</f>
        <v/>
      </c>
      <c r="G1239" s="51" t="inlineStr"/>
      <c r="H1239" s="51" t="inlineStr"/>
      <c r="I1239" s="11" t="inlineStr"/>
      <c r="J1239" s="12" t="inlineStr"/>
      <c r="K1239" s="17" t="inlineStr"/>
      <c r="L1239" s="11" t="inlineStr">
        <is>
          <t>Not Started</t>
        </is>
      </c>
    </row>
    <row r="1240" ht="42" customHeight="1">
      <c r="A1240" s="18" t="n">
        <v>1238</v>
      </c>
      <c r="B1240" s="52" t="inlineStr">
        <is>
          <t>SC-23</t>
        </is>
      </c>
      <c r="C1240" s="18" t="inlineStr">
        <is>
          <t>SC</t>
        </is>
      </c>
      <c r="D1240" s="19" t="inlineStr">
        <is>
          <t>Virtual Desktop Infrastructure</t>
        </is>
      </c>
      <c r="E1240" s="18">
        <f>IFERROR(TRACKER!G1240,"Not Started")</f>
        <v/>
      </c>
      <c r="F1240" s="53">
        <f>IFERROR('[Virtual_Desktop_Infrastructure.xlsx]SC-23'!B21,"")</f>
        <v/>
      </c>
      <c r="G1240" s="53" t="inlineStr"/>
      <c r="H1240" s="53" t="inlineStr"/>
      <c r="I1240" s="18" t="inlineStr"/>
      <c r="J1240" s="19" t="inlineStr"/>
      <c r="K1240" s="22" t="inlineStr"/>
      <c r="L1240" s="18" t="inlineStr">
        <is>
          <t>Not Started</t>
        </is>
      </c>
    </row>
    <row r="1241" ht="42" customHeight="1">
      <c r="A1241" s="11" t="n">
        <v>1239</v>
      </c>
      <c r="B1241" s="50" t="inlineStr">
        <is>
          <t>SC-23(1)</t>
        </is>
      </c>
      <c r="C1241" s="11" t="inlineStr">
        <is>
          <t>SC</t>
        </is>
      </c>
      <c r="D1241" s="12" t="inlineStr">
        <is>
          <t>Virtual Desktop Infrastructure</t>
        </is>
      </c>
      <c r="E1241" s="11">
        <f>IFERROR(TRACKER!G1241,"Not Started")</f>
        <v/>
      </c>
      <c r="F1241" s="51">
        <f>IFERROR('[Virtual_Desktop_Infrastructure.xlsx]SC-23-1'!B21,"")</f>
        <v/>
      </c>
      <c r="G1241" s="51" t="inlineStr"/>
      <c r="H1241" s="51" t="inlineStr"/>
      <c r="I1241" s="11" t="inlineStr"/>
      <c r="J1241" s="12" t="inlineStr"/>
      <c r="K1241" s="17" t="inlineStr"/>
      <c r="L1241" s="11" t="inlineStr">
        <is>
          <t>Not Started</t>
        </is>
      </c>
    </row>
    <row r="1242" ht="42" customHeight="1">
      <c r="A1242" s="18" t="n">
        <v>1240</v>
      </c>
      <c r="B1242" s="52" t="inlineStr">
        <is>
          <t>SC-28</t>
        </is>
      </c>
      <c r="C1242" s="18" t="inlineStr">
        <is>
          <t>SC</t>
        </is>
      </c>
      <c r="D1242" s="19" t="inlineStr">
        <is>
          <t>Virtual Desktop Infrastructure</t>
        </is>
      </c>
      <c r="E1242" s="18">
        <f>IFERROR(TRACKER!G1242,"Not Started")</f>
        <v/>
      </c>
      <c r="F1242" s="53">
        <f>IFERROR('[Virtual_Desktop_Infrastructure.xlsx]SC-28'!B21,"")</f>
        <v/>
      </c>
      <c r="G1242" s="53" t="inlineStr"/>
      <c r="H1242" s="53" t="inlineStr"/>
      <c r="I1242" s="18" t="inlineStr"/>
      <c r="J1242" s="19" t="inlineStr"/>
      <c r="K1242" s="22" t="inlineStr"/>
      <c r="L1242" s="18" t="inlineStr">
        <is>
          <t>Not Started</t>
        </is>
      </c>
    </row>
    <row r="1243" ht="42" customHeight="1">
      <c r="A1243" s="11" t="n">
        <v>1241</v>
      </c>
      <c r="B1243" s="50" t="inlineStr">
        <is>
          <t>SC-28(1)</t>
        </is>
      </c>
      <c r="C1243" s="11" t="inlineStr">
        <is>
          <t>SC</t>
        </is>
      </c>
      <c r="D1243" s="12" t="inlineStr">
        <is>
          <t>Virtual Desktop Infrastructure</t>
        </is>
      </c>
      <c r="E1243" s="11">
        <f>IFERROR(TRACKER!G1243,"Not Started")</f>
        <v/>
      </c>
      <c r="F1243" s="51">
        <f>IFERROR('[Virtual_Desktop_Infrastructure.xlsx]SC-28-1'!B21,"")</f>
        <v/>
      </c>
      <c r="G1243" s="51" t="inlineStr"/>
      <c r="H1243" s="51" t="inlineStr"/>
      <c r="I1243" s="11" t="inlineStr"/>
      <c r="J1243" s="12" t="inlineStr"/>
      <c r="K1243" s="17" t="inlineStr"/>
      <c r="L1243" s="11" t="inlineStr">
        <is>
          <t>Not Started</t>
        </is>
      </c>
    </row>
    <row r="1244" ht="42" customHeight="1">
      <c r="A1244" s="18" t="n">
        <v>1242</v>
      </c>
      <c r="B1244" s="52" t="inlineStr">
        <is>
          <t>SC-39</t>
        </is>
      </c>
      <c r="C1244" s="18" t="inlineStr">
        <is>
          <t>SC</t>
        </is>
      </c>
      <c r="D1244" s="19" t="inlineStr">
        <is>
          <t>Virtual Desktop Infrastructure</t>
        </is>
      </c>
      <c r="E1244" s="18">
        <f>IFERROR(TRACKER!G1244,"Not Started")</f>
        <v/>
      </c>
      <c r="F1244" s="53">
        <f>IFERROR('[Virtual_Desktop_Infrastructure.xlsx]SC-39'!B21,"")</f>
        <v/>
      </c>
      <c r="G1244" s="53" t="inlineStr"/>
      <c r="H1244" s="53" t="inlineStr"/>
      <c r="I1244" s="18" t="inlineStr"/>
      <c r="J1244" s="19" t="inlineStr"/>
      <c r="K1244" s="22" t="inlineStr"/>
      <c r="L1244" s="18" t="inlineStr">
        <is>
          <t>Not Started</t>
        </is>
      </c>
    </row>
    <row r="1245" ht="42" customHeight="1">
      <c r="A1245" s="11" t="n">
        <v>1243</v>
      </c>
      <c r="B1245" s="50" t="inlineStr">
        <is>
          <t>SI-4(2)</t>
        </is>
      </c>
      <c r="C1245" s="11" t="inlineStr">
        <is>
          <t>SI</t>
        </is>
      </c>
      <c r="D1245" s="12" t="inlineStr">
        <is>
          <t>Virtual Desktop Infrastructure</t>
        </is>
      </c>
      <c r="E1245" s="11">
        <f>IFERROR(TRACKER!G1245,"Not Started")</f>
        <v/>
      </c>
      <c r="F1245" s="51">
        <f>IFERROR('[Virtual_Desktop_Infrastructure.xlsx]SI-4-2'!B21,"")</f>
        <v/>
      </c>
      <c r="G1245" s="51" t="inlineStr"/>
      <c r="H1245" s="51" t="inlineStr"/>
      <c r="I1245" s="11" t="inlineStr"/>
      <c r="J1245" s="12" t="inlineStr"/>
      <c r="K1245" s="17" t="inlineStr"/>
      <c r="L1245" s="11" t="inlineStr">
        <is>
          <t>Not Started</t>
        </is>
      </c>
    </row>
    <row r="1246" ht="42" customHeight="1">
      <c r="A1246" s="18" t="n">
        <v>1244</v>
      </c>
      <c r="B1246" s="52" t="inlineStr">
        <is>
          <t>SI-4(4)</t>
        </is>
      </c>
      <c r="C1246" s="18" t="inlineStr">
        <is>
          <t>SI</t>
        </is>
      </c>
      <c r="D1246" s="19" t="inlineStr">
        <is>
          <t>Virtual Desktop Infrastructure</t>
        </is>
      </c>
      <c r="E1246" s="18">
        <f>IFERROR(TRACKER!G1246,"Not Started")</f>
        <v/>
      </c>
      <c r="F1246" s="53">
        <f>IFERROR('[Virtual_Desktop_Infrastructure.xlsx]SI-4-4'!B21,"")</f>
        <v/>
      </c>
      <c r="G1246" s="53" t="inlineStr"/>
      <c r="H1246" s="53" t="inlineStr"/>
      <c r="I1246" s="18" t="inlineStr"/>
      <c r="J1246" s="19" t="inlineStr"/>
      <c r="K1246" s="22" t="inlineStr"/>
      <c r="L1246" s="18" t="inlineStr">
        <is>
          <t>Not Started</t>
        </is>
      </c>
    </row>
    <row r="1247" ht="42" customHeight="1">
      <c r="A1247" s="11" t="n">
        <v>1245</v>
      </c>
      <c r="B1247" s="50" t="inlineStr">
        <is>
          <t>SI-4(23)</t>
        </is>
      </c>
      <c r="C1247" s="11" t="inlineStr">
        <is>
          <t>SI</t>
        </is>
      </c>
      <c r="D1247" s="12" t="inlineStr">
        <is>
          <t>Virtual Desktop Infrastructure</t>
        </is>
      </c>
      <c r="E1247" s="11">
        <f>IFERROR(TRACKER!G1247,"Not Started")</f>
        <v/>
      </c>
      <c r="F1247" s="51">
        <f>IFERROR('[Virtual_Desktop_Infrastructure.xlsx]SI-4-23'!B21,"")</f>
        <v/>
      </c>
      <c r="G1247" s="51" t="inlineStr"/>
      <c r="H1247" s="51" t="inlineStr"/>
      <c r="I1247" s="11" t="inlineStr"/>
      <c r="J1247" s="12" t="inlineStr"/>
      <c r="K1247" s="17" t="inlineStr"/>
      <c r="L1247" s="11" t="inlineStr">
        <is>
          <t>Not Started</t>
        </is>
      </c>
    </row>
    <row r="1248" ht="42" customHeight="1">
      <c r="A1248" s="18" t="n">
        <v>1246</v>
      </c>
      <c r="B1248" s="52" t="inlineStr">
        <is>
          <t>SI-6</t>
        </is>
      </c>
      <c r="C1248" s="18" t="inlineStr">
        <is>
          <t>SI</t>
        </is>
      </c>
      <c r="D1248" s="19" t="inlineStr">
        <is>
          <t>Virtual Desktop Infrastructure</t>
        </is>
      </c>
      <c r="E1248" s="18">
        <f>IFERROR(TRACKER!G1248,"Not Started")</f>
        <v/>
      </c>
      <c r="F1248" s="53">
        <f>IFERROR('[Virtual_Desktop_Infrastructure.xlsx]SI-6'!B21,"")</f>
        <v/>
      </c>
      <c r="G1248" s="53" t="inlineStr"/>
      <c r="H1248" s="53" t="inlineStr"/>
      <c r="I1248" s="18" t="inlineStr"/>
      <c r="J1248" s="19" t="inlineStr"/>
      <c r="K1248" s="22" t="inlineStr"/>
      <c r="L1248" s="18" t="inlineStr">
        <is>
          <t>Not Started</t>
        </is>
      </c>
    </row>
    <row r="1249" ht="42" customHeight="1">
      <c r="A1249" s="11" t="n">
        <v>1247</v>
      </c>
      <c r="B1249" s="50" t="inlineStr">
        <is>
          <t>SI-7</t>
        </is>
      </c>
      <c r="C1249" s="11" t="inlineStr">
        <is>
          <t>SI</t>
        </is>
      </c>
      <c r="D1249" s="12" t="inlineStr">
        <is>
          <t>Virtual Desktop Infrastructure</t>
        </is>
      </c>
      <c r="E1249" s="11">
        <f>IFERROR(TRACKER!G1249,"Not Started")</f>
        <v/>
      </c>
      <c r="F1249" s="51">
        <f>IFERROR('[Virtual_Desktop_Infrastructure.xlsx]SI-7'!B21,"")</f>
        <v/>
      </c>
      <c r="G1249" s="51" t="inlineStr"/>
      <c r="H1249" s="51" t="inlineStr"/>
      <c r="I1249" s="11" t="inlineStr"/>
      <c r="J1249" s="12" t="inlineStr"/>
      <c r="K1249" s="17" t="inlineStr"/>
      <c r="L1249" s="11" t="inlineStr">
        <is>
          <t>Not Started</t>
        </is>
      </c>
    </row>
    <row r="1250" ht="42" customHeight="1">
      <c r="A1250" s="18" t="n">
        <v>1248</v>
      </c>
      <c r="B1250" s="52" t="inlineStr">
        <is>
          <t>SI-7(1)</t>
        </is>
      </c>
      <c r="C1250" s="18" t="inlineStr">
        <is>
          <t>SI</t>
        </is>
      </c>
      <c r="D1250" s="19" t="inlineStr">
        <is>
          <t>Virtual Desktop Infrastructure</t>
        </is>
      </c>
      <c r="E1250" s="18">
        <f>IFERROR(TRACKER!G1250,"Not Started")</f>
        <v/>
      </c>
      <c r="F1250" s="53">
        <f>IFERROR('[Virtual_Desktop_Infrastructure.xlsx]SI-7-1'!B21,"")</f>
        <v/>
      </c>
      <c r="G1250" s="53" t="inlineStr"/>
      <c r="H1250" s="53" t="inlineStr"/>
      <c r="I1250" s="18" t="inlineStr"/>
      <c r="J1250" s="19" t="inlineStr"/>
      <c r="K1250" s="22" t="inlineStr"/>
      <c r="L1250" s="18" t="inlineStr">
        <is>
          <t>Not Started</t>
        </is>
      </c>
    </row>
    <row r="1251" ht="42" customHeight="1">
      <c r="A1251" s="11" t="n">
        <v>1249</v>
      </c>
      <c r="B1251" s="50" t="inlineStr">
        <is>
          <t>AU-2</t>
        </is>
      </c>
      <c r="C1251" s="11" t="inlineStr">
        <is>
          <t>AU</t>
        </is>
      </c>
      <c r="D1251" s="12" t="inlineStr">
        <is>
          <t>Web</t>
        </is>
      </c>
      <c r="E1251" s="11">
        <f>IFERROR(TRACKER!G1251,"Not Started")</f>
        <v/>
      </c>
      <c r="F1251" s="51">
        <f>IFERROR('[Web.xlsx]AU-2'!B21,"")</f>
        <v/>
      </c>
      <c r="G1251" s="51" t="inlineStr"/>
      <c r="H1251" s="51" t="inlineStr"/>
      <c r="I1251" s="11" t="inlineStr"/>
      <c r="J1251" s="12" t="inlineStr"/>
      <c r="K1251" s="17" t="inlineStr"/>
      <c r="L1251" s="11" t="inlineStr">
        <is>
          <t>Not Started</t>
        </is>
      </c>
    </row>
    <row r="1252" ht="42" customHeight="1">
      <c r="A1252" s="18" t="n">
        <v>1250</v>
      </c>
      <c r="B1252" s="52" t="inlineStr">
        <is>
          <t>AU-3</t>
        </is>
      </c>
      <c r="C1252" s="18" t="inlineStr">
        <is>
          <t>AU</t>
        </is>
      </c>
      <c r="D1252" s="19" t="inlineStr">
        <is>
          <t>Web</t>
        </is>
      </c>
      <c r="E1252" s="18">
        <f>IFERROR(TRACKER!G1252,"Not Started")</f>
        <v/>
      </c>
      <c r="F1252" s="53">
        <f>IFERROR('[Web.xlsx]AU-3'!B21,"")</f>
        <v/>
      </c>
      <c r="G1252" s="53" t="inlineStr"/>
      <c r="H1252" s="53" t="inlineStr"/>
      <c r="I1252" s="18" t="inlineStr"/>
      <c r="J1252" s="19" t="inlineStr"/>
      <c r="K1252" s="22" t="inlineStr"/>
      <c r="L1252" s="18" t="inlineStr">
        <is>
          <t>Not Started</t>
        </is>
      </c>
    </row>
    <row r="1253" ht="42" customHeight="1">
      <c r="A1253" s="11" t="n">
        <v>1251</v>
      </c>
      <c r="B1253" s="50" t="inlineStr">
        <is>
          <t>AU-3(1)</t>
        </is>
      </c>
      <c r="C1253" s="11" t="inlineStr">
        <is>
          <t>AU</t>
        </is>
      </c>
      <c r="D1253" s="12" t="inlineStr">
        <is>
          <t>Web</t>
        </is>
      </c>
      <c r="E1253" s="11">
        <f>IFERROR(TRACKER!G1253,"Not Started")</f>
        <v/>
      </c>
      <c r="F1253" s="51">
        <f>IFERROR('[Web.xlsx]AU-3-1'!B21,"")</f>
        <v/>
      </c>
      <c r="G1253" s="51" t="inlineStr"/>
      <c r="H1253" s="51" t="inlineStr"/>
      <c r="I1253" s="11" t="inlineStr"/>
      <c r="J1253" s="12" t="inlineStr"/>
      <c r="K1253" s="17" t="inlineStr"/>
      <c r="L1253" s="11" t="inlineStr">
        <is>
          <t>Not Started</t>
        </is>
      </c>
    </row>
    <row r="1254" ht="42" customHeight="1">
      <c r="A1254" s="18" t="n">
        <v>1252</v>
      </c>
      <c r="B1254" s="52" t="inlineStr">
        <is>
          <t>AU-9(2)</t>
        </is>
      </c>
      <c r="C1254" s="18" t="inlineStr">
        <is>
          <t>AU</t>
        </is>
      </c>
      <c r="D1254" s="19" t="inlineStr">
        <is>
          <t>Web</t>
        </is>
      </c>
      <c r="E1254" s="18">
        <f>IFERROR(TRACKER!G1254,"Not Started")</f>
        <v/>
      </c>
      <c r="F1254" s="53">
        <f>IFERROR('[Web.xlsx]AU-9-2'!B21,"")</f>
        <v/>
      </c>
      <c r="G1254" s="53" t="inlineStr"/>
      <c r="H1254" s="53" t="inlineStr"/>
      <c r="I1254" s="18" t="inlineStr"/>
      <c r="J1254" s="19" t="inlineStr"/>
      <c r="K1254" s="22" t="inlineStr"/>
      <c r="L1254" s="18" t="inlineStr">
        <is>
          <t>Not Started</t>
        </is>
      </c>
    </row>
    <row r="1255" ht="42" customHeight="1">
      <c r="A1255" s="11" t="n">
        <v>1253</v>
      </c>
      <c r="B1255" s="50" t="inlineStr">
        <is>
          <t>AU-12</t>
        </is>
      </c>
      <c r="C1255" s="11" t="inlineStr">
        <is>
          <t>AU</t>
        </is>
      </c>
      <c r="D1255" s="12" t="inlineStr">
        <is>
          <t>Web</t>
        </is>
      </c>
      <c r="E1255" s="11">
        <f>IFERROR(TRACKER!G1255,"Not Started")</f>
        <v/>
      </c>
      <c r="F1255" s="51">
        <f>IFERROR('[Web.xlsx]AU-12'!B21,"")</f>
        <v/>
      </c>
      <c r="G1255" s="51" t="inlineStr"/>
      <c r="H1255" s="51" t="inlineStr"/>
      <c r="I1255" s="11" t="inlineStr"/>
      <c r="J1255" s="12" t="inlineStr"/>
      <c r="K1255" s="17" t="inlineStr"/>
      <c r="L1255" s="11" t="inlineStr">
        <is>
          <t>Not Started</t>
        </is>
      </c>
    </row>
    <row r="1256" ht="42" customHeight="1">
      <c r="A1256" s="18" t="n">
        <v>1254</v>
      </c>
      <c r="B1256" s="52" t="inlineStr">
        <is>
          <t>CA-3(5)</t>
        </is>
      </c>
      <c r="C1256" s="18" t="inlineStr">
        <is>
          <t>CA</t>
        </is>
      </c>
      <c r="D1256" s="19" t="inlineStr">
        <is>
          <t>Web</t>
        </is>
      </c>
      <c r="E1256" s="18">
        <f>IFERROR(TRACKER!G1256,"Not Started")</f>
        <v/>
      </c>
      <c r="F1256" s="53">
        <f>IFERROR('[Web.xlsx]CA-3-5'!B21,"")</f>
        <v/>
      </c>
      <c r="G1256" s="53" t="inlineStr"/>
      <c r="H1256" s="53" t="inlineStr"/>
      <c r="I1256" s="18" t="inlineStr"/>
      <c r="J1256" s="19" t="inlineStr"/>
      <c r="K1256" s="22" t="inlineStr"/>
      <c r="L1256" s="18" t="inlineStr">
        <is>
          <t>Not Started</t>
        </is>
      </c>
    </row>
    <row r="1257" ht="42" customHeight="1">
      <c r="A1257" s="11" t="n">
        <v>1255</v>
      </c>
      <c r="B1257" s="50" t="inlineStr">
        <is>
          <t>CA-9</t>
        </is>
      </c>
      <c r="C1257" s="11" t="inlineStr">
        <is>
          <t>CA</t>
        </is>
      </c>
      <c r="D1257" s="12" t="inlineStr">
        <is>
          <t>Web</t>
        </is>
      </c>
      <c r="E1257" s="11">
        <f>IFERROR(TRACKER!G1257,"Not Started")</f>
        <v/>
      </c>
      <c r="F1257" s="51">
        <f>IFERROR('[Web.xlsx]CA-9'!B21,"")</f>
        <v/>
      </c>
      <c r="G1257" s="51" t="inlineStr"/>
      <c r="H1257" s="51" t="inlineStr"/>
      <c r="I1257" s="11" t="inlineStr"/>
      <c r="J1257" s="12" t="inlineStr"/>
      <c r="K1257" s="17" t="inlineStr"/>
      <c r="L1257" s="11" t="inlineStr">
        <is>
          <t>Not Started</t>
        </is>
      </c>
    </row>
    <row r="1258" ht="42" customHeight="1">
      <c r="A1258" s="18" t="n">
        <v>1256</v>
      </c>
      <c r="B1258" s="52" t="inlineStr">
        <is>
          <t>CM-6</t>
        </is>
      </c>
      <c r="C1258" s="18" t="inlineStr">
        <is>
          <t>CM</t>
        </is>
      </c>
      <c r="D1258" s="19" t="inlineStr">
        <is>
          <t>Web</t>
        </is>
      </c>
      <c r="E1258" s="18">
        <f>IFERROR(TRACKER!G1258,"Not Started")</f>
        <v/>
      </c>
      <c r="F1258" s="53">
        <f>IFERROR('[Web.xlsx]CM-6'!B21,"")</f>
        <v/>
      </c>
      <c r="G1258" s="53" t="inlineStr"/>
      <c r="H1258" s="53" t="inlineStr"/>
      <c r="I1258" s="18" t="inlineStr"/>
      <c r="J1258" s="19" t="inlineStr"/>
      <c r="K1258" s="22" t="inlineStr"/>
      <c r="L1258" s="18" t="inlineStr">
        <is>
          <t>Not Started</t>
        </is>
      </c>
    </row>
    <row r="1259" ht="42" customHeight="1">
      <c r="A1259" s="11" t="n">
        <v>1257</v>
      </c>
      <c r="B1259" s="50" t="inlineStr">
        <is>
          <t>CM-7</t>
        </is>
      </c>
      <c r="C1259" s="11" t="inlineStr">
        <is>
          <t>CM</t>
        </is>
      </c>
      <c r="D1259" s="12" t="inlineStr">
        <is>
          <t>Web</t>
        </is>
      </c>
      <c r="E1259" s="11">
        <f>IFERROR(TRACKER!G1259,"Not Started")</f>
        <v/>
      </c>
      <c r="F1259" s="51">
        <f>IFERROR('[Web.xlsx]CM-7'!B21,"")</f>
        <v/>
      </c>
      <c r="G1259" s="51" t="inlineStr"/>
      <c r="H1259" s="51" t="inlineStr"/>
      <c r="I1259" s="11" t="inlineStr"/>
      <c r="J1259" s="12" t="inlineStr"/>
      <c r="K1259" s="17" t="inlineStr"/>
      <c r="L1259" s="11" t="inlineStr">
        <is>
          <t>Not Started</t>
        </is>
      </c>
    </row>
    <row r="1260" ht="42" customHeight="1">
      <c r="A1260" s="18" t="n">
        <v>1258</v>
      </c>
      <c r="B1260" s="52" t="inlineStr">
        <is>
          <t>CM-7(1)</t>
        </is>
      </c>
      <c r="C1260" s="18" t="inlineStr">
        <is>
          <t>CM</t>
        </is>
      </c>
      <c r="D1260" s="19" t="inlineStr">
        <is>
          <t>Web</t>
        </is>
      </c>
      <c r="E1260" s="18">
        <f>IFERROR(TRACKER!G1260,"Not Started")</f>
        <v/>
      </c>
      <c r="F1260" s="53">
        <f>IFERROR('[Web.xlsx]CM-7-1'!B21,"")</f>
        <v/>
      </c>
      <c r="G1260" s="53" t="inlineStr"/>
      <c r="H1260" s="53" t="inlineStr"/>
      <c r="I1260" s="18" t="inlineStr"/>
      <c r="J1260" s="19" t="inlineStr"/>
      <c r="K1260" s="22" t="inlineStr"/>
      <c r="L1260" s="18" t="inlineStr">
        <is>
          <t>Not Started</t>
        </is>
      </c>
    </row>
    <row r="1261" ht="42" customHeight="1">
      <c r="A1261" s="11" t="n">
        <v>1259</v>
      </c>
      <c r="B1261" s="50" t="inlineStr">
        <is>
          <t>CP-7</t>
        </is>
      </c>
      <c r="C1261" s="11" t="inlineStr">
        <is>
          <t>CP</t>
        </is>
      </c>
      <c r="D1261" s="12" t="inlineStr">
        <is>
          <t>Web</t>
        </is>
      </c>
      <c r="E1261" s="11">
        <f>IFERROR(TRACKER!G1261,"Not Started")</f>
        <v/>
      </c>
      <c r="F1261" s="51">
        <f>IFERROR('[Web.xlsx]CP-7'!B21,"")</f>
        <v/>
      </c>
      <c r="G1261" s="51" t="inlineStr"/>
      <c r="H1261" s="51" t="inlineStr"/>
      <c r="I1261" s="11" t="inlineStr"/>
      <c r="J1261" s="12" t="inlineStr"/>
      <c r="K1261" s="17" t="inlineStr"/>
      <c r="L1261" s="11" t="inlineStr">
        <is>
          <t>Not Started</t>
        </is>
      </c>
    </row>
    <row r="1262" ht="42" customHeight="1">
      <c r="A1262" s="18" t="n">
        <v>1260</v>
      </c>
      <c r="B1262" s="52" t="inlineStr">
        <is>
          <t>CP-7(4)</t>
        </is>
      </c>
      <c r="C1262" s="18" t="inlineStr">
        <is>
          <t>CP</t>
        </is>
      </c>
      <c r="D1262" s="19" t="inlineStr">
        <is>
          <t>Web</t>
        </is>
      </c>
      <c r="E1262" s="18">
        <f>IFERROR(TRACKER!G1262,"Not Started")</f>
        <v/>
      </c>
      <c r="F1262" s="53">
        <f>IFERROR('[Web.xlsx]CP-7-4'!B21,"")</f>
        <v/>
      </c>
      <c r="G1262" s="53" t="inlineStr"/>
      <c r="H1262" s="53" t="inlineStr"/>
      <c r="I1262" s="18" t="inlineStr"/>
      <c r="J1262" s="19" t="inlineStr"/>
      <c r="K1262" s="22" t="inlineStr"/>
      <c r="L1262" s="18" t="inlineStr">
        <is>
          <t>Not Started</t>
        </is>
      </c>
    </row>
    <row r="1263" ht="42" customHeight="1">
      <c r="A1263" s="11" t="n">
        <v>1261</v>
      </c>
      <c r="B1263" s="50" t="inlineStr">
        <is>
          <t>CP-10</t>
        </is>
      </c>
      <c r="C1263" s="11" t="inlineStr">
        <is>
          <t>CP</t>
        </is>
      </c>
      <c r="D1263" s="12" t="inlineStr">
        <is>
          <t>Web</t>
        </is>
      </c>
      <c r="E1263" s="11">
        <f>IFERROR(TRACKER!G1263,"Not Started")</f>
        <v/>
      </c>
      <c r="F1263" s="51">
        <f>IFERROR('[Web.xlsx]CP-10'!B21,"")</f>
        <v/>
      </c>
      <c r="G1263" s="51" t="inlineStr"/>
      <c r="H1263" s="51" t="inlineStr"/>
      <c r="I1263" s="11" t="inlineStr"/>
      <c r="J1263" s="12" t="inlineStr"/>
      <c r="K1263" s="17" t="inlineStr"/>
      <c r="L1263" s="11" t="inlineStr">
        <is>
          <t>Not Started</t>
        </is>
      </c>
    </row>
    <row r="1264" ht="42" customHeight="1">
      <c r="A1264" s="18" t="n">
        <v>1262</v>
      </c>
      <c r="B1264" s="52" t="inlineStr">
        <is>
          <t>CP-10(4)</t>
        </is>
      </c>
      <c r="C1264" s="18" t="inlineStr">
        <is>
          <t>CP</t>
        </is>
      </c>
      <c r="D1264" s="19" t="inlineStr">
        <is>
          <t>Web</t>
        </is>
      </c>
      <c r="E1264" s="18">
        <f>IFERROR(TRACKER!G1264,"Not Started")</f>
        <v/>
      </c>
      <c r="F1264" s="53">
        <f>IFERROR('[Web.xlsx]CP-10-4'!B21,"")</f>
        <v/>
      </c>
      <c r="G1264" s="53" t="inlineStr"/>
      <c r="H1264" s="53" t="inlineStr"/>
      <c r="I1264" s="18" t="inlineStr"/>
      <c r="J1264" s="19" t="inlineStr"/>
      <c r="K1264" s="22" t="inlineStr"/>
      <c r="L1264" s="18" t="inlineStr">
        <is>
          <t>Not Started</t>
        </is>
      </c>
    </row>
    <row r="1265" ht="42" customHeight="1">
      <c r="A1265" s="11" t="n">
        <v>1263</v>
      </c>
      <c r="B1265" s="50" t="inlineStr">
        <is>
          <t>IA-5(7)</t>
        </is>
      </c>
      <c r="C1265" s="11" t="inlineStr">
        <is>
          <t>IA</t>
        </is>
      </c>
      <c r="D1265" s="12" t="inlineStr">
        <is>
          <t>Web</t>
        </is>
      </c>
      <c r="E1265" s="11">
        <f>IFERROR(TRACKER!G1265,"Not Started")</f>
        <v/>
      </c>
      <c r="F1265" s="51">
        <f>IFERROR('[Web.xlsx]IA-5-7'!B21,"")</f>
        <v/>
      </c>
      <c r="G1265" s="51" t="inlineStr"/>
      <c r="H1265" s="51" t="inlineStr"/>
      <c r="I1265" s="11" t="inlineStr"/>
      <c r="J1265" s="12" t="inlineStr"/>
      <c r="K1265" s="17" t="inlineStr"/>
      <c r="L1265" s="11" t="inlineStr">
        <is>
          <t>Not Started</t>
        </is>
      </c>
    </row>
    <row r="1266" ht="42" customHeight="1">
      <c r="A1266" s="18" t="n">
        <v>1264</v>
      </c>
      <c r="B1266" s="52" t="inlineStr">
        <is>
          <t>SA-9(5)</t>
        </is>
      </c>
      <c r="C1266" s="18" t="inlineStr">
        <is>
          <t>SA</t>
        </is>
      </c>
      <c r="D1266" s="19" t="inlineStr">
        <is>
          <t>Web</t>
        </is>
      </c>
      <c r="E1266" s="18">
        <f>IFERROR(TRACKER!G1266,"Not Started")</f>
        <v/>
      </c>
      <c r="F1266" s="53">
        <f>IFERROR('[Web.xlsx]SA-9-5'!B21,"")</f>
        <v/>
      </c>
      <c r="G1266" s="53" t="inlineStr"/>
      <c r="H1266" s="53" t="inlineStr"/>
      <c r="I1266" s="18" t="inlineStr"/>
      <c r="J1266" s="19" t="inlineStr"/>
      <c r="K1266" s="22" t="inlineStr"/>
      <c r="L1266" s="18" t="inlineStr">
        <is>
          <t>Not Started</t>
        </is>
      </c>
    </row>
    <row r="1267" ht="42" customHeight="1">
      <c r="A1267" s="11" t="n">
        <v>1265</v>
      </c>
      <c r="B1267" s="50" t="inlineStr">
        <is>
          <t>SC-8</t>
        </is>
      </c>
      <c r="C1267" s="11" t="inlineStr">
        <is>
          <t>SC</t>
        </is>
      </c>
      <c r="D1267" s="12" t="inlineStr">
        <is>
          <t>Web</t>
        </is>
      </c>
      <c r="E1267" s="11">
        <f>IFERROR(TRACKER!G1267,"Not Started")</f>
        <v/>
      </c>
      <c r="F1267" s="51">
        <f>IFERROR('[Web.xlsx]SC-8'!B21,"")</f>
        <v/>
      </c>
      <c r="G1267" s="51" t="inlineStr"/>
      <c r="H1267" s="51" t="inlineStr"/>
      <c r="I1267" s="11" t="inlineStr"/>
      <c r="J1267" s="12" t="inlineStr"/>
      <c r="K1267" s="17" t="inlineStr"/>
      <c r="L1267" s="11" t="inlineStr">
        <is>
          <t>Not Started</t>
        </is>
      </c>
    </row>
    <row r="1268" ht="42" customHeight="1">
      <c r="A1268" s="18" t="n">
        <v>1266</v>
      </c>
      <c r="B1268" s="52" t="inlineStr">
        <is>
          <t>SC-8(1)</t>
        </is>
      </c>
      <c r="C1268" s="18" t="inlineStr">
        <is>
          <t>SC</t>
        </is>
      </c>
      <c r="D1268" s="19" t="inlineStr">
        <is>
          <t>Web</t>
        </is>
      </c>
      <c r="E1268" s="18">
        <f>IFERROR(TRACKER!G1268,"Not Started")</f>
        <v/>
      </c>
      <c r="F1268" s="53">
        <f>IFERROR('[Web.xlsx]SC-8-1'!B21,"")</f>
        <v/>
      </c>
      <c r="G1268" s="53" t="inlineStr"/>
      <c r="H1268" s="53" t="inlineStr"/>
      <c r="I1268" s="18" t="inlineStr"/>
      <c r="J1268" s="19" t="inlineStr"/>
      <c r="K1268" s="22" t="inlineStr"/>
      <c r="L1268" s="18" t="inlineStr">
        <is>
          <t>Not Started</t>
        </is>
      </c>
    </row>
    <row r="1269" ht="42" customHeight="1">
      <c r="A1269" s="11" t="n">
        <v>1267</v>
      </c>
      <c r="B1269" s="50" t="inlineStr">
        <is>
          <t>SC-10</t>
        </is>
      </c>
      <c r="C1269" s="11" t="inlineStr">
        <is>
          <t>SC</t>
        </is>
      </c>
      <c r="D1269" s="12" t="inlineStr">
        <is>
          <t>Web</t>
        </is>
      </c>
      <c r="E1269" s="11">
        <f>IFERROR(TRACKER!G1269,"Not Started")</f>
        <v/>
      </c>
      <c r="F1269" s="51">
        <f>IFERROR('[Web.xlsx]SC-10'!B21,"")</f>
        <v/>
      </c>
      <c r="G1269" s="51" t="inlineStr"/>
      <c r="H1269" s="51" t="inlineStr"/>
      <c r="I1269" s="11" t="inlineStr"/>
      <c r="J1269" s="12" t="inlineStr"/>
      <c r="K1269" s="17" t="inlineStr"/>
      <c r="L1269" s="11" t="inlineStr">
        <is>
          <t>Not Started</t>
        </is>
      </c>
    </row>
    <row r="1270" ht="42" customHeight="1">
      <c r="A1270" s="18" t="n">
        <v>1268</v>
      </c>
      <c r="B1270" s="52" t="inlineStr">
        <is>
          <t>SC-13</t>
        </is>
      </c>
      <c r="C1270" s="18" t="inlineStr">
        <is>
          <t>SC</t>
        </is>
      </c>
      <c r="D1270" s="19" t="inlineStr">
        <is>
          <t>Web</t>
        </is>
      </c>
      <c r="E1270" s="18">
        <f>IFERROR(TRACKER!G1270,"Not Started")</f>
        <v/>
      </c>
      <c r="F1270" s="53">
        <f>IFERROR('[Web.xlsx]SC-13'!B21,"")</f>
        <v/>
      </c>
      <c r="G1270" s="53" t="inlineStr"/>
      <c r="H1270" s="53" t="inlineStr"/>
      <c r="I1270" s="18" t="inlineStr"/>
      <c r="J1270" s="19" t="inlineStr"/>
      <c r="K1270" s="22" t="inlineStr"/>
      <c r="L1270" s="18" t="inlineStr">
        <is>
          <t>Not Started</t>
        </is>
      </c>
    </row>
    <row r="1271" ht="42" customHeight="1">
      <c r="A1271" s="11" t="n">
        <v>1269</v>
      </c>
      <c r="B1271" s="50" t="inlineStr">
        <is>
          <t>SC-18</t>
        </is>
      </c>
      <c r="C1271" s="11" t="inlineStr">
        <is>
          <t>SC</t>
        </is>
      </c>
      <c r="D1271" s="12" t="inlineStr">
        <is>
          <t>Web</t>
        </is>
      </c>
      <c r="E1271" s="11">
        <f>IFERROR(TRACKER!G1271,"Not Started")</f>
        <v/>
      </c>
      <c r="F1271" s="51">
        <f>IFERROR('[Web.xlsx]SC-18'!B21,"")</f>
        <v/>
      </c>
      <c r="G1271" s="51" t="inlineStr"/>
      <c r="H1271" s="51" t="inlineStr"/>
      <c r="I1271" s="11" t="inlineStr"/>
      <c r="J1271" s="12" t="inlineStr"/>
      <c r="K1271" s="17" t="inlineStr"/>
      <c r="L1271" s="11" t="inlineStr">
        <is>
          <t>Not Started</t>
        </is>
      </c>
    </row>
    <row r="1272" ht="42" customHeight="1">
      <c r="A1272" s="18" t="n">
        <v>1270</v>
      </c>
      <c r="B1272" s="52" t="inlineStr">
        <is>
          <t>SC-23</t>
        </is>
      </c>
      <c r="C1272" s="18" t="inlineStr">
        <is>
          <t>SC</t>
        </is>
      </c>
      <c r="D1272" s="19" t="inlineStr">
        <is>
          <t>Web</t>
        </is>
      </c>
      <c r="E1272" s="18">
        <f>IFERROR(TRACKER!G1272,"Not Started")</f>
        <v/>
      </c>
      <c r="F1272" s="53">
        <f>IFERROR('[Web.xlsx]SC-23'!B21,"")</f>
        <v/>
      </c>
      <c r="G1272" s="53" t="inlineStr"/>
      <c r="H1272" s="53" t="inlineStr"/>
      <c r="I1272" s="18" t="inlineStr"/>
      <c r="J1272" s="19" t="inlineStr"/>
      <c r="K1272" s="22" t="inlineStr"/>
      <c r="L1272" s="18" t="inlineStr">
        <is>
          <t>Not Started</t>
        </is>
      </c>
    </row>
    <row r="1273" ht="42" customHeight="1">
      <c r="A1273" s="11" t="n">
        <v>1271</v>
      </c>
      <c r="B1273" s="50" t="inlineStr">
        <is>
          <t>SC-23(1)</t>
        </is>
      </c>
      <c r="C1273" s="11" t="inlineStr">
        <is>
          <t>SC</t>
        </is>
      </c>
      <c r="D1273" s="12" t="inlineStr">
        <is>
          <t>Web</t>
        </is>
      </c>
      <c r="E1273" s="11">
        <f>IFERROR(TRACKER!G1273,"Not Started")</f>
        <v/>
      </c>
      <c r="F1273" s="51">
        <f>IFERROR('[Web.xlsx]SC-23-1'!B21,"")</f>
        <v/>
      </c>
      <c r="G1273" s="51" t="inlineStr"/>
      <c r="H1273" s="51" t="inlineStr"/>
      <c r="I1273" s="11" t="inlineStr"/>
      <c r="J1273" s="12" t="inlineStr"/>
      <c r="K1273" s="17" t="inlineStr"/>
      <c r="L1273" s="11" t="inlineStr">
        <is>
          <t>Not Started</t>
        </is>
      </c>
    </row>
    <row r="1274" ht="42" customHeight="1">
      <c r="A1274" s="18" t="n">
        <v>1272</v>
      </c>
      <c r="B1274" s="52" t="inlineStr">
        <is>
          <t>SI-4(2)</t>
        </is>
      </c>
      <c r="C1274" s="18" t="inlineStr">
        <is>
          <t>SI</t>
        </is>
      </c>
      <c r="D1274" s="19" t="inlineStr">
        <is>
          <t>Web</t>
        </is>
      </c>
      <c r="E1274" s="18">
        <f>IFERROR(TRACKER!G1274,"Not Started")</f>
        <v/>
      </c>
      <c r="F1274" s="53">
        <f>IFERROR('[Web.xlsx]SI-4-2'!B21,"")</f>
        <v/>
      </c>
      <c r="G1274" s="53" t="inlineStr"/>
      <c r="H1274" s="53" t="inlineStr"/>
      <c r="I1274" s="18" t="inlineStr"/>
      <c r="J1274" s="19" t="inlineStr"/>
      <c r="K1274" s="22" t="inlineStr"/>
      <c r="L1274" s="18" t="inlineStr">
        <is>
          <t>Not Started</t>
        </is>
      </c>
    </row>
    <row r="1275" ht="42" customHeight="1">
      <c r="A1275" s="11" t="n">
        <v>1273</v>
      </c>
      <c r="B1275" s="50" t="inlineStr">
        <is>
          <t>SI-6</t>
        </is>
      </c>
      <c r="C1275" s="11" t="inlineStr">
        <is>
          <t>SI</t>
        </is>
      </c>
      <c r="D1275" s="12" t="inlineStr">
        <is>
          <t>Web</t>
        </is>
      </c>
      <c r="E1275" s="11">
        <f>IFERROR(TRACKER!G1275,"Not Started")</f>
        <v/>
      </c>
      <c r="F1275" s="51">
        <f>IFERROR('[Web.xlsx]SI-6'!B21,"")</f>
        <v/>
      </c>
      <c r="G1275" s="51" t="inlineStr"/>
      <c r="H1275" s="51" t="inlineStr"/>
      <c r="I1275" s="11" t="inlineStr"/>
      <c r="J1275" s="12" t="inlineStr"/>
      <c r="K1275" s="17" t="inlineStr"/>
      <c r="L1275" s="11" t="inlineStr">
        <is>
          <t>Not Started</t>
        </is>
      </c>
    </row>
  </sheetData>
  <autoFilter ref="A2:L2"/>
  <mergeCells count="1">
    <mergeCell ref="A1:L1"/>
  </mergeCells>
  <conditionalFormatting sqref="I3:I1275">
    <cfRule type="expression" priority="1" dxfId="5">
      <formula>I3="Critical"</formula>
    </cfRule>
    <cfRule type="expression" priority="2" dxfId="6">
      <formula>I3="High"</formula>
    </cfRule>
    <cfRule type="expression" priority="3" dxfId="4">
      <formula>I3="Medium"</formula>
    </cfRule>
    <cfRule type="expression" priority="4" dxfId="3">
      <formula>I3="Low"</formula>
    </cfRule>
  </conditionalFormatting>
  <conditionalFormatting sqref="L3:L1275">
    <cfRule type="expression" priority="5" dxfId="3">
      <formula>L3="Completed"</formula>
    </cfRule>
    <cfRule type="expression" priority="6" dxfId="4">
      <formula>L3="In Progress"</formula>
    </cfRule>
    <cfRule type="expression" priority="7" dxfId="5">
      <formula>L3="Not Started"</formula>
    </cfRule>
    <cfRule type="expression" priority="8" dxfId="7">
      <formula>L3="Deferred"</formula>
    </cfRule>
  </conditionalFormatting>
  <conditionalFormatting sqref="E3:E1275">
    <cfRule type="expression" priority="9" dxfId="5">
      <formula>AND(E3&lt;&gt;"Passed",E3&lt;&gt;"Accepted Exception",E3&lt;&gt;"")</formula>
    </cfRule>
    <cfRule type="expression" priority="10" dxfId="3">
      <formula>OR(E3="Passed",E3="Accepted Exception")</formula>
    </cfRule>
  </conditionalFormatting>
  <dataValidations count="2">
    <dataValidation sqref="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 I338 I339 I340 I341 I342 I343 I344 I345 I346 I347 I348 I349 I350 I351 I352 I353 I354 I355 I356 I357 I358 I359 I360 I361 I362 I363 I364 I365 I366 I367 I368 I369 I370 I371 I372 I373 I374 I375 I376 I377 I378 I379 I380 I381 I382 I383 I384 I385 I386 I387 I388 I389 I390 I391 I392 I393 I394 I395 I396 I397 I398 I399 I400 I401 I402 I403 I404 I405 I406 I407 I408 I409 I410 I411 I412 I413 I414 I415 I416 I417 I418 I419 I420 I421 I422 I423 I424 I425 I426 I427 I428 I429 I430 I431 I432 I433 I434 I435 I436 I437 I438 I439 I440 I441 I442 I443 I444 I445 I446 I447 I448 I449 I450 I451 I452 I453 I454 I455 I456 I457 I458 I459 I460 I461 I462 I463 I464 I465 I466 I467 I468 I469 I470 I471 I472 I473 I474 I475 I476 I477 I478 I479 I480 I481 I482 I483 I484 I485 I486 I487 I488 I489 I490 I491 I492 I493 I494 I495 I496 I497 I498 I499 I500 I501 I502 I503 I504 I505 I506 I507 I508 I509 I510 I511 I512 I513 I514 I515 I516 I517 I518 I519 I520 I521 I522 I523 I524 I525 I526 I527 I528 I529 I530 I531 I532 I533 I534 I535 I536 I537 I538 I539 I540 I541 I542 I543 I544 I545 I546 I547 I548 I549 I550 I551 I552 I553 I554 I555 I556 I557 I558 I559 I560 I561 I562 I563 I564 I565 I566 I567 I568 I569 I570 I571 I572 I573 I574 I575 I576 I577 I578 I579 I580 I581 I582 I583 I584 I585 I586 I587 I588 I589 I590 I591 I592 I593 I594 I595 I596 I597 I598 I599 I600 I601 I602 I603 I604 I605 I606 I607 I608 I609 I610 I611 I612 I613 I614 I615 I616 I617 I618 I619 I620 I621 I622 I623 I624 I625 I626 I627 I628 I629 I630 I631 I632 I633 I634 I635 I636 I637 I638 I639 I640 I641 I642 I643 I644 I645 I646 I647 I648 I649 I650 I651 I652 I653 I654 I655 I656 I657 I658 I659 I660 I661 I662 I663 I664 I665 I666 I667 I668 I669 I670 I671 I672 I673 I674 I675 I676 I677 I678 I679 I680 I681 I682 I683 I684 I685 I686 I687 I688 I689 I690 I691 I692 I693 I694 I695 I696 I697 I698 I699 I700 I701 I702 I703 I704 I705 I706 I707 I708 I709 I710 I711 I712 I713 I714 I715 I716 I717 I718 I719 I720 I721 I722 I723 I724 I725 I726 I727 I728 I729 I730 I731 I732 I733 I734 I735 I736 I737 I738 I739 I740 I741 I742 I743 I744 I745 I746 I747 I748 I749 I750 I751 I752 I753 I754 I755 I756 I757 I758 I759 I760 I761 I762 I763 I764 I765 I766 I767 I768 I769 I770 I771 I772 I773 I774 I775 I776 I777 I778 I779 I780 I781 I782 I783 I784 I785 I786 I787 I788 I789 I790 I791 I792 I793 I794 I795 I796 I797 I798 I799 I800 I801 I802 I803 I804 I805 I806 I807 I808 I809 I810 I811 I812 I813 I814 I815 I816 I817 I818 I819 I820 I821 I822 I823 I824 I825 I826 I827 I828 I829 I830 I831 I832 I833 I834 I835 I836 I837 I838 I839 I840 I841 I842 I843 I844 I845 I846 I847 I848 I849 I850 I851 I852 I853 I854 I855 I856 I857 I858 I859 I860 I861 I862 I863 I864 I865 I866 I867 I868 I869 I870 I871 I872 I873 I874 I875 I876 I877 I878 I879 I880 I881 I882 I883 I884 I885 I886 I887 I888 I889 I890 I891 I892 I893 I894 I895 I896 I897 I898 I899 I900 I901 I902 I903 I904 I905 I906 I907 I908 I909 I910 I911 I912 I913 I914 I915 I916 I917 I918 I919 I920 I921 I922 I923 I924 I925 I926 I927 I928 I929 I930 I931 I932 I933 I934 I935 I936 I937 I938 I939 I940 I941 I942 I943 I944 I945 I946 I947 I948 I949 I950 I951 I952 I953 I954 I955 I956 I957 I958 I959 I960 I961 I962 I963 I964 I965 I966 I967 I968 I969 I970 I971 I972 I973 I974 I975 I976 I977 I978 I979 I980 I981 I982 I983 I984 I985 I986 I987 I988 I989 I990 I991 I992 I993 I994 I995 I996 I997 I998 I999 I1000 I1001 I1002 I1003 I1004 I1005 I1006 I1007 I1008 I1009 I1010 I1011 I1012 I1013 I1014 I1015 I1016 I1017 I1018 I1019 I1020 I1021 I1022 I1023 I1024 I1025 I1026 I1027 I1028 I1029 I1030 I1031 I1032 I1033 I1034 I1035 I1036 I1037 I1038 I1039 I1040 I1041 I1042 I1043 I1044 I1045 I1046 I1047 I1048 I1049 I1050 I1051 I1052 I1053 I1054 I1055 I1056 I1057 I1058 I1059 I1060 I1061 I1062 I1063 I1064 I1065 I1066 I1067 I1068 I1069 I1070 I1071 I1072 I1073 I1074 I1075 I1076 I1077 I1078 I1079 I1080 I1081 I1082 I1083 I1084 I1085 I1086 I1087 I1088 I1089 I1090 I1091 I1092 I1093 I1094 I1095 I1096 I1097 I1098 I1099 I1100 I1101 I1102 I1103 I1104 I1105 I1106 I1107 I1108 I1109 I1110 I1111 I1112 I1113 I1114 I1115 I1116 I1117 I1118 I1119 I1120 I1121 I1122 I1123 I1124 I1125 I1126 I1127 I1128 I1129 I1130 I1131 I1132 I1133 I1134 I1135 I1136 I1137 I1138 I1139 I1140 I1141 I1142 I1143 I1144 I1145 I1146 I1147 I1148 I1149 I1150 I1151 I1152 I1153 I1154 I1155 I1156 I1157 I1158 I1159 I1160 I1161 I1162 I1163 I1164 I1165 I1166 I1167 I1168 I1169 I1170 I1171 I1172 I1173 I1174 I1175 I1176 I1177 I1178 I1179 I1180 I1181 I1182 I1183 I1184 I1185 I1186 I1187 I1188 I1189 I1190 I1191 I1192 I1193 I1194 I1195 I1196 I1197 I1198 I1199 I1200 I1201 I1202 I1203 I1204 I1205 I1206 I1207 I1208 I1209 I1210 I1211 I1212 I1213 I1214 I1215 I1216 I1217 I1218 I1219 I1220 I1221 I1222 I1223 I1224 I1225 I1226 I1227 I1228 I1229 I1230 I1231 I1232 I1233 I1234 I1235 I1236 I1237 I1238 I1239 I1240 I1241 I1242 I1243 I1244 I1245 I1246 I1247 I1248 I1249 I1250 I1251 I1252 I1253 I1254 I1255 I1256 I1257 I1258 I1259 I1260 I1261 I1262 I1263 I1264 I1265 I1266 I1267 I1268 I1269 I1270 I1271 I1272 I1273 I1274 I1275" showDropDown="0" showInputMessage="0" showErrorMessage="0" allowBlank="1" type="list">
      <formula1>"Critical,High,Medium,Low"</formula1>
    </dataValidation>
    <dataValidation sqref="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L497 L498 L499 L500 L501 L502 L503 L504 L505 L506 L507 L508 L509 L510 L511 L512 L513 L514 L515 L516 L517 L518 L519 L520 L521 L522 L523 L524 L525 L526 L527 L528 L529 L530 L531 L532 L533 L534 L535 L536 L537 L538 L539 L540 L541 L542 L543 L544 L545 L546 L547 L548 L549 L550 L551 L552 L553 L554 L555 L556 L557 L558 L559 L560 L561 L562 L563 L564 L565 L566 L567 L568 L569 L570 L571 L572 L573 L574 L575 L576 L577 L578 L579 L580 L581 L582 L583 L584 L585 L586 L587 L588 L589 L590 L591 L592 L593 L594 L595 L596 L597 L598 L599 L600 L601 L602 L603 L604 L605 L606 L607 L608 L609 L610 L611 L612 L613 L614 L615 L616 L617 L618 L619 L620 L621 L622 L623 L624 L625 L626 L627 L628 L629 L630 L631 L632 L633 L634 L635 L636 L637 L638 L639 L640 L641 L642 L643 L644 L645 L646 L647 L648 L649 L650 L651 L652 L653 L654 L655 L656 L657 L658 L659 L660 L661 L662 L663 L664 L665 L666 L667 L668 L669 L670 L671 L672 L673 L674 L675 L676 L677 L678 L679 L680 L681 L682 L683 L684 L685 L686 L687 L688 L689 L690 L691 L692 L693 L694 L695 L696 L697 L698 L699 L700 L701 L702 L703 L704 L705 L706 L707 L708 L709 L710 L711 L712 L713 L714 L715 L716 L717 L718 L719 L720 L721 L722 L723 L724 L725 L726 L727 L728 L729 L730 L731 L732 L733 L734 L735 L736 L737 L738 L739 L740 L741 L742 L743 L744 L745 L746 L747 L748 L749 L750 L751 L752 L753 L754 L755 L756 L757 L758 L759 L760 L761 L762 L763 L764 L765 L766 L767 L768 L769 L770 L771 L772 L773 L774 L775 L776 L777 L778 L779 L780 L781 L782 L783 L784 L785 L786 L787 L788 L789 L790 L791 L792 L793 L794 L795 L796 L797 L798 L799 L800 L801 L802 L803 L804 L805 L806 L807 L808 L809 L810 L811 L812 L813 L814 L815 L816 L817 L818 L819 L820 L821 L822 L823 L824 L825 L826 L827 L828 L829 L830 L831 L832 L833 L834 L835 L836 L837 L838 L839 L840 L841 L842 L843 L844 L845 L846 L847 L848 L849 L850 L851 L852 L853 L854 L855 L856 L857 L858 L859 L860 L861 L862 L863 L864 L865 L866 L867 L868 L869 L870 L871 L872 L873 L874 L875 L876 L877 L878 L879 L880 L881 L882 L883 L884 L885 L886 L887 L888 L889 L890 L891 L892 L893 L894 L895 L896 L897 L898 L899 L900 L901 L902 L903 L904 L905 L906 L907 L908 L909 L910 L911 L912 L913 L914 L915 L916 L917 L918 L919 L920 L921 L922 L923 L924 L925 L926 L927 L928 L929 L930 L931 L932 L933 L934 L935 L936 L937 L938 L939 L940 L941 L942 L943 L944 L945 L946 L947 L948 L949 L950 L951 L952 L953 L954 L955 L956 L957 L958 L959 L960 L961 L962 L963 L964 L965 L966 L967 L968 L969 L970 L971 L972 L973 L974 L975 L976 L977 L978 L979 L980 L981 L982 L983 L984 L985 L986 L987 L988 L989 L990 L991 L992 L993 L994 L995 L996 L997 L998 L999 L1000 L1001 L1002 L1003 L1004 L1005 L1006 L1007 L1008 L1009 L1010 L1011 L1012 L1013 L1014 L1015 L1016 L1017 L1018 L1019 L1020 L1021 L1022 L1023 L1024 L1025 L1026 L1027 L1028 L1029 L1030 L1031 L1032 L1033 L1034 L1035 L1036 L1037 L1038 L1039 L1040 L1041 L1042 L1043 L1044 L1045 L1046 L1047 L1048 L1049 L1050 L1051 L1052 L1053 L1054 L1055 L1056 L1057 L1058 L1059 L1060 L1061 L1062 L1063 L1064 L1065 L1066 L1067 L1068 L1069 L1070 L1071 L1072 L1073 L1074 L1075 L1076 L1077 L1078 L1079 L1080 L1081 L1082 L1083 L1084 L1085 L1086 L1087 L1088 L1089 L1090 L1091 L1092 L1093 L1094 L1095 L1096 L1097 L1098 L1099 L1100 L1101 L1102 L1103 L1104 L1105 L1106 L1107 L1108 L1109 L1110 L1111 L1112 L1113 L1114 L1115 L1116 L1117 L1118 L1119 L1120 L1121 L1122 L1123 L1124 L1125 L1126 L1127 L1128 L1129 L1130 L1131 L1132 L1133 L1134 L1135 L1136 L1137 L1138 L1139 L1140 L1141 L1142 L1143 L1144 L1145 L1146 L1147 L1148 L1149 L1150 L1151 L1152 L1153 L1154 L1155 L1156 L1157 L1158 L1159 L1160 L1161 L1162 L1163 L1164 L1165 L1166 L1167 L1168 L1169 L1170 L1171 L1172 L1173 L1174 L1175 L1176 L1177 L1178 L1179 L1180 L1181 L1182 L1183 L1184 L1185 L1186 L1187 L1188 L1189 L1190 L1191 L1192 L1193 L1194 L1195 L1196 L1197 L1198 L1199 L1200 L1201 L1202 L1203 L1204 L1205 L1206 L1207 L1208 L1209 L1210 L1211 L1212 L1213 L1214 L1215 L1216 L1217 L1218 L1219 L1220 L1221 L1222 L1223 L1224 L1225 L1226 L1227 L1228 L1229 L1230 L1231 L1232 L1233 L1234 L1235 L1236 L1237 L1238 L1239 L1240 L1241 L1242 L1243 L1244 L1245 L1246 L1247 L1248 L1249 L1250 L1251 L1252 L1253 L1254 L1255 L1256 L1257 L1258 L1259 L1260 L1261 L1262 L1263 L1264 L1265 L1266 L1267 L1268 L1269 L1270 L1271 L1272 L1273 L1274 L1275" showDropDown="0" showInputMessage="0" showErrorMessage="0" allowBlank="1" type="list">
      <formula1>"Not Started,In Progress,Completed,Deferred,Waived"</formula1>
    </dataValidation>
  </dataValidations>
  <pageMargins left="0.75" right="0.75" top="1" bottom="1" header="0.5" footer="0.5"/>
</worksheet>
</file>

<file path=xl/worksheets/sheet7.xml><?xml version="1.0" encoding="utf-8"?>
<worksheet xmlns="http://schemas.openxmlformats.org/spreadsheetml/2006/main">
  <sheetPr>
    <tabColor rgb="00F39C12"/>
    <outlinePr summaryBelow="1" summaryRight="1"/>
    <pageSetUpPr/>
  </sheetPr>
  <dimension ref="A1:E42"/>
  <sheetViews>
    <sheetView workbookViewId="0">
      <pane ySplit="2" topLeftCell="A3" activePane="bottomLeft" state="frozen"/>
      <selection pane="bottomLeft" activeCell="A1" sqref="A1"/>
    </sheetView>
  </sheetViews>
  <sheetFormatPr baseColWidth="8" defaultRowHeight="15"/>
  <cols>
    <col width="34" customWidth="1" min="1" max="1"/>
    <col width="14" customWidth="1" min="2" max="2"/>
    <col width="14" customWidth="1" min="3" max="3"/>
    <col width="14" customWidth="1" min="4" max="4"/>
    <col width="14" customWidth="1" min="5" max="5"/>
  </cols>
  <sheetData>
    <row r="1" ht="32" customHeight="1">
      <c r="A1" s="5" t="inlineStr">
        <is>
          <t>Remediation Progress — Summary (LIVE from Remediation Plan)</t>
        </is>
      </c>
      <c r="B1" s="6" t="n"/>
      <c r="C1" s="6" t="n"/>
      <c r="D1" s="6" t="n"/>
      <c r="E1" s="2" t="n"/>
    </row>
    <row r="2" ht="24" customHeight="1">
      <c r="A2" s="37" t="inlineStr">
        <is>
          <t>By Priority</t>
        </is>
      </c>
      <c r="B2" s="38" t="inlineStr"/>
      <c r="C2" s="38" t="inlineStr"/>
      <c r="D2" s="38" t="inlineStr"/>
      <c r="E2" s="38" t="inlineStr"/>
    </row>
    <row r="3" ht="30" customHeight="1">
      <c r="A3" s="8" t="inlineStr">
        <is>
          <t>Priority</t>
        </is>
      </c>
      <c r="B3" s="8" t="inlineStr">
        <is>
          <t>Total</t>
        </is>
      </c>
      <c r="C3" s="8" t="inlineStr">
        <is>
          <t>Closed</t>
        </is>
      </c>
      <c r="D3" s="8" t="inlineStr">
        <is>
          <t>Open</t>
        </is>
      </c>
    </row>
    <row r="4">
      <c r="A4" s="29" t="inlineStr">
        <is>
          <t>Critical</t>
        </is>
      </c>
      <c r="B4" s="30">
        <f>COUNTIF('REMEDIATION PLAN'!$I$3:$I$1275,A4)</f>
        <v/>
      </c>
      <c r="C4" s="30">
        <f>COUNTIFS('REMEDIATION PLAN'!$I$3:$I$1275,A4,'REMEDIATION PLAN'!$L$3:$L$1275,"Completed")</f>
        <v/>
      </c>
      <c r="D4" s="30">
        <f>B4-C4</f>
        <v/>
      </c>
    </row>
    <row r="5">
      <c r="A5" s="33" t="inlineStr">
        <is>
          <t>High</t>
        </is>
      </c>
      <c r="B5" s="34">
        <f>COUNTIF('REMEDIATION PLAN'!$I$3:$I$1275,A5)</f>
        <v/>
      </c>
      <c r="C5" s="34">
        <f>COUNTIFS('REMEDIATION PLAN'!$I$3:$I$1275,A5,'REMEDIATION PLAN'!$L$3:$L$1275,"Completed")</f>
        <v/>
      </c>
      <c r="D5" s="34">
        <f>B5-C5</f>
        <v/>
      </c>
    </row>
    <row r="6">
      <c r="A6" s="29" t="inlineStr">
        <is>
          <t>Medium</t>
        </is>
      </c>
      <c r="B6" s="30">
        <f>COUNTIF('REMEDIATION PLAN'!$I$3:$I$1275,A6)</f>
        <v/>
      </c>
      <c r="C6" s="30">
        <f>COUNTIFS('REMEDIATION PLAN'!$I$3:$I$1275,A6,'REMEDIATION PLAN'!$L$3:$L$1275,"Completed")</f>
        <v/>
      </c>
      <c r="D6" s="30">
        <f>B6-C6</f>
        <v/>
      </c>
    </row>
    <row r="7">
      <c r="A7" s="33" t="inlineStr">
        <is>
          <t>Low</t>
        </is>
      </c>
      <c r="B7" s="34">
        <f>COUNTIF('REMEDIATION PLAN'!$I$3:$I$1275,A7)</f>
        <v/>
      </c>
      <c r="C7" s="34">
        <f>COUNTIFS('REMEDIATION PLAN'!$I$3:$I$1275,A7,'REMEDIATION PLAN'!$L$3:$L$1275,"Completed")</f>
        <v/>
      </c>
      <c r="D7" s="34">
        <f>B7-C7</f>
        <v/>
      </c>
    </row>
    <row r="8">
      <c r="A8" s="39" t="inlineStr">
        <is>
          <t>TOTAL</t>
        </is>
      </c>
      <c r="B8" s="40">
        <f>SUM(B4:B7)</f>
        <v/>
      </c>
      <c r="C8" s="40">
        <f>SUM(C4:C7)</f>
        <v/>
      </c>
      <c r="D8" s="40">
        <f>SUM(D4:D7)</f>
        <v/>
      </c>
    </row>
    <row r="10" ht="24" customHeight="1">
      <c r="A10" s="37" t="inlineStr">
        <is>
          <t>By Closure Status</t>
        </is>
      </c>
      <c r="B10" s="38" t="inlineStr"/>
      <c r="C10" s="38" t="inlineStr"/>
      <c r="D10" s="38" t="inlineStr"/>
      <c r="E10" s="38" t="inlineStr"/>
    </row>
    <row r="11" ht="30" customHeight="1">
      <c r="A11" s="8" t="inlineStr">
        <is>
          <t>Status</t>
        </is>
      </c>
      <c r="B11" s="8" t="inlineStr">
        <is>
          <t>Count</t>
        </is>
      </c>
      <c r="C11" s="8" t="inlineStr">
        <is>
          <t>% of Total</t>
        </is>
      </c>
    </row>
    <row r="12">
      <c r="A12" s="29" t="inlineStr">
        <is>
          <t>Not Started</t>
        </is>
      </c>
      <c r="B12" s="30">
        <f>COUNTIF('REMEDIATION PLAN'!$L$3:$L$1275,A12)</f>
        <v/>
      </c>
      <c r="C12" s="31">
        <f>IFERROR(B12/1273,0)</f>
        <v/>
      </c>
    </row>
    <row r="13">
      <c r="A13" s="33" t="inlineStr">
        <is>
          <t>In Progress</t>
        </is>
      </c>
      <c r="B13" s="34">
        <f>COUNTIF('REMEDIATION PLAN'!$L$3:$L$1275,A13)</f>
        <v/>
      </c>
      <c r="C13" s="35">
        <f>IFERROR(B13/1273,0)</f>
        <v/>
      </c>
    </row>
    <row r="14">
      <c r="A14" s="29" t="inlineStr">
        <is>
          <t>Completed</t>
        </is>
      </c>
      <c r="B14" s="30">
        <f>COUNTIF('REMEDIATION PLAN'!$L$3:$L$1275,A14)</f>
        <v/>
      </c>
      <c r="C14" s="31">
        <f>IFERROR(B14/1273,0)</f>
        <v/>
      </c>
    </row>
    <row r="15">
      <c r="A15" s="33" t="inlineStr">
        <is>
          <t>Deferred</t>
        </is>
      </c>
      <c r="B15" s="34">
        <f>COUNTIF('REMEDIATION PLAN'!$L$3:$L$1275,A15)</f>
        <v/>
      </c>
      <c r="C15" s="35">
        <f>IFERROR(B15/1273,0)</f>
        <v/>
      </c>
    </row>
    <row r="16">
      <c r="A16" s="29" t="inlineStr">
        <is>
          <t>Waived</t>
        </is>
      </c>
      <c r="B16" s="30">
        <f>COUNTIF('REMEDIATION PLAN'!$L$3:$L$1275,A16)</f>
        <v/>
      </c>
      <c r="C16" s="31">
        <f>IFERROR(B16/1273,0)</f>
        <v/>
      </c>
    </row>
    <row r="18" ht="26" customHeight="1">
      <c r="A18" s="39" t="inlineStr">
        <is>
          <t>% Remediated (Completed)</t>
        </is>
      </c>
      <c r="B18" s="41">
        <f>IFERROR(COUNTIF('REMEDIATION PLAN'!$L$3:$L$1275,"Completed")/1273,0)</f>
        <v/>
      </c>
    </row>
    <row r="20" ht="24" customHeight="1">
      <c r="A20" s="37" t="inlineStr">
        <is>
          <t>Open Items by Technology</t>
        </is>
      </c>
      <c r="B20" s="38" t="inlineStr"/>
      <c r="C20" s="38" t="inlineStr"/>
      <c r="D20" s="38" t="inlineStr"/>
      <c r="E20" s="38" t="inlineStr"/>
    </row>
    <row r="21" ht="30" customHeight="1">
      <c r="A21" s="8" t="inlineStr">
        <is>
          <t>Technology</t>
        </is>
      </c>
      <c r="B21" s="8" t="inlineStr">
        <is>
          <t>Critical</t>
        </is>
      </c>
      <c r="C21" s="8" t="inlineStr">
        <is>
          <t>High</t>
        </is>
      </c>
      <c r="D21" s="8" t="inlineStr">
        <is>
          <t>Med + Low</t>
        </is>
      </c>
    </row>
    <row r="22">
      <c r="A22" s="46" t="inlineStr">
        <is>
          <t>Analytics</t>
        </is>
      </c>
      <c r="B22" s="11">
        <f>COUNTIFS('REMEDIATION PLAN'!$D$3:$D$1275,A22,'REMEDIATION PLAN'!$I$3:$I$1275,"Critical",'REMEDIATION PLAN'!$L$3:$L$1275,"&lt;&gt;Completed")</f>
        <v/>
      </c>
      <c r="C22" s="11">
        <f>COUNTIFS('REMEDIATION PLAN'!$D$3:$D$1275,A22,'REMEDIATION PLAN'!$I$3:$I$1275,"High",'REMEDIATION PLAN'!$L$3:$L$1275,"&lt;&gt;Completed")</f>
        <v/>
      </c>
      <c r="D22" s="11">
        <f>COUNTIFS('REMEDIATION PLAN'!$D$3:$D$1275,A22,'REMEDIATION PLAN'!$I$3:$I$1275,"Medium",'REMEDIATION PLAN'!$L$3:$L$1275,"&lt;&gt;Completed")+COUNTIFS('REMEDIATION PLAN'!$D$3:$D$1275,A22,'REMEDIATION PLAN'!$I$3:$I$1275,"Low",'REMEDIATION PLAN'!$L$3:$L$1275,"&lt;&gt;Completed")</f>
        <v/>
      </c>
    </row>
    <row r="23">
      <c r="A23" s="48" t="inlineStr">
        <is>
          <t>Compute</t>
        </is>
      </c>
      <c r="B23" s="18">
        <f>COUNTIFS('REMEDIATION PLAN'!$D$3:$D$1275,A23,'REMEDIATION PLAN'!$I$3:$I$1275,"Critical",'REMEDIATION PLAN'!$L$3:$L$1275,"&lt;&gt;Completed")</f>
        <v/>
      </c>
      <c r="C23" s="18">
        <f>COUNTIFS('REMEDIATION PLAN'!$D$3:$D$1275,A23,'REMEDIATION PLAN'!$I$3:$I$1275,"High",'REMEDIATION PLAN'!$L$3:$L$1275,"&lt;&gt;Completed")</f>
        <v/>
      </c>
      <c r="D23" s="18">
        <f>COUNTIFS('REMEDIATION PLAN'!$D$3:$D$1275,A23,'REMEDIATION PLAN'!$I$3:$I$1275,"Medium",'REMEDIATION PLAN'!$L$3:$L$1275,"&lt;&gt;Completed")+COUNTIFS('REMEDIATION PLAN'!$D$3:$D$1275,A23,'REMEDIATION PLAN'!$I$3:$I$1275,"Low",'REMEDIATION PLAN'!$L$3:$L$1275,"&lt;&gt;Completed")</f>
        <v/>
      </c>
    </row>
    <row r="24">
      <c r="A24" s="46" t="inlineStr">
        <is>
          <t>Containers</t>
        </is>
      </c>
      <c r="B24" s="11">
        <f>COUNTIFS('REMEDIATION PLAN'!$D$3:$D$1275,A24,'REMEDIATION PLAN'!$I$3:$I$1275,"Critical",'REMEDIATION PLAN'!$L$3:$L$1275,"&lt;&gt;Completed")</f>
        <v/>
      </c>
      <c r="C24" s="11">
        <f>COUNTIFS('REMEDIATION PLAN'!$D$3:$D$1275,A24,'REMEDIATION PLAN'!$I$3:$I$1275,"High",'REMEDIATION PLAN'!$L$3:$L$1275,"&lt;&gt;Completed")</f>
        <v/>
      </c>
      <c r="D24" s="11">
        <f>COUNTIFS('REMEDIATION PLAN'!$D$3:$D$1275,A24,'REMEDIATION PLAN'!$I$3:$I$1275,"Medium",'REMEDIATION PLAN'!$L$3:$L$1275,"&lt;&gt;Completed")+COUNTIFS('REMEDIATION PLAN'!$D$3:$D$1275,A24,'REMEDIATION PLAN'!$I$3:$I$1275,"Low",'REMEDIATION PLAN'!$L$3:$L$1275,"&lt;&gt;Completed")</f>
        <v/>
      </c>
    </row>
    <row r="25">
      <c r="A25" s="48" t="inlineStr">
        <is>
          <t>Database</t>
        </is>
      </c>
      <c r="B25" s="18">
        <f>COUNTIFS('REMEDIATION PLAN'!$D$3:$D$1275,A25,'REMEDIATION PLAN'!$I$3:$I$1275,"Critical",'REMEDIATION PLAN'!$L$3:$L$1275,"&lt;&gt;Completed")</f>
        <v/>
      </c>
      <c r="C25" s="18">
        <f>COUNTIFS('REMEDIATION PLAN'!$D$3:$D$1275,A25,'REMEDIATION PLAN'!$I$3:$I$1275,"High",'REMEDIATION PLAN'!$L$3:$L$1275,"&lt;&gt;Completed")</f>
        <v/>
      </c>
      <c r="D25" s="18">
        <f>COUNTIFS('REMEDIATION PLAN'!$D$3:$D$1275,A25,'REMEDIATION PLAN'!$I$3:$I$1275,"Medium",'REMEDIATION PLAN'!$L$3:$L$1275,"&lt;&gt;Completed")+COUNTIFS('REMEDIATION PLAN'!$D$3:$D$1275,A25,'REMEDIATION PLAN'!$I$3:$I$1275,"Low",'REMEDIATION PLAN'!$L$3:$L$1275,"&lt;&gt;Completed")</f>
        <v/>
      </c>
    </row>
    <row r="26">
      <c r="A26" s="46" t="inlineStr">
        <is>
          <t>DevOps</t>
        </is>
      </c>
      <c r="B26" s="11">
        <f>COUNTIFS('REMEDIATION PLAN'!$D$3:$D$1275,A26,'REMEDIATION PLAN'!$I$3:$I$1275,"Critical",'REMEDIATION PLAN'!$L$3:$L$1275,"&lt;&gt;Completed")</f>
        <v/>
      </c>
      <c r="C26" s="11">
        <f>COUNTIFS('REMEDIATION PLAN'!$D$3:$D$1275,A26,'REMEDIATION PLAN'!$I$3:$I$1275,"High",'REMEDIATION PLAN'!$L$3:$L$1275,"&lt;&gt;Completed")</f>
        <v/>
      </c>
      <c r="D26" s="11">
        <f>COUNTIFS('REMEDIATION PLAN'!$D$3:$D$1275,A26,'REMEDIATION PLAN'!$I$3:$I$1275,"Medium",'REMEDIATION PLAN'!$L$3:$L$1275,"&lt;&gt;Completed")+COUNTIFS('REMEDIATION PLAN'!$D$3:$D$1275,A26,'REMEDIATION PLAN'!$I$3:$I$1275,"Low",'REMEDIATION PLAN'!$L$3:$L$1275,"&lt;&gt;Completed")</f>
        <v/>
      </c>
    </row>
    <row r="27">
      <c r="A27" s="48" t="inlineStr">
        <is>
          <t>Developer Tools</t>
        </is>
      </c>
      <c r="B27" s="18">
        <f>COUNTIFS('REMEDIATION PLAN'!$D$3:$D$1275,A27,'REMEDIATION PLAN'!$I$3:$I$1275,"Critical",'REMEDIATION PLAN'!$L$3:$L$1275,"&lt;&gt;Completed")</f>
        <v/>
      </c>
      <c r="C27" s="18">
        <f>COUNTIFS('REMEDIATION PLAN'!$D$3:$D$1275,A27,'REMEDIATION PLAN'!$I$3:$I$1275,"High",'REMEDIATION PLAN'!$L$3:$L$1275,"&lt;&gt;Completed")</f>
        <v/>
      </c>
      <c r="D27" s="18">
        <f>COUNTIFS('REMEDIATION PLAN'!$D$3:$D$1275,A27,'REMEDIATION PLAN'!$I$3:$I$1275,"Medium",'REMEDIATION PLAN'!$L$3:$L$1275,"&lt;&gt;Completed")+COUNTIFS('REMEDIATION PLAN'!$D$3:$D$1275,A27,'REMEDIATION PLAN'!$I$3:$I$1275,"Low",'REMEDIATION PLAN'!$L$3:$L$1275,"&lt;&gt;Completed")</f>
        <v/>
      </c>
    </row>
    <row r="28">
      <c r="A28" s="46" t="inlineStr">
        <is>
          <t>Documentation</t>
        </is>
      </c>
      <c r="B28" s="11">
        <f>COUNTIFS('REMEDIATION PLAN'!$D$3:$D$1275,A28,'REMEDIATION PLAN'!$I$3:$I$1275,"Critical",'REMEDIATION PLAN'!$L$3:$L$1275,"&lt;&gt;Completed")</f>
        <v/>
      </c>
      <c r="C28" s="11">
        <f>COUNTIFS('REMEDIATION PLAN'!$D$3:$D$1275,A28,'REMEDIATION PLAN'!$I$3:$I$1275,"High",'REMEDIATION PLAN'!$L$3:$L$1275,"&lt;&gt;Completed")</f>
        <v/>
      </c>
      <c r="D28" s="11">
        <f>COUNTIFS('REMEDIATION PLAN'!$D$3:$D$1275,A28,'REMEDIATION PLAN'!$I$3:$I$1275,"Medium",'REMEDIATION PLAN'!$L$3:$L$1275,"&lt;&gt;Completed")+COUNTIFS('REMEDIATION PLAN'!$D$3:$D$1275,A28,'REMEDIATION PLAN'!$I$3:$I$1275,"Low",'REMEDIATION PLAN'!$L$3:$L$1275,"&lt;&gt;Completed")</f>
        <v/>
      </c>
    </row>
    <row r="29">
      <c r="A29" s="48" t="inlineStr">
        <is>
          <t>Hybrid + Multicloud</t>
        </is>
      </c>
      <c r="B29" s="18">
        <f>COUNTIFS('REMEDIATION PLAN'!$D$3:$D$1275,A29,'REMEDIATION PLAN'!$I$3:$I$1275,"Critical",'REMEDIATION PLAN'!$L$3:$L$1275,"&lt;&gt;Completed")</f>
        <v/>
      </c>
      <c r="C29" s="18">
        <f>COUNTIFS('REMEDIATION PLAN'!$D$3:$D$1275,A29,'REMEDIATION PLAN'!$I$3:$I$1275,"High",'REMEDIATION PLAN'!$L$3:$L$1275,"&lt;&gt;Completed")</f>
        <v/>
      </c>
      <c r="D29" s="18">
        <f>COUNTIFS('REMEDIATION PLAN'!$D$3:$D$1275,A29,'REMEDIATION PLAN'!$I$3:$I$1275,"Medium",'REMEDIATION PLAN'!$L$3:$L$1275,"&lt;&gt;Completed")+COUNTIFS('REMEDIATION PLAN'!$D$3:$D$1275,A29,'REMEDIATION PLAN'!$I$3:$I$1275,"Low",'REMEDIATION PLAN'!$L$3:$L$1275,"&lt;&gt;Completed")</f>
        <v/>
      </c>
    </row>
    <row r="30">
      <c r="A30" s="46" t="inlineStr">
        <is>
          <t>Identity</t>
        </is>
      </c>
      <c r="B30" s="11">
        <f>COUNTIFS('REMEDIATION PLAN'!$D$3:$D$1275,A30,'REMEDIATION PLAN'!$I$3:$I$1275,"Critical",'REMEDIATION PLAN'!$L$3:$L$1275,"&lt;&gt;Completed")</f>
        <v/>
      </c>
      <c r="C30" s="11">
        <f>COUNTIFS('REMEDIATION PLAN'!$D$3:$D$1275,A30,'REMEDIATION PLAN'!$I$3:$I$1275,"High",'REMEDIATION PLAN'!$L$3:$L$1275,"&lt;&gt;Completed")</f>
        <v/>
      </c>
      <c r="D30" s="11">
        <f>COUNTIFS('REMEDIATION PLAN'!$D$3:$D$1275,A30,'REMEDIATION PLAN'!$I$3:$I$1275,"Medium",'REMEDIATION PLAN'!$L$3:$L$1275,"&lt;&gt;Completed")+COUNTIFS('REMEDIATION PLAN'!$D$3:$D$1275,A30,'REMEDIATION PLAN'!$I$3:$I$1275,"Low",'REMEDIATION PLAN'!$L$3:$L$1275,"&lt;&gt;Completed")</f>
        <v/>
      </c>
    </row>
    <row r="31">
      <c r="A31" s="48" t="inlineStr">
        <is>
          <t>Management and Governance</t>
        </is>
      </c>
      <c r="B31" s="18">
        <f>COUNTIFS('REMEDIATION PLAN'!$D$3:$D$1275,A31,'REMEDIATION PLAN'!$I$3:$I$1275,"Critical",'REMEDIATION PLAN'!$L$3:$L$1275,"&lt;&gt;Completed")</f>
        <v/>
      </c>
      <c r="C31" s="18">
        <f>COUNTIFS('REMEDIATION PLAN'!$D$3:$D$1275,A31,'REMEDIATION PLAN'!$I$3:$I$1275,"High",'REMEDIATION PLAN'!$L$3:$L$1275,"&lt;&gt;Completed")</f>
        <v/>
      </c>
      <c r="D31" s="18">
        <f>COUNTIFS('REMEDIATION PLAN'!$D$3:$D$1275,A31,'REMEDIATION PLAN'!$I$3:$I$1275,"Medium",'REMEDIATION PLAN'!$L$3:$L$1275,"&lt;&gt;Completed")+COUNTIFS('REMEDIATION PLAN'!$D$3:$D$1275,A31,'REMEDIATION PLAN'!$I$3:$I$1275,"Low",'REMEDIATION PLAN'!$L$3:$L$1275,"&lt;&gt;Completed")</f>
        <v/>
      </c>
    </row>
    <row r="32">
      <c r="A32" s="46" t="inlineStr">
        <is>
          <t>Microsoft-Descoped</t>
        </is>
      </c>
      <c r="B32" s="11">
        <f>COUNTIFS('REMEDIATION PLAN'!$D$3:$D$1275,A32,'REMEDIATION PLAN'!$I$3:$I$1275,"Critical",'REMEDIATION PLAN'!$L$3:$L$1275,"&lt;&gt;Completed")</f>
        <v/>
      </c>
      <c r="C32" s="11">
        <f>COUNTIFS('REMEDIATION PLAN'!$D$3:$D$1275,A32,'REMEDIATION PLAN'!$I$3:$I$1275,"High",'REMEDIATION PLAN'!$L$3:$L$1275,"&lt;&gt;Completed")</f>
        <v/>
      </c>
      <c r="D32" s="11">
        <f>COUNTIFS('REMEDIATION PLAN'!$D$3:$D$1275,A32,'REMEDIATION PLAN'!$I$3:$I$1275,"Medium",'REMEDIATION PLAN'!$L$3:$L$1275,"&lt;&gt;Completed")+COUNTIFS('REMEDIATION PLAN'!$D$3:$D$1275,A32,'REMEDIATION PLAN'!$I$3:$I$1275,"Low",'REMEDIATION PLAN'!$L$3:$L$1275,"&lt;&gt;Completed")</f>
        <v/>
      </c>
    </row>
    <row r="33">
      <c r="A33" s="48" t="inlineStr">
        <is>
          <t>Networking</t>
        </is>
      </c>
      <c r="B33" s="18">
        <f>COUNTIFS('REMEDIATION PLAN'!$D$3:$D$1275,A33,'REMEDIATION PLAN'!$I$3:$I$1275,"Critical",'REMEDIATION PLAN'!$L$3:$L$1275,"&lt;&gt;Completed")</f>
        <v/>
      </c>
      <c r="C33" s="18">
        <f>COUNTIFS('REMEDIATION PLAN'!$D$3:$D$1275,A33,'REMEDIATION PLAN'!$I$3:$I$1275,"High",'REMEDIATION PLAN'!$L$3:$L$1275,"&lt;&gt;Completed")</f>
        <v/>
      </c>
      <c r="D33" s="18">
        <f>COUNTIFS('REMEDIATION PLAN'!$D$3:$D$1275,A33,'REMEDIATION PLAN'!$I$3:$I$1275,"Medium",'REMEDIATION PLAN'!$L$3:$L$1275,"&lt;&gt;Completed")+COUNTIFS('REMEDIATION PLAN'!$D$3:$D$1275,A33,'REMEDIATION PLAN'!$I$3:$I$1275,"Low",'REMEDIATION PLAN'!$L$3:$L$1275,"&lt;&gt;Completed")</f>
        <v/>
      </c>
    </row>
    <row r="34">
      <c r="A34" s="46" t="inlineStr">
        <is>
          <t>Palo Alto Firewalls</t>
        </is>
      </c>
      <c r="B34" s="11">
        <f>COUNTIFS('REMEDIATION PLAN'!$D$3:$D$1275,A34,'REMEDIATION PLAN'!$I$3:$I$1275,"Critical",'REMEDIATION PLAN'!$L$3:$L$1275,"&lt;&gt;Completed")</f>
        <v/>
      </c>
      <c r="C34" s="11">
        <f>COUNTIFS('REMEDIATION PLAN'!$D$3:$D$1275,A34,'REMEDIATION PLAN'!$I$3:$I$1275,"High",'REMEDIATION PLAN'!$L$3:$L$1275,"&lt;&gt;Completed")</f>
        <v/>
      </c>
      <c r="D34" s="11">
        <f>COUNTIFS('REMEDIATION PLAN'!$D$3:$D$1275,A34,'REMEDIATION PLAN'!$I$3:$I$1275,"Medium",'REMEDIATION PLAN'!$L$3:$L$1275,"&lt;&gt;Completed")+COUNTIFS('REMEDIATION PLAN'!$D$3:$D$1275,A34,'REMEDIATION PLAN'!$I$3:$I$1275,"Low",'REMEDIATION PLAN'!$L$3:$L$1275,"&lt;&gt;Completed")</f>
        <v/>
      </c>
    </row>
    <row r="35">
      <c r="A35" s="48" t="inlineStr">
        <is>
          <t>Panorama</t>
        </is>
      </c>
      <c r="B35" s="18">
        <f>COUNTIFS('REMEDIATION PLAN'!$D$3:$D$1275,A35,'REMEDIATION PLAN'!$I$3:$I$1275,"Critical",'REMEDIATION PLAN'!$L$3:$L$1275,"&lt;&gt;Completed")</f>
        <v/>
      </c>
      <c r="C35" s="18">
        <f>COUNTIFS('REMEDIATION PLAN'!$D$3:$D$1275,A35,'REMEDIATION PLAN'!$I$3:$I$1275,"High",'REMEDIATION PLAN'!$L$3:$L$1275,"&lt;&gt;Completed")</f>
        <v/>
      </c>
      <c r="D35" s="18">
        <f>COUNTIFS('REMEDIATION PLAN'!$D$3:$D$1275,A35,'REMEDIATION PLAN'!$I$3:$I$1275,"Medium",'REMEDIATION PLAN'!$L$3:$L$1275,"&lt;&gt;Completed")+COUNTIFS('REMEDIATION PLAN'!$D$3:$D$1275,A35,'REMEDIATION PLAN'!$I$3:$I$1275,"Low",'REMEDIATION PLAN'!$L$3:$L$1275,"&lt;&gt;Completed")</f>
        <v/>
      </c>
    </row>
    <row r="36">
      <c r="A36" s="46" t="inlineStr">
        <is>
          <t>Security</t>
        </is>
      </c>
      <c r="B36" s="11">
        <f>COUNTIFS('REMEDIATION PLAN'!$D$3:$D$1275,A36,'REMEDIATION PLAN'!$I$3:$I$1275,"Critical",'REMEDIATION PLAN'!$L$3:$L$1275,"&lt;&gt;Completed")</f>
        <v/>
      </c>
      <c r="C36" s="11">
        <f>COUNTIFS('REMEDIATION PLAN'!$D$3:$D$1275,A36,'REMEDIATION PLAN'!$I$3:$I$1275,"High",'REMEDIATION PLAN'!$L$3:$L$1275,"&lt;&gt;Completed")</f>
        <v/>
      </c>
      <c r="D36" s="11">
        <f>COUNTIFS('REMEDIATION PLAN'!$D$3:$D$1275,A36,'REMEDIATION PLAN'!$I$3:$I$1275,"Medium",'REMEDIATION PLAN'!$L$3:$L$1275,"&lt;&gt;Completed")+COUNTIFS('REMEDIATION PLAN'!$D$3:$D$1275,A36,'REMEDIATION PLAN'!$I$3:$I$1275,"Low",'REMEDIATION PLAN'!$L$3:$L$1275,"&lt;&gt;Completed")</f>
        <v/>
      </c>
    </row>
    <row r="37">
      <c r="A37" s="48" t="inlineStr">
        <is>
          <t>ServiceNow</t>
        </is>
      </c>
      <c r="B37" s="18">
        <f>COUNTIFS('REMEDIATION PLAN'!$D$3:$D$1275,A37,'REMEDIATION PLAN'!$I$3:$I$1275,"Critical",'REMEDIATION PLAN'!$L$3:$L$1275,"&lt;&gt;Completed")</f>
        <v/>
      </c>
      <c r="C37" s="18">
        <f>COUNTIFS('REMEDIATION PLAN'!$D$3:$D$1275,A37,'REMEDIATION PLAN'!$I$3:$I$1275,"High",'REMEDIATION PLAN'!$L$3:$L$1275,"&lt;&gt;Completed")</f>
        <v/>
      </c>
      <c r="D37" s="18">
        <f>COUNTIFS('REMEDIATION PLAN'!$D$3:$D$1275,A37,'REMEDIATION PLAN'!$I$3:$I$1275,"Medium",'REMEDIATION PLAN'!$L$3:$L$1275,"&lt;&gt;Completed")+COUNTIFS('REMEDIATION PLAN'!$D$3:$D$1275,A37,'REMEDIATION PLAN'!$I$3:$I$1275,"Low",'REMEDIATION PLAN'!$L$3:$L$1275,"&lt;&gt;Completed")</f>
        <v/>
      </c>
    </row>
    <row r="38">
      <c r="A38" s="46" t="inlineStr">
        <is>
          <t>Storage</t>
        </is>
      </c>
      <c r="B38" s="11">
        <f>COUNTIFS('REMEDIATION PLAN'!$D$3:$D$1275,A38,'REMEDIATION PLAN'!$I$3:$I$1275,"Critical",'REMEDIATION PLAN'!$L$3:$L$1275,"&lt;&gt;Completed")</f>
        <v/>
      </c>
      <c r="C38" s="11">
        <f>COUNTIFS('REMEDIATION PLAN'!$D$3:$D$1275,A38,'REMEDIATION PLAN'!$I$3:$I$1275,"High",'REMEDIATION PLAN'!$L$3:$L$1275,"&lt;&gt;Completed")</f>
        <v/>
      </c>
      <c r="D38" s="11">
        <f>COUNTIFS('REMEDIATION PLAN'!$D$3:$D$1275,A38,'REMEDIATION PLAN'!$I$3:$I$1275,"Medium",'REMEDIATION PLAN'!$L$3:$L$1275,"&lt;&gt;Completed")+COUNTIFS('REMEDIATION PLAN'!$D$3:$D$1275,A38,'REMEDIATION PLAN'!$I$3:$I$1275,"Low",'REMEDIATION PLAN'!$L$3:$L$1275,"&lt;&gt;Completed")</f>
        <v/>
      </c>
    </row>
    <row r="39">
      <c r="A39" s="48" t="inlineStr">
        <is>
          <t>Tenable Nessus</t>
        </is>
      </c>
      <c r="B39" s="18">
        <f>COUNTIFS('REMEDIATION PLAN'!$D$3:$D$1275,A39,'REMEDIATION PLAN'!$I$3:$I$1275,"Critical",'REMEDIATION PLAN'!$L$3:$L$1275,"&lt;&gt;Completed")</f>
        <v/>
      </c>
      <c r="C39" s="18">
        <f>COUNTIFS('REMEDIATION PLAN'!$D$3:$D$1275,A39,'REMEDIATION PLAN'!$I$3:$I$1275,"High",'REMEDIATION PLAN'!$L$3:$L$1275,"&lt;&gt;Completed")</f>
        <v/>
      </c>
      <c r="D39" s="18">
        <f>COUNTIFS('REMEDIATION PLAN'!$D$3:$D$1275,A39,'REMEDIATION PLAN'!$I$3:$I$1275,"Medium",'REMEDIATION PLAN'!$L$3:$L$1275,"&lt;&gt;Completed")+COUNTIFS('REMEDIATION PLAN'!$D$3:$D$1275,A39,'REMEDIATION PLAN'!$I$3:$I$1275,"Low",'REMEDIATION PLAN'!$L$3:$L$1275,"&lt;&gt;Completed")</f>
        <v/>
      </c>
    </row>
    <row r="40">
      <c r="A40" s="46" t="inlineStr">
        <is>
          <t>Tenable Security Centre+</t>
        </is>
      </c>
      <c r="B40" s="11">
        <f>COUNTIFS('REMEDIATION PLAN'!$D$3:$D$1275,A40,'REMEDIATION PLAN'!$I$3:$I$1275,"Critical",'REMEDIATION PLAN'!$L$3:$L$1275,"&lt;&gt;Completed")</f>
        <v/>
      </c>
      <c r="C40" s="11">
        <f>COUNTIFS('REMEDIATION PLAN'!$D$3:$D$1275,A40,'REMEDIATION PLAN'!$I$3:$I$1275,"High",'REMEDIATION PLAN'!$L$3:$L$1275,"&lt;&gt;Completed")</f>
        <v/>
      </c>
      <c r="D40" s="11">
        <f>COUNTIFS('REMEDIATION PLAN'!$D$3:$D$1275,A40,'REMEDIATION PLAN'!$I$3:$I$1275,"Medium",'REMEDIATION PLAN'!$L$3:$L$1275,"&lt;&gt;Completed")+COUNTIFS('REMEDIATION PLAN'!$D$3:$D$1275,A40,'REMEDIATION PLAN'!$I$3:$I$1275,"Low",'REMEDIATION PLAN'!$L$3:$L$1275,"&lt;&gt;Completed")</f>
        <v/>
      </c>
    </row>
    <row r="41">
      <c r="A41" s="48" t="inlineStr">
        <is>
          <t>Virtual Desktop Infrastructure</t>
        </is>
      </c>
      <c r="B41" s="18">
        <f>COUNTIFS('REMEDIATION PLAN'!$D$3:$D$1275,A41,'REMEDIATION PLAN'!$I$3:$I$1275,"Critical",'REMEDIATION PLAN'!$L$3:$L$1275,"&lt;&gt;Completed")</f>
        <v/>
      </c>
      <c r="C41" s="18">
        <f>COUNTIFS('REMEDIATION PLAN'!$D$3:$D$1275,A41,'REMEDIATION PLAN'!$I$3:$I$1275,"High",'REMEDIATION PLAN'!$L$3:$L$1275,"&lt;&gt;Completed")</f>
        <v/>
      </c>
      <c r="D41" s="18">
        <f>COUNTIFS('REMEDIATION PLAN'!$D$3:$D$1275,A41,'REMEDIATION PLAN'!$I$3:$I$1275,"Medium",'REMEDIATION PLAN'!$L$3:$L$1275,"&lt;&gt;Completed")+COUNTIFS('REMEDIATION PLAN'!$D$3:$D$1275,A41,'REMEDIATION PLAN'!$I$3:$I$1275,"Low",'REMEDIATION PLAN'!$L$3:$L$1275,"&lt;&gt;Completed")</f>
        <v/>
      </c>
    </row>
    <row r="42">
      <c r="A42" s="46" t="inlineStr">
        <is>
          <t>Web</t>
        </is>
      </c>
      <c r="B42" s="11">
        <f>COUNTIFS('REMEDIATION PLAN'!$D$3:$D$1275,A42,'REMEDIATION PLAN'!$I$3:$I$1275,"Critical",'REMEDIATION PLAN'!$L$3:$L$1275,"&lt;&gt;Completed")</f>
        <v/>
      </c>
      <c r="C42" s="11">
        <f>COUNTIFS('REMEDIATION PLAN'!$D$3:$D$1275,A42,'REMEDIATION PLAN'!$I$3:$I$1275,"High",'REMEDIATION PLAN'!$L$3:$L$1275,"&lt;&gt;Completed")</f>
        <v/>
      </c>
      <c r="D42" s="11">
        <f>COUNTIFS('REMEDIATION PLAN'!$D$3:$D$1275,A42,'REMEDIATION PLAN'!$I$3:$I$1275,"Medium",'REMEDIATION PLAN'!$L$3:$L$1275,"&lt;&gt;Completed")+COUNTIFS('REMEDIATION PLAN'!$D$3:$D$1275,A42,'REMEDIATION PLAN'!$I$3:$I$1275,"Low",'REMEDIATION PLAN'!$L$3:$L$1275,"&lt;&gt;Completed")</f>
        <v/>
      </c>
    </row>
  </sheetData>
  <mergeCells count="1">
    <mergeCell ref="A1:E1"/>
  </mergeCells>
  <conditionalFormatting sqref="B22:B42">
    <cfRule type="expression" priority="1" dxfId="8">
      <formula>B22&gt;0</formula>
    </cfRule>
  </conditionalFormatting>
  <conditionalFormatting sqref="C22:C42">
    <cfRule type="expression" priority="2" dxfId="9">
      <formula>C22&gt;0</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2026-06-19T13:11:11Z</dcterms:created>
  <dcterms:modified xmlns:dcterms="http://purl.org/dc/terms/" xmlns:xsi="http://www.w3.org/2001/XMLSchema-instance" xsi:type="dcterms:W3CDTF">2026-07-13T19:09:22Z</dcterms:modified>
</cp:coreProperties>
</file>