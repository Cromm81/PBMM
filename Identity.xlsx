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57.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53.xml" ContentType="application/vnd.openxmlformats-officedocument.spreadsheetml.worksheet+xml"/>
  <Override PartName="/xl/worksheets/sheet42.xml" ContentType="application/vnd.openxmlformats-officedocument.spreadsheetml.worksheet+xml"/>
  <Override PartName="/xl/worksheets/sheet54.xml" ContentType="application/vnd.openxmlformats-officedocument.spreadsheetml.worksheet+xml"/>
  <Override PartName="/xl/worksheets/sheet43.xml" ContentType="application/vnd.openxmlformats-officedocument.spreadsheetml.worksheet+xml"/>
  <Override PartName="/xl/worksheets/sheet55.xml" ContentType="application/vnd.openxmlformats-officedocument.spreadsheetml.worksheet+xml"/>
  <Override PartName="/xl/worksheets/sheet44.xml" ContentType="application/vnd.openxmlformats-officedocument.spreadsheetml.worksheet+xml"/>
  <Override PartName="/xl/worksheets/sheet56.xml" ContentType="application/vnd.openxmlformats-officedocument.spreadsheetml.worksheet+xml"/>
  <Override PartName="/xl/worksheets/sheet40.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2" sheetId="3" state="visible" r:id="rId5"/>
    <sheet name="AC-2-1" sheetId="4" state="visible" r:id="rId6"/>
    <sheet name="AC-2-2" sheetId="5" state="visible" r:id="rId7"/>
    <sheet name="AC-2-3" sheetId="6" state="visible" r:id="rId8"/>
    <sheet name="AC-2-4" sheetId="7" state="visible" r:id="rId9"/>
    <sheet name="AC-2-5" sheetId="8" state="visible" r:id="rId10"/>
    <sheet name="AC-2-7" sheetId="9" state="visible" r:id="rId11"/>
    <sheet name="AC-3" sheetId="10" state="visible" r:id="rId12"/>
    <sheet name="AC-6" sheetId="11" state="visible" r:id="rId13"/>
    <sheet name="AC-6-1" sheetId="12" state="visible" r:id="rId14"/>
    <sheet name="AC-6-9" sheetId="13" state="visible" r:id="rId15"/>
    <sheet name="AC-6-10" sheetId="14" state="visible" r:id="rId16"/>
    <sheet name="AC-7" sheetId="15" state="visible" r:id="rId17"/>
    <sheet name="AC-10" sheetId="16" state="visible" r:id="rId18"/>
    <sheet name="AC-11" sheetId="17" state="visible" r:id="rId19"/>
    <sheet name="AC-17-1" sheetId="18" state="visible" r:id="rId20"/>
    <sheet name="AC-17-9" sheetId="19" state="visible" r:id="rId21"/>
    <sheet name="AC-21" sheetId="20" state="visible" r:id="rId22"/>
    <sheet name="AU-2" sheetId="21" state="visible" r:id="rId23"/>
    <sheet name="AU-3" sheetId="22" state="visible" r:id="rId24"/>
    <sheet name="AU-3-1" sheetId="23" state="visible" r:id="rId25"/>
    <sheet name="AU-9" sheetId="24" state="visible" r:id="rId26"/>
    <sheet name="AU-9-2" sheetId="25" state="visible" r:id="rId27"/>
    <sheet name="AU-9-4" sheetId="26" state="visible" r:id="rId28"/>
    <sheet name="AU-12" sheetId="27" state="visible" r:id="rId29"/>
    <sheet name="CM-5-1" sheetId="28" state="visible" r:id="rId30"/>
    <sheet name="CM-5-5" sheetId="29" state="visible" r:id="rId31"/>
    <sheet name="CM-5-6" sheetId="30" state="visible" r:id="rId32"/>
    <sheet name="CM-6" sheetId="31" state="visible" r:id="rId33"/>
    <sheet name="CM-7" sheetId="32" state="visible" r:id="rId34"/>
    <sheet name="CM-7-1" sheetId="33" state="visible" r:id="rId35"/>
    <sheet name="CP-7" sheetId="34" state="visible" r:id="rId36"/>
    <sheet name="CP-7-4" sheetId="35" state="visible" r:id="rId37"/>
    <sheet name="CP-10" sheetId="36" state="visible" r:id="rId38"/>
    <sheet name="CP-10-4" sheetId="37" state="visible" r:id="rId39"/>
    <sheet name="IA-2" sheetId="38" state="visible" r:id="rId40"/>
    <sheet name="IA-2-1" sheetId="39" state="visible" r:id="rId41"/>
    <sheet name="IA-2-3" sheetId="40" state="visible" r:id="rId42"/>
    <sheet name="IA-2-6" sheetId="41" state="visible" r:id="rId43"/>
    <sheet name="IA-2-8" sheetId="42" state="visible" r:id="rId44"/>
    <sheet name="IA-2-11" sheetId="43" state="visible" r:id="rId45"/>
    <sheet name="IA-4" sheetId="44" state="visible" r:id="rId46"/>
    <sheet name="IA-5" sheetId="45" state="visible" r:id="rId47"/>
    <sheet name="IA-5-1" sheetId="46" state="visible" r:id="rId48"/>
    <sheet name="IA-5-2" sheetId="47" state="visible" r:id="rId49"/>
    <sheet name="IA-5-4" sheetId="48" state="visible" r:id="rId50"/>
    <sheet name="IA-5-6" sheetId="49" state="visible" r:id="rId51"/>
    <sheet name="IA-6" sheetId="50" state="visible" r:id="rId52"/>
    <sheet name="IA-7" sheetId="51" state="visible" r:id="rId53"/>
    <sheet name="IA-8" sheetId="52" state="visible" r:id="rId54"/>
    <sheet name="MA-4" sheetId="53" state="visible" r:id="rId55"/>
    <sheet name="SA-9-5" sheetId="54" state="visible" r:id="rId56"/>
    <sheet name="SC-13" sheetId="55" state="visible" r:id="rId57"/>
    <sheet name="SI-4-2" sheetId="56" state="visible" r:id="rId58"/>
    <sheet name="SI-6" sheetId="57" state="visible" r:id="rId5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<sst xmlns="http://schemas.openxmlformats.org/spreadsheetml/2006/main" count="3548" uniqueCount="589">
  <si>
    <t xml:space="preserve">DASHBOARD — PBMM Evidence: Identity</t>
  </si>
  <si>
    <t xml:space="preserve">Control ID</t>
  </si>
  <si>
    <t xml:space="preserve">Control Name</t>
  </si>
  <si>
    <t xml:space="preserve">Primary Tool</t>
  </si>
  <si>
    <t xml:space="preserve">Tab</t>
  </si>
  <si>
    <t xml:space="preserve">Status</t>
  </si>
  <si>
    <t xml:space="preserve">AC-2</t>
  </si>
  <si>
    <t xml:space="preserve">Account Management</t>
  </si>
  <si>
    <t xml:space="preserve">AC-2(1)</t>
  </si>
  <si>
    <t xml:space="preserve">AC-2-1</t>
  </si>
  <si>
    <t xml:space="preserve">AC-2(2)</t>
  </si>
  <si>
    <t xml:space="preserve">AC-2-2</t>
  </si>
  <si>
    <t xml:space="preserve">AC-2(3)</t>
  </si>
  <si>
    <t xml:space="preserve">AC-2-3</t>
  </si>
  <si>
    <t xml:space="preserve">AC-2(4)</t>
  </si>
  <si>
    <t xml:space="preserve">AC-2-4</t>
  </si>
  <si>
    <t xml:space="preserve">AC-2(5)</t>
  </si>
  <si>
    <t xml:space="preserve">AC-2-5</t>
  </si>
  <si>
    <t xml:space="preserve">AC-2(7)</t>
  </si>
  <si>
    <t xml:space="preserve">AC-2-7</t>
  </si>
  <si>
    <t xml:space="preserve">AC-3</t>
  </si>
  <si>
    <t xml:space="preserve">Access Enforcement</t>
  </si>
  <si>
    <t xml:space="preserve">AC-6</t>
  </si>
  <si>
    <t xml:space="preserve">Least Privilege</t>
  </si>
  <si>
    <t xml:space="preserve">AC-6(1)</t>
  </si>
  <si>
    <t xml:space="preserve">AC-6-1</t>
  </si>
  <si>
    <t xml:space="preserve">AC-6(9)</t>
  </si>
  <si>
    <t xml:space="preserve">AC-6-9</t>
  </si>
  <si>
    <t xml:space="preserve">AC-6(10)</t>
  </si>
  <si>
    <t xml:space="preserve">AC-6-10</t>
  </si>
  <si>
    <t xml:space="preserve">AC-7</t>
  </si>
  <si>
    <t xml:space="preserve">Unsuccessful Login Attempts</t>
  </si>
  <si>
    <t xml:space="preserve">AC-10</t>
  </si>
  <si>
    <t xml:space="preserve">Concurrent Session Control</t>
  </si>
  <si>
    <t xml:space="preserve">AC-11</t>
  </si>
  <si>
    <t xml:space="preserve">Session Lock</t>
  </si>
  <si>
    <t xml:space="preserve">AC-17(1)</t>
  </si>
  <si>
    <t xml:space="preserve">Remote Access</t>
  </si>
  <si>
    <t xml:space="preserve">AC-17-1</t>
  </si>
  <si>
    <t xml:space="preserve">AC-17(9)</t>
  </si>
  <si>
    <t xml:space="preserve">AC-17-9</t>
  </si>
  <si>
    <t xml:space="preserve">AC-21</t>
  </si>
  <si>
    <t xml:space="preserve">User-Based Collaboration and Information Sharing</t>
  </si>
  <si>
    <t xml:space="preserve">AU-2</t>
  </si>
  <si>
    <t xml:space="preserve">Auditable Events</t>
  </si>
  <si>
    <t xml:space="preserve">AU-3</t>
  </si>
  <si>
    <t xml:space="preserve">Content of Audit Records</t>
  </si>
  <si>
    <t xml:space="preserve">AU-3(1)</t>
  </si>
  <si>
    <t xml:space="preserve">AU-3-1</t>
  </si>
  <si>
    <t xml:space="preserve">AU-9</t>
  </si>
  <si>
    <t xml:space="preserve">Protection of Audit Information</t>
  </si>
  <si>
    <t xml:space="preserve">AU-9(2)</t>
  </si>
  <si>
    <t xml:space="preserve">AU-9-2</t>
  </si>
  <si>
    <t xml:space="preserve">AU-9(4)</t>
  </si>
  <si>
    <t xml:space="preserve">AU-9-4</t>
  </si>
  <si>
    <t xml:space="preserve">AU-12</t>
  </si>
  <si>
    <t xml:space="preserve">Audit Generation</t>
  </si>
  <si>
    <t xml:space="preserve">CM-5(1)</t>
  </si>
  <si>
    <t xml:space="preserve">Access Restrictions for Change</t>
  </si>
  <si>
    <t xml:space="preserve">CM-5-1</t>
  </si>
  <si>
    <t xml:space="preserve">CM-5(5)</t>
  </si>
  <si>
    <t xml:space="preserve">CM-5-5</t>
  </si>
  <si>
    <t xml:space="preserve">CM-5(6)</t>
  </si>
  <si>
    <t xml:space="preserve">CM-5-6</t>
  </si>
  <si>
    <t xml:space="preserve">CM-6</t>
  </si>
  <si>
    <t xml:space="preserve">Configuration Settings</t>
  </si>
  <si>
    <t xml:space="preserve">CM-7</t>
  </si>
  <si>
    <t xml:space="preserve">Least Functionality</t>
  </si>
  <si>
    <t xml:space="preserve">CM-7(1)</t>
  </si>
  <si>
    <t xml:space="preserve">CM-7-1</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</si>
  <si>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</si>
  <si>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</si>
  <si>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</si>
  <si>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</si>
  <si>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</si>
  <si>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</si>
  <si>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</si>
  <si>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</si>
  <si>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IA-2</t>
  </si>
  <si>
    <t xml:space="preserve">Identification and Authentication (Organizational Users)</t>
  </si>
  <si>
    <t xml:space="preserve">IA-2(1)</t>
  </si>
  <si>
    <t xml:space="preserve">IA-2-1</t>
  </si>
  <si>
    <t xml:space="preserve">IA-2(3)</t>
  </si>
  <si>
    <t xml:space="preserve">IA-2-3</t>
  </si>
  <si>
    <t xml:space="preserve">IA-2(6)</t>
  </si>
  <si>
    <t xml:space="preserve">IA-2-6</t>
  </si>
  <si>
    <t xml:space="preserve">IA-2(8)</t>
  </si>
  <si>
    <t xml:space="preserve">IA-2-8</t>
  </si>
  <si>
    <t xml:space="preserve">IA-2(11)</t>
  </si>
  <si>
    <t xml:space="preserve">IA-2-11</t>
  </si>
  <si>
    <t xml:space="preserve">IA-4</t>
  </si>
  <si>
    <t xml:space="preserve">Identifier Management</t>
  </si>
  <si>
    <t xml:space="preserve">IA-5</t>
  </si>
  <si>
    <t xml:space="preserve">Authenticator Management</t>
  </si>
  <si>
    <t xml:space="preserve">IA-5(1)</t>
  </si>
  <si>
    <t xml:space="preserve">IA-5-1</t>
  </si>
  <si>
    <t xml:space="preserve">IA-5(2)</t>
  </si>
  <si>
    <t xml:space="preserve">IA-5-2</t>
  </si>
  <si>
    <t xml:space="preserve">IA-5(4)</t>
  </si>
  <si>
    <t xml:space="preserve">IA-5-4</t>
  </si>
  <si>
    <t xml:space="preserve">IA-5(6)</t>
  </si>
  <si>
    <t xml:space="preserve">IA-5-6</t>
  </si>
  <si>
    <t xml:space="preserve">IA-6</t>
  </si>
  <si>
    <t xml:space="preserve">Authenticator Feedback</t>
  </si>
  <si>
    <t xml:space="preserve">IA-7</t>
  </si>
  <si>
    <t xml:space="preserve">Cryptographic Module Authentication</t>
  </si>
  <si>
    <t xml:space="preserve">IA-8</t>
  </si>
  <si>
    <t xml:space="preserve">Identification and Authentication (Non-Organizational Users)</t>
  </si>
  <si>
    <t xml:space="preserve">MA-4</t>
  </si>
  <si>
    <t xml:space="preserve">Non-Local Maintenance</t>
  </si>
  <si>
    <t xml:space="preserve">SA-9(5)</t>
  </si>
  <si>
    <t xml:space="preserve">External Information System Services</t>
  </si>
  <si>
    <t xml:space="preserve">SA-9-5</t>
  </si>
  <si>
    <t xml:space="preserve">SC-13</t>
  </si>
  <si>
    <t xml:space="preserve">Cryptographic Protection</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</si>
  <si>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</si>
  <si>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</si>
  <si>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</si>
  <si>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</si>
  <si>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</si>
  <si>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</si>
  <si>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</si>
  <si>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</si>
  <si>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</si>
  <si>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</si>
  <si>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</si>
  <si>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</si>
  <si>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</si>
  <si>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</si>
  <si>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</si>
  <si>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</si>
  <si>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Identity</t>
  </si>
  <si>
    <t xml:space="preserve">ID Contrôle</t>
  </si>
  <si>
    <t xml:space="preserve">Nom du contrôle</t>
  </si>
  <si>
    <t xml:space="preserve">Outil principal</t>
  </si>
  <si>
    <t xml:space="preserve">Onglet</t>
  </si>
  <si>
    <t xml:space="preserve">Statut</t>
  </si>
  <si>
    <t xml:space="preserve">Gestion des comptes</t>
  </si>
  <si>
    <t xml:space="preserve">Application des contrôles d’accès</t>
  </si>
  <si>
    <t xml:space="preserve">Moindre privilège</t>
  </si>
  <si>
    <t xml:space="preserve">Tentatives infructueuses d’ouverture de session</t>
  </si>
  <si>
    <t xml:space="preserve">Contrôle des sessions simultanées</t>
  </si>
  <si>
    <t xml:space="preserve">Verrouillage de session</t>
  </si>
  <si>
    <t xml:space="preserve">Accès à distance</t>
  </si>
  <si>
    <t xml:space="preserve">Collaboration et partage d’information entre utilisateurs</t>
  </si>
  <si>
    <t xml:space="preserve">Événements vérifiables</t>
  </si>
  <si>
    <t xml:space="preserve">Contenu des enregistrements de vérification</t>
  </si>
  <si>
    <t xml:space="preserve">Protection des renseignements de vérification</t>
  </si>
  <si>
    <t xml:space="preserve">Génération des vérifications</t>
  </si>
  <si>
    <t xml:space="preserve">Restrictions d’accès pour les changements</t>
  </si>
  <si>
    <t xml:space="preserve">Paramètres de configuration</t>
  </si>
  <si>
    <t xml:space="preserve">Moindre fonctionnalité</t>
  </si>
  <si>
    <t xml:space="preserve">Site de traitement auxiliaire</t>
  </si>
  <si>
    <t xml:space="preserve">Reprise et reconstitution du système d’information</t>
  </si>
  <si>
    <t xml:space="preserve">Identification et authentification (utilisateurs au sein de l’organisation)</t>
  </si>
  <si>
    <t xml:space="preserve">Gestion des identifiants</t>
  </si>
  <si>
    <t xml:space="preserve">Gestion des authentifiants</t>
  </si>
  <si>
    <t xml:space="preserve">Rétroaction de l’authentifiant</t>
  </si>
  <si>
    <t xml:space="preserve">Authentification par module cryptographique</t>
  </si>
  <si>
    <t xml:space="preserve">Identification et authentification (utilisateurs extérieurs à l’organisation)</t>
  </si>
  <si>
    <t xml:space="preserve">Maintenance non locale</t>
  </si>
  <si>
    <t xml:space="preserve">Services de systèmes d’information externes</t>
  </si>
  <si>
    <t xml:space="preserve">Protection cryptographique</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</si>
  <si>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</si>
  <si>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</si>
  <si>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</si>
  <si>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</si>
  <si>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</si>
  <si>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</si>
  <si>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</si>
  <si>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</si>
  <si>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</si>
  <si>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</si>
  <si>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</si>
  <si>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</si>
  <si>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</si>
  <si>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AC-2 — Evidence Tracking</t>
  </si>
  <si>
    <t xml:space="preserve">Contrôle AC-2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</si>
  <si>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</si>
  <si>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</si>
  <si>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</si>
  <si>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</si>
  <si>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</si>
  <si>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</si>
  <si>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</si>
  <si>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</si>
  <si>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</si>
  <si>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</si>
  <si>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</si>
  <si>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</si>
  <si>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</si>
  <si>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</si>
  <si>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</si>
  <si>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identifies and selects which types of information system accounts support organizational missions/business functions.
(B) The organization assigns account managers for information system accounts.
(C) The organization establishes conditions for group and role membership.
(D) The organization specifies authorized users of the information system, group and role membership, and access authorizations (i.e., privileges) and other attributes (as required) for each account.
(E) The organization requires approvals by responsible managers for requests to create information system accounts.
(F) The organization creates, enables, modifies, disables, and removes information system accounts in accordance with information system account management procedures.
(G) The organization monitors the use of information system accounts.
(H) The organization notifies account managers:
(a) When accounts are no longer required;
(b) When users are terminated or transferred; and
(c) When individual information system usage or need-to-know changes.
(I) The organization authorizes access to the information system based on:
(a) A valid access authorization;
(b) Intended system usage; and
(c) Other attributes as required by the organization or associated missions/business functions.
(J) The organization reviews accounts for compliance with account management requirements at least annually.
(K) The organization establishes a process for reissuing shared/group account credentials (if deployed) when individuals are removed from the group.</t>
  </si>
  <si>
    <t xml:space="preserve">Description du contrôle</t>
  </si>
  <si>
    <t xml:space="preserve">(A) L’organisation détermine et sélectionne les types de comptes du système d’information qui soutiennent les fonctions opérationnelles et de mission de l’organisation.
(B) L’organisation affecte des gestionnaires de comptes aux comptes du système d’information.
(C) L’organisation établit les conditions d’adhésion aux groupes et aux rôles.
(D) L’organisation précise les utilisateurs autorisés du système d’information, l’adhésion aux groupes et aux rôles, et les autorisations d’accès (c.-à-d., les privilèges) et autres attributs (au besoin) pour chaque compte.
(E) L’organisation requiert l’approbation des gestionnaires responsables des demandes de création de comptes de système d’information.
(F) L’organisation crée, active, modifie, désactive et supprime les comptes du système d’information conformément aux procédures de gestion des comptes du système d’information.
(G) L’organisation surveille l’utilisation des comptes du système d’information.
(H) L’organisation avise les gestionnaires de comptes :
(a) lorsque des comptes ne sont plus requis;
(b) lorsque des utilisateurs sont congédiés ou transférés;
(c) lorsque l’utilisation individuelle du système d’information ou le besoin de savoir change.
(I) L’organisation autorise l’accès au système d’information en se basant sur :
(a) une autorisation d’accès valide;
(b) l’utilisation prévue du système;
(c) d’autres attributs requis par l’organisation ou les fonctions opérationnelles ou de mission connexes.
(J) L’organisation revoit la conformité aux exigences de gestion des comptes au moins une fois par année.
(K) L’organisation établit un processus de réémission des justificatifs d’identité de compte partagé/de groupe (si déployés) lorsque des personnes sont retirées du groupe.</t>
  </si>
  <si>
    <t xml:space="preserve">Supplemental Guidance</t>
  </si>
  <si>
    <t xml:space="preserve">Information system account types include, for example, individual, shared, group, system, guest/anonymous, emergency, developer/manufacturer/vendor, temporary, and service. Some of the account management requirements listed above can be implemented by organizational information systems. The identification of authorized users of the information system and the specification of access privileges reflects the requirements in other security controls in the security plan. Users requiring administrative privileges on information system accounts receive additional scrutiny by appropriate organizational personnel (e.g., system owner, mission/business owner, or information technology security co-ordinator) responsible for approving such accounts and privileged access. Organizations may choose to define access privileges or other attributes by account, by type of account, or a combination of both. Other attributes required for authorizing access include, for example, restrictions on time-of-day, day-of-week, and point-of-origin. In defining other account attributes, organizations consider system-related requirements (e.g., scheduled maintenance, system upgrades) and mission/business requirements, (e.g., time zone differences, customer requirements, remote access to support travel requirements). Failure to consider these factors could affect information system availability. Temporary and emergency accounts are accounts intended for short-term use. Organizations establish temporary accounts as a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(e.g., local accounts used for special tasks defined by organizations or when network resources are unavailable). Such accounts remain available and are not subject to automatic disabling or removal dates. Conditions for disabling or deactivating accounts include, for example: (i) when shared/group, emergency, or temporary accounts are no longer required; or (ii) when individuals are transferred or terminated. Some types of information system accounts may require specialized training. Related controls: AC-3, AC-4, AC-5, AC-6, AC-10, AC-17, AC-19, AC-20, AU-9, IA-2, IA-4, IA-5, IA-8, CM-5, CM-6, CM-11, MA-3, MA-4, MA-5, PL-4, SC-13</t>
  </si>
  <si>
    <t xml:space="preserve">Directives supplémentaires</t>
  </si>
  <si>
    <t xml:space="preserve">Les types de comptes du système d’information comprennent, par exemple, les comptes individuels, partagés, de groupe, de système, d’invité/anonymes, d’urgence, de développeur/fabricant/fournisseur, temporaires et de service. Certaines des exigences de gestion des comptes énumérées ci-dessus peuvent être mises en œuvre par les systèmes d’information de l’organisation. L’identification des utilisateurs autorisés du système d’information et la spécification des privilèges d’accès reflètent les exigences dans les autres contrôles de sécurité du plan de sécurité. Les utilisateurs qui ont besoin de privilèges administratifs sur les comptes du système d’information font l’objet d’un examen plus approfondi par le personnel approprié de l’organisation (p. ex., propriétaire du système, responsable opérationnel/de mission, ou coordonnateur de la sécurité des technologies de l’information) responsable de l’approbation de ces comptes et de l’accès privilégié. Les organisations peuvent choisir de définir les privilèges d’accès ou d’autres attributs par compte, par type de compte, ou par une combinaison des deux. Les autres attributs requis pour autoriser l’accès comprennent, par exemple, les restrictions sur l’heure du jour, le jour de la semaine et le point d’origine. En définissant d’autres attributs de compte, les organisations tiennent compte des exigences liées au système (p. ex., maintenance programmée, mise à niveau du système) et des exigences opérationnelles/de mission (p. ex., différences de fuseau horaire, exigences des clients, accès à distance pour répondre aux besoins en matière de déplacements). Le défaut de tenir compte de ces facteurs pourrait avoir une incidence sur la disponibilité du système d’information. Les comptes temporaires et d’urgence sont des comptes destinés à une utilisation à court terme. Les organisations établissent des comptes temporaires dans le cadre des procédures normales d’activation des comptes lorsqu’elles ont besoin de comptes à court terme sans requérir l’activation immédiate de ces comptes. Les organisations établissent des comptes d’urgence en réponse à des situations de crise et lorsqu’elles doivent activer rapidement les comptes. Par conséquent, l’activation d’un compte d’urgence peut contourner les processus normaux d’autorisation de compte. Il ne faut pas confondre les comptes d’urgence et les comptes temporaires avec les comptes peu utilisés (p. ex., comptes locaux utilisés pour des tâches spéciales définies par les organisations ou lorsque les ressources du réseau ne sont pas disponibles). Ces comptes demeurent disponibles et ne sont pas assujettis à des dates de désactivation ou de retrait automatiques. Les conditions de désactivation des comptes comprennent, par exemple : (i) lorsque les comptes partagés/de groupe, d’urgence ou temporaires ne sont plus requis; ou (ii) lorsque des personnes sont transférées ou licenciées. Certains types de comptes de système d’information peuvent nécessiter une formation spécialisée. Contrôles connexes : AC-3, AC-4, AC-5, AC-6, AC-10, AC-17, AC-19, AC-20, AU-9, IA-2, IA-4, IA-5, IA-8, CM-5, CM-6, CM-11, MA-3, MA-4, MA-5, PL-4, SC-13</t>
  </si>
  <si>
    <t xml:space="preserve">Test Case</t>
  </si>
  <si>
    <t xml:space="preserve">Cas de test</t>
  </si>
  <si>
    <t xml:space="preserve">Test</t>
  </si>
  <si>
    <t xml:space="preserve">TEST-AC-2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</si>
  <si>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</si>
  <si>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</si>
  <si>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</si>
  <si>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</si>
  <si>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</si>
  <si>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</si>
  <si>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</si>
  <si>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</si>
  <si>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</si>
  <si>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</si>
  <si>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</si>
  <si>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</si>
  <si>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</si>
  <si>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</si>
  <si>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</si>
  <si>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</si>
  <si>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</si>
  <si>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AC-2(1) — Evidence Tracking</t>
  </si>
  <si>
    <t xml:space="preserve">Contrôle AC-2(1) — Suivi des preuves</t>
  </si>
  <si>
    <t xml:space="preserve">ACCOUNT MANAGEMENT | AUTOMATED SYSTEM ACCOUNT MANAGEMENT
The organization employs automated mechanisms to support the management of information system accounts.</t>
  </si>
  <si>
    <t xml:space="preserve">GESTION DES COMPTES | GESTION AUTOMATISÉE DES COMPTES DU SYSTÈME
L’organisation utilise des mécanismes automatisés pour prendre en charge la gestion des comptes du système d’information.</t>
  </si>
  <si>
    <t xml:space="preserve">The use of automated mechanisms can include, for example: using email or text messaging to automatically notify account managers when users are terminated or transferred; using the information system to monitor account usage; and using telephonic notification to report atypical system account usage.</t>
  </si>
  <si>
    <t xml:space="preserve">L’utilisation de mécanismes automatisés peut comprendre, par exemple, l’utilisation de courriels ou de messages texte pour aviser automatiquement les gestionnaires de comptes lorsque des utilisateurs sont licenciés ou transférés; l’utilisation du système d’information pour surveiller les statistiques d’utilisation des comptes; et l’utilisation d’une notification téléphonique pour signaler l’utilisation atypique des comptes du système.</t>
  </si>
  <si>
    <t xml:space="preserve">TEST-AC-2(1)</t>
  </si>
  <si>
    <t xml:space="preserve">Control AC-2(2) — Evidence Tracking</t>
  </si>
  <si>
    <t xml:space="preserve">Contrôle AC-2(2) — Suivi des preuves</t>
  </si>
  <si>
    <t xml:space="preserve">ACCOUNT MANAGEMENT | REMOVAL OF TEMPORARY / EMERGENCY ACCOUNTS
The information system automatically disables temporary and emergency accounts after no more than 30 days for both temporary and emergency accounts.</t>
  </si>
  <si>
    <t xml:space="preserve">GESTION DES COMPTES | RETRAIT DES COMPTES TEMPORAIRES/D’URGENCE
Le système d’information désactive automatiquement les comptes temporaires et d’urgence après un maximum de 30 jours, pour les comptes temporaires comme pour les comptes d’urgence.</t>
  </si>
  <si>
    <t xml:space="preserve">This control enhancement requires the removal of both temporary and emergency accounts automatically after a predefined period of time has elapsed, rather than at the convenience of the systems administrator.</t>
  </si>
  <si>
    <t xml:space="preserve">Cette amélioration du contrôle exige le retrait automatique des comptes temporaires et d’urgence au terme d’une période prédéfinie, plutôt qu’à la convenance de l’administrateur des systèmes.</t>
  </si>
  <si>
    <t xml:space="preserve">TEST-AC-2(2)</t>
  </si>
  <si>
    <t xml:space="preserve">Control AC-2(3) — Evidence Tracking</t>
  </si>
  <si>
    <t xml:space="preserve">Contrôle AC-2(3) — Suivi des preuves</t>
  </si>
  <si>
    <t xml:space="preserve">ACCOUNT MANAGEMENT | DISABLE INACTIVE ACCOUNTS
The information system automatically disables inactive accounts after 90 days.</t>
  </si>
  <si>
    <t xml:space="preserve">GESTION DES COMPTES | DÉSACTIVATION DES COMPTES INACTIFS
Le système d’information désactive automatiquement les comptes après 90 jours d’inactivité.</t>
  </si>
  <si>
    <t xml:space="preserve">TEST-AC-2(3)</t>
  </si>
  <si>
    <t xml:space="preserve">Control AC-2(4) — Evidence Tracking</t>
  </si>
  <si>
    <t xml:space="preserve">Contrôle AC-2(4) — Suivi des preuves</t>
  </si>
  <si>
    <t xml:space="preserve">ACCOUNT MANAGEMENT | AUTOMATED AUDIT ACTIONS
The information system automatically audits account creation, modification, enabling, disabling, and removal actions, and notifies responsible managers. Related controls: AU-2, AU-12.</t>
  </si>
  <si>
    <t xml:space="preserve">GESTION DES COMPTES | MESURES DE VÉRIFICATION AUTOMATISÉES
Le système d’information vérifie automatiquement les opérations de création, de modification, d’activation, de désactivation et de retrait des comptes, et avise les gestionnaires responsables. Contrôles connexes : AU-2, AU-12.</t>
  </si>
  <si>
    <t xml:space="preserve">TEST-AC-2(4)</t>
  </si>
  <si>
    <t xml:space="preserve">Control AC-2(5) — Evidence Tracking</t>
  </si>
  <si>
    <t xml:space="preserve">Contrôle AC-2(5) — Suivi des preuves</t>
  </si>
  <si>
    <t xml:space="preserve">ACCOUNT MANAGEMENT | INACTIVITY LOGOUT
The organization requires that users log out at the end of the users’ standard work period unless otherwise defined in formal organizational policy. Related controls: SC-23</t>
  </si>
  <si>
    <t xml:space="preserve">GESTION DES COMPTES | FERMETURE DE SESSION INACTIVE
L’organisation exige que les utilisateurs ferment leur session à la fin de leur période de travail normale, à moins d’indication contraire dans la politique officielle de l’organisation. Contrôles connexes : SC-23</t>
  </si>
  <si>
    <t xml:space="preserve">TEST-AC-2(5)</t>
  </si>
  <si>
    <t xml:space="preserve">Control AC-2(7) — Evidence Tracking</t>
  </si>
  <si>
    <t xml:space="preserve">Contrôle AC-2(7) — Suivi des preuves</t>
  </si>
  <si>
    <t xml:space="preserve">ACCOUNT MANAGEMENT | ROLE-BASED SCHEMES
(a)
The organization establishes and administers privileged user accounts in accordance with a role-based access scheme that organizes allowed information system access and privileges into roles;
(b)
The organization monitors privileged role assignments; and
(c) The organization disables (or revokes) privileged user assignments within 24 hours or sooner when privileged role assignments are no longer appropriate.</t>
  </si>
  <si>
    <t xml:space="preserve">GESTION DES COMPTES | SCHÉMAS FONDÉS SUR LES RÔLES
(a) L’organisation établit et administre les comptes d’utilisateurs privilégiés conformément à un système d’accès basé sur les rôles qui organise les autorisations d’accès au système d’information et les privilèges en fonction des rôles;
(b) L’organisation surveille les affectations de rôles privilégiés;
(c) L’organisation désactive (ou révoque) les affectations d’utilisateurs privilégiés dans les 24 heures ou plus lorsque les affectations de rôles privilégiés ne sont plus appropriées.</t>
  </si>
  <si>
    <t xml:space="preserve">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</si>
  <si>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 xml:space="preserve">Les rôles privilégiés sont des rôles définis par l’organisation et attribués à des personnes pour leur permettre d’exécuter certaines fonctions ayant une influence sur la sécurité que les utilisateurs ordinaires ne sont pas autorisés à exécuter. Ces rôles privilégiés comprennent, par exemple, la gestion des clés, la gestion des comptes, l’administration des réseaux et des systèmes, l’administration des bases de données et l’administration Web.</t>
  </si>
  <si>
    <t xml:space="preserve">TEST-AC-2(7)</t>
  </si>
  <si>
    <t xml:space="preserve">Control AC-3 — Evidence Tracking</t>
  </si>
  <si>
    <t xml:space="preserve">Contrôle AC-3 — Suivi des preuves</t>
  </si>
  <si>
    <t xml:space="preserve">(A)
The information system enforces approved authorizations for logical access to information and system resources in accordance with applicable access control policies.</t>
  </si>
  <si>
    <t xml:space="preserve">(A) Le système d’information applique les autorisations approuvées pour l’accès logique à l’information et aux ressources du système conformément aux politiques de contrôle d’accès applicables.</t>
  </si>
  <si>
    <t xml:space="preserve">Access control policies (e.g., identity-based policies, role-based policies, attribute-based policies) and access enforcement mechanisms (e.g.: access control lists, access control matrices, cryptography) control access between active entities or subjects (i.e., users or processes acting on behalf of users) and passive entities or objects (e.g., devices, files, records, domains)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Related controls: AC-2, AC-4, AC-5, AC-6, AC-16, AC-17, AC-18, AC-19, AC-20, AC-21, AC-22, AU-9, CM-5, CM-6, CM-11, MA-3, MA-4, MA-5, PE-3</t>
  </si>
  <si>
    <t xml:space="preserve">Les politiques de contrôle d’accès (p. ex., politiques fondées sur l’identité, politiques fondées sur les rôles, politiques fondées sur les attributs) et les mécanismes d’application des contrôles d’accès (p. ex., listes de contrôle d’accès, matrices de contrôle d’accès, cryptographie) contrôlent l’accès entre les entités ou les sujets actifs (c.-à-d. les utilisateurs ou les processus agissant pour le compte des utilisateurs) et les entités ou objets passifs (p. ex., dispositifs, fichiers, enregistrements, domaines) dans les systèmes d’information. En plus d’appliquer l’accès autorisé au niveau du système d’information et de reconnaître que les systèmes d’information peuvent héberger de nombreuses applications et services appuyant les missions et les activités opérationnelles de l’organisation, les mécanismes d’application des contrôles d’accès peuvent également être utilisés au niveau des applications et des services pour accroître la sécurité de l’information. Contrôles connexes : AC-2, AC-4, AC-5, AC-6, AC-16, AC-17, AC-18, AC-19, AC-20, AC-21, AC-22, AU-9, CM-5, CM-6, CM-11, MA-3, MA-4, MA-5, PE-3</t>
  </si>
  <si>
    <t xml:space="preserve">TEST-AC-3</t>
  </si>
  <si>
    <t xml:space="preserve">Control AC-6 — Evidence Tracking</t>
  </si>
  <si>
    <t xml:space="preserve">Contrôle AC-6 — Suivi des preuves</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</si>
  <si>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</si>
  <si>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</si>
  <si>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</si>
  <si>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</si>
  <si>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TEST-AC-6</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</si>
  <si>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</si>
  <si>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</si>
  <si>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</si>
  <si>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</si>
  <si>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</si>
  <si>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</si>
  <si>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</si>
  <si>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AC-6(9) — Evidence Tracking</t>
  </si>
  <si>
    <t xml:space="preserve">Contrôle AC-6(9) — Suivi des preuves</t>
  </si>
  <si>
    <t xml:space="preserve">LEAST PRIVILEGE | AUDITING USE OF PRIVILEGED FUNCTIONS
The information system audits the execution of privileged functions.</t>
  </si>
  <si>
    <t xml:space="preserve">MOINDRE PRIVILÈGE | VÉRIFICATION DE L’UTILISATION DES FONCTIONS PRIVILÉGIÉES
Le système d’information vérifie l’exécution des fonctions privilégiées.</t>
  </si>
  <si>
    <t xml:space="preserve">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</si>
  <si>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 xml:space="preserve">L’utilisation abusive des fonctions privilégiées, intentionnellement ou non, par des utilisateurs autorisés ou par des entités externes non autorisées qui ont compromis des comptes de système d’information, est une préoccupation grave et constante qui peut avoir des répercussions négatives importantes sur les organisations. La vérification de l’utilisation des fonctions privilégiées est une façon de détecter un tel abus et, ce faisant, de contribuer à atténuer le risque de menaces internes et de menaces persistantes avancées (MPA). Contrôle connexe : AU-2.</t>
  </si>
  <si>
    <t xml:space="preserve">TEST-AC-6(9)</t>
  </si>
  <si>
    <t xml:space="preserve">Control AC-6(10) — Evidence Tracking</t>
  </si>
  <si>
    <t xml:space="preserve">Contrôle AC-6(10) — Suivi des preuves</t>
  </si>
  <si>
    <t xml:space="preserve">LEAST PRIVILEGE | PROHIBIT NON-PRIVILEGED USERS FROM EXECUTING PRIVILEGED FUNCTIONS
The information system prevents non-privileged users from executing privileged functions to include disabling, circumventing, or altering implemented security safeguards/countermeasures.</t>
  </si>
  <si>
    <t xml:space="preserve">MOINDRE PRIVILÈGE | INTERDICTION AUX UTILISATEURS NON PRIVILÉGIÉS D’EXÉCUTER DES FONCTIONS PRIVILÉGIÉES
Le système d’information empêche les utilisateurs non privilégiés d’exécuter des fonctions privilégiées, y compris la désactivation, le contournement ou la modification des mécanismes/contre-mesures de sécurité en place.</t>
  </si>
  <si>
    <t xml:space="preserve">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</si>
  <si>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 xml:space="preserve">Les fonctions privilégiées comprennent, par exemple, l’établissement des comptes du système d’information, l’exécution des vérifications de l’intégrité du système ou l’administration des activités de gestion de clés cryptographiques. Les utilisateurs non privilégiés sont des personnes qui ne possèdent pas les autorisations appropriées. Les contournements de mécanismes de détection et de prévention des intrusions ou de mécanismes de protection contre le code malveillant sont des exemples de fonctions privilégiées qui nécessitent une protection contre les utilisateurs non privilégiés.</t>
  </si>
  <si>
    <t xml:space="preserve">TEST-AC-6(10)</t>
  </si>
  <si>
    <t xml:space="preserve">Control AC-7 — Evidence Tracking</t>
  </si>
  <si>
    <t xml:space="preserve">Contrôle AC-7 — Suivi des preuves</t>
  </si>
  <si>
    <t xml:space="preserve">(A) The information system enforces a limit of not more than three consecutive invalid logon attempts by a user during a 15-minute time period.
(B) The information system automatically locks the account/node for a minimum of three (3) hours or until unlocked by an administrator.</t>
  </si>
  <si>
    <t xml:space="preserve">(A) Le système d’information impose une limite de trois tentatives invalides consécutives d’ouverture de session par un utilisateur pendant une période de 15 minutes.
(B) Le système d’information verrouille automatiquement le compte ou le nœud pendant au moins trois (3) heures ou jusqu’à ce qu’un administrateur le déverrouille.</t>
  </si>
  <si>
    <t xml:space="preserve">Due to the potential for denial of service, automatic lockouts initiated by the information system are usually temporary and automatically release after a predetermined time period established by the organization. If a delay algorithm is selected, the organization may choose to employ different algorithms for different information system components based on the capabilities of those components. Response to unsuccessful login attempts may be implemented at both the operating system and the application levels. This control applies to all accesses other than those accesses explicitly identified and documented by the organization in AC-14.
This security control/enhancement requires careful balance between usability and security. Care needs to be taken to ensure that the appropriate balance between the two seemingly conflicting requirements is achieved.
If possible, an increasing time-out period should be used to deter determined attackers. For example, an original time-out of 5 minutes can become 10 minutes after the next 3 unsuccessful attempts, then 20 minutes, then 40 minutes, etc.</t>
  </si>
  <si>
    <t xml:space="preserve">En raison de la possibilité de refus de service, les verrouillages automatiques déclenchés par le système d’information sont habituellement temporaires et automatiquement annulés après une période prédéterminée établie par l’organisation. Si un algorithme d’attente est sélectionné, l’organisation peut choisir d’utiliser différents algorithmes pour différents composants du système d’information en fonction des capacités de ces composants. La réponse aux tentatives d’ouverture de session infructueuses peut être mise en œuvre à la fois au niveau du système d’exploitation et de l’application. Ce contrôle s’applique à tous les accès autres que ceux explicitement identifiés et documentés par l’organisation dans AC-14.
Ce contrôle ou cette amélioration de sécurité exige un équilibre prudent entre la facilité d’utilisation et la sécurité. Il faut veiller à assurer l’équilibre approprié entre ces deux exigences apparemment contradictoires.
Dans la mesure du possible, une période de temporisation plus longue devrait être utilisée pour dissuader les attaquants déterminés. Par exemple, une temporisation initiale de 5 minutes peut devenir 10 minutes après les 3 tentatives infructueuses suivantes, puis 20 minutes, puis 40 minutes, etc.</t>
  </si>
  <si>
    <t xml:space="preserve">TEST-AC-7</t>
  </si>
  <si>
    <t xml:space="preserve">Control AC-10 — Evidence Tracking</t>
  </si>
  <si>
    <t xml:space="preserve">Contrôle AC-10 — Suivi des preuves</t>
  </si>
  <si>
    <t xml:space="preserve">(A)
The information system limits the number of concurrent sessions for all accounts unless justified for operation requirements to 3 sessions for privileged access and 2 sessions for non-privileged access.</t>
  </si>
  <si>
    <t xml:space="preserve">(A) Le système d’information limite le nombre de sessions simultanées pour tous les comptes, à moins qu’elles ne soient justifiées par les exigences opérationnelles, à trois sessions pour l’accès privilégié et à deux sessions pour l’accès non privilégié.</t>
  </si>
  <si>
    <t xml:space="preserve">Organizations may define the maximum number of concurrent sessions for information system accounts globally, by account type (e.g., privileged user, non-privileged user, domain, specific application), by account, or a combination. For example, organizations may limit the number of concurrent sessions for system administrators or individuals working in particularly sensitive domains or mission-critical applications. This control addresses concurrent sessions for information system accounts and does not address concurrent sessions by single users via multiple system accounts</t>
  </si>
  <si>
    <t xml:space="preserve">Les organisations peuvent définir globalement le nombre maximal de sessions simultanées pour les comptes du système d’information, par type de compte (p. ex., utilisateur privilégié, utilisateur non privilégié, domaine, application particulière), par compte ou par une combinaison de ces deux critères. Par exemple, les organisations peuvent limiter le nombre de sessions simultanées pour les administrateurs de système ou les personnes qui travaillent dans des domaines particulièrement sensibles ou des applications essentielles à la mission. Ce contrôle porte sur les sessions simultanées pour des comptes du système d’information et ne traite pas des sessions simultanées par des utilisateurs uniques utilisant plusieurs comptes du système.</t>
  </si>
  <si>
    <t xml:space="preserve">TEST-AC-10</t>
  </si>
  <si>
    <t xml:space="preserve">Control AC-11 — Evidence Tracking</t>
  </si>
  <si>
    <t xml:space="preserve">Contrôle AC-11 — Suivi des preuves</t>
  </si>
  <si>
    <t xml:space="preserve">(A)
The information system prevents further access to the system by initiating a session lock after 15 minutes of inactivity or upon receiving a request from a user.
(B)
The information system retains the session lock until the user re-establishes access using established identification and authentication procedures.</t>
  </si>
  <si>
    <t xml:space="preserve">(A) Le système d’information empêche tout accès supplémentaire au système en amorçant un verrouillage de session après 15 minutes d’inactivité ou après en avoir reçu la demande de la part d’un utilisateur.
(B) Le système d’information maintient le verrouillage de session jusqu’à ce que l’utilisateur rétablisse l’accès en utilisant les procédures d’identification et d’authentification établies.</t>
  </si>
  <si>
    <t xml:space="preserve">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 Related control: AC-7</t>
  </si>
  <si>
    <t xml:space="preserve">Les verrouillages de session sont des mesures temporaires prises lorsque les utilisateurs arrêtent de travailler et s’éloignent du voisinage immédiat des systèmes d’information, mais ne veulent pas fermer leur session en raison de la nature temporaire de leur absence. Les verrouillages de session sont mis en œuvre là où les activités de session peuvent être déterminées. C’est habituellement au niveau du système d’exploitation, mais cela peut aussi être au niveau de l’application. Les verrouillages de session ne constituent pas un substitut acceptable à la déconnexion des systèmes d’information, par exemple, si les organisations demandent aux utilisateurs de fermer leur session à la fin des journées de travail. Contrôle connexe : AC-7</t>
  </si>
  <si>
    <t xml:space="preserve">TEST-AC-11</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</si>
  <si>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</si>
  <si>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</si>
  <si>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</si>
  <si>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</si>
  <si>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</si>
  <si>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</si>
  <si>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</si>
  <si>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AC-17(9) — Evidence Tracking</t>
  </si>
  <si>
    <t xml:space="preserve">Contrôle AC-17(9) — Suivi des preuves</t>
  </si>
  <si>
    <t xml:space="preserve">REMOTE ACCESS | DISCONNECT / DISABLE ACCESS
The organization provides the capability to expeditiously disconnect or disable remote access to the information system within a period no greater than 15 minutes.</t>
  </si>
  <si>
    <t xml:space="preserve">ACCÈS À DISTANCE | DÉCONNECTER/DÉSACTIVER L’ACCÈS
L’organisation offre la possibilité de déconnecter ou de désactiver rapidement l’accès à distance au système d’information dans un délai maximal de 15 minutes.</t>
  </si>
  <si>
    <t xml:space="preserve">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</si>
  <si>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 xml:space="preserve">Cette amélioration du contrôle exige que les organisations soient en mesure de déconnecter rapidement les utilisateurs actuels qui accèdent à distance au système d’information ou de désactiver tout accès à distance ultérieur. La rapidité de la déconnexion ou de la désactivation varie en fonction de la criticité des missions et des fonctions opérationnelles et de la nécessité d’éliminer l’accès à distance immédiat ou futur aux systèmes d’information de l’organisation.</t>
  </si>
  <si>
    <t xml:space="preserve">TEST-AC-17(9)</t>
  </si>
  <si>
    <t xml:space="preserve">Control AC-21 — Evidence Tracking</t>
  </si>
  <si>
    <t xml:space="preserve">Contrôle AC-21 — Suivi des preuves</t>
  </si>
  <si>
    <t xml:space="preserve">(A)
The organization facilitates information sharing by enabling authorized users to determine if access authorizations assigned to the sharing partner match the access restrictions on the information for organization-defined information sharing circumstances where user discretion is required; and
(B) The organization employs organization-defined automated mechanisms or manual processes to assist users in making information sharing/collaboration decisions.</t>
  </si>
  <si>
    <t xml:space="preserve">(A) L’organisation facilite l’échange d’information en permettant aux utilisateurs autorisés de déterminer si les autorisations d’accès attribuées au partenaire d’échange correspondent aux restrictions d’accès à l’information pour les circonstances de partage d’information définies par l’organisation dans lesquelles la décision est laissée à la discrétion de l’utilisateur;
(B) L’organisation utilise des mécanismes automatisés ou des processus manuels définis par l’organisation pour aider les utilisateurs à prendre des décisions sur le partage de l’information et la collaboration.</t>
  </si>
  <si>
    <t xml:space="preserve">This control applies to information that may be restricted in some manner (e.g., privileged medical information, contract-sensitive information, proprietary information, personally identifiable information, classified information related to special access programs or compartments) based on some formal or administrative determination. Depending on the particular information-sharing circumstances, sharing partners may be defined at the individual, group, or organizational level. Information may be defined by content, type, security category, or special access program/compartment. Related control: AC-3</t>
  </si>
  <si>
    <t xml:space="preserve">Ce contrôle s’applique à l’information qui peut être restreinte d’une manière ou d’une autre (p. ex., renseignements médicaux privilégiés, renseignements sensibles dans le cadre d’un contrat, information confidentielle, renseignements permettant d’identifier une personne, renseignements classifiés liés à des programmes ou à des compartiments d’accès spéciaux) conformément à une décision officielle ou administrative. Selon les circonstances particulières de l’échange d’information, les partenaires d’échange peuvent être définis au niveau individuel, collectif ou organisationnel. L’information peut être définie par le contenu, le type, la catégorie de sécurité ou le programme/compartiment d’accès spécial. Contrôle connexe : AC-3</t>
  </si>
  <si>
    <t xml:space="preserve">TEST-AC-21</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</si>
  <si>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</si>
  <si>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</si>
  <si>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</si>
  <si>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</si>
  <si>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</si>
  <si>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</si>
  <si>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</si>
  <si>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</si>
  <si>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</si>
  <si>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</si>
  <si>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</si>
  <si>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</si>
  <si>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</si>
  <si>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</si>
  <si>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</si>
  <si>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</si>
  <si>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</si>
  <si>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</si>
  <si>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</si>
  <si>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</si>
  <si>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</si>
  <si>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 — Evidence Tracking</t>
  </si>
  <si>
    <t xml:space="preserve">Contrôle AU-9 — Suivi des preuves</t>
  </si>
  <si>
    <t xml:space="preserve">(A)
The information system protects audit information and audit tools from unauthorized access, modification, and deletion.</t>
  </si>
  <si>
    <t xml:space="preserve">(A) Le système d’information protège les renseignements de vérification et les outils de vérification contre l’accès, la modification et la suppression non autorisés.</t>
  </si>
  <si>
    <t xml:space="preserve">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</si>
  <si>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 xml:space="preserve">Les renseignements de vérification comprennent tous les renseignements (p. ex., les enregistrements de vérification, les paramètres de vérification et les rapports de vérification) nécessaires pour vérifier avec succès l’activité du système d’information. Ce contrôle est axé sur la protection technique des renseignements de vérification. La protection physique des renseignements de vérification est assurée par des contrôles de protection des supports et des contrôles de protection physique et environnementale. Contrôles connexes : AC-3, AC-6, MP-2, MP-4, PE-2, PE-3, PE-6</t>
  </si>
  <si>
    <t xml:space="preserve">TEST-AU-9</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</si>
  <si>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</si>
  <si>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</si>
  <si>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</si>
  <si>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</si>
  <si>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</si>
  <si>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</si>
  <si>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</si>
  <si>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AU-9(4) — Evidence Tracking</t>
  </si>
  <si>
    <t xml:space="preserve">Contrôle AU-9(4) — Suivi des preuves</t>
  </si>
  <si>
    <t xml:space="preserve">PROTECTION OF AUDIT INFORMATION | ACCESS BY SUBSET OF PRIVILEGED USERS
The organization authorizes access to management of audit functionality to only an organization-defined subset of privileged users.</t>
  </si>
  <si>
    <t xml:space="preserve">PROTECTION DES RENSEIGNEMENTS DE VÉRIFICATION | ACCÈS PAR SOUS-ENSEMBLE D’UTILISATEURS PRIVILÉGIÉS
L’organisation n’autorise l’accès à la fonction de gestion de la vérification qu’à un sous-ensemble d’utilisateurs privilégiés défini par l’organisation seulement.</t>
  </si>
  <si>
    <t xml:space="preserve">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</si>
  <si>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 xml:space="preserve">Les personnes qui ont un accès privilégié à un système d’information et qui font également l’objet d’une vérification par ce système peuvent nuire à la fiabilité de l’information de vérification en entravant les activités de vérification ou en modifiant les enregistrements de vérification. Cette amélioration du contrôle exige que l’accès privilégié soit mieux défini entre les privilèges liés à la vérification et les autres privilèges, de manière à limiter le nombre d’utilisateurs ayant des privilèges liés à la vérification. Contrôle connexe : AC-5.</t>
  </si>
  <si>
    <t xml:space="preserve">TEST-AU-9(4)</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</si>
  <si>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</si>
  <si>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</si>
  <si>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</si>
  <si>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</si>
  <si>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</si>
  <si>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</si>
  <si>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</si>
  <si>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</si>
  <si>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</si>
  <si>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</si>
  <si>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</si>
  <si>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</si>
  <si>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</si>
  <si>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</si>
  <si>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CM-5(5) — Evidence Tracking</t>
  </si>
  <si>
    <t xml:space="preserve">Contrôle CM-5(5) — Suivi des preuves</t>
  </si>
  <si>
    <t xml:space="preserve">ACCESS RESTRICTIONS FOR CHANGE | LIMIT PRODUCTION / OPERATIONAL PRIVILEGES
(a)
The organization limits privileges to change information system components and system-related information within a production or operational environment; and
(b)
The organization reviews and re-evaluates privileges at least quarterly.</t>
  </si>
  <si>
    <t xml:space="preserve">RESTRICTIONS D’ACCÈS POUR LES CHANGEMENTS | LIMITER LES PRIVILÈGES DANS UN ENVIRONNEMENT DE PRODUCTION/D’EXPLOITATION
(a) L’organisation limite les privilèges de modification des composants du système d’information et de l’information liée au système dans un environnement de production ou d’exploitation;
(b) L’organisation revoit et réévalue les privilèges au moins une fois par trimestre.</t>
  </si>
  <si>
    <t xml:space="preserve">In many organizations, information systems support multiple core missions/business functions. Limiting privileges to change information system components with respect to operational systems is necessary because changes to a particular information system component may have far-reaching effects on mission/business processes supported by the system where the component resides. The complex, many-to-many relationships between systems and mission/business processes are in some cases, unknown to developers. Related control: AC-2.</t>
  </si>
  <si>
    <t xml:space="preserve">Dans de nombreuses organisations, les systèmes d’information soutiennent de multiples fonctions opérationnelles et missions de base. Il est nécessaire de limiter les privilèges de modification des composants du système d’information en ce qui a trait aux systèmes opérationnels parce que les changements apportés à un composant particulier du système d’information peuvent avoir des répercussions profondes sur les processus opérationnels et de mission soutenus par le système dans lequel réside le composant. Les relations multiples et complexes entre les systèmes et les processus opérationnels et de mission sont parfois inconnues des développeurs. Contrôle connexe : AC-2.</t>
  </si>
  <si>
    <t xml:space="preserve">TEST-CM-5(5)</t>
  </si>
  <si>
    <t xml:space="preserve">Control CM-5(6) — Evidence Tracking</t>
  </si>
  <si>
    <t xml:space="preserve">Contrôle CM-5(6) — Suivi des preuves</t>
  </si>
  <si>
    <t xml:space="preserve">ACCESS RESTRICTIONS FOR CHANGE | LIMIT LIBRARY PRIVILEGES
The organization limits privileges to change software resident within software libraries.</t>
  </si>
  <si>
    <t xml:space="preserve">RESTRICTIONS D’ACCÈS POUR LES CHANGEMENTS | LIMITER LES PRIVILÈGES RELATIFS AUX BIBLIOTHÈQUES
L’organisation limite les privilèges relatifs aux modifications du logiciel résidant dans les bibliothèques de logiciels.</t>
  </si>
  <si>
    <t xml:space="preserve">Software libraries include privileged programs. Related control: AC-2.</t>
  </si>
  <si>
    <t xml:space="preserve">Les bibliothèques de logiciels comprennent des programmes privilégiés. Contrôle connexe : AC-2.</t>
  </si>
  <si>
    <t xml:space="preserve">TEST-CM-5(6)</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</si>
  <si>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</si>
  <si>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</si>
  <si>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</si>
  <si>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</si>
  <si>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</si>
  <si>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</si>
  <si>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</si>
  <si>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</si>
  <si>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</si>
  <si>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</si>
  <si>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</si>
  <si>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</si>
  <si>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</si>
  <si>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</si>
  <si>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</si>
  <si>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</si>
  <si>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</si>
  <si>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</si>
  <si>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</si>
  <si>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</si>
  <si>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</si>
  <si>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</si>
  <si>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</si>
  <si>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</si>
  <si>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</si>
  <si>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</si>
  <si>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</si>
  <si>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</si>
  <si>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</si>
  <si>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</si>
  <si>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</si>
  <si>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</si>
  <si>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</si>
  <si>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</si>
  <si>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</si>
  <si>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</si>
  <si>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</si>
  <si>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</si>
  <si>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</si>
  <si>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</si>
  <si>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</si>
  <si>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</si>
  <si>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</si>
  <si>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</si>
  <si>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</si>
  <si>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</si>
  <si>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</si>
  <si>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</si>
  <si>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</si>
  <si>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IA-2 — Evidence Tracking</t>
  </si>
  <si>
    <t xml:space="preserve">Contrôle IA-2 — Suivi des preuves</t>
  </si>
  <si>
    <t xml:space="preserve">(A)
The information system uniquely identifies and authenticates organizational users (or processes acting on behalf of organizational users).</t>
  </si>
  <si>
    <t xml:space="preserve">(A) Le système d’information identifie et authentifie de façon unique les utilisateurs au sein de l’organisation (ou les processus agissant pour le compte d’utilisateurs au sein de l’organisation).</t>
  </si>
  <si>
    <t xml:space="preserve">Organizational users include employees or individuals that organizations deem to have equivalent status of employees (e.g., contractors, guest researchers). This control applies to all accesses other than: (i) accesses that are explicitly identified and documented in AC-14; and (ii) accesses that occur through authorized use of group authenticators without individual authentication. Organizations may require unique identification of individuals in group accounts (e.g., shared privilege accounts) or for detailed accountability of individual activity. Organizations employ passwords, tokens, or biometrics to authenticate user identities, or in the case of multifactor authentication, or some combination thereof. Access to organizational information systems is defined as either local access or network access. Local access is any access to organizational information systems by users (or processes acting on behalf of users) where such access is obtained by direct connections without the use of networks. Network access is access to organizational information systems by users (or processes acting on behalf of users) where such access is obtained through network connections (i.e., nonlocal accesses). Remote access is a type of network access that involves communication through external networks (e.g., the Internet). Internal networks include local area networks and wide area networks. In addition, the use of encrypted VPNs for network connections between organization-controlled endpoints and non-organization controlled endpoints may be treated as internal networks from the perspective of protecting the confidentiality and integrity of information traversing the network. Multifactor authentication requires the use of two or more different factors to achieve authentication. The factors are defined as: (i) something you know (e.g., password, personal identification number [PIN]); (ii) something you have (e.g., cryptographic identification device, token); or (iii) something you are (e.g., biometric). Multifactor solutions that require devices separate from information systems gaining access include, for example, hardware tokens providing time-based or challenge-response authenticators and identity smart cards. In addition to identifying and authenticating users at the information system level (i.e., at logon), organizations also employ identification and authentication mechanisms at the application level, when necessary, to provide increased information security. Identification and authentication requirements for other than organizational users are described in IA-8. Related controls: AC-2, AC-3, AC-14, AC-17, AC-18, IA-4, IA-5, IA-8.</t>
  </si>
  <si>
    <t xml:space="preserve">Les utilisateurs au sein de l’organisation comprennent les employés ou les personnes que les organisations jugent avoir un statut équivalent à celui des employés (p. ex., entrepreneurs, chercheurs invités). Ce contrôle s’applique à tous les accès autres que : (i) les accès qui sont explicitement identifiés et documentés dans AC-14; (ii) les accès qui ont lieu par l’entremise de l’utilisation autorisée d’authentifiants de groupe sans authentification individuelle. Les organisations peuvent avoir besoin d’une identification unique des personnes dans les comptes de groupe (p. ex., comptes à privilèges partagés) ou pour rendre compte en détail des activités individuelles. Les organisations utilisent des mots de passe, des jetons ou des données biométriques pour authentifier l’identité des utilisateurs, ou dans le cas d’une authentification multifactorielle, une combinaison quelconque de ces éléments. L’accès aux systèmes d’information organisationnels est défini comme un accès local ou un accès réseau. L’accès local est tout accès aux systèmes d’information organisationnels par des utilisateurs (ou des processus agissant pour le compte d’utilisateurs) lorsque cet accès est obtenu par des connexions directes sans l’utilisation de réseaux. L’accès au réseau est l’accès aux systèmes d’information organisationnels par les utilisateurs (ou les processus agissant pour le compte des utilisateurs) lorsque cet accès est obtenu au moyen de connexions réseau (c.-à-d., les accès non locaux). L’accès à distance est un type d’accès au réseau qui comprend la communication par l’entremise de réseaux externes (p. ex., Internet). Les réseaux internes comprennent les réseaux locaux et les réseaux étendus. En outre, les RPV chiffrés pour les connexions réseau entre les extrémités contrôlées par l’organisation et les extrémités non contrôlées par l’organisation peuvent être traités comme des réseaux internes du point de vue de la protection de la confidentialité et de l’intégrité de l’information traversant le réseau. L’authentification multifactorielle nécessite l’utilisation de deux facteurs différents ou plus pour l’authentification. Les facteurs sont définis comme suit : (i) quelque chose que vous connaissez (p. ex., mot de passe, numéro d’identification personnel [NIP]); (ii) quelque chose que vous avez (p. ex., dispositif d’identification cryptographique, jeton); ou (iii) quelque chose qui vous caractérise (p. ex., biométrie). Les solutions multifactorielles qui exigent des dispositifs séparés des systèmes d’information obtenant l’accès comprennent, par exemple, les jetons matériels qui fournissent des authentifiants à réponse temporelle ou à défi-réponse et des cartes d’identité à puce. En plus d’identifier et d’authentifier les utilisateurs au niveau du système d’information (c.-à-d. à l’ouverture de session), les organisations utilisent également des mécanismes d’identification et d’authentification au niveau de l’application, au besoin, pour assurer une sécurité accrue de l’information. Les exigences d’identification et d’authentification pour les utilisateurs autres que les utilisateurs au sein de l’organisation sont décrites dans IA-8. Contrôles connexes : AC-2, AC-3, AC-14, AC-17, AC-18, IA-4, IA-5, IA-8.</t>
  </si>
  <si>
    <t xml:space="preserve">TEST-IA-2</t>
  </si>
  <si>
    <t xml:space="preserve">Control IA-2(1) — Evidence Tracking</t>
  </si>
  <si>
    <t xml:space="preserve">Contrôle IA-2(1) — Suivi des preuves</t>
  </si>
  <si>
    <t xml:space="preserve">IDENTIFICATION AND AUTHENTICATION | NETWORK ACCESS TO PRIVILEGED ACCOUNTS
The information system implements multifactor authentication for network access to privileged accounts.</t>
  </si>
  <si>
    <t xml:space="preserve">IDENTIFICATION ET AUTHENTIFICATION | ACCÈS RÉSEAU AUX COMPTES PRIVILÉGIÉS
Le système d’information applique l’authentification multifactorielle pour l’accès réseau aux comptes privilégiés.</t>
  </si>
  <si>
    <t xml:space="preserve">Related control: AC-6.</t>
  </si>
  <si>
    <t xml:space="preserve">Contrôle connexe : AC-6.</t>
  </si>
  <si>
    <t xml:space="preserve">TEST-IA-2(1)</t>
  </si>
  <si>
    <t xml:space="preserve">Control IA-2(3) — Evidence Tracking</t>
  </si>
  <si>
    <t xml:space="preserve">Contrôle IA-2(3) — Suivi des preuves</t>
  </si>
  <si>
    <t xml:space="preserve">IDENTIFICATION AND AUTHENTICATION | LOCAL ACCESS TO PRIVILEGED ACCOUNTS
The information system implements multifactor authentication for local access to privileged accounts.</t>
  </si>
  <si>
    <t xml:space="preserve">IDENTIFICATION ET AUTHENTIFICATION | ACCÈS LOCAL AUX COMPTES PRIVILÉGIÉS
Le système d’information applique l’authentification multifactorielle pour l’accès local aux comptes privilégiés.</t>
  </si>
  <si>
    <t xml:space="preserve">TEST-IA-2(3)</t>
  </si>
  <si>
    <t xml:space="preserve">Control IA-2(6) — Evidence Tracking</t>
  </si>
  <si>
    <t xml:space="preserve">Contrôle IA-2(6) — Suivi des preuves</t>
  </si>
  <si>
    <t xml:space="preserve">IDENTIFICATION AND AUTHENTICATION | NETWORK ACCESS TO PRIVILEGED ACCOUNTS - SEPARATE DEVICE
The information system implements multifactor authentication for network access to privileged accounts such that one of the factors is provided by a device separate from the system gaining access and the device meets the requirements identified in CCCS ITSP.30.031.</t>
  </si>
  <si>
    <t xml:space="preserve">IDENTIFICATION ET AUTHENTIFICATION | ACCÈS RÉSEAU AUX COMPTES PRIVILÉGIÉS - DISPOSITIF SÉPARÉ
Le système d’information applique l’authentification multifactorielle pour l’accès réseau aux comptes privilégiés, de sorte que l’un des facteurs est fourni par un dispositif séparé du système obtenant l’accès et que le dispositif répond aux exigences énoncées dans le document ITSP.30.031 du CCC.</t>
  </si>
  <si>
    <t xml:space="preserve">TEST-IA-2(6)</t>
  </si>
  <si>
    <t xml:space="preserve">Control IA-2(8) — Evidence Tracking</t>
  </si>
  <si>
    <t xml:space="preserve">Contrôle IA-2(8) — Suivi des preuves</t>
  </si>
  <si>
    <t xml:space="preserve">IDENTIFICATION AND AUTHENTICATION | NETWORK ACCESS TO PRIVILEGED ACCOUNTS - REPLAY RESISTANT
The information system implements replay-resistant authentication mechanisms for network access to privileged accounts.</t>
  </si>
  <si>
    <t xml:space="preserve">IDENTIFICATION ET AUTHENTIFICATION | ACCÈS RÉSEAU AUX COMPTES PRIVILÉGIÉS - RÉSISTANT À LA RÉINSERTION
Le système d’information applique des mécanismes d’authentification à l’épreuve des réinsertions pour l’accès réseau aux comptes privilégiés.</t>
  </si>
  <si>
    <t xml:space="preserve">Authentication processes resist replay attacks if it is impractical to achieve successful authentications by replaying previous authentication messages. Replay-resistant techniques include, for example, protocols that use nonces or challenges such as Transport Layer Security (TLS) and time synchronous or challenge-response one-time authenticators.</t>
  </si>
  <si>
    <t xml:space="preserve">Les processus d’authentification résistent aux attaques par réinsertion s’il n’est pas pratique d’obtenir des authentifications réussies en réinsérant des messages d’authentification antérieurs. Les techniques résistantes à la réinsertion comprennent, par exemple, des protocoles qui utilisent des nonces ou des défis comme la sécurité de la couche de transport (TLS pour Transport Layer Security) et des authentifiants ponctuels synchrones ou à défi-réponse.</t>
  </si>
  <si>
    <t xml:space="preserve">TEST-IA-2(8)</t>
  </si>
  <si>
    <t xml:space="preserve">Control IA-2(11) — Evidence Tracking</t>
  </si>
  <si>
    <t xml:space="preserve">Contrôle IA-2(11) — Suivi des preuves</t>
  </si>
  <si>
    <t xml:space="preserve">IDENTIFICATION AND AUTHENTICATION | REMOTE ACCESS - SEPARATE DEVICE
The information system implements multifactor authentication for remote access to privileged and non-privileged accounts such that one of the factors is provided by a device separate from the system being accessed and the device meets the requirements in CCCS's ITSP.30.031.</t>
  </si>
  <si>
    <t xml:space="preserve">IDENTIFICATION ET AUTHENTIFICATION | ACCÈS À DISTANCE - DISPOSITIF SÉPARÉ
Le système d’information applique l’authentification multifactorielle pour l’accès à distance aux comptes privilégiés et non privilégiés, de sorte que l’un des facteurs est fourni par un dispositif séparé du système auquel on accède et que le dispositif répond aux exigences de l’ITSP.30.031 du CCC.</t>
  </si>
  <si>
    <t xml:space="preserve">For remote access to privileged/non-privileged accounts, the purpose of requiring a device that is separate from the information system being accessed as one of the factors during multifactor authentication is to reduce the likelihood of compromising authentication credentials stored on the system. For example, adversaries deploying malicious code on organizational information systems can potentially compromise such credentials resident on the system and subsequently impersonate authorized users. Related control: AC-6.</t>
  </si>
  <si>
    <t xml:space="preserve">Dans le cas de l’accès à distance à des comptes privilégiés ou non privilégiés, l’exigence d’un dispositif séparé du système d’information auquel on accède en tant qu’un des facteurs d’authentification multifactorielle a pour but de réduire la probabilité de compromission des justificatifs d’authentification stockés dans le système. Par exemple, les adversaires qui déploient des codes malveillants sur les systèmes d’information de l’organisation peuvent potentiellement compromettre les justificatifs d’identité qui résident sur le système et se faire passer pour des utilisateurs autorisés. Contrôle connexe : AC-6.</t>
  </si>
  <si>
    <t xml:space="preserve">TEST-IA-2(11)</t>
  </si>
  <si>
    <t xml:space="preserve">Control IA-4 — Evidence Tracking</t>
  </si>
  <si>
    <t xml:space="preserve">Contrôle IA-4 — Suivi des preuves</t>
  </si>
  <si>
    <t xml:space="preserve">(A)
The organization manages information system identifiers by receiving authorization from organization-defined personnel or roles to assign an individual, group, role, or device identifier.
(B)
The organization manages information system identifiers by selecting an identifier that identifies an individual, group, role, or device.
(C)
The organization manages information system identifiers by assigning the identifier to the intended individual, group, role, or device.
(D)
The organization manages information system identifiers by preventing reuse of identifiers for at least two years.
(E)
The organization manages information system identifiers by disabling the identifier after 90 days for user identifiers.</t>
  </si>
  <si>
    <t xml:space="preserve">(A) L’organisation gère les identifiants du système d’information en recevant, de la part du personnel ou des rôles définis par l’organisation, l’autorisation d’attribuer un identifiant de personne, de groupe, de rôle ou de dispositif.
(B) L’organisation gère les identifiants du système d’information en sélectionnant un identifiant qui identifie une personne, un groupe, un rôle ou un dispositif.
(C) L’organisation gère les identifiants du système d’information en attribuant l’identifiant à la personne, au groupe, au rôle ou au dispositif visés.
(D) L’organisation gère les identifiants du système d’information en empêchant la réutilisation des identifiants pendant au moins deux ans.
(E) L’organisation gère les identifiants du système d’information en désactivant l’identifiant après 90 jours pour les identifiants d’utilisateur.</t>
  </si>
  <si>
    <t xml:space="preserve">Common device identifiers include, for example, MAC, IP addresses, or device-unique token identifiers. Management of individual identifiers is not applicable to shared information system accounts (e.g., guest and anonymous accounts). Typically, individual identifiers are the user names of the information system accounts assigned to those individuals. In such instances, the account management activities of AC-2 use account names provided by IA-4. This control also addresses individual identifiers not necessarily associated with information system accounts (e.g., identifiers used in physical security control databases accessed by badge reader systems for access to information systems). Preventing reuse of identifiers implies preventing the assignment of previously used individual, group, role, or device identifiers to different individuals, groups, roles, or devices. Related controls: AC-2, IA-2, IA-3, IA-5, IA-8, SC-37</t>
  </si>
  <si>
    <t xml:space="preserve">Les identifiants de dispositifs courants comprennent, par exemple, les adresses MAC, les adresses IP ou les identifiants à jeton unique au dispositif. La gestion des identifiants individuels ne s’applique pas aux comptes partagés du système d’information (p. ex., comptes d’invités et comptes anonymes). En général, les identifiants individuels sont les noms d’utilisateurs des comptes du système d’information attribués à ces personnes. Dans de tels cas, les activités de gestion des comptes de AC-2 utilisent les noms de compte fournis par IA-4. Ce contrôle porte également sur les identifiants individuels qui ne sont pas nécessairement associés à des comptes du système d’information (p. ex., les identifiants utilisés dans les bases de données de contrôle de la sécurité physique accessibles par les systèmes de lecteur d’insignes pour l’accès aux systèmes d’information). La prévention de la réutilisation des identifiants consiste à empêcher l’attribution d’identifiants de personnes, de groupes, de rôles ou de dispositifs utilisés antérieurement à des personnes, des groupes, des rôles ou des dispositifs différents. Contrôles connexes : AC-2, IA-2, IA-3, IA-5, IA-8, SC-37</t>
  </si>
  <si>
    <t xml:space="preserve">TEST-IA-4</t>
  </si>
  <si>
    <t xml:space="preserve">Control IA-5 — Evidence Tracking</t>
  </si>
  <si>
    <t xml:space="preserve">Contrôle IA-5 — Suivi des preuves</t>
  </si>
  <si>
    <t xml:space="preserve">(A) The organization manages information system authenticators by verifying, as part of the initial authenticator distribution, the identity of the individual, group, role, or device receiving the authenticator.
(B) The organization manages information system authenticators by establishing initial authenticator content for authenticators defined by the organization.
(C) The organization manages information system authenticators by ensuring that authenticators have sufficient strength of mechanism for their intended use.
(D) The organization manages information system authenticators by establishing and implementing administrative procedures for initial authenticator distribution, for lost/compromised or damaged authenticators, and for revoking authenticators.
(E) The organization manages information system authenticators by changing the default content of authenticators prior to information system installation.
(F) The organization manages information system authenticators by establishing minimum and maximum lifetime restrictions and reuse conditions for authenticators.
(G) The organization manages information system authenticators by changing/refreshing authenticators in accordance with CCCS’s ITSP.30.031.
(H) The organization manages information system authenticators by protecting authenticator content from unauthorized disclosure and modification.
(I) The organization manages information system authenticators by requiring individuals to take, and having devices implement, specific security safeguards to protect authenticators.
(J) The organization manages information system authenticators by changing authenticators for group/role accounts when membership to those accounts changes.</t>
  </si>
  <si>
    <t xml:space="preserve">(A) L’organisation gère les authentifiants du système d’information en vérifiant, dans le cadre de la distribution initiale des authentifiants, l’identité de la personne, du groupe, du rôle ou du dispositif qui reçoit l’authentifiant.
(B) L’organisation gère les authentifiants du système d’information en établissant le contenu initial de l’authentifiant pour les authentifiants définis par l’organisation.
(C) L’organisation gère les authentifiants du système d’information en s’assurant que les authentifiants disposent d’un mécanisme suffisamment robuste pour leur utilisation prévue.
(D) L’organisation gère les authentifiants du système d’information en établissant et en mettant en œuvre des procédures administratives pour la distribution initiale des authentifiants, pour les authentifiants perdus/compromis ou endommagés, et pour la révocation des authentifiants.
(E) L’organisation gère les authentifiants du système d’information en modifiant le contenu par défaut des authentifiants avant l’installation du système d’information.
(F) L’organisation gère les authentifiants du système d’information en établissant des restrictions de durée de vie minimale et maximale et des conditions de réutilisation pour les authentifiants.
(G) L’organisation gère les authentifiants du système d’information en changeant/actualisant les authentifiants conformément à l’ITSP.30.031 du CCC.
(H) L’organisation gère les authentifiants du système d’information en protégeant le contenu de l’authentifiant contre la divulgation et la modification non autorisées.
(I) L’organisation gère les authentifiants du système d’information en exigeant des personnes qu’elles adoptent des mesures de sécurité particulières pour protéger les authentifiants et en s’assurant que les dispositifs les mettent en œuvre.
(J) L’organisation gère les authentifiants du système d’information en changeant les authentifiants pour les comptes de groupe/rôle lorsque l’adhésion à ces comptes change.</t>
  </si>
  <si>
    <t xml:space="preserve">Individual authenticators include, for example, passwords, tokens, biometrics, Public Key Infrastructure (PKI) certificates, and key cards. Initial authenticator content is the actual content (e.g., the initial password) as opposed to requirements about authenticator content (e.g., minimum password length). In many cases, developers ship information system components with factory default authentication credentials to allow for initial installation and configuration. Default authentication credentials are often well known, easily discoverable, and present a significant security risk. The requirement to protect individual authenticators may be implemented via control PL-4 or PS-6 for authenticators in the possession of individuals and by controls AC-3, AC-6, and SC-28 for authenticators stored within organizational information systems (e.g., passwords stored in hashed or encrypted formats, files containing encrypted or hashed passwords accessible with administrator privileges). Information systems support individual authenticator management by organization-defined settings and restrictions for various authenticator characteristics including, for example, minimum password length, password composition, validation time window for time synchronous one-time tokens, and number of allowed rejections during the verification stage of biometric authentication. Specific actions that can be taken to safeguard authenticators include, for example, maintaining possession of individual authenticators, not loaning or sharing individual authenticators with others, and reporting lost, stolen, or compromised authenticators immediately. Authenticator management includes issuing and revoking, when no longer needed, authenticators for temporary access such as that required for remote maintenance. Device authenticators include, for example, certificates and passwords. Related controls: AC-2, AC-3, AC-6, CM-6, IA-2, IA-4, IA-8, PL-4, PS-5, PS-6, SC-12, SC-13, SC-17, SC-28</t>
  </si>
  <si>
    <t xml:space="preserve">Les authentifiants individuels comprennent, par exemple, les mots de passe, les jetons, la biométrie, les certificats d’infrastructure à clé publique (ICP) et les cartes-clés. Le contenu initial de l’authentifiant est le contenu réel (p. ex., le mot de passe initial) par opposition aux exigences relatives au contenu de l’authentifiant (p. ex., longueur minimale du mot de passe). Dans de nombreux cas, les développeurs livrent les composants du système d’information avec des justificatifs d’authentification par défaut pour permettre l’installation et la configuration initiales. Les justificatifs d’authentification par défaut sont souvent bien connus, faciles à découvrir, et présentent un risque important pour la sécurité. L’exigence de protection des authentifiants individuels peut être mise en œuvre au moyen du contrôle PL-4 ou PS-6 pour les authentifiants de personnes et par les contrôles AC-3, AC-6, et SC-28 pour les authentifiants stockés dans les systèmes d’information de l’organisation (p. ex., mots de passe stockés dans des formats hachés ou chiffrés, fichiers contenant des mots de passe chiffrés ou hachés accessibles avec des privilèges d’administrateur). Les systèmes d’information prennent en charge la gestion des authentifiants individuels selon les paramètres et les restrictions définis par l’organisation pour diverses caractéristiques des authentifiants, y compris, par exemple, la longueur minimale du mot de passe, la composition du mot de passe, la période de validation pour les jetons ponctuels synchrones et le nombre de rejets permis à l’étape de vérification de l’authentification biométrique. Les mesures particulières qui peuvent être prises pour protéger les authentifiants comprennent, par exemple, demeurer en possession des authentifiants individuels, éviter de prêter ou de partager des authentifiants individuels avec d’autres, et déclarer immédiatement les authentifiants perdus, volés ou compromis. La gestion des authentifiants comprend la délivrance d’authentifiants pour l’accès temporaire, comme ceux requis pour la maintenance à distance, et leur révocation lorsqu’ils ne sont plus nécessaires. Les authentifiants de dispositifs comprennent, par exemple, les certificats et les mots de passe. Contrôles connexes : AC-2, AC-3, AC-6, CM-6, IA-2, IA-4, IA-8, PL-4, PS-5, PS-6, SC-12, SC-13, SC-17, SC-28</t>
  </si>
  <si>
    <t xml:space="preserve">TEST-IA-5</t>
  </si>
  <si>
    <t xml:space="preserve">Control IA-5(1) — Evidence Tracking</t>
  </si>
  <si>
    <t xml:space="preserve">Contrôle IA-5(1) — Suivi des preuves</t>
  </si>
  <si>
    <t xml:space="preserve">AUTHENTICATOR MANAGEMENT | PASSWORD-BASED AUTHENTICATION
(a) The information system, for password-based authentication, enforces minimum password complexity of case sensitive, minimum of eight characters, and at least one each of upper-case letters, lower-case letters, numbers, and special characters;
(b) The information system, for password-based authentication, enforces that at least one of the characters are changed when new passwords are created;
(c) The information system, for password-based authentication, stores and transmits only cryptographically-protected passwords;
(d) The information system, for password-based authentication, enforces password minimum and maximum lifetime restrictions of one-day minimum, sixty-day maximum;
(e) The information system, for password-based authentication prohibits password reuse for 24 generations; and
(f) The information system, for password-based authentication allows the use of a temporary password for system logons with an immediate change to a permanent password.</t>
  </si>
  <si>
    <t xml:space="preserve">GESTION DES AUTHENTIFIANTS | AUTHENTIFICATION PAR MOT DE PASSE
(a) Le système d’information, pour l’authentification par mot de passe, exige une complexité minimum du mot de passe qui doit être sensible à la casse, comporter au moins huit caractères, et au moins une lettre majuscule, une lettre minuscule, un chiffre et un caractère spécial;
(b) Le système d’information, pour l’authentification par mot de passe, exige qu’au moins l’un des caractères soit modifié lorsque de nouveaux mots de passe sont créés;
(c) Le système d’information, pour l’authentification par mot de passe, ne mémorise et transmet que les mots de passe protégés par cryptographie;
(d) Le système d’information, pour l’authentification par mot de passe, applique des restrictions de durée de vie minimale et maximale d’un jour et de soixante jours respectivement;
(e) Le système d’information, pour l’authentification par mot de passe, interdit la réutilisation du mot de passe pour 24 générations;
(f) Le système d’information, pour l’authentification par mot de passe, permet l’utilisation d’un mot de passe temporaire pour les connexions au système suivies du remplacement immédiat par un mot de passe permanent.</t>
  </si>
  <si>
    <t xml:space="preserve">This control enhancement applies to single-factor authentication of individuals using passwords as individual or group authenticators, and in a similar manner, when passwords are part of multifactor authenticators. This control enhancement does not apply when passwords are used to unlock hardware authenticators (e.g., Personal Identity Verification cards). The implementation of such password mechanisms may not meet all of the requirements in the enhancement. Cryptographically-protected passwords include, for example, encrypted versions of passwords and one-way cryptographic hashes of passwords. The number of changed characters refers to the number of changes required with respect to the total number of positions in the current password. Password lifetime restrictions do not apply to temporary passwords. To mitigate certain brute force attacks against passwords, organizations may also consider salting passwords. Related control: IA-6.</t>
  </si>
  <si>
    <t xml:space="preserve">Cette amélioration du contrôle s’applique à l’authentification à facteur unique des personnes qui utilisent des mots de passe comme authentifiants individuels ou collectifs, et de la même manière, lorsque les mots de passe font partie d’authentifiants multifactoriels. Cette amélioration du contrôle ne s’applique pas lorsque des mots de passe sont utilisés pour déverrouiller des authentifiants matériels (p. ex., cartes de vérification de l’identité personnelle). La mise en œuvre de ces mécanismes liés aux mots de passe pourrait ne pas répondre à toutes les exigences de l’amélioration. Les mots de passe protégés par cryptographie comprennent, par exemple, les versions chiffrées de mots de passe et les hachages cryptographiques unidirectionnels de mots de passe. Le nombre de caractères modifiés correspond au nombre de changements requis par rapport au nombre total de positions dans le mot de passe actuel. Les restrictions relatives à la durée de vie du mot de passe ne s’appliquent pas aux mots de passe temporaires. Pour atténuer certaines attaques par force brute contre les mots de passe, les organisations peuvent aussi envisager le salage des mots de passe. Contrôle connexe : IA-6.</t>
  </si>
  <si>
    <t xml:space="preserve">TEST-IA-5(1)</t>
  </si>
  <si>
    <t xml:space="preserve">Control IA-5(2) — Evidence Tracking</t>
  </si>
  <si>
    <t xml:space="preserve">Contrôle IA-5(2) — Suivi des preuves</t>
  </si>
  <si>
    <t xml:space="preserve">AUTHENTICATOR MANAGEMENT | PKI-BASED AUTHENTICATION
(a)
The information system, for PKI-based authentication, validates certifications by constructing and verifying a certification path to an accepted trust anchor including checking certificate status information;
(b)
The information system, for PKI-based authentication, enforces authorized access to the corresponding private key;
(c)
The information system, for PKI-based authentication, maps the authenticated identity to the account of the individual or group; and
(d)
The information system, for PKI-based authentication, implements a local cache of revocation data to support path discovery and validation in case of inability to access revocation information via the network.</t>
  </si>
  <si>
    <t xml:space="preserve">GESTION DES AUTHENTIFIANTS | AUTHENTIFICATION BASÉE SUR L’ICP
(a)	Le système d’information, pour l’authentification basée sur l’ICP, valide les certifications en établissant et vérifiant un chemin de certification vers un ancrage de confiance accepté, et en vérifiant l’information relative au statut du certificat;
(b)	Le système d’information, pour l’authentification basée sur l’ICP, applique l’accès autorisé à la clé privée correspondante;
(c)	Le système d’information, pour l’authentification basée sur l’ICP, établit la correspondance entre l’identifié authentifiée et le compte de la personne ou du groupe;
(d)	Le système d’information, pour l’authentification basée sur l’ICP, met en œuvre une mémoire cache locale de données de révocation pour permettre la découverte et la validation des chemins lorsqu’il est impossible d’accéder à l’information de révocation par le réseau.</t>
  </si>
  <si>
    <t xml:space="preserve">Status information for certification paths includes, for example, certificate revocation lists or certificate status protocol responses. Related control: IA-6.</t>
  </si>
  <si>
    <t xml:space="preserve">Les renseignements sur le statut des chemins de certification comprennent, par exemple, les listes de révocation de certificats ou les réponses du protocole sur le statut des certificats. Contrôle connexe : IA-6.</t>
  </si>
  <si>
    <t xml:space="preserve">TEST-IA-5(2)</t>
  </si>
  <si>
    <t xml:space="preserve">Control IA-5(4) — Evidence Tracking</t>
  </si>
  <si>
    <t xml:space="preserve">Contrôle IA-5(4) — Suivi des preuves</t>
  </si>
  <si>
    <t xml:space="preserve">AUTHENTICATOR MANAGEMENT | AUTOMATED SUPPORT FOR PASSWORD STRENGTH DETERMINATION
The organization employs automated tools to determine if password authenticators are sufficiently strong to satisfy password length, complexity, rotation and lifetime restrictions established by IA-5(1).</t>
  </si>
  <si>
    <t xml:space="preserve">GESTION DE L’AUTHENTIFIANT | SOUTIEN AUTOMATISÉ POUR LA DÉTERMINATION DE LA FORCE DES MOTS DE PASSE
L’organisation utilise des outils automatisés pour déterminer si les authentifiants par mot de passe sont suffisamment forts pour respecter les restrictions relatives à la longueur, à la complexité, à la rotation et à la durée de vie établies par IA-5(1).</t>
  </si>
  <si>
    <t xml:space="preserve">This control enhancement focuses on the creation of strong passwords and the characteristics of such passwords (e.g., complexity) prior to use, the enforcement of which is carried out by organizational information systems in IA-5 (1). Related controls: CA-2, CA-7, RA-5.</t>
  </si>
  <si>
    <t xml:space="preserve">Cette amélioration du contrôle est axée sur la création de mots de passe forts et sur les caractéristiques de ces mots de passe (p. ex., complexité) avant leur utilisation, ce contrôle étant appliqué par les systèmes d’information organisationnels dans IA-5 (1). Contrôles connexes : CA-2, CA-7, RA-5.</t>
  </si>
  <si>
    <t xml:space="preserve">TEST-IA-5(4)</t>
  </si>
  <si>
    <t xml:space="preserve">Control IA-5(6) — Evidence Tracking</t>
  </si>
  <si>
    <t xml:space="preserve">Contrôle IA-5(6) — Suivi des preuves</t>
  </si>
  <si>
    <t xml:space="preserve">AUTHENTICATOR MANAGEMENT | PROTECTION OF AUTHENTICATORS
The organization protects authenticators commensurate with the security category of the information to which use of the authenticator permits access.</t>
  </si>
  <si>
    <t xml:space="preserve">GESTION DES AUTHENTIFIANTS | PROTECTION DES AUTHENTIFIANTS
L’organisation assure une protection des authentifiants qui est proportionnelle à la catégorie de sécurité de l’information à laquelle les authentifiants permettent l’accès.</t>
  </si>
  <si>
    <t xml:space="preserve">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</si>
  <si>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 xml:space="preserve">Dans le cas des systèmes d’information qui contiennent plusieurs catégories de sécurité de l’information sans séparation physique ou logique fiable entre les catégories, les authentifiants utilisés pour accorder l’accès aux systèmes sont protégés conformément à la catégorie de sécurité de l’information la plus élevée sur les systèmes.</t>
  </si>
  <si>
    <t xml:space="preserve">TEST-IA-5(6)</t>
  </si>
  <si>
    <t xml:space="preserve">Control IA-6 — Evidence Tracking</t>
  </si>
  <si>
    <t xml:space="preserve">Contrôle IA-6 — Suivi des preuves</t>
  </si>
  <si>
    <t xml:space="preserve">(A)
The information system obscures feedback of authentication information during the authentication process to protect the information from possible exploitation/use by unauthorized individuals.</t>
  </si>
  <si>
    <t xml:space="preserve">(A) Le système d’information masque la rétroaction de l’information d’authentification pendant le processus d’authentification afin de protéger cette information contre l’exploitation ou l’utilisation possibles par des personnes non autorisées.</t>
  </si>
  <si>
    <t xml:space="preserve">The feedback from information systems does not provide information that would allow unauthorized individuals to compromise authentication mechanisms. For some types of information systems or system components, for example, desktops/notebooks with relatively large monitors, the threat (often referred to as shoulder surfing) may be significant. For other types of systems or components, for example, mobile devices with 2-4 inch screens, this threat may be less significant, and may need to be balanced against the increased likelihood of typographic input errors due to the small keyboards. Therefore, the means for obscuring the authenticator feedback is selected accordingly. Obscuring the feedback of authentication information includes, for example, displaying asterisks when users type passwords into input devices, or displaying feedback for a very limited time before fully obscuring it. Related control: PE-18</t>
  </si>
  <si>
    <t xml:space="preserve">La rétroaction des systèmes d’information ne fournit pas d’information qui permettrait à des personnes non autorisées de compromettre les mécanismes d’authentification. Pour certains types de systèmes d’information ou de composants de systèmes, par exemple, les ordinateurs de bureau ou les ordinateurs portatifs avec écrans relativement grands, la menace (souvent appelée « espionnage par-dessus l’épaule ») peut être importante. Pour d’autres types de systèmes ou de composants, par exemple, les appareils mobiles dotés d’écrans de 2 à 4 pouces, cette menace peut être moins importante et il peut être utile de la comparer au risque accru d’erreurs typographiques lors de la saisie sur les claviers de petite taille. Ainsi, le mécanisme de masquage de la rétroaction de l’authentifiant est sélectionné en conséquence. Le masquage de la rétroaction de l’information d’authentification comprend, par exemple, l’affichage d’astérisques lorsque les utilisateurs tapent des mots de passe dans des dispositifs de saisie, ou l’affichage très bref de la rétroaction avant son masquage complet. Contrôle connexe : PE-18</t>
  </si>
  <si>
    <t xml:space="preserve">TEST-IA-6</t>
  </si>
  <si>
    <t xml:space="preserve">Control IA-7 — Evidence Tracking</t>
  </si>
  <si>
    <t xml:space="preserve">Contrôle IA-7 — Suivi des preuves</t>
  </si>
  <si>
    <t xml:space="preserve">(A)
The information system implements mechanisms for authentication to a cryptographic module that meet the requirements of applicable organizational policies, directives, and standards for such authentication.</t>
  </si>
  <si>
    <t xml:space="preserve">(A) Le système d’information met en œuvre des mécanismes d’authentification par module cryptographique qui respectent les exigences des politiques, directives et normes organisationnelles applicables pour une telle authentification.</t>
  </si>
  <si>
    <t xml:space="preserve">Authentication mechanisms may be required within a cryptographic module to authenticate an operator accessing the module and to verify that the operator is authorized to assume the requested role and perform services within that role. Related controls: SC-12, SC-13</t>
  </si>
  <si>
    <t xml:space="preserve">Des mécanismes d’authentification peuvent être requis au sein d’un module cryptographique pour authentifier un opérateur qui accède au module et pour vérifier qu’il est autorisé à assumer le rôle demandé et à fournir des services dans le cadre de ce rôle. Contrôles connexes : SC-12, SC-13</t>
  </si>
  <si>
    <t xml:space="preserve">TEST-IA-7</t>
  </si>
  <si>
    <t xml:space="preserve">Control IA-8 — Evidence Tracking</t>
  </si>
  <si>
    <t xml:space="preserve">Contrôle IA-8 — Suivi des preuves</t>
  </si>
  <si>
    <t xml:space="preserve">(A)
The information system uniquely identifies and authenticates non-organizational users (or processes acting on behalf of non-organizational users).</t>
  </si>
  <si>
    <t xml:space="preserve">(A) Le système d’information identifie et authentifie de façon unique les utilisateurs extérieurs à l’organisation (ou les processus agissant pour le compte d’utilisateurs extérieurs à l’organisation).</t>
  </si>
  <si>
    <t xml:space="preserve">Non-organizational users include information system users other than organizational users explicitly covered by IA-2. These individuals are uniquely identified and authenticated for accesses other than those accesses explicitly identified and documented in AC-14. Authentication of non-organizational users accessing federal information systems may be required to protect federal, proprietary, or privacy-related information (with exceptions noted for national security systems). Organizations use risk assessments to determine authentication needs and consider scalability, practicality, and security in balancing the need to ensure ease of use for access to information and information systems with the need to protect and adequately mitigate risk. IA-2 addresses identification and authentication requirements for access to information systems by organizational users. Related controls: AC-2, AC-14, AC-17, AC-18, IA-2, IA-4, IA-5, MA-4, RA-3, SA-12, SC-8</t>
  </si>
  <si>
    <t xml:space="preserve">Les utilisateurs extérieurs à l’organisation comprennent les utilisateurs du système d’information autres que les utilisateurs au sein de l’organisation qui sont explicitement visés par l’IA-2. Ces personnes sont identifiées et authentifiées de façon unique pour des accès autres que ceux explicitement identifiés et documentés dans AC-14. L’authentification des utilisateurs extérieurs à l’organisation qui accèdent aux systèmes d’information fédéraux peut être nécessaire pour protéger les renseignements fédéraux, exclusifs, ou liés à la protection des renseignements personnels (sauf dans le cas des systèmes de sécurité nationale). Les organisations utilisent les évaluations des risques pour déterminer les besoins en matière d’authentification et prennent en compte les facteurs d’adaptabilité, de commodité et de sécurité pour établir un équilibre entre la nécessité d’assurer la facilité d’utilisation pour l’accès à l’information et aux systèmes d’information et la nécessité d’assurer une protection et d’atténuer adéquatement les risques. IA-2 traite des exigences en matière d’identification et d’authentification pour l’accès aux systèmes d’information par les utilisateurs au sein de l’organisation. Contrôles connexes : AC-2, AC-14, AC-17, AC-18, IA-2, IA-4, IA-5, MA-4, RA-3, SA-12, SC-8</t>
  </si>
  <si>
    <t xml:space="preserve">TEST-IA-8</t>
  </si>
  <si>
    <t xml:space="preserve">Control MA-4 — Evidence Tracking</t>
  </si>
  <si>
    <t xml:space="preserve">Contrôle MA-4 — Suivi des preuves</t>
  </si>
  <si>
    <t xml:space="preserve">(A)
The organization approves and monitors nonlocal maintenance and diagnostic activities.
(B)
The organization allows the use of non-local maintenance and diagnostic tools only as consistent with organizational policy and as documented in the security plan for the information system.
(C)
The organization employs strong authenticators in the establishment of nonlocal maintenance and diagnostic sessions.
(D)
The organization maintains records for nonlocal maintenance and diagnostic activities.</t>
  </si>
  <si>
    <t xml:space="preserve">(A) L’organisation approuve et surveille les activités de maintenance et de diagnostic non locales.
(B) L’organisation ne permet l’utilisation d’outils de maintenance et de diagnostic non locaux que dans la mesure où ils sont conformes à la politique de l’organisation et documentés dans le plan de sécurité du système d’information.
(C) L’organisation utilise des authentifiants puissants pour les ouvertures de sessions de maintenance et de diagnostic non locales.
(D) L’organisation tient des registres pour les activités de maintenance et de diagnostic non locales.</t>
  </si>
  <si>
    <t xml:space="preserve">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 Related controls: AC-2, AC-3, AC-6, AC-17, AU-2, AU-3, IA-2, IA-4, IA-5, IA-8, MA-2, MA-5, MP-6, PL-2, SC-7, SC-10, SC-17</t>
  </si>
  <si>
    <t xml:space="preserve">Les activités de maintenance et de diagnostic non locales sont des activités menées par des personnes qui communiquent par l’entremise d’un réseau externe (p. ex., Internet) ou interne. Les activités de maintenance et de diagnostic locales sont les activités menées par des personnes physiquement présentes sur les lieux du système d’information ou du composant du système d’information et qui ne communiquent pas au moyen d’une connexion réseau. Les techniques d’authentification utilisées pour les ouvertures de sessions de maintenance et de diagnostic non locales reflètent les exigences d’accès au réseau dans IA-2. En règle générale, une authentification forte nécessite des authentifiants qui résistent aux attaques par réinsertion et utilisent l’authentification multifactorielle. Les authentifiants puissants comprennent, par exemple, l’ICP, où les certificats sont stockés sur un jeton protégé par un mot de passe, une phrase de passe ou des données biométriques. L’application des exigences du contrôle MA-4 est assurée en partie par d’autres contrôles. Contrôles connexes : AC-2, AC-3, AC-6, AC-17, AU-2, AU-3, IA-2, IA-4, IA-5, IA-8, MA-2, MA-5, MP-6, PL-2, SC-7, SC-10, SC-17</t>
  </si>
  <si>
    <t xml:space="preserve">TEST-MA-4</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</si>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</sst>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left" vertical="center"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general" vertical="bottom" textRotation="0" wrapText="false" indent="0" shrinkToFit="false"/>
      <protection locked="true" hidden="false"/>
    </xf>
    <xf numFmtId="165" fontId="9" fillId="4" borderId="1" xfId="0" applyFont="true" applyBorder="true" applyAlignment="true" applyProtection="true">
      <alignment horizontal="center" vertical="bottom" textRotation="0" wrapText="false" indent="0" shrinkToFit="false"/>
      <protection locked="true" hidden="false"/>
    </xf>
    <xf numFmtId="166" fontId="9" fillId="4"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8" fillId="5"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C3D69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0</v>
      </c>
      <c r="B1" s="2"/>
      <c r="C1" s="2"/>
      <c r="D1" s="2"/>
      <c r="E1" s="2"/>
    </row>
    <row r="2" customFormat="false" ht="21.75" hidden="false" customHeight="true" outlineLevel="0" collapsed="false">
      <c r="A2" s="3" t="s">
        <v>1</v>
      </c>
      <c r="B2" s="3" t="s">
        <v>2</v>
      </c>
      <c r="C2" s="3" t="s">
        <v>3</v>
      </c>
      <c r="D2" s="3" t="s">
        <v>4</v>
      </c>
      <c r="E2" s="3" t="s">
        <v>5</v>
      </c>
    </row>
    <row r="3" customFormat="false" ht="18" hidden="false" customHeight="true" outlineLevel="0" collapsed="false">
      <c r="A3" s="4" t="s">
        <v>6</v>
      </c>
      <c r="B3" s="5" t="s">
        <v>7</v>
      </c>
      <c r="C3" s="5"/>
      <c r="D3" s="4" t="s">
        <v>6</v>
      </c>
      <c r="E3" s="4" t="str">
        <f aca="false">'AC-2'!B20</f>
        <v>Not Started</v>
      </c>
    </row>
    <row r="4" customFormat="false" ht="18" hidden="false" customHeight="true" outlineLevel="0" collapsed="false">
      <c r="A4" s="4" t="s">
        <v>8</v>
      </c>
      <c r="B4" s="5" t="s">
        <v>7</v>
      </c>
      <c r="C4" s="5"/>
      <c r="D4" s="4" t="s">
        <v>9</v>
      </c>
      <c r="E4" s="4" t="str">
        <f aca="false">'AC-2-1'!B20</f>
        <v>Not Started</v>
      </c>
    </row>
    <row r="5" customFormat="false" ht="18" hidden="false" customHeight="true" outlineLevel="0" collapsed="false">
      <c r="A5" s="4" t="s">
        <v>10</v>
      </c>
      <c r="B5" s="5" t="s">
        <v>7</v>
      </c>
      <c r="C5" s="5"/>
      <c r="D5" s="4" t="s">
        <v>11</v>
      </c>
      <c r="E5" s="4" t="str">
        <f aca="false">'AC-2-2'!B20</f>
        <v>Not Started</v>
      </c>
    </row>
    <row r="6" customFormat="false" ht="18" hidden="false" customHeight="true" outlineLevel="0" collapsed="false">
      <c r="A6" s="4" t="s">
        <v>12</v>
      </c>
      <c r="B6" s="5" t="s">
        <v>7</v>
      </c>
      <c r="C6" s="5"/>
      <c r="D6" s="4" t="s">
        <v>13</v>
      </c>
      <c r="E6" s="4" t="str">
        <f aca="false">'AC-2-3'!B20</f>
        <v>Not Started</v>
      </c>
    </row>
    <row r="7" customFormat="false" ht="18" hidden="false" customHeight="true" outlineLevel="0" collapsed="false">
      <c r="A7" s="4" t="s">
        <v>14</v>
      </c>
      <c r="B7" s="5" t="s">
        <v>7</v>
      </c>
      <c r="C7" s="5"/>
      <c r="D7" s="4" t="s">
        <v>15</v>
      </c>
      <c r="E7" s="4" t="str">
        <f aca="false">'AC-2-4'!B20</f>
        <v>Not Started</v>
      </c>
    </row>
    <row r="8" customFormat="false" ht="18" hidden="false" customHeight="true" outlineLevel="0" collapsed="false">
      <c r="A8" s="4" t="s">
        <v>16</v>
      </c>
      <c r="B8" s="5" t="s">
        <v>7</v>
      </c>
      <c r="C8" s="5"/>
      <c r="D8" s="4" t="s">
        <v>17</v>
      </c>
      <c r="E8" s="4" t="str">
        <f aca="false">'AC-2-5'!B20</f>
        <v>Not Started</v>
      </c>
    </row>
    <row r="9" customFormat="false" ht="18" hidden="false" customHeight="true" outlineLevel="0" collapsed="false">
      <c r="A9" s="4" t="s">
        <v>18</v>
      </c>
      <c r="B9" s="5" t="s">
        <v>7</v>
      </c>
      <c r="C9" s="5"/>
      <c r="D9" s="4" t="s">
        <v>19</v>
      </c>
      <c r="E9" s="4" t="str">
        <f aca="false">'AC-2-7'!B20</f>
        <v>Not Started</v>
      </c>
    </row>
    <row r="10" customFormat="false" ht="18" hidden="false" customHeight="true" outlineLevel="0" collapsed="false">
      <c r="A10" s="4" t="s">
        <v>20</v>
      </c>
      <c r="B10" s="5" t="s">
        <v>21</v>
      </c>
      <c r="C10" s="5"/>
      <c r="D10" s="4" t="s">
        <v>20</v>
      </c>
      <c r="E10" s="4" t="str">
        <f aca="false">'AC-3'!B20</f>
        <v>Not Started</v>
      </c>
    </row>
    <row r="11" customFormat="false" ht="18" hidden="false" customHeight="true" outlineLevel="0" collapsed="false">
      <c r="A11" s="4" t="s">
        <v>22</v>
      </c>
      <c r="B11" s="5" t="s">
        <v>23</v>
      </c>
      <c r="C11" s="5"/>
      <c r="D11" s="4" t="s">
        <v>22</v>
      </c>
      <c r="E11" s="4" t="str">
        <f aca="false">'AC-6'!B20</f>
        <v>Not Started</v>
      </c>
    </row>
    <row r="12" customFormat="false" ht="18" hidden="false" customHeight="true" outlineLevel="0" collapsed="false">
      <c r="A12" s="4" t="s">
        <v>24</v>
      </c>
      <c r="B12" s="5" t="s">
        <v>23</v>
      </c>
      <c r="C12" s="5"/>
      <c r="D12" s="4" t="s">
        <v>25</v>
      </c>
      <c r="E12" s="4" t="str">
        <f aca="false">'AC-6-1'!B20</f>
        <v>Not Started</v>
      </c>
    </row>
    <row r="13" customFormat="false" ht="18" hidden="false" customHeight="true" outlineLevel="0" collapsed="false">
      <c r="A13" s="4" t="s">
        <v>26</v>
      </c>
      <c r="B13" s="5" t="s">
        <v>23</v>
      </c>
      <c r="C13" s="5"/>
      <c r="D13" s="4" t="s">
        <v>27</v>
      </c>
      <c r="E13" s="4" t="str">
        <f aca="false">'AC-6-9'!B20</f>
        <v>Not Started</v>
      </c>
    </row>
    <row r="14" customFormat="false" ht="18" hidden="false" customHeight="true" outlineLevel="0" collapsed="false">
      <c r="A14" s="4" t="s">
        <v>28</v>
      </c>
      <c r="B14" s="5" t="s">
        <v>23</v>
      </c>
      <c r="C14" s="5"/>
      <c r="D14" s="4" t="s">
        <v>29</v>
      </c>
      <c r="E14" s="4" t="str">
        <f aca="false">'AC-6-10'!B20</f>
        <v>Not Started</v>
      </c>
    </row>
    <row r="15" customFormat="false" ht="18" hidden="false" customHeight="true" outlineLevel="0" collapsed="false">
      <c r="A15" s="4" t="s">
        <v>30</v>
      </c>
      <c r="B15" s="5" t="s">
        <v>31</v>
      </c>
      <c r="C15" s="5"/>
      <c r="D15" s="4" t="s">
        <v>30</v>
      </c>
      <c r="E15" s="4" t="str">
        <f aca="false">'AC-7'!B20</f>
        <v>Not Started</v>
      </c>
    </row>
    <row r="16" customFormat="false" ht="18" hidden="false" customHeight="true" outlineLevel="0" collapsed="false">
      <c r="A16" s="4" t="s">
        <v>32</v>
      </c>
      <c r="B16" s="5" t="s">
        <v>33</v>
      </c>
      <c r="C16" s="5"/>
      <c r="D16" s="4" t="s">
        <v>32</v>
      </c>
      <c r="E16" s="4" t="str">
        <f aca="false">'AC-10'!B20</f>
        <v>Not Started</v>
      </c>
    </row>
    <row r="17" customFormat="false" ht="18" hidden="false" customHeight="true" outlineLevel="0" collapsed="false">
      <c r="A17" s="4" t="s">
        <v>34</v>
      </c>
      <c r="B17" s="5" t="s">
        <v>35</v>
      </c>
      <c r="C17" s="5"/>
      <c r="D17" s="4" t="s">
        <v>34</v>
      </c>
      <c r="E17" s="4" t="str">
        <f aca="false">'AC-11'!B20</f>
        <v>Not Started</v>
      </c>
    </row>
    <row r="18" customFormat="false" ht="18" hidden="false" customHeight="true" outlineLevel="0" collapsed="false">
      <c r="A18" s="4" t="s">
        <v>36</v>
      </c>
      <c r="B18" s="5" t="s">
        <v>37</v>
      </c>
      <c r="C18" s="5"/>
      <c r="D18" s="4" t="s">
        <v>38</v>
      </c>
      <c r="E18" s="4" t="str">
        <f aca="false">'AC-17-1'!B20</f>
        <v>Not Started</v>
      </c>
    </row>
    <row r="19" customFormat="false" ht="18" hidden="false" customHeight="true" outlineLevel="0" collapsed="false">
      <c r="A19" s="4" t="s">
        <v>39</v>
      </c>
      <c r="B19" s="5" t="s">
        <v>37</v>
      </c>
      <c r="C19" s="5"/>
      <c r="D19" s="4" t="s">
        <v>40</v>
      </c>
      <c r="E19" s="4" t="str">
        <f aca="false">'AC-17-9'!B20</f>
        <v>Not Started</v>
      </c>
    </row>
    <row r="20" customFormat="false" ht="18" hidden="false" customHeight="true" outlineLevel="0" collapsed="false">
      <c r="A20" s="4" t="s">
        <v>41</v>
      </c>
      <c r="B20" s="5" t="s">
        <v>42</v>
      </c>
      <c r="C20" s="5"/>
      <c r="D20" s="4" t="s">
        <v>41</v>
      </c>
      <c r="E20" s="4" t="str">
        <f aca="false">'AC-21'!B20</f>
        <v>Not Started</v>
      </c>
    </row>
    <row r="21" customFormat="false" ht="18" hidden="false" customHeight="true" outlineLevel="0" collapsed="false">
      <c r="A21" s="4" t="s">
        <v>43</v>
      </c>
      <c r="B21" s="5" t="s">
        <v>44</v>
      </c>
      <c r="C21" s="5"/>
      <c r="D21" s="4" t="s">
        <v>43</v>
      </c>
      <c r="E21" s="4" t="str">
        <f aca="false">'AU-2'!B20</f>
        <v>Not Started</v>
      </c>
    </row>
    <row r="22" customFormat="false" ht="18" hidden="false" customHeight="true" outlineLevel="0" collapsed="false">
      <c r="A22" s="4" t="s">
        <v>45</v>
      </c>
      <c r="B22" s="5" t="s">
        <v>46</v>
      </c>
      <c r="C22" s="5"/>
      <c r="D22" s="4" t="s">
        <v>45</v>
      </c>
      <c r="E22" s="4" t="str">
        <f aca="false">'AU-3'!B20</f>
        <v>Not Started</v>
      </c>
    </row>
    <row r="23" customFormat="false" ht="18" hidden="false" customHeight="true" outlineLevel="0" collapsed="false">
      <c r="A23" s="4" t="s">
        <v>47</v>
      </c>
      <c r="B23" s="5" t="s">
        <v>46</v>
      </c>
      <c r="C23" s="5"/>
      <c r="D23" s="4" t="s">
        <v>48</v>
      </c>
      <c r="E23" s="4" t="str">
        <f aca="false">'AU-3-1'!B20</f>
        <v>Not Started</v>
      </c>
    </row>
    <row r="24" customFormat="false" ht="18" hidden="false" customHeight="true" outlineLevel="0" collapsed="false">
      <c r="A24" s="4" t="s">
        <v>49</v>
      </c>
      <c r="B24" s="5" t="s">
        <v>50</v>
      </c>
      <c r="C24" s="5"/>
      <c r="D24" s="4" t="s">
        <v>49</v>
      </c>
      <c r="E24" s="4" t="str">
        <f aca="false">'AU-9'!B20</f>
        <v>Not Started</v>
      </c>
    </row>
    <row r="25" customFormat="false" ht="18" hidden="false" customHeight="true" outlineLevel="0" collapsed="false">
      <c r="A25" s="4" t="s">
        <v>51</v>
      </c>
      <c r="B25" s="5" t="s">
        <v>50</v>
      </c>
      <c r="C25" s="5"/>
      <c r="D25" s="4" t="s">
        <v>52</v>
      </c>
      <c r="E25" s="4" t="str">
        <f aca="false">'AU-9-2'!B20</f>
        <v>Not Started</v>
      </c>
    </row>
    <row r="26" customFormat="false" ht="18" hidden="false" customHeight="true" outlineLevel="0" collapsed="false">
      <c r="A26" s="4" t="s">
        <v>53</v>
      </c>
      <c r="B26" s="5" t="s">
        <v>50</v>
      </c>
      <c r="C26" s="5"/>
      <c r="D26" s="4" t="s">
        <v>54</v>
      </c>
      <c r="E26" s="4" t="str">
        <f aca="false">'AU-9-4'!B20</f>
        <v>Not Started</v>
      </c>
    </row>
    <row r="27" customFormat="false" ht="18" hidden="false" customHeight="true" outlineLevel="0" collapsed="false">
      <c r="A27" s="4" t="s">
        <v>55</v>
      </c>
      <c r="B27" s="5" t="s">
        <v>56</v>
      </c>
      <c r="C27" s="5"/>
      <c r="D27" s="4" t="s">
        <v>55</v>
      </c>
      <c r="E27" s="4" t="str">
        <f aca="false">'AU-12'!B20</f>
        <v>Not Started</v>
      </c>
    </row>
    <row r="28" customFormat="false" ht="18" hidden="false" customHeight="true" outlineLevel="0" collapsed="false">
      <c r="A28" s="4" t="s">
        <v>57</v>
      </c>
      <c r="B28" s="5" t="s">
        <v>58</v>
      </c>
      <c r="C28" s="5"/>
      <c r="D28" s="4" t="s">
        <v>59</v>
      </c>
      <c r="E28" s="4" t="str">
        <f aca="false">'CM-5-1'!B20</f>
        <v>Not Started</v>
      </c>
    </row>
    <row r="29" customFormat="false" ht="18" hidden="false" customHeight="true" outlineLevel="0" collapsed="false">
      <c r="A29" s="4" t="s">
        <v>60</v>
      </c>
      <c r="B29" s="5" t="s">
        <v>58</v>
      </c>
      <c r="C29" s="5"/>
      <c r="D29" s="4" t="s">
        <v>61</v>
      </c>
      <c r="E29" s="4" t="str">
        <f aca="false">'CM-5-5'!B20</f>
        <v>Not Started</v>
      </c>
    </row>
    <row r="30" customFormat="false" ht="18" hidden="false" customHeight="true" outlineLevel="0" collapsed="false">
      <c r="A30" s="4" t="s">
        <v>62</v>
      </c>
      <c r="B30" s="5" t="s">
        <v>58</v>
      </c>
      <c r="C30" s="5"/>
      <c r="D30" s="4" t="s">
        <v>63</v>
      </c>
      <c r="E30" s="4" t="str">
        <f aca="false">'CM-5-6'!B20</f>
        <v>Not Started</v>
      </c>
    </row>
    <row r="31" customFormat="false" ht="18" hidden="false" customHeight="true" outlineLevel="0" collapsed="false">
      <c r="A31" s="4" t="s">
        <v>64</v>
      </c>
      <c r="B31" s="5" t="s">
        <v>65</v>
      </c>
      <c r="C31" s="5"/>
      <c r="D31" s="4" t="s">
        <v>64</v>
      </c>
      <c r="E31" s="4" t="str">
        <f aca="false">'CM-6'!B20</f>
        <v>Not Started</v>
      </c>
    </row>
    <row r="32" customFormat="false" ht="18" hidden="false" customHeight="true" outlineLevel="0" collapsed="false">
      <c r="A32" s="4" t="s">
        <v>66</v>
      </c>
      <c r="B32" s="5" t="s">
        <v>67</v>
      </c>
      <c r="C32" s="5"/>
      <c r="D32" s="4" t="s">
        <v>66</v>
      </c>
      <c r="E32" s="4" t="str">
        <f aca="false">'CM-7'!B20</f>
        <v>Not Started</v>
      </c>
    </row>
    <row r="33" customFormat="false" ht="18" hidden="false" customHeight="true" outlineLevel="0" collapsed="false">
      <c r="A33" s="4" t="s">
        <v>68</v>
      </c>
      <c r="B33" s="5" t="s">
        <v>67</v>
      </c>
      <c r="C33" s="5"/>
      <c r="D33" s="4" t="s">
        <v>69</v>
      </c>
      <c r="E33" s="4" t="str">
        <f aca="false">'CM-7-1'!B20</f>
        <v>Not Started</v>
      </c>
    </row>
    <row r="34" customFormat="false" ht="18" hidden="false" customHeight="true" outlineLevel="0" collapsed="false">
      <c r="A34" s="4" t="s">
        <v>70</v>
      </c>
      <c r="B34" s="5" t="s">
        <v>71</v>
      </c>
      <c r="C34" s="5"/>
      <c r="D34" s="4" t="s">
        <v>70</v>
      </c>
      <c r="E34" s="4" t="str">
        <f aca="false">'CP-7'!B20</f>
        <v>Not Started</v>
      </c>
    </row>
    <row r="35" customFormat="false" ht="18" hidden="false" customHeight="true" outlineLevel="0" collapsed="false">
      <c r="A35" s="4" t="s">
        <v>72</v>
      </c>
      <c r="B35" s="5" t="s">
        <v>71</v>
      </c>
      <c r="C35" s="5"/>
      <c r="D35" s="4" t="s">
        <v>73</v>
      </c>
      <c r="E35" s="4" t="str">
        <f aca="false">'CP-7-4'!B20</f>
        <v>Not Started</v>
      </c>
    </row>
    <row r="36" customFormat="false" ht="18" hidden="false" customHeight="true" outlineLevel="0" collapsed="false">
      <c r="A36" s="4" t="s">
        <v>74</v>
      </c>
      <c r="B36" s="5" t="s">
        <v>75</v>
      </c>
      <c r="C36" s="5"/>
      <c r="D36" s="4" t="s">
        <v>74</v>
      </c>
      <c r="E36" s="4" t="str">
        <f aca="false">'CP-10'!B20</f>
        <v>Not Started</v>
      </c>
    </row>
    <row r="37" customFormat="false" ht="18" hidden="false" customHeight="true" outlineLevel="0" collapsed="false">
      <c r="A37" s="4" t="s">
        <v>76</v>
      </c>
      <c r="B37" s="5" t="s">
        <v>75</v>
      </c>
      <c r="C37" s="5"/>
      <c r="D37" s="4" t="s">
        <v>77</v>
      </c>
      <c r="E37" s="4" t="str">
        <f aca="false">'CP-10-4'!B20</f>
        <v>Not Started</v>
      </c>
    </row>
    <row r="38" customFormat="false" ht="18" hidden="false" customHeight="true" outlineLevel="0" collapsed="false">
      <c r="A38" s="4" t="s">
        <v>78</v>
      </c>
      <c r="B38" s="5" t="s">
        <v>79</v>
      </c>
      <c r="C38" s="5"/>
      <c r="D38" s="4" t="s">
        <v>78</v>
      </c>
      <c r="E38" s="4" t="str">
        <f aca="false">'IA-2'!B20</f>
        <v>Not Started</v>
      </c>
    </row>
    <row r="39" customFormat="false" ht="18" hidden="false" customHeight="true" outlineLevel="0" collapsed="false">
      <c r="A39" s="4" t="s">
        <v>80</v>
      </c>
      <c r="B39" s="5" t="s">
        <v>79</v>
      </c>
      <c r="C39" s="5"/>
      <c r="D39" s="4" t="s">
        <v>81</v>
      </c>
      <c r="E39" s="4" t="str">
        <f aca="false">'IA-2-1'!B20</f>
        <v>Not Started</v>
      </c>
    </row>
    <row r="40" customFormat="false" ht="18" hidden="false" customHeight="true" outlineLevel="0" collapsed="false">
      <c r="A40" s="4" t="s">
        <v>82</v>
      </c>
      <c r="B40" s="5" t="s">
        <v>79</v>
      </c>
      <c r="C40" s="5"/>
      <c r="D40" s="4" t="s">
        <v>83</v>
      </c>
      <c r="E40" s="4" t="str">
        <f aca="false">'IA-2-3'!B20</f>
        <v>Not Started</v>
      </c>
    </row>
    <row r="41" customFormat="false" ht="18" hidden="false" customHeight="true" outlineLevel="0" collapsed="false">
      <c r="A41" s="4" t="s">
        <v>84</v>
      </c>
      <c r="B41" s="5" t="s">
        <v>79</v>
      </c>
      <c r="C41" s="5"/>
      <c r="D41" s="4" t="s">
        <v>85</v>
      </c>
      <c r="E41" s="4" t="str">
        <f aca="false">'IA-2-6'!B20</f>
        <v>Not Started</v>
      </c>
    </row>
    <row r="42" customFormat="false" ht="18" hidden="false" customHeight="true" outlineLevel="0" collapsed="false">
      <c r="A42" s="4" t="s">
        <v>86</v>
      </c>
      <c r="B42" s="5" t="s">
        <v>79</v>
      </c>
      <c r="C42" s="5"/>
      <c r="D42" s="4" t="s">
        <v>87</v>
      </c>
      <c r="E42" s="4" t="str">
        <f aca="false">'IA-2-8'!B20</f>
        <v>Not Started</v>
      </c>
    </row>
    <row r="43" customFormat="false" ht="18" hidden="false" customHeight="true" outlineLevel="0" collapsed="false">
      <c r="A43" s="4" t="s">
        <v>88</v>
      </c>
      <c r="B43" s="5" t="s">
        <v>79</v>
      </c>
      <c r="C43" s="5"/>
      <c r="D43" s="4" t="s">
        <v>89</v>
      </c>
      <c r="E43" s="4" t="str">
        <f aca="false">'IA-2-11'!B20</f>
        <v>Not Started</v>
      </c>
    </row>
    <row r="44" customFormat="false" ht="18" hidden="false" customHeight="true" outlineLevel="0" collapsed="false">
      <c r="A44" s="4" t="s">
        <v>90</v>
      </c>
      <c r="B44" s="5" t="s">
        <v>91</v>
      </c>
      <c r="C44" s="5"/>
      <c r="D44" s="4" t="s">
        <v>90</v>
      </c>
      <c r="E44" s="4" t="str">
        <f aca="false">'IA-4'!B20</f>
        <v>Not Started</v>
      </c>
    </row>
    <row r="45" customFormat="false" ht="18" hidden="false" customHeight="true" outlineLevel="0" collapsed="false">
      <c r="A45" s="4" t="s">
        <v>92</v>
      </c>
      <c r="B45" s="5" t="s">
        <v>93</v>
      </c>
      <c r="C45" s="5"/>
      <c r="D45" s="4" t="s">
        <v>92</v>
      </c>
      <c r="E45" s="4" t="str">
        <f aca="false">'IA-5'!B20</f>
        <v>Not Started</v>
      </c>
    </row>
    <row r="46" customFormat="false" ht="18" hidden="false" customHeight="true" outlineLevel="0" collapsed="false">
      <c r="A46" s="4" t="s">
        <v>94</v>
      </c>
      <c r="B46" s="5" t="s">
        <v>93</v>
      </c>
      <c r="C46" s="5"/>
      <c r="D46" s="4" t="s">
        <v>95</v>
      </c>
      <c r="E46" s="4" t="str">
        <f aca="false">'IA-5-1'!B20</f>
        <v>Not Started</v>
      </c>
    </row>
    <row r="47" customFormat="false" ht="18" hidden="false" customHeight="true" outlineLevel="0" collapsed="false">
      <c r="A47" s="4" t="s">
        <v>96</v>
      </c>
      <c r="B47" s="5" t="s">
        <v>93</v>
      </c>
      <c r="C47" s="5"/>
      <c r="D47" s="4" t="s">
        <v>97</v>
      </c>
      <c r="E47" s="4" t="str">
        <f aca="false">'IA-5-2'!B20</f>
        <v>Not Started</v>
      </c>
    </row>
    <row r="48" customFormat="false" ht="18" hidden="false" customHeight="true" outlineLevel="0" collapsed="false">
      <c r="A48" s="4" t="s">
        <v>98</v>
      </c>
      <c r="B48" s="5" t="s">
        <v>93</v>
      </c>
      <c r="C48" s="5"/>
      <c r="D48" s="4" t="s">
        <v>99</v>
      </c>
      <c r="E48" s="4" t="str">
        <f aca="false">'IA-5-4'!B20</f>
        <v>Not Started</v>
      </c>
    </row>
    <row r="49" customFormat="false" ht="18" hidden="false" customHeight="true" outlineLevel="0" collapsed="false">
      <c r="A49" s="4" t="s">
        <v>100</v>
      </c>
      <c r="B49" s="5" t="s">
        <v>93</v>
      </c>
      <c r="C49" s="5"/>
      <c r="D49" s="4" t="s">
        <v>101</v>
      </c>
      <c r="E49" s="4" t="str">
        <f aca="false">'IA-5-6'!B20</f>
        <v>Not Started</v>
      </c>
    </row>
    <row r="50" customFormat="false" ht="18" hidden="false" customHeight="true" outlineLevel="0" collapsed="false">
      <c r="A50" s="4" t="s">
        <v>102</v>
      </c>
      <c r="B50" s="5" t="s">
        <v>103</v>
      </c>
      <c r="C50" s="5"/>
      <c r="D50" s="4" t="s">
        <v>102</v>
      </c>
      <c r="E50" s="4" t="str">
        <f aca="false">'IA-6'!B20</f>
        <v>Not Started</v>
      </c>
    </row>
    <row r="51" customFormat="false" ht="18" hidden="false" customHeight="true" outlineLevel="0" collapsed="false">
      <c r="A51" s="4" t="s">
        <v>104</v>
      </c>
      <c r="B51" s="5" t="s">
        <v>105</v>
      </c>
      <c r="C51" s="5"/>
      <c r="D51" s="4" t="s">
        <v>104</v>
      </c>
      <c r="E51" s="4" t="str">
        <f aca="false">'IA-7'!B20</f>
        <v>Not Started</v>
      </c>
    </row>
    <row r="52" customFormat="false" ht="18" hidden="false" customHeight="true" outlineLevel="0" collapsed="false">
      <c r="A52" s="4" t="s">
        <v>106</v>
      </c>
      <c r="B52" s="5" t="s">
        <v>107</v>
      </c>
      <c r="C52" s="5"/>
      <c r="D52" s="4" t="s">
        <v>106</v>
      </c>
      <c r="E52" s="4" t="str">
        <f aca="false">'IA-8'!B20</f>
        <v>Not Started</v>
      </c>
    </row>
    <row r="53" customFormat="false" ht="18" hidden="false" customHeight="true" outlineLevel="0" collapsed="false">
      <c r="A53" s="4" t="s">
        <v>108</v>
      </c>
      <c r="B53" s="5" t="s">
        <v>109</v>
      </c>
      <c r="C53" s="5"/>
      <c r="D53" s="4" t="s">
        <v>108</v>
      </c>
      <c r="E53" s="4" t="str">
        <f aca="false">'MA-4'!B20</f>
        <v>Not Started</v>
      </c>
    </row>
    <row r="54" customFormat="false" ht="18" hidden="false" customHeight="true" outlineLevel="0" collapsed="false">
      <c r="A54" s="4" t="s">
        <v>110</v>
      </c>
      <c r="B54" s="5" t="s">
        <v>111</v>
      </c>
      <c r="C54" s="5"/>
      <c r="D54" s="4" t="s">
        <v>112</v>
      </c>
      <c r="E54" s="4" t="str">
        <f aca="false">'SA-9-5'!B20</f>
        <v>Not Started</v>
      </c>
    </row>
    <row r="55" customFormat="false" ht="18" hidden="false" customHeight="true" outlineLevel="0" collapsed="false">
      <c r="A55" s="4" t="s">
        <v>113</v>
      </c>
      <c r="B55" s="5" t="s">
        <v>114</v>
      </c>
      <c r="C55" s="5"/>
      <c r="D55" s="4" t="s">
        <v>113</v>
      </c>
      <c r="E55" s="4" t="str">
        <f aca="false">'SC-13'!B20</f>
        <v>Not Started</v>
      </c>
    </row>
    <row r="56" customFormat="false" ht="18" hidden="false" customHeight="true" outlineLevel="0" collapsed="false">
      <c r="A56" s="4" t="s">
        <v>115</v>
      </c>
      <c r="B56" s="5" t="s">
        <v>116</v>
      </c>
      <c r="C56" s="5"/>
      <c r="D56" s="4" t="s">
        <v>117</v>
      </c>
      <c r="E56" s="4" t="str">
        <f aca="false">'SI-4-2'!B20</f>
        <v>Not Started</v>
      </c>
    </row>
    <row r="57" customFormat="false" ht="18" hidden="false" customHeight="true" outlineLevel="0" collapsed="false">
      <c r="A57" s="4" t="s">
        <v>118</v>
      </c>
      <c r="B57" s="5" t="s">
        <v>119</v>
      </c>
      <c r="C57" s="5"/>
      <c r="D57" s="4" t="s">
        <v>118</v>
      </c>
      <c r="E57" s="4" t="str">
        <f aca="false">'SI-6'!B20</f>
        <v>Not Started</v>
      </c>
    </row>
    <row r="59" customFormat="false" ht="21.75" hidden="false" customHeight="true" outlineLevel="0" collapsed="false">
      <c r="A59" s="6" t="s">
        <v>120</v>
      </c>
      <c r="B59" s="6"/>
      <c r="C59" s="6"/>
      <c r="D59" s="6"/>
      <c r="E59" s="6"/>
    </row>
    <row r="60" customFormat="false" ht="19.5" hidden="false" customHeight="true" outlineLevel="0" collapsed="false">
      <c r="A60" s="7" t="s">
        <v>121</v>
      </c>
      <c r="B60" s="7"/>
      <c r="C60" s="7"/>
      <c r="D60" s="7"/>
      <c r="E60" s="8" t="n">
        <f aca="false">55</f>
        <v>55</v>
      </c>
    </row>
    <row r="61" customFormat="false" ht="19.5" hidden="false" customHeight="true" outlineLevel="0" collapsed="false">
      <c r="A61" s="7" t="s">
        <v>122</v>
      </c>
      <c r="B61" s="7"/>
      <c r="C61" s="7"/>
      <c r="D61" s="7"/>
      <c r="E61" s="8" t="n">
        <f aca="false">COUNTIF(E3:E57,"Not Started")</f>
        <v>55</v>
      </c>
    </row>
    <row r="62" customFormat="false" ht="19.5" hidden="false" customHeight="true" outlineLevel="0" collapsed="false">
      <c r="A62" s="7" t="s">
        <v>123</v>
      </c>
      <c r="B62" s="7"/>
      <c r="C62" s="7"/>
      <c r="D62" s="7"/>
      <c r="E62" s="8" t="n">
        <f aca="false">COUNTIF(E3:E57,"In Progress")</f>
        <v>0</v>
      </c>
    </row>
    <row r="63" customFormat="false" ht="19.5" hidden="false" customHeight="true" outlineLevel="0" collapsed="false">
      <c r="A63" s="7" t="s">
        <v>124</v>
      </c>
      <c r="B63" s="7"/>
      <c r="C63" s="7"/>
      <c r="D63" s="7"/>
      <c r="E63" s="8" t="n">
        <f aca="false">COUNTIF(E3:E57,"Evidence Provided")</f>
        <v>0</v>
      </c>
    </row>
    <row r="64" customFormat="false" ht="19.5" hidden="false" customHeight="true" outlineLevel="0" collapsed="false">
      <c r="A64" s="7" t="s">
        <v>125</v>
      </c>
      <c r="B64" s="7"/>
      <c r="C64" s="7"/>
      <c r="D64" s="7"/>
      <c r="E64" s="8" t="n">
        <f aca="false">COUNTIF(E3:E57,"Under Review")</f>
        <v>0</v>
      </c>
    </row>
    <row r="65" customFormat="false" ht="19.5" hidden="false" customHeight="true" outlineLevel="0" collapsed="false">
      <c r="A65" s="7" t="s">
        <v>126</v>
      </c>
      <c r="B65" s="7"/>
      <c r="C65" s="7"/>
      <c r="D65" s="7"/>
      <c r="E65" s="8" t="n">
        <f aca="false">COUNTIF(E3:E57,"Passed")</f>
        <v>0</v>
      </c>
    </row>
    <row r="66" customFormat="false" ht="19.5" hidden="false" customHeight="true" outlineLevel="0" collapsed="false">
      <c r="A66" s="7" t="s">
        <v>127</v>
      </c>
      <c r="B66" s="7"/>
      <c r="C66" s="7"/>
      <c r="D66" s="7"/>
      <c r="E66" s="8" t="n">
        <f aca="false">COUNTIF(E3:E57,"Failed")</f>
        <v>0</v>
      </c>
    </row>
    <row r="67" customFormat="false" ht="19.5" hidden="false" customHeight="true" outlineLevel="0" collapsed="false">
      <c r="A67" s="7" t="s">
        <v>128</v>
      </c>
      <c r="B67" s="7"/>
      <c r="C67" s="7"/>
      <c r="D67" s="7"/>
      <c r="E67" s="8" t="n">
        <f aca="false">COUNTIF(E3:E57,"Accepted Exception")</f>
        <v>0</v>
      </c>
    </row>
    <row r="68" customFormat="false" ht="19.5" hidden="false" customHeight="true" outlineLevel="0" collapsed="false">
      <c r="A68" s="7" t="s">
        <v>129</v>
      </c>
      <c r="B68" s="7"/>
      <c r="C68" s="7"/>
      <c r="D68" s="7"/>
      <c r="E68" s="9" t="n">
        <f aca="false">IFERROR(COUNTIF(E3:E57,"Passed")/55,0)</f>
        <v>0</v>
      </c>
    </row>
    <row r="69" customFormat="false" ht="19.5" hidden="false" customHeight="true" outlineLevel="0" collapsed="false">
      <c r="A69" s="7" t="s">
        <v>130</v>
      </c>
      <c r="B69" s="7"/>
      <c r="C69" s="7"/>
      <c r="D69" s="7"/>
      <c r="E69" s="9" t="n">
        <f aca="false">IFERROR(COUNTIF(E3:E57,"Not Started")/55,0)</f>
        <v>1</v>
      </c>
    </row>
  </sheetData>
  <mergeCells count="12">
    <mergeCell ref="A1:E1"/>
    <mergeCell ref="A59:E59"/>
    <mergeCell ref="A60:D60"/>
    <mergeCell ref="A61:D61"/>
    <mergeCell ref="A62:D62"/>
    <mergeCell ref="A63:D63"/>
    <mergeCell ref="A64:D64"/>
    <mergeCell ref="A65:D65"/>
    <mergeCell ref="A66:D66"/>
    <mergeCell ref="A67:D67"/>
    <mergeCell ref="A68:D68"/>
    <mergeCell ref="A69:D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131</v>
      </c>
      <c r="B1" s="2"/>
      <c r="C1" s="2"/>
      <c r="D1" s="2"/>
      <c r="E1" s="2"/>
    </row>
    <row r="2" customFormat="false" ht="21.75" hidden="false" customHeight="true" outlineLevel="0" collapsed="false">
      <c r="A2" s="3" t="s">
        <v>132</v>
      </c>
      <c r="B2" s="3" t="s">
        <v>133</v>
      </c>
      <c r="C2" s="3" t="s">
        <v>134</v>
      </c>
      <c r="D2" s="3" t="s">
        <v>135</v>
      </c>
      <c r="E2" s="3" t="s">
        <v>136</v>
      </c>
    </row>
    <row r="3" customFormat="false" ht="18" hidden="false" customHeight="true" outlineLevel="0" collapsed="false">
      <c r="A3" s="4" t="s">
        <v>6</v>
      </c>
      <c r="B3" s="5" t="s">
        <v>137</v>
      </c>
      <c r="C3" s="5"/>
      <c r="D3" s="4" t="s">
        <v>6</v>
      </c>
      <c r="E3" s="4" t="str">
        <f aca="false">'AC-2'!E20</f>
        <v>Non commencé</v>
      </c>
    </row>
    <row r="4" customFormat="false" ht="18" hidden="false" customHeight="true" outlineLevel="0" collapsed="false">
      <c r="A4" s="4" t="s">
        <v>8</v>
      </c>
      <c r="B4" s="5" t="s">
        <v>137</v>
      </c>
      <c r="C4" s="5"/>
      <c r="D4" s="4" t="s">
        <v>9</v>
      </c>
      <c r="E4" s="4" t="str">
        <f aca="false">'AC-2-1'!E20</f>
        <v>Non commencé</v>
      </c>
    </row>
    <row r="5" customFormat="false" ht="18" hidden="false" customHeight="true" outlineLevel="0" collapsed="false">
      <c r="A5" s="4" t="s">
        <v>10</v>
      </c>
      <c r="B5" s="5" t="s">
        <v>137</v>
      </c>
      <c r="C5" s="5"/>
      <c r="D5" s="4" t="s">
        <v>11</v>
      </c>
      <c r="E5" s="4" t="str">
        <f aca="false">'AC-2-2'!E20</f>
        <v>Non commencé</v>
      </c>
    </row>
    <row r="6" customFormat="false" ht="18" hidden="false" customHeight="true" outlineLevel="0" collapsed="false">
      <c r="A6" s="4" t="s">
        <v>12</v>
      </c>
      <c r="B6" s="5" t="s">
        <v>137</v>
      </c>
      <c r="C6" s="5"/>
      <c r="D6" s="4" t="s">
        <v>13</v>
      </c>
      <c r="E6" s="4" t="str">
        <f aca="false">'AC-2-3'!E20</f>
        <v>Non commencé</v>
      </c>
    </row>
    <row r="7" customFormat="false" ht="18" hidden="false" customHeight="true" outlineLevel="0" collapsed="false">
      <c r="A7" s="4" t="s">
        <v>14</v>
      </c>
      <c r="B7" s="5" t="s">
        <v>137</v>
      </c>
      <c r="C7" s="5"/>
      <c r="D7" s="4" t="s">
        <v>15</v>
      </c>
      <c r="E7" s="4" t="str">
        <f aca="false">'AC-2-4'!E20</f>
        <v>Non commencé</v>
      </c>
    </row>
    <row r="8" customFormat="false" ht="18" hidden="false" customHeight="true" outlineLevel="0" collapsed="false">
      <c r="A8" s="4" t="s">
        <v>16</v>
      </c>
      <c r="B8" s="5" t="s">
        <v>137</v>
      </c>
      <c r="C8" s="5"/>
      <c r="D8" s="4" t="s">
        <v>17</v>
      </c>
      <c r="E8" s="4" t="str">
        <f aca="false">'AC-2-5'!E20</f>
        <v>Non commencé</v>
      </c>
    </row>
    <row r="9" customFormat="false" ht="18" hidden="false" customHeight="true" outlineLevel="0" collapsed="false">
      <c r="A9" s="4" t="s">
        <v>18</v>
      </c>
      <c r="B9" s="5" t="s">
        <v>137</v>
      </c>
      <c r="C9" s="5"/>
      <c r="D9" s="4" t="s">
        <v>19</v>
      </c>
      <c r="E9" s="4" t="str">
        <f aca="false">'AC-2-7'!E20</f>
        <v>Non commencé</v>
      </c>
    </row>
    <row r="10" customFormat="false" ht="18" hidden="false" customHeight="true" outlineLevel="0" collapsed="false">
      <c r="A10" s="4" t="s">
        <v>20</v>
      </c>
      <c r="B10" s="5" t="s">
        <v>138</v>
      </c>
      <c r="C10" s="5"/>
      <c r="D10" s="4" t="s">
        <v>20</v>
      </c>
      <c r="E10" s="4" t="str">
        <f aca="false">'AC-3'!E20</f>
        <v>Non commencé</v>
      </c>
    </row>
    <row r="11" customFormat="false" ht="18" hidden="false" customHeight="true" outlineLevel="0" collapsed="false">
      <c r="A11" s="4" t="s">
        <v>22</v>
      </c>
      <c r="B11" s="5" t="s">
        <v>139</v>
      </c>
      <c r="C11" s="5"/>
      <c r="D11" s="4" t="s">
        <v>22</v>
      </c>
      <c r="E11" s="4" t="str">
        <f aca="false">'AC-6'!E20</f>
        <v>Non commencé</v>
      </c>
    </row>
    <row r="12" customFormat="false" ht="18" hidden="false" customHeight="true" outlineLevel="0" collapsed="false">
      <c r="A12" s="4" t="s">
        <v>24</v>
      </c>
      <c r="B12" s="5" t="s">
        <v>139</v>
      </c>
      <c r="C12" s="5"/>
      <c r="D12" s="4" t="s">
        <v>25</v>
      </c>
      <c r="E12" s="4" t="str">
        <f aca="false">'AC-6-1'!E20</f>
        <v>Non commencé</v>
      </c>
    </row>
    <row r="13" customFormat="false" ht="18" hidden="false" customHeight="true" outlineLevel="0" collapsed="false">
      <c r="A13" s="4" t="s">
        <v>26</v>
      </c>
      <c r="B13" s="5" t="s">
        <v>139</v>
      </c>
      <c r="C13" s="5"/>
      <c r="D13" s="4" t="s">
        <v>27</v>
      </c>
      <c r="E13" s="4" t="str">
        <f aca="false">'AC-6-9'!E20</f>
        <v>Non commencé</v>
      </c>
    </row>
    <row r="14" customFormat="false" ht="18" hidden="false" customHeight="true" outlineLevel="0" collapsed="false">
      <c r="A14" s="4" t="s">
        <v>28</v>
      </c>
      <c r="B14" s="5" t="s">
        <v>139</v>
      </c>
      <c r="C14" s="5"/>
      <c r="D14" s="4" t="s">
        <v>29</v>
      </c>
      <c r="E14" s="4" t="str">
        <f aca="false">'AC-6-10'!E20</f>
        <v>Non commencé</v>
      </c>
    </row>
    <row r="15" customFormat="false" ht="18" hidden="false" customHeight="true" outlineLevel="0" collapsed="false">
      <c r="A15" s="4" t="s">
        <v>30</v>
      </c>
      <c r="B15" s="5" t="s">
        <v>140</v>
      </c>
      <c r="C15" s="5"/>
      <c r="D15" s="4" t="s">
        <v>30</v>
      </c>
      <c r="E15" s="4" t="str">
        <f aca="false">'AC-7'!E20</f>
        <v>Non commencé</v>
      </c>
    </row>
    <row r="16" customFormat="false" ht="18" hidden="false" customHeight="true" outlineLevel="0" collapsed="false">
      <c r="A16" s="4" t="s">
        <v>32</v>
      </c>
      <c r="B16" s="5" t="s">
        <v>141</v>
      </c>
      <c r="C16" s="5"/>
      <c r="D16" s="4" t="s">
        <v>32</v>
      </c>
      <c r="E16" s="4" t="str">
        <f aca="false">'AC-10'!E20</f>
        <v>Non commencé</v>
      </c>
    </row>
    <row r="17" customFormat="false" ht="18" hidden="false" customHeight="true" outlineLevel="0" collapsed="false">
      <c r="A17" s="4" t="s">
        <v>34</v>
      </c>
      <c r="B17" s="5" t="s">
        <v>142</v>
      </c>
      <c r="C17" s="5"/>
      <c r="D17" s="4" t="s">
        <v>34</v>
      </c>
      <c r="E17" s="4" t="str">
        <f aca="false">'AC-11'!E20</f>
        <v>Non commencé</v>
      </c>
    </row>
    <row r="18" customFormat="false" ht="18" hidden="false" customHeight="true" outlineLevel="0" collapsed="false">
      <c r="A18" s="4" t="s">
        <v>36</v>
      </c>
      <c r="B18" s="5" t="s">
        <v>143</v>
      </c>
      <c r="C18" s="5"/>
      <c r="D18" s="4" t="s">
        <v>38</v>
      </c>
      <c r="E18" s="4" t="str">
        <f aca="false">'AC-17-1'!E20</f>
        <v>Non commencé</v>
      </c>
    </row>
    <row r="19" customFormat="false" ht="18" hidden="false" customHeight="true" outlineLevel="0" collapsed="false">
      <c r="A19" s="4" t="s">
        <v>39</v>
      </c>
      <c r="B19" s="5" t="s">
        <v>143</v>
      </c>
      <c r="C19" s="5"/>
      <c r="D19" s="4" t="s">
        <v>40</v>
      </c>
      <c r="E19" s="4" t="str">
        <f aca="false">'AC-17-9'!E20</f>
        <v>Non commencé</v>
      </c>
    </row>
    <row r="20" customFormat="false" ht="18" hidden="false" customHeight="true" outlineLevel="0" collapsed="false">
      <c r="A20" s="4" t="s">
        <v>41</v>
      </c>
      <c r="B20" s="5" t="s">
        <v>144</v>
      </c>
      <c r="C20" s="5"/>
      <c r="D20" s="4" t="s">
        <v>41</v>
      </c>
      <c r="E20" s="4" t="str">
        <f aca="false">'AC-21'!E20</f>
        <v>Non commencé</v>
      </c>
    </row>
    <row r="21" customFormat="false" ht="18" hidden="false" customHeight="true" outlineLevel="0" collapsed="false">
      <c r="A21" s="4" t="s">
        <v>43</v>
      </c>
      <c r="B21" s="5" t="s">
        <v>145</v>
      </c>
      <c r="C21" s="5"/>
      <c r="D21" s="4" t="s">
        <v>43</v>
      </c>
      <c r="E21" s="4" t="str">
        <f aca="false">'AU-2'!E20</f>
        <v>Non commencé</v>
      </c>
    </row>
    <row r="22" customFormat="false" ht="18" hidden="false" customHeight="true" outlineLevel="0" collapsed="false">
      <c r="A22" s="4" t="s">
        <v>45</v>
      </c>
      <c r="B22" s="5" t="s">
        <v>146</v>
      </c>
      <c r="C22" s="5"/>
      <c r="D22" s="4" t="s">
        <v>45</v>
      </c>
      <c r="E22" s="4" t="str">
        <f aca="false">'AU-3'!E20</f>
        <v>Non commencé</v>
      </c>
    </row>
    <row r="23" customFormat="false" ht="18" hidden="false" customHeight="true" outlineLevel="0" collapsed="false">
      <c r="A23" s="4" t="s">
        <v>47</v>
      </c>
      <c r="B23" s="5" t="s">
        <v>146</v>
      </c>
      <c r="C23" s="5"/>
      <c r="D23" s="4" t="s">
        <v>48</v>
      </c>
      <c r="E23" s="4" t="str">
        <f aca="false">'AU-3-1'!E20</f>
        <v>Non commencé</v>
      </c>
    </row>
    <row r="24" customFormat="false" ht="18" hidden="false" customHeight="true" outlineLevel="0" collapsed="false">
      <c r="A24" s="4" t="s">
        <v>49</v>
      </c>
      <c r="B24" s="5" t="s">
        <v>147</v>
      </c>
      <c r="C24" s="5"/>
      <c r="D24" s="4" t="s">
        <v>49</v>
      </c>
      <c r="E24" s="4" t="str">
        <f aca="false">'AU-9'!E20</f>
        <v>Non commencé</v>
      </c>
    </row>
    <row r="25" customFormat="false" ht="18" hidden="false" customHeight="true" outlineLevel="0" collapsed="false">
      <c r="A25" s="4" t="s">
        <v>51</v>
      </c>
      <c r="B25" s="5" t="s">
        <v>147</v>
      </c>
      <c r="C25" s="5"/>
      <c r="D25" s="4" t="s">
        <v>52</v>
      </c>
      <c r="E25" s="4" t="str">
        <f aca="false">'AU-9-2'!E20</f>
        <v>Non commencé</v>
      </c>
    </row>
    <row r="26" customFormat="false" ht="18" hidden="false" customHeight="true" outlineLevel="0" collapsed="false">
      <c r="A26" s="4" t="s">
        <v>53</v>
      </c>
      <c r="B26" s="5" t="s">
        <v>147</v>
      </c>
      <c r="C26" s="5"/>
      <c r="D26" s="4" t="s">
        <v>54</v>
      </c>
      <c r="E26" s="4" t="str">
        <f aca="false">'AU-9-4'!E20</f>
        <v>Non commencé</v>
      </c>
    </row>
    <row r="27" customFormat="false" ht="18" hidden="false" customHeight="true" outlineLevel="0" collapsed="false">
      <c r="A27" s="4" t="s">
        <v>55</v>
      </c>
      <c r="B27" s="5" t="s">
        <v>148</v>
      </c>
      <c r="C27" s="5"/>
      <c r="D27" s="4" t="s">
        <v>55</v>
      </c>
      <c r="E27" s="4" t="str">
        <f aca="false">'AU-12'!E20</f>
        <v>Non commencé</v>
      </c>
    </row>
    <row r="28" customFormat="false" ht="18" hidden="false" customHeight="true" outlineLevel="0" collapsed="false">
      <c r="A28" s="4" t="s">
        <v>57</v>
      </c>
      <c r="B28" s="5" t="s">
        <v>149</v>
      </c>
      <c r="C28" s="5"/>
      <c r="D28" s="4" t="s">
        <v>59</v>
      </c>
      <c r="E28" s="4" t="str">
        <f aca="false">'CM-5-1'!E20</f>
        <v>Non commencé</v>
      </c>
    </row>
    <row r="29" customFormat="false" ht="18" hidden="false" customHeight="true" outlineLevel="0" collapsed="false">
      <c r="A29" s="4" t="s">
        <v>60</v>
      </c>
      <c r="B29" s="5" t="s">
        <v>149</v>
      </c>
      <c r="C29" s="5"/>
      <c r="D29" s="4" t="s">
        <v>61</v>
      </c>
      <c r="E29" s="4" t="str">
        <f aca="false">'CM-5-5'!E20</f>
        <v>Non commencé</v>
      </c>
    </row>
    <row r="30" customFormat="false" ht="18" hidden="false" customHeight="true" outlineLevel="0" collapsed="false">
      <c r="A30" s="4" t="s">
        <v>62</v>
      </c>
      <c r="B30" s="5" t="s">
        <v>149</v>
      </c>
      <c r="C30" s="5"/>
      <c r="D30" s="4" t="s">
        <v>63</v>
      </c>
      <c r="E30" s="4" t="str">
        <f aca="false">'CM-5-6'!E20</f>
        <v>Non commencé</v>
      </c>
    </row>
    <row r="31" customFormat="false" ht="18" hidden="false" customHeight="true" outlineLevel="0" collapsed="false">
      <c r="A31" s="4" t="s">
        <v>64</v>
      </c>
      <c r="B31" s="5" t="s">
        <v>150</v>
      </c>
      <c r="C31" s="5"/>
      <c r="D31" s="4" t="s">
        <v>64</v>
      </c>
      <c r="E31" s="4" t="str">
        <f aca="false">'CM-6'!E20</f>
        <v>Non commencé</v>
      </c>
    </row>
    <row r="32" customFormat="false" ht="18" hidden="false" customHeight="true" outlineLevel="0" collapsed="false">
      <c r="A32" s="4" t="s">
        <v>66</v>
      </c>
      <c r="B32" s="5" t="s">
        <v>151</v>
      </c>
      <c r="C32" s="5"/>
      <c r="D32" s="4" t="s">
        <v>66</v>
      </c>
      <c r="E32" s="4" t="str">
        <f aca="false">'CM-7'!E20</f>
        <v>Non commencé</v>
      </c>
    </row>
    <row r="33" customFormat="false" ht="18" hidden="false" customHeight="true" outlineLevel="0" collapsed="false">
      <c r="A33" s="4" t="s">
        <v>68</v>
      </c>
      <c r="B33" s="5" t="s">
        <v>151</v>
      </c>
      <c r="C33" s="5"/>
      <c r="D33" s="4" t="s">
        <v>69</v>
      </c>
      <c r="E33" s="4" t="str">
        <f aca="false">'CM-7-1'!E20</f>
        <v>Non commencé</v>
      </c>
    </row>
    <row r="34" customFormat="false" ht="18" hidden="false" customHeight="true" outlineLevel="0" collapsed="false">
      <c r="A34" s="4" t="s">
        <v>70</v>
      </c>
      <c r="B34" s="5" t="s">
        <v>152</v>
      </c>
      <c r="C34" s="5"/>
      <c r="D34" s="4" t="s">
        <v>70</v>
      </c>
      <c r="E34" s="4" t="str">
        <f aca="false">'CP-7'!E20</f>
        <v>Non commencé</v>
      </c>
    </row>
    <row r="35" customFormat="false" ht="18" hidden="false" customHeight="true" outlineLevel="0" collapsed="false">
      <c r="A35" s="4" t="s">
        <v>72</v>
      </c>
      <c r="B35" s="5" t="s">
        <v>152</v>
      </c>
      <c r="C35" s="5"/>
      <c r="D35" s="4" t="s">
        <v>73</v>
      </c>
      <c r="E35" s="4" t="str">
        <f aca="false">'CP-7-4'!E20</f>
        <v>Non commencé</v>
      </c>
    </row>
    <row r="36" customFormat="false" ht="18" hidden="false" customHeight="true" outlineLevel="0" collapsed="false">
      <c r="A36" s="4" t="s">
        <v>74</v>
      </c>
      <c r="B36" s="5" t="s">
        <v>153</v>
      </c>
      <c r="C36" s="5"/>
      <c r="D36" s="4" t="s">
        <v>74</v>
      </c>
      <c r="E36" s="4" t="str">
        <f aca="false">'CP-10'!E20</f>
        <v>Non commencé</v>
      </c>
    </row>
    <row r="37" customFormat="false" ht="18" hidden="false" customHeight="true" outlineLevel="0" collapsed="false">
      <c r="A37" s="4" t="s">
        <v>76</v>
      </c>
      <c r="B37" s="5" t="s">
        <v>153</v>
      </c>
      <c r="C37" s="5"/>
      <c r="D37" s="4" t="s">
        <v>77</v>
      </c>
      <c r="E37" s="4" t="str">
        <f aca="false">'CP-10-4'!E20</f>
        <v>Non commencé</v>
      </c>
    </row>
    <row r="38" customFormat="false" ht="18" hidden="false" customHeight="true" outlineLevel="0" collapsed="false">
      <c r="A38" s="4" t="s">
        <v>78</v>
      </c>
      <c r="B38" s="5" t="s">
        <v>154</v>
      </c>
      <c r="C38" s="5"/>
      <c r="D38" s="4" t="s">
        <v>78</v>
      </c>
      <c r="E38" s="4" t="str">
        <f aca="false">'IA-2'!E20</f>
        <v>Non commencé</v>
      </c>
    </row>
    <row r="39" customFormat="false" ht="18" hidden="false" customHeight="true" outlineLevel="0" collapsed="false">
      <c r="A39" s="4" t="s">
        <v>80</v>
      </c>
      <c r="B39" s="5" t="s">
        <v>154</v>
      </c>
      <c r="C39" s="5"/>
      <c r="D39" s="4" t="s">
        <v>81</v>
      </c>
      <c r="E39" s="4" t="str">
        <f aca="false">'IA-2-1'!E20</f>
        <v>Non commencé</v>
      </c>
    </row>
    <row r="40" customFormat="false" ht="18" hidden="false" customHeight="true" outlineLevel="0" collapsed="false">
      <c r="A40" s="4" t="s">
        <v>82</v>
      </c>
      <c r="B40" s="5" t="s">
        <v>154</v>
      </c>
      <c r="C40" s="5"/>
      <c r="D40" s="4" t="s">
        <v>83</v>
      </c>
      <c r="E40" s="4" t="str">
        <f aca="false">'IA-2-3'!E20</f>
        <v>Non commencé</v>
      </c>
    </row>
    <row r="41" customFormat="false" ht="18" hidden="false" customHeight="true" outlineLevel="0" collapsed="false">
      <c r="A41" s="4" t="s">
        <v>84</v>
      </c>
      <c r="B41" s="5" t="s">
        <v>154</v>
      </c>
      <c r="C41" s="5"/>
      <c r="D41" s="4" t="s">
        <v>85</v>
      </c>
      <c r="E41" s="4" t="str">
        <f aca="false">'IA-2-6'!E20</f>
        <v>Non commencé</v>
      </c>
    </row>
    <row r="42" customFormat="false" ht="18" hidden="false" customHeight="true" outlineLevel="0" collapsed="false">
      <c r="A42" s="4" t="s">
        <v>86</v>
      </c>
      <c r="B42" s="5" t="s">
        <v>154</v>
      </c>
      <c r="C42" s="5"/>
      <c r="D42" s="4" t="s">
        <v>87</v>
      </c>
      <c r="E42" s="4" t="str">
        <f aca="false">'IA-2-8'!E20</f>
        <v>Non commencé</v>
      </c>
    </row>
    <row r="43" customFormat="false" ht="18" hidden="false" customHeight="true" outlineLevel="0" collapsed="false">
      <c r="A43" s="4" t="s">
        <v>88</v>
      </c>
      <c r="B43" s="5" t="s">
        <v>154</v>
      </c>
      <c r="C43" s="5"/>
      <c r="D43" s="4" t="s">
        <v>89</v>
      </c>
      <c r="E43" s="4" t="str">
        <f aca="false">'IA-2-11'!E20</f>
        <v>Non commencé</v>
      </c>
    </row>
    <row r="44" customFormat="false" ht="18" hidden="false" customHeight="true" outlineLevel="0" collapsed="false">
      <c r="A44" s="4" t="s">
        <v>90</v>
      </c>
      <c r="B44" s="5" t="s">
        <v>155</v>
      </c>
      <c r="C44" s="5"/>
      <c r="D44" s="4" t="s">
        <v>90</v>
      </c>
      <c r="E44" s="4" t="str">
        <f aca="false">'IA-4'!E20</f>
        <v>Non commencé</v>
      </c>
    </row>
    <row r="45" customFormat="false" ht="18" hidden="false" customHeight="true" outlineLevel="0" collapsed="false">
      <c r="A45" s="4" t="s">
        <v>92</v>
      </c>
      <c r="B45" s="5" t="s">
        <v>156</v>
      </c>
      <c r="C45" s="5"/>
      <c r="D45" s="4" t="s">
        <v>92</v>
      </c>
      <c r="E45" s="4" t="str">
        <f aca="false">'IA-5'!E20</f>
        <v>Non commencé</v>
      </c>
    </row>
    <row r="46" customFormat="false" ht="18" hidden="false" customHeight="true" outlineLevel="0" collapsed="false">
      <c r="A46" s="4" t="s">
        <v>94</v>
      </c>
      <c r="B46" s="5" t="s">
        <v>156</v>
      </c>
      <c r="C46" s="5"/>
      <c r="D46" s="4" t="s">
        <v>95</v>
      </c>
      <c r="E46" s="4" t="str">
        <f aca="false">'IA-5-1'!E20</f>
        <v>Non commencé</v>
      </c>
    </row>
    <row r="47" customFormat="false" ht="18" hidden="false" customHeight="true" outlineLevel="0" collapsed="false">
      <c r="A47" s="4" t="s">
        <v>96</v>
      </c>
      <c r="B47" s="5" t="s">
        <v>156</v>
      </c>
      <c r="C47" s="5"/>
      <c r="D47" s="4" t="s">
        <v>97</v>
      </c>
      <c r="E47" s="4" t="str">
        <f aca="false">'IA-5-2'!E20</f>
        <v>Non commencé</v>
      </c>
    </row>
    <row r="48" customFormat="false" ht="18" hidden="false" customHeight="true" outlineLevel="0" collapsed="false">
      <c r="A48" s="4" t="s">
        <v>98</v>
      </c>
      <c r="B48" s="5" t="s">
        <v>156</v>
      </c>
      <c r="C48" s="5"/>
      <c r="D48" s="4" t="s">
        <v>99</v>
      </c>
      <c r="E48" s="4" t="str">
        <f aca="false">'IA-5-4'!E20</f>
        <v>Non commencé</v>
      </c>
    </row>
    <row r="49" customFormat="false" ht="18" hidden="false" customHeight="true" outlineLevel="0" collapsed="false">
      <c r="A49" s="4" t="s">
        <v>100</v>
      </c>
      <c r="B49" s="5" t="s">
        <v>156</v>
      </c>
      <c r="C49" s="5"/>
      <c r="D49" s="4" t="s">
        <v>101</v>
      </c>
      <c r="E49" s="4" t="str">
        <f aca="false">'IA-5-6'!E20</f>
        <v>Non commencé</v>
      </c>
    </row>
    <row r="50" customFormat="false" ht="18" hidden="false" customHeight="true" outlineLevel="0" collapsed="false">
      <c r="A50" s="4" t="s">
        <v>102</v>
      </c>
      <c r="B50" s="5" t="s">
        <v>157</v>
      </c>
      <c r="C50" s="5"/>
      <c r="D50" s="4" t="s">
        <v>102</v>
      </c>
      <c r="E50" s="4" t="str">
        <f aca="false">'IA-6'!E20</f>
        <v>Non commencé</v>
      </c>
    </row>
    <row r="51" customFormat="false" ht="18" hidden="false" customHeight="true" outlineLevel="0" collapsed="false">
      <c r="A51" s="4" t="s">
        <v>104</v>
      </c>
      <c r="B51" s="5" t="s">
        <v>158</v>
      </c>
      <c r="C51" s="5"/>
      <c r="D51" s="4" t="s">
        <v>104</v>
      </c>
      <c r="E51" s="4" t="str">
        <f aca="false">'IA-7'!E20</f>
        <v>Non commencé</v>
      </c>
    </row>
    <row r="52" customFormat="false" ht="18" hidden="false" customHeight="true" outlineLevel="0" collapsed="false">
      <c r="A52" s="4" t="s">
        <v>106</v>
      </c>
      <c r="B52" s="5" t="s">
        <v>159</v>
      </c>
      <c r="C52" s="5"/>
      <c r="D52" s="4" t="s">
        <v>106</v>
      </c>
      <c r="E52" s="4" t="str">
        <f aca="false">'IA-8'!E20</f>
        <v>Non commencé</v>
      </c>
    </row>
    <row r="53" customFormat="false" ht="18" hidden="false" customHeight="true" outlineLevel="0" collapsed="false">
      <c r="A53" s="4" t="s">
        <v>108</v>
      </c>
      <c r="B53" s="5" t="s">
        <v>160</v>
      </c>
      <c r="C53" s="5"/>
      <c r="D53" s="4" t="s">
        <v>108</v>
      </c>
      <c r="E53" s="4" t="str">
        <f aca="false">'MA-4'!E20</f>
        <v>Non commencé</v>
      </c>
    </row>
    <row r="54" customFormat="false" ht="18" hidden="false" customHeight="true" outlineLevel="0" collapsed="false">
      <c r="A54" s="4" t="s">
        <v>110</v>
      </c>
      <c r="B54" s="5" t="s">
        <v>161</v>
      </c>
      <c r="C54" s="5"/>
      <c r="D54" s="4" t="s">
        <v>112</v>
      </c>
      <c r="E54" s="4" t="str">
        <f aca="false">'SA-9-5'!E20</f>
        <v>Non commencé</v>
      </c>
    </row>
    <row r="55" customFormat="false" ht="18" hidden="false" customHeight="true" outlineLevel="0" collapsed="false">
      <c r="A55" s="4" t="s">
        <v>113</v>
      </c>
      <c r="B55" s="5" t="s">
        <v>162</v>
      </c>
      <c r="C55" s="5"/>
      <c r="D55" s="4" t="s">
        <v>113</v>
      </c>
      <c r="E55" s="4" t="str">
        <f aca="false">'SC-13'!E20</f>
        <v>Non commencé</v>
      </c>
    </row>
    <row r="56" customFormat="false" ht="18" hidden="false" customHeight="true" outlineLevel="0" collapsed="false">
      <c r="A56" s="4" t="s">
        <v>115</v>
      </c>
      <c r="B56" s="5" t="s">
        <v>163</v>
      </c>
      <c r="C56" s="5"/>
      <c r="D56" s="4" t="s">
        <v>117</v>
      </c>
      <c r="E56" s="4" t="str">
        <f aca="false">'SI-4-2'!E20</f>
        <v>Non commencé</v>
      </c>
    </row>
    <row r="57" customFormat="false" ht="18" hidden="false" customHeight="true" outlineLevel="0" collapsed="false">
      <c r="A57" s="4" t="s">
        <v>118</v>
      </c>
      <c r="B57" s="5" t="s">
        <v>164</v>
      </c>
      <c r="C57" s="5"/>
      <c r="D57" s="4" t="s">
        <v>118</v>
      </c>
      <c r="E57" s="4" t="str">
        <f aca="false">'SI-6'!E20</f>
        <v>Non commencé</v>
      </c>
    </row>
    <row r="59" customFormat="false" ht="21.75" hidden="false" customHeight="true" outlineLevel="0" collapsed="false">
      <c r="A59" s="6" t="s">
        <v>165</v>
      </c>
      <c r="B59" s="6"/>
      <c r="C59" s="6"/>
      <c r="D59" s="6"/>
      <c r="E59" s="6"/>
    </row>
    <row r="60" customFormat="false" ht="19.5" hidden="false" customHeight="true" outlineLevel="0" collapsed="false">
      <c r="A60" s="7" t="s">
        <v>166</v>
      </c>
      <c r="B60" s="7"/>
      <c r="C60" s="7"/>
      <c r="D60" s="7"/>
      <c r="E60" s="8" t="n">
        <f aca="false">55</f>
        <v>55</v>
      </c>
    </row>
    <row r="61" customFormat="false" ht="19.5" hidden="false" customHeight="true" outlineLevel="0" collapsed="false">
      <c r="A61" s="7" t="s">
        <v>167</v>
      </c>
      <c r="B61" s="7"/>
      <c r="C61" s="7"/>
      <c r="D61" s="7"/>
      <c r="E61" s="8" t="n">
        <f aca="false">COUNTIF(E3:E57,"Non commencé")</f>
        <v>55</v>
      </c>
    </row>
    <row r="62" customFormat="false" ht="19.5" hidden="false" customHeight="true" outlineLevel="0" collapsed="false">
      <c r="A62" s="7" t="s">
        <v>168</v>
      </c>
      <c r="B62" s="7"/>
      <c r="C62" s="7"/>
      <c r="D62" s="7"/>
      <c r="E62" s="8" t="n">
        <f aca="false">COUNTIF(E3:E57,"En cours")</f>
        <v>0</v>
      </c>
    </row>
    <row r="63" customFormat="false" ht="19.5" hidden="false" customHeight="true" outlineLevel="0" collapsed="false">
      <c r="A63" s="7" t="s">
        <v>169</v>
      </c>
      <c r="B63" s="7"/>
      <c r="C63" s="7"/>
      <c r="D63" s="7"/>
      <c r="E63" s="8" t="n">
        <f aca="false">COUNTIF(E3:E57,"Preuve fournie")</f>
        <v>0</v>
      </c>
    </row>
    <row r="64" customFormat="false" ht="19.5" hidden="false" customHeight="true" outlineLevel="0" collapsed="false">
      <c r="A64" s="7" t="s">
        <v>170</v>
      </c>
      <c r="B64" s="7"/>
      <c r="C64" s="7"/>
      <c r="D64" s="7"/>
      <c r="E64" s="8" t="n">
        <f aca="false">COUNTIF(E3:E57,"En révision")</f>
        <v>0</v>
      </c>
    </row>
    <row r="65" customFormat="false" ht="19.5" hidden="false" customHeight="true" outlineLevel="0" collapsed="false">
      <c r="A65" s="7" t="s">
        <v>171</v>
      </c>
      <c r="B65" s="7"/>
      <c r="C65" s="7"/>
      <c r="D65" s="7"/>
      <c r="E65" s="8" t="n">
        <f aca="false">COUNTIF(E3:E57,"Réussi")</f>
        <v>0</v>
      </c>
    </row>
    <row r="66" customFormat="false" ht="19.5" hidden="false" customHeight="true" outlineLevel="0" collapsed="false">
      <c r="A66" s="7" t="s">
        <v>172</v>
      </c>
      <c r="B66" s="7"/>
      <c r="C66" s="7"/>
      <c r="D66" s="7"/>
      <c r="E66" s="8" t="n">
        <f aca="false">COUNTIF(E3:E57,"Échec")</f>
        <v>0</v>
      </c>
    </row>
    <row r="67" customFormat="false" ht="19.5" hidden="false" customHeight="true" outlineLevel="0" collapsed="false">
      <c r="A67" s="7" t="s">
        <v>173</v>
      </c>
      <c r="B67" s="7"/>
      <c r="C67" s="7"/>
      <c r="D67" s="7"/>
      <c r="E67" s="8" t="n">
        <f aca="false">COUNTIF(E3:E57,"Exception acceptée")</f>
        <v>0</v>
      </c>
    </row>
    <row r="68" customFormat="false" ht="19.5" hidden="false" customHeight="true" outlineLevel="0" collapsed="false">
      <c r="A68" s="7" t="s">
        <v>174</v>
      </c>
      <c r="B68" s="7"/>
      <c r="C68" s="7"/>
      <c r="D68" s="7"/>
      <c r="E68" s="9" t="n">
        <f aca="false">IFERROR(COUNTIF(E3:E57,"Réussi")/55,0)</f>
        <v>0</v>
      </c>
    </row>
    <row r="69" customFormat="false" ht="19.5" hidden="false" customHeight="true" outlineLevel="0" collapsed="false">
      <c r="A69" s="7" t="s">
        <v>175</v>
      </c>
      <c r="B69" s="7"/>
      <c r="C69" s="7"/>
      <c r="D69" s="7"/>
      <c r="E69" s="9" t="n">
        <f aca="false">IFERROR(COUNTIF(E3:E57,"Non commencé")/55,0)</f>
        <v>1</v>
      </c>
    </row>
  </sheetData>
  <mergeCells count="12">
    <mergeCell ref="A1:E1"/>
    <mergeCell ref="A59:E59"/>
    <mergeCell ref="A60:D60"/>
    <mergeCell ref="A61:D61"/>
    <mergeCell ref="A62:D62"/>
    <mergeCell ref="A63:D63"/>
    <mergeCell ref="A64:D64"/>
    <mergeCell ref="A65:D65"/>
    <mergeCell ref="A66:D66"/>
    <mergeCell ref="A67:D67"/>
    <mergeCell ref="A68:D68"/>
    <mergeCell ref="A69:D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176</v>
      </c>
      <c r="B1" s="10"/>
      <c r="D1" s="10" t="s">
        <v>177</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v>
      </c>
      <c r="D3" s="12" t="s">
        <v>181</v>
      </c>
      <c r="E3" s="13" t="s">
        <v>6</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300" hidden="false" customHeight="true" outlineLevel="0" collapsed="false">
      <c r="A8" s="12" t="s">
        <v>192</v>
      </c>
      <c r="B8" s="13" t="s">
        <v>193</v>
      </c>
      <c r="D8" s="12" t="s">
        <v>194</v>
      </c>
      <c r="E8" s="13" t="s">
        <v>195</v>
      </c>
    </row>
    <row r="9" customFormat="false" ht="300" hidden="false" customHeight="true" outlineLevel="0" collapsed="false">
      <c r="A9" s="12" t="s">
        <v>196</v>
      </c>
      <c r="B9" s="13" t="s">
        <v>197</v>
      </c>
      <c r="D9" s="12" t="s">
        <v>198</v>
      </c>
      <c r="E9" s="13" t="s">
        <v>199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203</v>
      </c>
      <c r="D11" s="12" t="s">
        <v>202</v>
      </c>
      <c r="E11" s="13" t="s">
        <v>203</v>
      </c>
    </row>
    <row r="12" customFormat="false" ht="21.75" hidden="false" customHeight="true" outlineLevel="0" collapsed="false">
      <c r="A12" s="12" t="s">
        <v>204</v>
      </c>
      <c r="B12" s="13" t="s">
        <v>6</v>
      </c>
      <c r="D12" s="12" t="s">
        <v>205</v>
      </c>
      <c r="E12" s="13" t="s">
        <v>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221</v>
      </c>
      <c r="B1" s="10"/>
      <c r="D1" s="10" t="s">
        <v>222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v>
      </c>
      <c r="D3" s="12" t="s">
        <v>181</v>
      </c>
      <c r="E3" s="13" t="s">
        <v>8</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223</v>
      </c>
      <c r="D8" s="12" t="s">
        <v>194</v>
      </c>
      <c r="E8" s="13" t="s">
        <v>224</v>
      </c>
    </row>
    <row r="9" customFormat="false" ht="90.75" hidden="false" customHeight="true" outlineLevel="0" collapsed="false">
      <c r="A9" s="12" t="s">
        <v>196</v>
      </c>
      <c r="B9" s="13" t="s">
        <v>225</v>
      </c>
      <c r="D9" s="12" t="s">
        <v>198</v>
      </c>
      <c r="E9" s="13" t="s">
        <v>226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227</v>
      </c>
      <c r="D11" s="12" t="s">
        <v>202</v>
      </c>
      <c r="E11" s="13" t="s">
        <v>227</v>
      </c>
    </row>
    <row r="12" customFormat="false" ht="21.75" hidden="false" customHeight="true" outlineLevel="0" collapsed="false">
      <c r="A12" s="12" t="s">
        <v>204</v>
      </c>
      <c r="B12" s="13" t="s">
        <v>8</v>
      </c>
      <c r="D12" s="12" t="s">
        <v>205</v>
      </c>
      <c r="E12" s="13" t="s">
        <v>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228</v>
      </c>
      <c r="B1" s="10"/>
      <c r="D1" s="10" t="s">
        <v>229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v>
      </c>
      <c r="D3" s="12" t="s">
        <v>181</v>
      </c>
      <c r="E3" s="13" t="s">
        <v>10</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230</v>
      </c>
      <c r="D8" s="12" t="s">
        <v>194</v>
      </c>
      <c r="E8" s="13" t="s">
        <v>231</v>
      </c>
    </row>
    <row r="9" customFormat="false" ht="45" hidden="false" customHeight="true" outlineLevel="0" collapsed="false">
      <c r="A9" s="12" t="s">
        <v>196</v>
      </c>
      <c r="B9" s="13" t="s">
        <v>232</v>
      </c>
      <c r="D9" s="12" t="s">
        <v>198</v>
      </c>
      <c r="E9" s="13" t="s">
        <v>233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234</v>
      </c>
      <c r="D11" s="12" t="s">
        <v>202</v>
      </c>
      <c r="E11" s="13" t="s">
        <v>234</v>
      </c>
    </row>
    <row r="12" customFormat="false" ht="21.75" hidden="false" customHeight="true" outlineLevel="0" collapsed="false">
      <c r="A12" s="12" t="s">
        <v>204</v>
      </c>
      <c r="B12" s="13" t="s">
        <v>10</v>
      </c>
      <c r="D12" s="12" t="s">
        <v>205</v>
      </c>
      <c r="E12" s="13" t="s">
        <v>10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235</v>
      </c>
      <c r="B1" s="10"/>
      <c r="D1" s="10" t="s">
        <v>236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12</v>
      </c>
      <c r="D3" s="12" t="s">
        <v>181</v>
      </c>
      <c r="E3" s="13" t="s">
        <v>12</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237</v>
      </c>
      <c r="D8" s="12" t="s">
        <v>194</v>
      </c>
      <c r="E8" s="13" t="s">
        <v>238</v>
      </c>
    </row>
    <row r="9" customFormat="false" ht="45" hidden="false" customHeight="true" outlineLevel="0" collapsed="false">
      <c r="A9" s="12" t="s">
        <v>196</v>
      </c>
      <c r="B9" s="13"/>
      <c r="D9" s="12" t="s">
        <v>198</v>
      </c>
      <c r="E9" s="13"/>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239</v>
      </c>
      <c r="D11" s="12" t="s">
        <v>202</v>
      </c>
      <c r="E11" s="13" t="s">
        <v>239</v>
      </c>
    </row>
    <row r="12" customFormat="false" ht="21.75" hidden="false" customHeight="true" outlineLevel="0" collapsed="false">
      <c r="A12" s="12" t="s">
        <v>204</v>
      </c>
      <c r="B12" s="13" t="s">
        <v>12</v>
      </c>
      <c r="D12" s="12" t="s">
        <v>205</v>
      </c>
      <c r="E12" s="13" t="s">
        <v>12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240</v>
      </c>
      <c r="B1" s="10"/>
      <c r="D1" s="10" t="s">
        <v>241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14</v>
      </c>
      <c r="D3" s="12" t="s">
        <v>181</v>
      </c>
      <c r="E3" s="13" t="s">
        <v>14</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242</v>
      </c>
      <c r="D8" s="12" t="s">
        <v>194</v>
      </c>
      <c r="E8" s="13" t="s">
        <v>243</v>
      </c>
    </row>
    <row r="9" customFormat="false" ht="45" hidden="false" customHeight="true" outlineLevel="0" collapsed="false">
      <c r="A9" s="12" t="s">
        <v>196</v>
      </c>
      <c r="B9" s="13"/>
      <c r="D9" s="12" t="s">
        <v>198</v>
      </c>
      <c r="E9" s="13"/>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244</v>
      </c>
      <c r="D11" s="12" t="s">
        <v>202</v>
      </c>
      <c r="E11" s="13" t="s">
        <v>244</v>
      </c>
    </row>
    <row r="12" customFormat="false" ht="21.75" hidden="false" customHeight="true" outlineLevel="0" collapsed="false">
      <c r="A12" s="12" t="s">
        <v>204</v>
      </c>
      <c r="B12" s="13" t="s">
        <v>14</v>
      </c>
      <c r="D12" s="12" t="s">
        <v>205</v>
      </c>
      <c r="E12" s="13" t="s">
        <v>14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245</v>
      </c>
      <c r="B1" s="10"/>
      <c r="D1" s="10" t="s">
        <v>246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16</v>
      </c>
      <c r="D3" s="12" t="s">
        <v>181</v>
      </c>
      <c r="E3" s="13" t="s">
        <v>16</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247</v>
      </c>
      <c r="D8" s="12" t="s">
        <v>194</v>
      </c>
      <c r="E8" s="13" t="s">
        <v>248</v>
      </c>
    </row>
    <row r="9" customFormat="false" ht="45" hidden="false" customHeight="true" outlineLevel="0" collapsed="false">
      <c r="A9" s="12" t="s">
        <v>196</v>
      </c>
      <c r="B9" s="13"/>
      <c r="D9" s="12" t="s">
        <v>198</v>
      </c>
      <c r="E9" s="13"/>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249</v>
      </c>
      <c r="D11" s="12" t="s">
        <v>202</v>
      </c>
      <c r="E11" s="13" t="s">
        <v>249</v>
      </c>
    </row>
    <row r="12" customFormat="false" ht="21.75" hidden="false" customHeight="true" outlineLevel="0" collapsed="false">
      <c r="A12" s="12" t="s">
        <v>204</v>
      </c>
      <c r="B12" s="13" t="s">
        <v>16</v>
      </c>
      <c r="D12" s="12" t="s">
        <v>205</v>
      </c>
      <c r="E12" s="13" t="s">
        <v>16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250</v>
      </c>
      <c r="B1" s="10"/>
      <c r="D1" s="10" t="s">
        <v>251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18</v>
      </c>
      <c r="D3" s="12" t="s">
        <v>181</v>
      </c>
      <c r="E3" s="13" t="s">
        <v>18</v>
      </c>
    </row>
    <row r="4" customFormat="false" ht="21.75" hidden="false" customHeight="true" outlineLevel="0" collapsed="false">
      <c r="A4" s="12" t="s">
        <v>182</v>
      </c>
      <c r="B4" s="13" t="s">
        <v>7</v>
      </c>
      <c r="D4" s="12" t="s">
        <v>183</v>
      </c>
      <c r="E4" s="13" t="s">
        <v>137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03.5" hidden="false" customHeight="true" outlineLevel="0" collapsed="false">
      <c r="A8" s="12" t="s">
        <v>192</v>
      </c>
      <c r="B8" s="13" t="s">
        <v>252</v>
      </c>
      <c r="D8" s="12" t="s">
        <v>194</v>
      </c>
      <c r="E8" s="13" t="s">
        <v>253</v>
      </c>
    </row>
    <row r="9" customFormat="false" ht="90.75" hidden="false" customHeight="true" outlineLevel="0" collapsed="false">
      <c r="A9" s="12" t="s">
        <v>196</v>
      </c>
      <c r="B9" s="13" t="s">
        <v>254</v>
      </c>
      <c r="D9" s="12" t="s">
        <v>198</v>
      </c>
      <c r="E9" s="13" t="s">
        <v>255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256</v>
      </c>
      <c r="D11" s="12" t="s">
        <v>202</v>
      </c>
      <c r="E11" s="13" t="s">
        <v>256</v>
      </c>
    </row>
    <row r="12" customFormat="false" ht="21.75" hidden="false" customHeight="true" outlineLevel="0" collapsed="false">
      <c r="A12" s="12" t="s">
        <v>204</v>
      </c>
      <c r="B12" s="13" t="s">
        <v>18</v>
      </c>
      <c r="D12" s="12" t="s">
        <v>205</v>
      </c>
      <c r="E12" s="13" t="s">
        <v>18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257</v>
      </c>
      <c r="B1" s="10"/>
      <c r="D1" s="10" t="s">
        <v>258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20</v>
      </c>
      <c r="D3" s="12" t="s">
        <v>181</v>
      </c>
      <c r="E3" s="13" t="s">
        <v>20</v>
      </c>
    </row>
    <row r="4" customFormat="false" ht="21.75" hidden="false" customHeight="true" outlineLevel="0" collapsed="false">
      <c r="A4" s="12" t="s">
        <v>182</v>
      </c>
      <c r="B4" s="13" t="s">
        <v>21</v>
      </c>
      <c r="D4" s="12" t="s">
        <v>183</v>
      </c>
      <c r="E4" s="13" t="s">
        <v>138</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259</v>
      </c>
      <c r="D8" s="12" t="s">
        <v>194</v>
      </c>
      <c r="E8" s="13" t="s">
        <v>260</v>
      </c>
    </row>
    <row r="9" customFormat="false" ht="207.75" hidden="false" customHeight="true" outlineLevel="0" collapsed="false">
      <c r="A9" s="12" t="s">
        <v>196</v>
      </c>
      <c r="B9" s="13" t="s">
        <v>261</v>
      </c>
      <c r="D9" s="12" t="s">
        <v>198</v>
      </c>
      <c r="E9" s="13" t="s">
        <v>262</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263</v>
      </c>
      <c r="D11" s="12" t="s">
        <v>202</v>
      </c>
      <c r="E11" s="13" t="s">
        <v>263</v>
      </c>
    </row>
    <row r="12" customFormat="false" ht="21.75" hidden="false" customHeight="true" outlineLevel="0" collapsed="false">
      <c r="A12" s="12" t="s">
        <v>204</v>
      </c>
      <c r="B12" s="13" t="s">
        <v>20</v>
      </c>
      <c r="D12" s="12" t="s">
        <v>205</v>
      </c>
      <c r="E12" s="13" t="s">
        <v>20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264</v>
      </c>
      <c r="B1" s="10"/>
      <c r="D1" s="10" t="s">
        <v>265</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22</v>
      </c>
      <c r="D3" s="12" t="s">
        <v>181</v>
      </c>
      <c r="E3" s="13" t="s">
        <v>22</v>
      </c>
    </row>
    <row r="4" customFormat="false" ht="21.75" hidden="false" customHeight="true" outlineLevel="0" collapsed="false">
      <c r="A4" s="12" t="s">
        <v>182</v>
      </c>
      <c r="B4" s="13" t="s">
        <v>23</v>
      </c>
      <c r="D4" s="12" t="s">
        <v>183</v>
      </c>
      <c r="E4" s="13" t="s">
        <v>139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266</v>
      </c>
      <c r="D8" s="12" t="s">
        <v>194</v>
      </c>
      <c r="E8" s="13" t="s">
        <v>267</v>
      </c>
    </row>
    <row r="9" customFormat="false" ht="156" hidden="false" customHeight="true" outlineLevel="0" collapsed="false">
      <c r="A9" s="12" t="s">
        <v>196</v>
      </c>
      <c r="B9" s="13" t="s">
        <v>268</v>
      </c>
      <c r="D9" s="12" t="s">
        <v>198</v>
      </c>
      <c r="E9" s="13" t="s">
        <v>269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270</v>
      </c>
      <c r="D11" s="12" t="s">
        <v>202</v>
      </c>
      <c r="E11" s="13" t="s">
        <v>270</v>
      </c>
    </row>
    <row r="12" customFormat="false" ht="21.75" hidden="false" customHeight="true" outlineLevel="0" collapsed="false">
      <c r="A12" s="12" t="s">
        <v>204</v>
      </c>
      <c r="B12" s="13" t="s">
        <v>22</v>
      </c>
      <c r="D12" s="12" t="s">
        <v>205</v>
      </c>
      <c r="E12" s="13" t="s">
        <v>22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271</v>
      </c>
      <c r="B1" s="10"/>
      <c r="D1" s="10" t="s">
        <v>272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24</v>
      </c>
      <c r="D3" s="12" t="s">
        <v>181</v>
      </c>
      <c r="E3" s="13" t="s">
        <v>24</v>
      </c>
    </row>
    <row r="4" customFormat="false" ht="21.75" hidden="false" customHeight="true" outlineLevel="0" collapsed="false">
      <c r="A4" s="12" t="s">
        <v>182</v>
      </c>
      <c r="B4" s="13" t="s">
        <v>23</v>
      </c>
      <c r="D4" s="12" t="s">
        <v>183</v>
      </c>
      <c r="E4" s="13" t="s">
        <v>139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273</v>
      </c>
      <c r="D8" s="12" t="s">
        <v>194</v>
      </c>
      <c r="E8" s="13" t="s">
        <v>274</v>
      </c>
    </row>
    <row r="9" customFormat="false" ht="168.75" hidden="false" customHeight="true" outlineLevel="0" collapsed="false">
      <c r="A9" s="12" t="s">
        <v>196</v>
      </c>
      <c r="B9" s="13" t="s">
        <v>275</v>
      </c>
      <c r="D9" s="12" t="s">
        <v>198</v>
      </c>
      <c r="E9" s="13" t="s">
        <v>276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277</v>
      </c>
      <c r="D11" s="12" t="s">
        <v>202</v>
      </c>
      <c r="E11" s="13" t="s">
        <v>277</v>
      </c>
    </row>
    <row r="12" customFormat="false" ht="21.75" hidden="false" customHeight="true" outlineLevel="0" collapsed="false">
      <c r="A12" s="12" t="s">
        <v>204</v>
      </c>
      <c r="B12" s="13" t="s">
        <v>24</v>
      </c>
      <c r="D12" s="12" t="s">
        <v>205</v>
      </c>
      <c r="E12" s="13" t="s">
        <v>24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278</v>
      </c>
      <c r="B1" s="10"/>
      <c r="D1" s="10" t="s">
        <v>279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26</v>
      </c>
      <c r="D3" s="12" t="s">
        <v>181</v>
      </c>
      <c r="E3" s="13" t="s">
        <v>26</v>
      </c>
    </row>
    <row r="4" customFormat="false" ht="21.75" hidden="false" customHeight="true" outlineLevel="0" collapsed="false">
      <c r="A4" s="12" t="s">
        <v>182</v>
      </c>
      <c r="B4" s="13" t="s">
        <v>23</v>
      </c>
      <c r="D4" s="12" t="s">
        <v>183</v>
      </c>
      <c r="E4" s="13" t="s">
        <v>139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280</v>
      </c>
      <c r="D8" s="12" t="s">
        <v>194</v>
      </c>
      <c r="E8" s="13" t="s">
        <v>281</v>
      </c>
    </row>
    <row r="9" customFormat="false" ht="103.5" hidden="false" customHeight="true" outlineLevel="0" collapsed="false">
      <c r="A9" s="12" t="s">
        <v>196</v>
      </c>
      <c r="B9" s="13" t="s">
        <v>282</v>
      </c>
      <c r="D9" s="12" t="s">
        <v>198</v>
      </c>
      <c r="E9" s="13" t="s">
        <v>283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284</v>
      </c>
      <c r="D11" s="12" t="s">
        <v>202</v>
      </c>
      <c r="E11" s="13" t="s">
        <v>284</v>
      </c>
    </row>
    <row r="12" customFormat="false" ht="21.75" hidden="false" customHeight="true" outlineLevel="0" collapsed="false">
      <c r="A12" s="12" t="s">
        <v>204</v>
      </c>
      <c r="B12" s="13" t="s">
        <v>26</v>
      </c>
      <c r="D12" s="12" t="s">
        <v>205</v>
      </c>
      <c r="E12" s="13" t="s">
        <v>26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285</v>
      </c>
      <c r="B1" s="10"/>
      <c r="D1" s="10" t="s">
        <v>286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28</v>
      </c>
      <c r="D3" s="12" t="s">
        <v>181</v>
      </c>
      <c r="E3" s="13" t="s">
        <v>28</v>
      </c>
    </row>
    <row r="4" customFormat="false" ht="21.75" hidden="false" customHeight="true" outlineLevel="0" collapsed="false">
      <c r="A4" s="12" t="s">
        <v>182</v>
      </c>
      <c r="B4" s="13" t="s">
        <v>23</v>
      </c>
      <c r="D4" s="12" t="s">
        <v>183</v>
      </c>
      <c r="E4" s="13" t="s">
        <v>139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287</v>
      </c>
      <c r="D8" s="12" t="s">
        <v>194</v>
      </c>
      <c r="E8" s="13" t="s">
        <v>288</v>
      </c>
    </row>
    <row r="9" customFormat="false" ht="117" hidden="false" customHeight="true" outlineLevel="0" collapsed="false">
      <c r="A9" s="12" t="s">
        <v>196</v>
      </c>
      <c r="B9" s="13" t="s">
        <v>289</v>
      </c>
      <c r="D9" s="12" t="s">
        <v>198</v>
      </c>
      <c r="E9" s="13" t="s">
        <v>290</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291</v>
      </c>
      <c r="D11" s="12" t="s">
        <v>202</v>
      </c>
      <c r="E11" s="13" t="s">
        <v>291</v>
      </c>
    </row>
    <row r="12" customFormat="false" ht="21.75" hidden="false" customHeight="true" outlineLevel="0" collapsed="false">
      <c r="A12" s="12" t="s">
        <v>204</v>
      </c>
      <c r="B12" s="13" t="s">
        <v>28</v>
      </c>
      <c r="D12" s="12" t="s">
        <v>205</v>
      </c>
      <c r="E12" s="13" t="s">
        <v>28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292</v>
      </c>
      <c r="B1" s="10"/>
      <c r="D1" s="10" t="s">
        <v>293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30</v>
      </c>
      <c r="D3" s="12" t="s">
        <v>181</v>
      </c>
      <c r="E3" s="13" t="s">
        <v>30</v>
      </c>
    </row>
    <row r="4" customFormat="false" ht="21.75" hidden="false" customHeight="true" outlineLevel="0" collapsed="false">
      <c r="A4" s="12" t="s">
        <v>182</v>
      </c>
      <c r="B4" s="13" t="s">
        <v>31</v>
      </c>
      <c r="D4" s="12" t="s">
        <v>183</v>
      </c>
      <c r="E4" s="13" t="s">
        <v>140</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294</v>
      </c>
      <c r="D8" s="12" t="s">
        <v>194</v>
      </c>
      <c r="E8" s="13" t="s">
        <v>295</v>
      </c>
    </row>
    <row r="9" customFormat="false" ht="234" hidden="false" customHeight="true" outlineLevel="0" collapsed="false">
      <c r="A9" s="12" t="s">
        <v>196</v>
      </c>
      <c r="B9" s="13" t="s">
        <v>296</v>
      </c>
      <c r="D9" s="12" t="s">
        <v>198</v>
      </c>
      <c r="E9" s="13" t="s">
        <v>297</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298</v>
      </c>
      <c r="D11" s="12" t="s">
        <v>202</v>
      </c>
      <c r="E11" s="13" t="s">
        <v>298</v>
      </c>
    </row>
    <row r="12" customFormat="false" ht="21.75" hidden="false" customHeight="true" outlineLevel="0" collapsed="false">
      <c r="A12" s="12" t="s">
        <v>204</v>
      </c>
      <c r="B12" s="13" t="s">
        <v>30</v>
      </c>
      <c r="D12" s="12" t="s">
        <v>205</v>
      </c>
      <c r="E12" s="13" t="s">
        <v>30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299</v>
      </c>
      <c r="B1" s="10"/>
      <c r="D1" s="10" t="s">
        <v>300</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32</v>
      </c>
      <c r="D3" s="12" t="s">
        <v>181</v>
      </c>
      <c r="E3" s="13" t="s">
        <v>32</v>
      </c>
    </row>
    <row r="4" customFormat="false" ht="21.75" hidden="false" customHeight="true" outlineLevel="0" collapsed="false">
      <c r="A4" s="12" t="s">
        <v>182</v>
      </c>
      <c r="B4" s="13" t="s">
        <v>33</v>
      </c>
      <c r="D4" s="12" t="s">
        <v>183</v>
      </c>
      <c r="E4" s="13" t="s">
        <v>141</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301</v>
      </c>
      <c r="D8" s="12" t="s">
        <v>194</v>
      </c>
      <c r="E8" s="13" t="s">
        <v>302</v>
      </c>
    </row>
    <row r="9" customFormat="false" ht="142.5" hidden="false" customHeight="true" outlineLevel="0" collapsed="false">
      <c r="A9" s="12" t="s">
        <v>196</v>
      </c>
      <c r="B9" s="13" t="s">
        <v>303</v>
      </c>
      <c r="D9" s="12" t="s">
        <v>198</v>
      </c>
      <c r="E9" s="13" t="s">
        <v>304</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305</v>
      </c>
      <c r="D11" s="12" t="s">
        <v>202</v>
      </c>
      <c r="E11" s="13" t="s">
        <v>305</v>
      </c>
    </row>
    <row r="12" customFormat="false" ht="21.75" hidden="false" customHeight="true" outlineLevel="0" collapsed="false">
      <c r="A12" s="12" t="s">
        <v>204</v>
      </c>
      <c r="B12" s="13" t="s">
        <v>32</v>
      </c>
      <c r="D12" s="12" t="s">
        <v>205</v>
      </c>
      <c r="E12" s="13" t="s">
        <v>32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306</v>
      </c>
      <c r="B1" s="10"/>
      <c r="D1" s="10" t="s">
        <v>307</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34</v>
      </c>
      <c r="D3" s="12" t="s">
        <v>181</v>
      </c>
      <c r="E3" s="13" t="s">
        <v>34</v>
      </c>
    </row>
    <row r="4" customFormat="false" ht="21.75" hidden="false" customHeight="true" outlineLevel="0" collapsed="false">
      <c r="A4" s="12" t="s">
        <v>182</v>
      </c>
      <c r="B4" s="13" t="s">
        <v>35</v>
      </c>
      <c r="D4" s="12" t="s">
        <v>183</v>
      </c>
      <c r="E4" s="13" t="s">
        <v>142</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308</v>
      </c>
      <c r="D8" s="12" t="s">
        <v>194</v>
      </c>
      <c r="E8" s="13" t="s">
        <v>309</v>
      </c>
    </row>
    <row r="9" customFormat="false" ht="142.5" hidden="false" customHeight="true" outlineLevel="0" collapsed="false">
      <c r="A9" s="12" t="s">
        <v>196</v>
      </c>
      <c r="B9" s="13" t="s">
        <v>310</v>
      </c>
      <c r="D9" s="12" t="s">
        <v>198</v>
      </c>
      <c r="E9" s="13" t="s">
        <v>311</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312</v>
      </c>
      <c r="D11" s="12" t="s">
        <v>202</v>
      </c>
      <c r="E11" s="13" t="s">
        <v>312</v>
      </c>
    </row>
    <row r="12" customFormat="false" ht="21.75" hidden="false" customHeight="true" outlineLevel="0" collapsed="false">
      <c r="A12" s="12" t="s">
        <v>204</v>
      </c>
      <c r="B12" s="13" t="s">
        <v>34</v>
      </c>
      <c r="D12" s="12" t="s">
        <v>205</v>
      </c>
      <c r="E12" s="13" t="s">
        <v>34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313</v>
      </c>
      <c r="B1" s="10"/>
      <c r="D1" s="10" t="s">
        <v>314</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36</v>
      </c>
      <c r="D3" s="12" t="s">
        <v>181</v>
      </c>
      <c r="E3" s="13" t="s">
        <v>36</v>
      </c>
    </row>
    <row r="4" customFormat="false" ht="21.75" hidden="false" customHeight="true" outlineLevel="0" collapsed="false">
      <c r="A4" s="12" t="s">
        <v>182</v>
      </c>
      <c r="B4" s="13" t="s">
        <v>37</v>
      </c>
      <c r="D4" s="12" t="s">
        <v>183</v>
      </c>
      <c r="E4" s="13" t="s">
        <v>143</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315</v>
      </c>
      <c r="D8" s="12" t="s">
        <v>194</v>
      </c>
      <c r="E8" s="13" t="s">
        <v>316</v>
      </c>
    </row>
    <row r="9" customFormat="false" ht="90.75" hidden="false" customHeight="true" outlineLevel="0" collapsed="false">
      <c r="A9" s="12" t="s">
        <v>196</v>
      </c>
      <c r="B9" s="13" t="s">
        <v>317</v>
      </c>
      <c r="D9" s="12" t="s">
        <v>198</v>
      </c>
      <c r="E9" s="13" t="s">
        <v>318</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319</v>
      </c>
      <c r="D11" s="12" t="s">
        <v>202</v>
      </c>
      <c r="E11" s="13" t="s">
        <v>319</v>
      </c>
    </row>
    <row r="12" customFormat="false" ht="21.75" hidden="false" customHeight="true" outlineLevel="0" collapsed="false">
      <c r="A12" s="12" t="s">
        <v>204</v>
      </c>
      <c r="B12" s="13" t="s">
        <v>36</v>
      </c>
      <c r="D12" s="12" t="s">
        <v>205</v>
      </c>
      <c r="E12" s="13" t="s">
        <v>36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320</v>
      </c>
      <c r="B1" s="10"/>
      <c r="D1" s="10" t="s">
        <v>321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39</v>
      </c>
      <c r="D3" s="12" t="s">
        <v>181</v>
      </c>
      <c r="E3" s="13" t="s">
        <v>39</v>
      </c>
    </row>
    <row r="4" customFormat="false" ht="21.75" hidden="false" customHeight="true" outlineLevel="0" collapsed="false">
      <c r="A4" s="12" t="s">
        <v>182</v>
      </c>
      <c r="B4" s="13" t="s">
        <v>37</v>
      </c>
      <c r="D4" s="12" t="s">
        <v>183</v>
      </c>
      <c r="E4" s="13" t="s">
        <v>143</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322</v>
      </c>
      <c r="D8" s="12" t="s">
        <v>194</v>
      </c>
      <c r="E8" s="13" t="s">
        <v>323</v>
      </c>
    </row>
    <row r="9" customFormat="false" ht="90.75" hidden="false" customHeight="true" outlineLevel="0" collapsed="false">
      <c r="A9" s="12" t="s">
        <v>196</v>
      </c>
      <c r="B9" s="13" t="s">
        <v>324</v>
      </c>
      <c r="D9" s="12" t="s">
        <v>198</v>
      </c>
      <c r="E9" s="13" t="s">
        <v>325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326</v>
      </c>
      <c r="D11" s="12" t="s">
        <v>202</v>
      </c>
      <c r="E11" s="13" t="s">
        <v>326</v>
      </c>
    </row>
    <row r="12" customFormat="false" ht="21.75" hidden="false" customHeight="true" outlineLevel="0" collapsed="false">
      <c r="A12" s="12" t="s">
        <v>204</v>
      </c>
      <c r="B12" s="13" t="s">
        <v>39</v>
      </c>
      <c r="D12" s="12" t="s">
        <v>205</v>
      </c>
      <c r="E12" s="13" t="s">
        <v>39</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327</v>
      </c>
      <c r="B1" s="10"/>
      <c r="D1" s="10" t="s">
        <v>328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41</v>
      </c>
      <c r="D3" s="12" t="s">
        <v>181</v>
      </c>
      <c r="E3" s="13" t="s">
        <v>41</v>
      </c>
    </row>
    <row r="4" customFormat="false" ht="21.75" hidden="false" customHeight="true" outlineLevel="0" collapsed="false">
      <c r="A4" s="12" t="s">
        <v>182</v>
      </c>
      <c r="B4" s="13" t="s">
        <v>42</v>
      </c>
      <c r="D4" s="12" t="s">
        <v>183</v>
      </c>
      <c r="E4" s="13" t="s">
        <v>144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17" hidden="false" customHeight="true" outlineLevel="0" collapsed="false">
      <c r="A8" s="12" t="s">
        <v>192</v>
      </c>
      <c r="B8" s="13" t="s">
        <v>329</v>
      </c>
      <c r="D8" s="12" t="s">
        <v>194</v>
      </c>
      <c r="E8" s="13" t="s">
        <v>330</v>
      </c>
    </row>
    <row r="9" customFormat="false" ht="142.5" hidden="false" customHeight="true" outlineLevel="0" collapsed="false">
      <c r="A9" s="12" t="s">
        <v>196</v>
      </c>
      <c r="B9" s="13" t="s">
        <v>331</v>
      </c>
      <c r="D9" s="12" t="s">
        <v>198</v>
      </c>
      <c r="E9" s="13" t="s">
        <v>332</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333</v>
      </c>
      <c r="D11" s="12" t="s">
        <v>202</v>
      </c>
      <c r="E11" s="13" t="s">
        <v>333</v>
      </c>
    </row>
    <row r="12" customFormat="false" ht="21.75" hidden="false" customHeight="true" outlineLevel="0" collapsed="false">
      <c r="A12" s="12" t="s">
        <v>204</v>
      </c>
      <c r="B12" s="13" t="s">
        <v>41</v>
      </c>
      <c r="D12" s="12" t="s">
        <v>205</v>
      </c>
      <c r="E12" s="13" t="s">
        <v>41</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334</v>
      </c>
      <c r="B1" s="10"/>
      <c r="D1" s="10" t="s">
        <v>335</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43</v>
      </c>
      <c r="D3" s="12" t="s">
        <v>181</v>
      </c>
      <c r="E3" s="13" t="s">
        <v>43</v>
      </c>
    </row>
    <row r="4" customFormat="false" ht="21.75" hidden="false" customHeight="true" outlineLevel="0" collapsed="false">
      <c r="A4" s="12" t="s">
        <v>182</v>
      </c>
      <c r="B4" s="13" t="s">
        <v>44</v>
      </c>
      <c r="D4" s="12" t="s">
        <v>183</v>
      </c>
      <c r="E4" s="13" t="s">
        <v>145</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234" hidden="false" customHeight="true" outlineLevel="0" collapsed="false">
      <c r="A8" s="12" t="s">
        <v>192</v>
      </c>
      <c r="B8" s="13" t="s">
        <v>336</v>
      </c>
      <c r="D8" s="12" t="s">
        <v>194</v>
      </c>
      <c r="E8" s="13" t="s">
        <v>337</v>
      </c>
    </row>
    <row r="9" customFormat="false" ht="300" hidden="false" customHeight="true" outlineLevel="0" collapsed="false">
      <c r="A9" s="12" t="s">
        <v>196</v>
      </c>
      <c r="B9" s="13" t="s">
        <v>338</v>
      </c>
      <c r="D9" s="12" t="s">
        <v>198</v>
      </c>
      <c r="E9" s="13" t="s">
        <v>339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340</v>
      </c>
      <c r="D11" s="12" t="s">
        <v>202</v>
      </c>
      <c r="E11" s="13" t="s">
        <v>340</v>
      </c>
    </row>
    <row r="12" customFormat="false" ht="21.75" hidden="false" customHeight="true" outlineLevel="0" collapsed="false">
      <c r="A12" s="12" t="s">
        <v>204</v>
      </c>
      <c r="B12" s="13" t="s">
        <v>43</v>
      </c>
      <c r="D12" s="12" t="s">
        <v>205</v>
      </c>
      <c r="E12" s="13" t="s">
        <v>43</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341</v>
      </c>
      <c r="B1" s="10"/>
      <c r="D1" s="10" t="s">
        <v>342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45</v>
      </c>
      <c r="D3" s="12" t="s">
        <v>181</v>
      </c>
      <c r="E3" s="13" t="s">
        <v>45</v>
      </c>
    </row>
    <row r="4" customFormat="false" ht="21.75" hidden="false" customHeight="true" outlineLevel="0" collapsed="false">
      <c r="A4" s="12" t="s">
        <v>182</v>
      </c>
      <c r="B4" s="13" t="s">
        <v>46</v>
      </c>
      <c r="D4" s="12" t="s">
        <v>183</v>
      </c>
      <c r="E4" s="13" t="s">
        <v>146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343</v>
      </c>
      <c r="D8" s="12" t="s">
        <v>194</v>
      </c>
      <c r="E8" s="13" t="s">
        <v>344</v>
      </c>
    </row>
    <row r="9" customFormat="false" ht="129.75" hidden="false" customHeight="true" outlineLevel="0" collapsed="false">
      <c r="A9" s="12" t="s">
        <v>196</v>
      </c>
      <c r="B9" s="13" t="s">
        <v>345</v>
      </c>
      <c r="D9" s="12" t="s">
        <v>198</v>
      </c>
      <c r="E9" s="13" t="s">
        <v>346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347</v>
      </c>
      <c r="D11" s="12" t="s">
        <v>202</v>
      </c>
      <c r="E11" s="13" t="s">
        <v>347</v>
      </c>
    </row>
    <row r="12" customFormat="false" ht="21.75" hidden="false" customHeight="true" outlineLevel="0" collapsed="false">
      <c r="A12" s="12" t="s">
        <v>204</v>
      </c>
      <c r="B12" s="13" t="s">
        <v>45</v>
      </c>
      <c r="D12" s="12" t="s">
        <v>205</v>
      </c>
      <c r="E12" s="13" t="s">
        <v>45</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348</v>
      </c>
      <c r="B1" s="10"/>
      <c r="D1" s="10" t="s">
        <v>349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47</v>
      </c>
      <c r="D3" s="12" t="s">
        <v>181</v>
      </c>
      <c r="E3" s="13" t="s">
        <v>47</v>
      </c>
    </row>
    <row r="4" customFormat="false" ht="21.75" hidden="false" customHeight="true" outlineLevel="0" collapsed="false">
      <c r="A4" s="12" t="s">
        <v>182</v>
      </c>
      <c r="B4" s="13" t="s">
        <v>46</v>
      </c>
      <c r="D4" s="12" t="s">
        <v>183</v>
      </c>
      <c r="E4" s="13" t="s">
        <v>146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03.5" hidden="false" customHeight="true" outlineLevel="0" collapsed="false">
      <c r="A8" s="12" t="s">
        <v>192</v>
      </c>
      <c r="B8" s="13" t="s">
        <v>350</v>
      </c>
      <c r="D8" s="12" t="s">
        <v>194</v>
      </c>
      <c r="E8" s="13" t="s">
        <v>351</v>
      </c>
    </row>
    <row r="9" customFormat="false" ht="181.5" hidden="false" customHeight="true" outlineLevel="0" collapsed="false">
      <c r="A9" s="12" t="s">
        <v>196</v>
      </c>
      <c r="B9" s="13" t="s">
        <v>352</v>
      </c>
      <c r="D9" s="12" t="s">
        <v>198</v>
      </c>
      <c r="E9" s="13" t="s">
        <v>353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354</v>
      </c>
      <c r="D11" s="12" t="s">
        <v>202</v>
      </c>
      <c r="E11" s="13" t="s">
        <v>354</v>
      </c>
    </row>
    <row r="12" customFormat="false" ht="21.75" hidden="false" customHeight="true" outlineLevel="0" collapsed="false">
      <c r="A12" s="12" t="s">
        <v>204</v>
      </c>
      <c r="B12" s="13" t="s">
        <v>47</v>
      </c>
      <c r="D12" s="12" t="s">
        <v>205</v>
      </c>
      <c r="E12" s="13" t="s">
        <v>47</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355</v>
      </c>
      <c r="B1" s="10"/>
      <c r="D1" s="10" t="s">
        <v>356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49</v>
      </c>
      <c r="D3" s="12" t="s">
        <v>181</v>
      </c>
      <c r="E3" s="13" t="s">
        <v>49</v>
      </c>
    </row>
    <row r="4" customFormat="false" ht="21.75" hidden="false" customHeight="true" outlineLevel="0" collapsed="false">
      <c r="A4" s="12" t="s">
        <v>182</v>
      </c>
      <c r="B4" s="13" t="s">
        <v>50</v>
      </c>
      <c r="D4" s="12" t="s">
        <v>183</v>
      </c>
      <c r="E4" s="13" t="s">
        <v>147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357</v>
      </c>
      <c r="D8" s="12" t="s">
        <v>194</v>
      </c>
      <c r="E8" s="13" t="s">
        <v>358</v>
      </c>
    </row>
    <row r="9" customFormat="false" ht="117" hidden="false" customHeight="true" outlineLevel="0" collapsed="false">
      <c r="A9" s="12" t="s">
        <v>196</v>
      </c>
      <c r="B9" s="13" t="s">
        <v>359</v>
      </c>
      <c r="D9" s="12" t="s">
        <v>198</v>
      </c>
      <c r="E9" s="13" t="s">
        <v>360</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361</v>
      </c>
      <c r="D11" s="12" t="s">
        <v>202</v>
      </c>
      <c r="E11" s="13" t="s">
        <v>361</v>
      </c>
    </row>
    <row r="12" customFormat="false" ht="21.75" hidden="false" customHeight="true" outlineLevel="0" collapsed="false">
      <c r="A12" s="12" t="s">
        <v>204</v>
      </c>
      <c r="B12" s="13" t="s">
        <v>49</v>
      </c>
      <c r="D12" s="12" t="s">
        <v>205</v>
      </c>
      <c r="E12" s="13" t="s">
        <v>49</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362</v>
      </c>
      <c r="B1" s="10"/>
      <c r="D1" s="10" t="s">
        <v>363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51</v>
      </c>
      <c r="D3" s="12" t="s">
        <v>181</v>
      </c>
      <c r="E3" s="13" t="s">
        <v>51</v>
      </c>
    </row>
    <row r="4" customFormat="false" ht="21.75" hidden="false" customHeight="true" outlineLevel="0" collapsed="false">
      <c r="A4" s="12" t="s">
        <v>182</v>
      </c>
      <c r="B4" s="13" t="s">
        <v>50</v>
      </c>
      <c r="D4" s="12" t="s">
        <v>183</v>
      </c>
      <c r="E4" s="13" t="s">
        <v>147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64.5" hidden="false" customHeight="true" outlineLevel="0" collapsed="false">
      <c r="A8" s="12" t="s">
        <v>192</v>
      </c>
      <c r="B8" s="13" t="s">
        <v>364</v>
      </c>
      <c r="D8" s="12" t="s">
        <v>194</v>
      </c>
      <c r="E8" s="13" t="s">
        <v>365</v>
      </c>
    </row>
    <row r="9" customFormat="false" ht="51.75" hidden="false" customHeight="true" outlineLevel="0" collapsed="false">
      <c r="A9" s="12" t="s">
        <v>196</v>
      </c>
      <c r="B9" s="13" t="s">
        <v>366</v>
      </c>
      <c r="D9" s="12" t="s">
        <v>198</v>
      </c>
      <c r="E9" s="13" t="s">
        <v>367</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368</v>
      </c>
      <c r="D11" s="12" t="s">
        <v>202</v>
      </c>
      <c r="E11" s="13" t="s">
        <v>368</v>
      </c>
    </row>
    <row r="12" customFormat="false" ht="21.75" hidden="false" customHeight="true" outlineLevel="0" collapsed="false">
      <c r="A12" s="12" t="s">
        <v>204</v>
      </c>
      <c r="B12" s="13" t="s">
        <v>51</v>
      </c>
      <c r="D12" s="12" t="s">
        <v>205</v>
      </c>
      <c r="E12" s="13" t="s">
        <v>51</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369</v>
      </c>
      <c r="B1" s="10"/>
      <c r="D1" s="10" t="s">
        <v>370</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53</v>
      </c>
      <c r="D3" s="12" t="s">
        <v>181</v>
      </c>
      <c r="E3" s="13" t="s">
        <v>53</v>
      </c>
    </row>
    <row r="4" customFormat="false" ht="21.75" hidden="false" customHeight="true" outlineLevel="0" collapsed="false">
      <c r="A4" s="12" t="s">
        <v>182</v>
      </c>
      <c r="B4" s="13" t="s">
        <v>50</v>
      </c>
      <c r="D4" s="12" t="s">
        <v>183</v>
      </c>
      <c r="E4" s="13" t="s">
        <v>147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371</v>
      </c>
      <c r="D8" s="12" t="s">
        <v>194</v>
      </c>
      <c r="E8" s="13" t="s">
        <v>372</v>
      </c>
    </row>
    <row r="9" customFormat="false" ht="103.5" hidden="false" customHeight="true" outlineLevel="0" collapsed="false">
      <c r="A9" s="12" t="s">
        <v>196</v>
      </c>
      <c r="B9" s="13" t="s">
        <v>373</v>
      </c>
      <c r="D9" s="12" t="s">
        <v>198</v>
      </c>
      <c r="E9" s="13" t="s">
        <v>374</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375</v>
      </c>
      <c r="D11" s="12" t="s">
        <v>202</v>
      </c>
      <c r="E11" s="13" t="s">
        <v>375</v>
      </c>
    </row>
    <row r="12" customFormat="false" ht="21.75" hidden="false" customHeight="true" outlineLevel="0" collapsed="false">
      <c r="A12" s="12" t="s">
        <v>204</v>
      </c>
      <c r="B12" s="13" t="s">
        <v>53</v>
      </c>
      <c r="D12" s="12" t="s">
        <v>205</v>
      </c>
      <c r="E12" s="13" t="s">
        <v>53</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376</v>
      </c>
      <c r="B1" s="10"/>
      <c r="D1" s="10" t="s">
        <v>377</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55</v>
      </c>
      <c r="D3" s="12" t="s">
        <v>181</v>
      </c>
      <c r="E3" s="13" t="s">
        <v>55</v>
      </c>
    </row>
    <row r="4" customFormat="false" ht="21.75" hidden="false" customHeight="true" outlineLevel="0" collapsed="false">
      <c r="A4" s="12" t="s">
        <v>182</v>
      </c>
      <c r="B4" s="13" t="s">
        <v>56</v>
      </c>
      <c r="D4" s="12" t="s">
        <v>183</v>
      </c>
      <c r="E4" s="13" t="s">
        <v>148</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17" hidden="false" customHeight="true" outlineLevel="0" collapsed="false">
      <c r="A8" s="12" t="s">
        <v>192</v>
      </c>
      <c r="B8" s="13" t="s">
        <v>378</v>
      </c>
      <c r="D8" s="12" t="s">
        <v>194</v>
      </c>
      <c r="E8" s="13" t="s">
        <v>379</v>
      </c>
    </row>
    <row r="9" customFormat="false" ht="90.75" hidden="false" customHeight="true" outlineLevel="0" collapsed="false">
      <c r="A9" s="12" t="s">
        <v>196</v>
      </c>
      <c r="B9" s="13" t="s">
        <v>380</v>
      </c>
      <c r="D9" s="12" t="s">
        <v>198</v>
      </c>
      <c r="E9" s="13" t="s">
        <v>381</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382</v>
      </c>
      <c r="D11" s="12" t="s">
        <v>202</v>
      </c>
      <c r="E11" s="13" t="s">
        <v>382</v>
      </c>
    </row>
    <row r="12" customFormat="false" ht="21.75" hidden="false" customHeight="true" outlineLevel="0" collapsed="false">
      <c r="A12" s="12" t="s">
        <v>204</v>
      </c>
      <c r="B12" s="13" t="s">
        <v>55</v>
      </c>
      <c r="D12" s="12" t="s">
        <v>205</v>
      </c>
      <c r="E12" s="13" t="s">
        <v>55</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383</v>
      </c>
      <c r="B1" s="10"/>
      <c r="D1" s="10" t="s">
        <v>384</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57</v>
      </c>
      <c r="D3" s="12" t="s">
        <v>181</v>
      </c>
      <c r="E3" s="13" t="s">
        <v>57</v>
      </c>
    </row>
    <row r="4" customFormat="false" ht="21.75" hidden="false" customHeight="true" outlineLevel="0" collapsed="false">
      <c r="A4" s="12" t="s">
        <v>182</v>
      </c>
      <c r="B4" s="13" t="s">
        <v>58</v>
      </c>
      <c r="D4" s="12" t="s">
        <v>183</v>
      </c>
      <c r="E4" s="13" t="s">
        <v>149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385</v>
      </c>
      <c r="D8" s="12" t="s">
        <v>194</v>
      </c>
      <c r="E8" s="13" t="s">
        <v>386</v>
      </c>
    </row>
    <row r="9" customFormat="false" ht="45" hidden="false" customHeight="true" outlineLevel="0" collapsed="false">
      <c r="A9" s="12" t="s">
        <v>196</v>
      </c>
      <c r="B9" s="13" t="s">
        <v>387</v>
      </c>
      <c r="D9" s="12" t="s">
        <v>198</v>
      </c>
      <c r="E9" s="13" t="s">
        <v>388</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389</v>
      </c>
      <c r="D11" s="12" t="s">
        <v>202</v>
      </c>
      <c r="E11" s="13" t="s">
        <v>389</v>
      </c>
    </row>
    <row r="12" customFormat="false" ht="21.75" hidden="false" customHeight="true" outlineLevel="0" collapsed="false">
      <c r="A12" s="12" t="s">
        <v>204</v>
      </c>
      <c r="B12" s="13" t="s">
        <v>57</v>
      </c>
      <c r="D12" s="12" t="s">
        <v>205</v>
      </c>
      <c r="E12" s="13" t="s">
        <v>57</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390</v>
      </c>
      <c r="B1" s="10"/>
      <c r="D1" s="10" t="s">
        <v>391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60</v>
      </c>
      <c r="D3" s="12" t="s">
        <v>181</v>
      </c>
      <c r="E3" s="13" t="s">
        <v>60</v>
      </c>
    </row>
    <row r="4" customFormat="false" ht="21.75" hidden="false" customHeight="true" outlineLevel="0" collapsed="false">
      <c r="A4" s="12" t="s">
        <v>182</v>
      </c>
      <c r="B4" s="13" t="s">
        <v>58</v>
      </c>
      <c r="D4" s="12" t="s">
        <v>183</v>
      </c>
      <c r="E4" s="13" t="s">
        <v>149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392</v>
      </c>
      <c r="D8" s="12" t="s">
        <v>194</v>
      </c>
      <c r="E8" s="13" t="s">
        <v>393</v>
      </c>
    </row>
    <row r="9" customFormat="false" ht="129.75" hidden="false" customHeight="true" outlineLevel="0" collapsed="false">
      <c r="A9" s="12" t="s">
        <v>196</v>
      </c>
      <c r="B9" s="13" t="s">
        <v>394</v>
      </c>
      <c r="D9" s="12" t="s">
        <v>198</v>
      </c>
      <c r="E9" s="13" t="s">
        <v>395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396</v>
      </c>
      <c r="D11" s="12" t="s">
        <v>202</v>
      </c>
      <c r="E11" s="13" t="s">
        <v>396</v>
      </c>
    </row>
    <row r="12" customFormat="false" ht="21.75" hidden="false" customHeight="true" outlineLevel="0" collapsed="false">
      <c r="A12" s="12" t="s">
        <v>204</v>
      </c>
      <c r="B12" s="13" t="s">
        <v>60</v>
      </c>
      <c r="D12" s="12" t="s">
        <v>205</v>
      </c>
      <c r="E12" s="13" t="s">
        <v>60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397</v>
      </c>
      <c r="B1" s="10"/>
      <c r="D1" s="10" t="s">
        <v>398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62</v>
      </c>
      <c r="D3" s="12" t="s">
        <v>181</v>
      </c>
      <c r="E3" s="13" t="s">
        <v>62</v>
      </c>
    </row>
    <row r="4" customFormat="false" ht="21.75" hidden="false" customHeight="true" outlineLevel="0" collapsed="false">
      <c r="A4" s="12" t="s">
        <v>182</v>
      </c>
      <c r="B4" s="13" t="s">
        <v>58</v>
      </c>
      <c r="D4" s="12" t="s">
        <v>183</v>
      </c>
      <c r="E4" s="13" t="s">
        <v>149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399</v>
      </c>
      <c r="D8" s="12" t="s">
        <v>194</v>
      </c>
      <c r="E8" s="13" t="s">
        <v>400</v>
      </c>
    </row>
    <row r="9" customFormat="false" ht="45" hidden="false" customHeight="true" outlineLevel="0" collapsed="false">
      <c r="A9" s="12" t="s">
        <v>196</v>
      </c>
      <c r="B9" s="13" t="s">
        <v>401</v>
      </c>
      <c r="D9" s="12" t="s">
        <v>198</v>
      </c>
      <c r="E9" s="13" t="s">
        <v>402</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403</v>
      </c>
      <c r="D11" s="12" t="s">
        <v>202</v>
      </c>
      <c r="E11" s="13" t="s">
        <v>403</v>
      </c>
    </row>
    <row r="12" customFormat="false" ht="21.75" hidden="false" customHeight="true" outlineLevel="0" collapsed="false">
      <c r="A12" s="12" t="s">
        <v>204</v>
      </c>
      <c r="B12" s="13" t="s">
        <v>62</v>
      </c>
      <c r="D12" s="12" t="s">
        <v>205</v>
      </c>
      <c r="E12" s="13" t="s">
        <v>62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404</v>
      </c>
      <c r="B1" s="10"/>
      <c r="D1" s="10" t="s">
        <v>405</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64</v>
      </c>
      <c r="D3" s="12" t="s">
        <v>181</v>
      </c>
      <c r="E3" s="13" t="s">
        <v>64</v>
      </c>
    </row>
    <row r="4" customFormat="false" ht="21.75" hidden="false" customHeight="true" outlineLevel="0" collapsed="false">
      <c r="A4" s="12" t="s">
        <v>182</v>
      </c>
      <c r="B4" s="13" t="s">
        <v>65</v>
      </c>
      <c r="D4" s="12" t="s">
        <v>183</v>
      </c>
      <c r="E4" s="13" t="s">
        <v>150</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68.75" hidden="false" customHeight="true" outlineLevel="0" collapsed="false">
      <c r="A8" s="12" t="s">
        <v>192</v>
      </c>
      <c r="B8" s="13" t="s">
        <v>406</v>
      </c>
      <c r="D8" s="12" t="s">
        <v>194</v>
      </c>
      <c r="E8" s="13" t="s">
        <v>407</v>
      </c>
    </row>
    <row r="9" customFormat="false" ht="300" hidden="false" customHeight="true" outlineLevel="0" collapsed="false">
      <c r="A9" s="12" t="s">
        <v>196</v>
      </c>
      <c r="B9" s="13" t="s">
        <v>408</v>
      </c>
      <c r="D9" s="12" t="s">
        <v>198</v>
      </c>
      <c r="E9" s="13" t="s">
        <v>409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410</v>
      </c>
      <c r="D11" s="12" t="s">
        <v>202</v>
      </c>
      <c r="E11" s="13" t="s">
        <v>410</v>
      </c>
    </row>
    <row r="12" customFormat="false" ht="21.75" hidden="false" customHeight="true" outlineLevel="0" collapsed="false">
      <c r="A12" s="12" t="s">
        <v>204</v>
      </c>
      <c r="B12" s="13" t="s">
        <v>64</v>
      </c>
      <c r="D12" s="12" t="s">
        <v>205</v>
      </c>
      <c r="E12" s="13" t="s">
        <v>64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411</v>
      </c>
      <c r="B1" s="10"/>
      <c r="D1" s="10" t="s">
        <v>412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66</v>
      </c>
      <c r="D3" s="12" t="s">
        <v>181</v>
      </c>
      <c r="E3" s="13" t="s">
        <v>66</v>
      </c>
    </row>
    <row r="4" customFormat="false" ht="21.75" hidden="false" customHeight="true" outlineLevel="0" collapsed="false">
      <c r="A4" s="12" t="s">
        <v>182</v>
      </c>
      <c r="B4" s="13" t="s">
        <v>67</v>
      </c>
      <c r="D4" s="12" t="s">
        <v>183</v>
      </c>
      <c r="E4" s="13" t="s">
        <v>151</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413</v>
      </c>
      <c r="D8" s="12" t="s">
        <v>194</v>
      </c>
      <c r="E8" s="13" t="s">
        <v>414</v>
      </c>
    </row>
    <row r="9" customFormat="false" ht="300" hidden="false" customHeight="true" outlineLevel="0" collapsed="false">
      <c r="A9" s="12" t="s">
        <v>196</v>
      </c>
      <c r="B9" s="13" t="s">
        <v>415</v>
      </c>
      <c r="D9" s="12" t="s">
        <v>198</v>
      </c>
      <c r="E9" s="13" t="s">
        <v>416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417</v>
      </c>
      <c r="D11" s="12" t="s">
        <v>202</v>
      </c>
      <c r="E11" s="13" t="s">
        <v>417</v>
      </c>
    </row>
    <row r="12" customFormat="false" ht="21.75" hidden="false" customHeight="true" outlineLevel="0" collapsed="false">
      <c r="A12" s="12" t="s">
        <v>204</v>
      </c>
      <c r="B12" s="13" t="s">
        <v>66</v>
      </c>
      <c r="D12" s="12" t="s">
        <v>205</v>
      </c>
      <c r="E12" s="13" t="s">
        <v>66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418</v>
      </c>
      <c r="B1" s="10"/>
      <c r="D1" s="10" t="s">
        <v>419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68</v>
      </c>
      <c r="D3" s="12" t="s">
        <v>181</v>
      </c>
      <c r="E3" s="13" t="s">
        <v>68</v>
      </c>
    </row>
    <row r="4" customFormat="false" ht="21.75" hidden="false" customHeight="true" outlineLevel="0" collapsed="false">
      <c r="A4" s="12" t="s">
        <v>182</v>
      </c>
      <c r="B4" s="13" t="s">
        <v>67</v>
      </c>
      <c r="D4" s="12" t="s">
        <v>183</v>
      </c>
      <c r="E4" s="13" t="s">
        <v>151</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420</v>
      </c>
      <c r="D8" s="12" t="s">
        <v>194</v>
      </c>
      <c r="E8" s="13" t="s">
        <v>421</v>
      </c>
    </row>
    <row r="9" customFormat="false" ht="64.5" hidden="false" customHeight="true" outlineLevel="0" collapsed="false">
      <c r="A9" s="12" t="s">
        <v>196</v>
      </c>
      <c r="B9" s="13" t="s">
        <v>422</v>
      </c>
      <c r="D9" s="12" t="s">
        <v>198</v>
      </c>
      <c r="E9" s="13" t="s">
        <v>423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424</v>
      </c>
      <c r="D11" s="12" t="s">
        <v>202</v>
      </c>
      <c r="E11" s="13" t="s">
        <v>424</v>
      </c>
    </row>
    <row r="12" customFormat="false" ht="21.75" hidden="false" customHeight="true" outlineLevel="0" collapsed="false">
      <c r="A12" s="12" t="s">
        <v>204</v>
      </c>
      <c r="B12" s="13" t="s">
        <v>68</v>
      </c>
      <c r="D12" s="12" t="s">
        <v>205</v>
      </c>
      <c r="E12" s="13" t="s">
        <v>68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425</v>
      </c>
      <c r="B1" s="10"/>
      <c r="D1" s="10" t="s">
        <v>426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70</v>
      </c>
      <c r="D3" s="12" t="s">
        <v>181</v>
      </c>
      <c r="E3" s="13" t="s">
        <v>70</v>
      </c>
    </row>
    <row r="4" customFormat="false" ht="21.75" hidden="false" customHeight="true" outlineLevel="0" collapsed="false">
      <c r="A4" s="12" t="s">
        <v>182</v>
      </c>
      <c r="B4" s="13" t="s">
        <v>71</v>
      </c>
      <c r="D4" s="12" t="s">
        <v>183</v>
      </c>
      <c r="E4" s="13" t="s">
        <v>152</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81.5" hidden="false" customHeight="true" outlineLevel="0" collapsed="false">
      <c r="A8" s="12" t="s">
        <v>192</v>
      </c>
      <c r="B8" s="13" t="s">
        <v>427</v>
      </c>
      <c r="D8" s="12" t="s">
        <v>194</v>
      </c>
      <c r="E8" s="13" t="s">
        <v>428</v>
      </c>
    </row>
    <row r="9" customFormat="false" ht="168.75" hidden="false" customHeight="true" outlineLevel="0" collapsed="false">
      <c r="A9" s="12" t="s">
        <v>196</v>
      </c>
      <c r="B9" s="13" t="s">
        <v>429</v>
      </c>
      <c r="D9" s="12" t="s">
        <v>198</v>
      </c>
      <c r="E9" s="13" t="s">
        <v>430</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431</v>
      </c>
      <c r="D11" s="12" t="s">
        <v>202</v>
      </c>
      <c r="E11" s="13" t="s">
        <v>431</v>
      </c>
    </row>
    <row r="12" customFormat="false" ht="21.75" hidden="false" customHeight="true" outlineLevel="0" collapsed="false">
      <c r="A12" s="12" t="s">
        <v>204</v>
      </c>
      <c r="B12" s="13" t="s">
        <v>70</v>
      </c>
      <c r="D12" s="12" t="s">
        <v>205</v>
      </c>
      <c r="E12" s="13" t="s">
        <v>70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432</v>
      </c>
      <c r="B1" s="10"/>
      <c r="D1" s="10" t="s">
        <v>433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72</v>
      </c>
      <c r="D3" s="12" t="s">
        <v>181</v>
      </c>
      <c r="E3" s="13" t="s">
        <v>72</v>
      </c>
    </row>
    <row r="4" customFormat="false" ht="21.75" hidden="false" customHeight="true" outlineLevel="0" collapsed="false">
      <c r="A4" s="12" t="s">
        <v>182</v>
      </c>
      <c r="B4" s="13" t="s">
        <v>71</v>
      </c>
      <c r="D4" s="12" t="s">
        <v>183</v>
      </c>
      <c r="E4" s="13" t="s">
        <v>152</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434</v>
      </c>
      <c r="D8" s="12" t="s">
        <v>194</v>
      </c>
      <c r="E8" s="13" t="s">
        <v>435</v>
      </c>
    </row>
    <row r="9" customFormat="false" ht="78" hidden="false" customHeight="true" outlineLevel="0" collapsed="false">
      <c r="A9" s="12" t="s">
        <v>196</v>
      </c>
      <c r="B9" s="13" t="s">
        <v>436</v>
      </c>
      <c r="D9" s="12" t="s">
        <v>198</v>
      </c>
      <c r="E9" s="13" t="s">
        <v>437</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438</v>
      </c>
      <c r="D11" s="12" t="s">
        <v>202</v>
      </c>
      <c r="E11" s="13" t="s">
        <v>438</v>
      </c>
    </row>
    <row r="12" customFormat="false" ht="21.75" hidden="false" customHeight="true" outlineLevel="0" collapsed="false">
      <c r="A12" s="12" t="s">
        <v>204</v>
      </c>
      <c r="B12" s="13" t="s">
        <v>72</v>
      </c>
      <c r="D12" s="12" t="s">
        <v>205</v>
      </c>
      <c r="E12" s="13" t="s">
        <v>72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439</v>
      </c>
      <c r="B1" s="10"/>
      <c r="D1" s="10" t="s">
        <v>440</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74</v>
      </c>
      <c r="D3" s="12" t="s">
        <v>181</v>
      </c>
      <c r="E3" s="13" t="s">
        <v>74</v>
      </c>
    </row>
    <row r="4" customFormat="false" ht="21.75" hidden="false" customHeight="true" outlineLevel="0" collapsed="false">
      <c r="A4" s="12" t="s">
        <v>182</v>
      </c>
      <c r="B4" s="13" t="s">
        <v>75</v>
      </c>
      <c r="D4" s="12" t="s">
        <v>183</v>
      </c>
      <c r="E4" s="13" t="s">
        <v>153</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441</v>
      </c>
      <c r="D8" s="12" t="s">
        <v>194</v>
      </c>
      <c r="E8" s="13" t="s">
        <v>442</v>
      </c>
    </row>
    <row r="9" customFormat="false" ht="246.75" hidden="false" customHeight="true" outlineLevel="0" collapsed="false">
      <c r="A9" s="12" t="s">
        <v>196</v>
      </c>
      <c r="B9" s="13" t="s">
        <v>443</v>
      </c>
      <c r="D9" s="12" t="s">
        <v>198</v>
      </c>
      <c r="E9" s="13" t="s">
        <v>444</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445</v>
      </c>
      <c r="D11" s="12" t="s">
        <v>202</v>
      </c>
      <c r="E11" s="13" t="s">
        <v>445</v>
      </c>
    </row>
    <row r="12" customFormat="false" ht="21.75" hidden="false" customHeight="true" outlineLevel="0" collapsed="false">
      <c r="A12" s="12" t="s">
        <v>204</v>
      </c>
      <c r="B12" s="13" t="s">
        <v>74</v>
      </c>
      <c r="D12" s="12" t="s">
        <v>205</v>
      </c>
      <c r="E12" s="13" t="s">
        <v>74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446</v>
      </c>
      <c r="B1" s="10"/>
      <c r="D1" s="10" t="s">
        <v>447</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76</v>
      </c>
      <c r="D3" s="12" t="s">
        <v>181</v>
      </c>
      <c r="E3" s="13" t="s">
        <v>76</v>
      </c>
    </row>
    <row r="4" customFormat="false" ht="21.75" hidden="false" customHeight="true" outlineLevel="0" collapsed="false">
      <c r="A4" s="12" t="s">
        <v>182</v>
      </c>
      <c r="B4" s="13" t="s">
        <v>75</v>
      </c>
      <c r="D4" s="12" t="s">
        <v>183</v>
      </c>
      <c r="E4" s="13" t="s">
        <v>153</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448</v>
      </c>
      <c r="D8" s="12" t="s">
        <v>194</v>
      </c>
      <c r="E8" s="13" t="s">
        <v>449</v>
      </c>
    </row>
    <row r="9" customFormat="false" ht="45" hidden="false" customHeight="true" outlineLevel="0" collapsed="false">
      <c r="A9" s="12" t="s">
        <v>196</v>
      </c>
      <c r="B9" s="13" t="s">
        <v>450</v>
      </c>
      <c r="D9" s="12" t="s">
        <v>198</v>
      </c>
      <c r="E9" s="13" t="s">
        <v>451</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452</v>
      </c>
      <c r="D11" s="12" t="s">
        <v>202</v>
      </c>
      <c r="E11" s="13" t="s">
        <v>452</v>
      </c>
    </row>
    <row r="12" customFormat="false" ht="21.75" hidden="false" customHeight="true" outlineLevel="0" collapsed="false">
      <c r="A12" s="12" t="s">
        <v>204</v>
      </c>
      <c r="B12" s="13" t="s">
        <v>76</v>
      </c>
      <c r="D12" s="12" t="s">
        <v>205</v>
      </c>
      <c r="E12" s="13" t="s">
        <v>76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453</v>
      </c>
      <c r="B1" s="10"/>
      <c r="D1" s="10" t="s">
        <v>454</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78</v>
      </c>
      <c r="D3" s="12" t="s">
        <v>181</v>
      </c>
      <c r="E3" s="13" t="s">
        <v>78</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455</v>
      </c>
      <c r="D8" s="12" t="s">
        <v>194</v>
      </c>
      <c r="E8" s="13" t="s">
        <v>456</v>
      </c>
    </row>
    <row r="9" customFormat="false" ht="300" hidden="false" customHeight="true" outlineLevel="0" collapsed="false">
      <c r="A9" s="12" t="s">
        <v>196</v>
      </c>
      <c r="B9" s="13" t="s">
        <v>457</v>
      </c>
      <c r="D9" s="12" t="s">
        <v>198</v>
      </c>
      <c r="E9" s="13" t="s">
        <v>458</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459</v>
      </c>
      <c r="D11" s="12" t="s">
        <v>202</v>
      </c>
      <c r="E11" s="13" t="s">
        <v>459</v>
      </c>
    </row>
    <row r="12" customFormat="false" ht="21.75" hidden="false" customHeight="true" outlineLevel="0" collapsed="false">
      <c r="A12" s="12" t="s">
        <v>204</v>
      </c>
      <c r="B12" s="13" t="s">
        <v>78</v>
      </c>
      <c r="D12" s="12" t="s">
        <v>205</v>
      </c>
      <c r="E12" s="13" t="s">
        <v>78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460</v>
      </c>
      <c r="B1" s="10"/>
      <c r="D1" s="10" t="s">
        <v>461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80</v>
      </c>
      <c r="D3" s="12" t="s">
        <v>181</v>
      </c>
      <c r="E3" s="13" t="s">
        <v>80</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462</v>
      </c>
      <c r="D8" s="12" t="s">
        <v>194</v>
      </c>
      <c r="E8" s="13" t="s">
        <v>463</v>
      </c>
    </row>
    <row r="9" customFormat="false" ht="45" hidden="false" customHeight="true" outlineLevel="0" collapsed="false">
      <c r="A9" s="12" t="s">
        <v>196</v>
      </c>
      <c r="B9" s="13" t="s">
        <v>464</v>
      </c>
      <c r="D9" s="12" t="s">
        <v>198</v>
      </c>
      <c r="E9" s="13" t="s">
        <v>465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466</v>
      </c>
      <c r="D11" s="12" t="s">
        <v>202</v>
      </c>
      <c r="E11" s="13" t="s">
        <v>466</v>
      </c>
    </row>
    <row r="12" customFormat="false" ht="21.75" hidden="false" customHeight="true" outlineLevel="0" collapsed="false">
      <c r="A12" s="12" t="s">
        <v>204</v>
      </c>
      <c r="B12" s="13" t="s">
        <v>80</v>
      </c>
      <c r="D12" s="12" t="s">
        <v>205</v>
      </c>
      <c r="E12" s="13" t="s">
        <v>80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467</v>
      </c>
      <c r="B1" s="10"/>
      <c r="D1" s="10" t="s">
        <v>468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82</v>
      </c>
      <c r="D3" s="12" t="s">
        <v>181</v>
      </c>
      <c r="E3" s="13" t="s">
        <v>82</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469</v>
      </c>
      <c r="D8" s="12" t="s">
        <v>194</v>
      </c>
      <c r="E8" s="13" t="s">
        <v>470</v>
      </c>
    </row>
    <row r="9" customFormat="false" ht="45" hidden="false" customHeight="true" outlineLevel="0" collapsed="false">
      <c r="A9" s="12" t="s">
        <v>196</v>
      </c>
      <c r="B9" s="13" t="s">
        <v>464</v>
      </c>
      <c r="D9" s="12" t="s">
        <v>198</v>
      </c>
      <c r="E9" s="13" t="s">
        <v>465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471</v>
      </c>
      <c r="D11" s="12" t="s">
        <v>202</v>
      </c>
      <c r="E11" s="13" t="s">
        <v>471</v>
      </c>
    </row>
    <row r="12" customFormat="false" ht="21.75" hidden="false" customHeight="true" outlineLevel="0" collapsed="false">
      <c r="A12" s="12" t="s">
        <v>204</v>
      </c>
      <c r="B12" s="13" t="s">
        <v>82</v>
      </c>
      <c r="D12" s="12" t="s">
        <v>205</v>
      </c>
      <c r="E12" s="13" t="s">
        <v>82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472</v>
      </c>
      <c r="B1" s="10"/>
      <c r="D1" s="10" t="s">
        <v>473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84</v>
      </c>
      <c r="D3" s="12" t="s">
        <v>181</v>
      </c>
      <c r="E3" s="13" t="s">
        <v>84</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474</v>
      </c>
      <c r="D8" s="12" t="s">
        <v>194</v>
      </c>
      <c r="E8" s="13" t="s">
        <v>475</v>
      </c>
    </row>
    <row r="9" customFormat="false" ht="45" hidden="false" customHeight="true" outlineLevel="0" collapsed="false">
      <c r="A9" s="12" t="s">
        <v>196</v>
      </c>
      <c r="B9" s="13" t="s">
        <v>464</v>
      </c>
      <c r="D9" s="12" t="s">
        <v>198</v>
      </c>
      <c r="E9" s="13" t="s">
        <v>465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476</v>
      </c>
      <c r="D11" s="12" t="s">
        <v>202</v>
      </c>
      <c r="E11" s="13" t="s">
        <v>476</v>
      </c>
    </row>
    <row r="12" customFormat="false" ht="21.75" hidden="false" customHeight="true" outlineLevel="0" collapsed="false">
      <c r="A12" s="12" t="s">
        <v>204</v>
      </c>
      <c r="B12" s="13" t="s">
        <v>84</v>
      </c>
      <c r="D12" s="12" t="s">
        <v>205</v>
      </c>
      <c r="E12" s="13" t="s">
        <v>84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477</v>
      </c>
      <c r="B1" s="10"/>
      <c r="D1" s="10" t="s">
        <v>478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86</v>
      </c>
      <c r="D3" s="12" t="s">
        <v>181</v>
      </c>
      <c r="E3" s="13" t="s">
        <v>86</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479</v>
      </c>
      <c r="D8" s="12" t="s">
        <v>194</v>
      </c>
      <c r="E8" s="13" t="s">
        <v>480</v>
      </c>
    </row>
    <row r="9" customFormat="false" ht="90.75" hidden="false" customHeight="true" outlineLevel="0" collapsed="false">
      <c r="A9" s="12" t="s">
        <v>196</v>
      </c>
      <c r="B9" s="13" t="s">
        <v>481</v>
      </c>
      <c r="D9" s="12" t="s">
        <v>198</v>
      </c>
      <c r="E9" s="13" t="s">
        <v>482</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483</v>
      </c>
      <c r="D11" s="12" t="s">
        <v>202</v>
      </c>
      <c r="E11" s="13" t="s">
        <v>483</v>
      </c>
    </row>
    <row r="12" customFormat="false" ht="21.75" hidden="false" customHeight="true" outlineLevel="0" collapsed="false">
      <c r="A12" s="12" t="s">
        <v>204</v>
      </c>
      <c r="B12" s="13" t="s">
        <v>86</v>
      </c>
      <c r="D12" s="12" t="s">
        <v>205</v>
      </c>
      <c r="E12" s="13" t="s">
        <v>86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484</v>
      </c>
      <c r="B1" s="10"/>
      <c r="D1" s="10" t="s">
        <v>485</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88</v>
      </c>
      <c r="D3" s="12" t="s">
        <v>181</v>
      </c>
      <c r="E3" s="13" t="s">
        <v>88</v>
      </c>
    </row>
    <row r="4" customFormat="false" ht="21.75" hidden="false" customHeight="true" outlineLevel="0" collapsed="false">
      <c r="A4" s="12" t="s">
        <v>182</v>
      </c>
      <c r="B4" s="13" t="s">
        <v>79</v>
      </c>
      <c r="D4" s="12" t="s">
        <v>183</v>
      </c>
      <c r="E4" s="13" t="s">
        <v>154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486</v>
      </c>
      <c r="D8" s="12" t="s">
        <v>194</v>
      </c>
      <c r="E8" s="13" t="s">
        <v>487</v>
      </c>
    </row>
    <row r="9" customFormat="false" ht="117" hidden="false" customHeight="true" outlineLevel="0" collapsed="false">
      <c r="A9" s="12" t="s">
        <v>196</v>
      </c>
      <c r="B9" s="13" t="s">
        <v>488</v>
      </c>
      <c r="D9" s="12" t="s">
        <v>198</v>
      </c>
      <c r="E9" s="13" t="s">
        <v>489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490</v>
      </c>
      <c r="D11" s="12" t="s">
        <v>202</v>
      </c>
      <c r="E11" s="13" t="s">
        <v>490</v>
      </c>
    </row>
    <row r="12" customFormat="false" ht="21.75" hidden="false" customHeight="true" outlineLevel="0" collapsed="false">
      <c r="A12" s="12" t="s">
        <v>204</v>
      </c>
      <c r="B12" s="13" t="s">
        <v>88</v>
      </c>
      <c r="D12" s="12" t="s">
        <v>205</v>
      </c>
      <c r="E12" s="13" t="s">
        <v>88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491</v>
      </c>
      <c r="B1" s="10"/>
      <c r="D1" s="10" t="s">
        <v>492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90</v>
      </c>
      <c r="D3" s="12" t="s">
        <v>181</v>
      </c>
      <c r="E3" s="13" t="s">
        <v>90</v>
      </c>
    </row>
    <row r="4" customFormat="false" ht="21.75" hidden="false" customHeight="true" outlineLevel="0" collapsed="false">
      <c r="A4" s="12" t="s">
        <v>182</v>
      </c>
      <c r="B4" s="13" t="s">
        <v>91</v>
      </c>
      <c r="D4" s="12" t="s">
        <v>183</v>
      </c>
      <c r="E4" s="13" t="s">
        <v>155</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56" hidden="false" customHeight="true" outlineLevel="0" collapsed="false">
      <c r="A8" s="12" t="s">
        <v>192</v>
      </c>
      <c r="B8" s="13" t="s">
        <v>493</v>
      </c>
      <c r="D8" s="12" t="s">
        <v>194</v>
      </c>
      <c r="E8" s="13" t="s">
        <v>494</v>
      </c>
    </row>
    <row r="9" customFormat="false" ht="220.5" hidden="false" customHeight="true" outlineLevel="0" collapsed="false">
      <c r="A9" s="12" t="s">
        <v>196</v>
      </c>
      <c r="B9" s="13" t="s">
        <v>495</v>
      </c>
      <c r="D9" s="12" t="s">
        <v>198</v>
      </c>
      <c r="E9" s="13" t="s">
        <v>496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497</v>
      </c>
      <c r="D11" s="12" t="s">
        <v>202</v>
      </c>
      <c r="E11" s="13" t="s">
        <v>497</v>
      </c>
    </row>
    <row r="12" customFormat="false" ht="21.75" hidden="false" customHeight="true" outlineLevel="0" collapsed="false">
      <c r="A12" s="12" t="s">
        <v>204</v>
      </c>
      <c r="B12" s="13" t="s">
        <v>90</v>
      </c>
      <c r="D12" s="12" t="s">
        <v>205</v>
      </c>
      <c r="E12" s="13" t="s">
        <v>90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498</v>
      </c>
      <c r="B1" s="10"/>
      <c r="D1" s="10" t="s">
        <v>499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92</v>
      </c>
      <c r="D3" s="12" t="s">
        <v>181</v>
      </c>
      <c r="E3" s="13" t="s">
        <v>92</v>
      </c>
    </row>
    <row r="4" customFormat="false" ht="21.75" hidden="false" customHeight="true" outlineLevel="0" collapsed="false">
      <c r="A4" s="12" t="s">
        <v>182</v>
      </c>
      <c r="B4" s="13" t="s">
        <v>93</v>
      </c>
      <c r="D4" s="12" t="s">
        <v>183</v>
      </c>
      <c r="E4" s="13" t="s">
        <v>156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300" hidden="false" customHeight="true" outlineLevel="0" collapsed="false">
      <c r="A8" s="12" t="s">
        <v>192</v>
      </c>
      <c r="B8" s="13" t="s">
        <v>500</v>
      </c>
      <c r="D8" s="12" t="s">
        <v>194</v>
      </c>
      <c r="E8" s="13" t="s">
        <v>501</v>
      </c>
    </row>
    <row r="9" customFormat="false" ht="300" hidden="false" customHeight="true" outlineLevel="0" collapsed="false">
      <c r="A9" s="12" t="s">
        <v>196</v>
      </c>
      <c r="B9" s="13" t="s">
        <v>502</v>
      </c>
      <c r="D9" s="12" t="s">
        <v>198</v>
      </c>
      <c r="E9" s="13" t="s">
        <v>503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504</v>
      </c>
      <c r="D11" s="12" t="s">
        <v>202</v>
      </c>
      <c r="E11" s="13" t="s">
        <v>504</v>
      </c>
    </row>
    <row r="12" customFormat="false" ht="21.75" hidden="false" customHeight="true" outlineLevel="0" collapsed="false">
      <c r="A12" s="12" t="s">
        <v>204</v>
      </c>
      <c r="B12" s="13" t="s">
        <v>92</v>
      </c>
      <c r="D12" s="12" t="s">
        <v>205</v>
      </c>
      <c r="E12" s="13" t="s">
        <v>92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505</v>
      </c>
      <c r="B1" s="10"/>
      <c r="D1" s="10" t="s">
        <v>506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94</v>
      </c>
      <c r="D3" s="12" t="s">
        <v>181</v>
      </c>
      <c r="E3" s="13" t="s">
        <v>94</v>
      </c>
    </row>
    <row r="4" customFormat="false" ht="21.75" hidden="false" customHeight="true" outlineLevel="0" collapsed="false">
      <c r="A4" s="12" t="s">
        <v>182</v>
      </c>
      <c r="B4" s="13" t="s">
        <v>93</v>
      </c>
      <c r="D4" s="12" t="s">
        <v>183</v>
      </c>
      <c r="E4" s="13" t="s">
        <v>156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220.5" hidden="false" customHeight="true" outlineLevel="0" collapsed="false">
      <c r="A8" s="12" t="s">
        <v>192</v>
      </c>
      <c r="B8" s="13" t="s">
        <v>507</v>
      </c>
      <c r="D8" s="12" t="s">
        <v>194</v>
      </c>
      <c r="E8" s="13" t="s">
        <v>508</v>
      </c>
    </row>
    <row r="9" customFormat="false" ht="220.5" hidden="false" customHeight="true" outlineLevel="0" collapsed="false">
      <c r="A9" s="12" t="s">
        <v>196</v>
      </c>
      <c r="B9" s="13" t="s">
        <v>509</v>
      </c>
      <c r="D9" s="12" t="s">
        <v>198</v>
      </c>
      <c r="E9" s="13" t="s">
        <v>510</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511</v>
      </c>
      <c r="D11" s="12" t="s">
        <v>202</v>
      </c>
      <c r="E11" s="13" t="s">
        <v>511</v>
      </c>
    </row>
    <row r="12" customFormat="false" ht="21.75" hidden="false" customHeight="true" outlineLevel="0" collapsed="false">
      <c r="A12" s="12" t="s">
        <v>204</v>
      </c>
      <c r="B12" s="13" t="s">
        <v>94</v>
      </c>
      <c r="D12" s="12" t="s">
        <v>205</v>
      </c>
      <c r="E12" s="13" t="s">
        <v>94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512</v>
      </c>
      <c r="B1" s="10"/>
      <c r="D1" s="10" t="s">
        <v>513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96</v>
      </c>
      <c r="D3" s="12" t="s">
        <v>181</v>
      </c>
      <c r="E3" s="13" t="s">
        <v>96</v>
      </c>
    </row>
    <row r="4" customFormat="false" ht="21.75" hidden="false" customHeight="true" outlineLevel="0" collapsed="false">
      <c r="A4" s="12" t="s">
        <v>182</v>
      </c>
      <c r="B4" s="13" t="s">
        <v>93</v>
      </c>
      <c r="D4" s="12" t="s">
        <v>183</v>
      </c>
      <c r="E4" s="13" t="s">
        <v>156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68.75" hidden="false" customHeight="true" outlineLevel="0" collapsed="false">
      <c r="A8" s="12" t="s">
        <v>192</v>
      </c>
      <c r="B8" s="13" t="s">
        <v>514</v>
      </c>
      <c r="D8" s="12" t="s">
        <v>194</v>
      </c>
      <c r="E8" s="13" t="s">
        <v>515</v>
      </c>
    </row>
    <row r="9" customFormat="false" ht="45" hidden="false" customHeight="true" outlineLevel="0" collapsed="false">
      <c r="A9" s="12" t="s">
        <v>196</v>
      </c>
      <c r="B9" s="13" t="s">
        <v>516</v>
      </c>
      <c r="D9" s="12" t="s">
        <v>198</v>
      </c>
      <c r="E9" s="13" t="s">
        <v>517</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518</v>
      </c>
      <c r="D11" s="12" t="s">
        <v>202</v>
      </c>
      <c r="E11" s="13" t="s">
        <v>518</v>
      </c>
    </row>
    <row r="12" customFormat="false" ht="21.75" hidden="false" customHeight="true" outlineLevel="0" collapsed="false">
      <c r="A12" s="12" t="s">
        <v>204</v>
      </c>
      <c r="B12" s="13" t="s">
        <v>96</v>
      </c>
      <c r="D12" s="12" t="s">
        <v>205</v>
      </c>
      <c r="E12" s="13" t="s">
        <v>96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519</v>
      </c>
      <c r="B1" s="10"/>
      <c r="D1" s="10" t="s">
        <v>520</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98</v>
      </c>
      <c r="D3" s="12" t="s">
        <v>181</v>
      </c>
      <c r="E3" s="13" t="s">
        <v>98</v>
      </c>
    </row>
    <row r="4" customFormat="false" ht="21.75" hidden="false" customHeight="true" outlineLevel="0" collapsed="false">
      <c r="A4" s="12" t="s">
        <v>182</v>
      </c>
      <c r="B4" s="13" t="s">
        <v>93</v>
      </c>
      <c r="D4" s="12" t="s">
        <v>183</v>
      </c>
      <c r="E4" s="13" t="s">
        <v>156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78" hidden="false" customHeight="true" outlineLevel="0" collapsed="false">
      <c r="A8" s="12" t="s">
        <v>192</v>
      </c>
      <c r="B8" s="13" t="s">
        <v>521</v>
      </c>
      <c r="D8" s="12" t="s">
        <v>194</v>
      </c>
      <c r="E8" s="13" t="s">
        <v>522</v>
      </c>
    </row>
    <row r="9" customFormat="false" ht="64.5" hidden="false" customHeight="true" outlineLevel="0" collapsed="false">
      <c r="A9" s="12" t="s">
        <v>196</v>
      </c>
      <c r="B9" s="13" t="s">
        <v>523</v>
      </c>
      <c r="D9" s="12" t="s">
        <v>198</v>
      </c>
      <c r="E9" s="13" t="s">
        <v>524</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525</v>
      </c>
      <c r="D11" s="12" t="s">
        <v>202</v>
      </c>
      <c r="E11" s="13" t="s">
        <v>525</v>
      </c>
    </row>
    <row r="12" customFormat="false" ht="21.75" hidden="false" customHeight="true" outlineLevel="0" collapsed="false">
      <c r="A12" s="12" t="s">
        <v>204</v>
      </c>
      <c r="B12" s="13" t="s">
        <v>98</v>
      </c>
      <c r="D12" s="12" t="s">
        <v>205</v>
      </c>
      <c r="E12" s="13" t="s">
        <v>98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526</v>
      </c>
      <c r="B1" s="10"/>
      <c r="D1" s="10" t="s">
        <v>527</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100</v>
      </c>
      <c r="D3" s="12" t="s">
        <v>181</v>
      </c>
      <c r="E3" s="13" t="s">
        <v>100</v>
      </c>
    </row>
    <row r="4" customFormat="false" ht="21.75" hidden="false" customHeight="true" outlineLevel="0" collapsed="false">
      <c r="A4" s="12" t="s">
        <v>182</v>
      </c>
      <c r="B4" s="13" t="s">
        <v>93</v>
      </c>
      <c r="D4" s="12" t="s">
        <v>183</v>
      </c>
      <c r="E4" s="13" t="s">
        <v>156</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528</v>
      </c>
      <c r="D8" s="12" t="s">
        <v>194</v>
      </c>
      <c r="E8" s="13" t="s">
        <v>529</v>
      </c>
    </row>
    <row r="9" customFormat="false" ht="64.5" hidden="false" customHeight="true" outlineLevel="0" collapsed="false">
      <c r="A9" s="12" t="s">
        <v>196</v>
      </c>
      <c r="B9" s="13" t="s">
        <v>530</v>
      </c>
      <c r="D9" s="12" t="s">
        <v>198</v>
      </c>
      <c r="E9" s="13" t="s">
        <v>531</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532</v>
      </c>
      <c r="D11" s="12" t="s">
        <v>202</v>
      </c>
      <c r="E11" s="13" t="s">
        <v>532</v>
      </c>
    </row>
    <row r="12" customFormat="false" ht="21.75" hidden="false" customHeight="true" outlineLevel="0" collapsed="false">
      <c r="A12" s="12" t="s">
        <v>204</v>
      </c>
      <c r="B12" s="13" t="s">
        <v>100</v>
      </c>
      <c r="D12" s="12" t="s">
        <v>205</v>
      </c>
      <c r="E12" s="13" t="s">
        <v>100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533</v>
      </c>
      <c r="B1" s="10"/>
      <c r="D1" s="10" t="s">
        <v>534</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102</v>
      </c>
      <c r="D3" s="12" t="s">
        <v>181</v>
      </c>
      <c r="E3" s="13" t="s">
        <v>102</v>
      </c>
    </row>
    <row r="4" customFormat="false" ht="21.75" hidden="false" customHeight="true" outlineLevel="0" collapsed="false">
      <c r="A4" s="12" t="s">
        <v>182</v>
      </c>
      <c r="B4" s="13" t="s">
        <v>103</v>
      </c>
      <c r="D4" s="12" t="s">
        <v>183</v>
      </c>
      <c r="E4" s="13" t="s">
        <v>157</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535</v>
      </c>
      <c r="D8" s="12" t="s">
        <v>194</v>
      </c>
      <c r="E8" s="13" t="s">
        <v>536</v>
      </c>
    </row>
    <row r="9" customFormat="false" ht="207.75" hidden="false" customHeight="true" outlineLevel="0" collapsed="false">
      <c r="A9" s="12" t="s">
        <v>196</v>
      </c>
      <c r="B9" s="13" t="s">
        <v>537</v>
      </c>
      <c r="D9" s="12" t="s">
        <v>198</v>
      </c>
      <c r="E9" s="13" t="s">
        <v>538</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539</v>
      </c>
      <c r="D11" s="12" t="s">
        <v>202</v>
      </c>
      <c r="E11" s="13" t="s">
        <v>539</v>
      </c>
    </row>
    <row r="12" customFormat="false" ht="21.75" hidden="false" customHeight="true" outlineLevel="0" collapsed="false">
      <c r="A12" s="12" t="s">
        <v>204</v>
      </c>
      <c r="B12" s="13" t="s">
        <v>102</v>
      </c>
      <c r="D12" s="12" t="s">
        <v>205</v>
      </c>
      <c r="E12" s="13" t="s">
        <v>102</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540</v>
      </c>
      <c r="B1" s="10"/>
      <c r="D1" s="10" t="s">
        <v>541</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104</v>
      </c>
      <c r="D3" s="12" t="s">
        <v>181</v>
      </c>
      <c r="E3" s="13" t="s">
        <v>104</v>
      </c>
    </row>
    <row r="4" customFormat="false" ht="21.75" hidden="false" customHeight="true" outlineLevel="0" collapsed="false">
      <c r="A4" s="12" t="s">
        <v>182</v>
      </c>
      <c r="B4" s="13" t="s">
        <v>105</v>
      </c>
      <c r="D4" s="12" t="s">
        <v>183</v>
      </c>
      <c r="E4" s="13" t="s">
        <v>158</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51.75" hidden="false" customHeight="true" outlineLevel="0" collapsed="false">
      <c r="A8" s="12" t="s">
        <v>192</v>
      </c>
      <c r="B8" s="13" t="s">
        <v>542</v>
      </c>
      <c r="D8" s="12" t="s">
        <v>194</v>
      </c>
      <c r="E8" s="13" t="s">
        <v>543</v>
      </c>
    </row>
    <row r="9" customFormat="false" ht="64.5" hidden="false" customHeight="true" outlineLevel="0" collapsed="false">
      <c r="A9" s="12" t="s">
        <v>196</v>
      </c>
      <c r="B9" s="13" t="s">
        <v>544</v>
      </c>
      <c r="D9" s="12" t="s">
        <v>198</v>
      </c>
      <c r="E9" s="13" t="s">
        <v>545</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546</v>
      </c>
      <c r="D11" s="12" t="s">
        <v>202</v>
      </c>
      <c r="E11" s="13" t="s">
        <v>546</v>
      </c>
    </row>
    <row r="12" customFormat="false" ht="21.75" hidden="false" customHeight="true" outlineLevel="0" collapsed="false">
      <c r="A12" s="12" t="s">
        <v>204</v>
      </c>
      <c r="B12" s="13" t="s">
        <v>104</v>
      </c>
      <c r="D12" s="12" t="s">
        <v>205</v>
      </c>
      <c r="E12" s="13" t="s">
        <v>104</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547</v>
      </c>
      <c r="B1" s="10"/>
      <c r="D1" s="10" t="s">
        <v>548</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106</v>
      </c>
      <c r="D3" s="12" t="s">
        <v>181</v>
      </c>
      <c r="E3" s="13" t="s">
        <v>106</v>
      </c>
    </row>
    <row r="4" customFormat="false" ht="21.75" hidden="false" customHeight="true" outlineLevel="0" collapsed="false">
      <c r="A4" s="12" t="s">
        <v>182</v>
      </c>
      <c r="B4" s="13" t="s">
        <v>107</v>
      </c>
      <c r="D4" s="12" t="s">
        <v>183</v>
      </c>
      <c r="E4" s="13" t="s">
        <v>159</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549</v>
      </c>
      <c r="D8" s="12" t="s">
        <v>194</v>
      </c>
      <c r="E8" s="13" t="s">
        <v>550</v>
      </c>
    </row>
    <row r="9" customFormat="false" ht="246.75" hidden="false" customHeight="true" outlineLevel="0" collapsed="false">
      <c r="A9" s="12" t="s">
        <v>196</v>
      </c>
      <c r="B9" s="13" t="s">
        <v>551</v>
      </c>
      <c r="D9" s="12" t="s">
        <v>198</v>
      </c>
      <c r="E9" s="13" t="s">
        <v>552</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553</v>
      </c>
      <c r="D11" s="12" t="s">
        <v>202</v>
      </c>
      <c r="E11" s="13" t="s">
        <v>553</v>
      </c>
    </row>
    <row r="12" customFormat="false" ht="21.75" hidden="false" customHeight="true" outlineLevel="0" collapsed="false">
      <c r="A12" s="12" t="s">
        <v>204</v>
      </c>
      <c r="B12" s="13" t="s">
        <v>106</v>
      </c>
      <c r="D12" s="12" t="s">
        <v>205</v>
      </c>
      <c r="E12" s="13" t="s">
        <v>106</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554</v>
      </c>
      <c r="B1" s="10"/>
      <c r="D1" s="10" t="s">
        <v>555</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108</v>
      </c>
      <c r="D3" s="12" t="s">
        <v>181</v>
      </c>
      <c r="E3" s="13" t="s">
        <v>108</v>
      </c>
    </row>
    <row r="4" customFormat="false" ht="21.75" hidden="false" customHeight="true" outlineLevel="0" collapsed="false">
      <c r="A4" s="12" t="s">
        <v>182</v>
      </c>
      <c r="B4" s="13" t="s">
        <v>109</v>
      </c>
      <c r="D4" s="12" t="s">
        <v>183</v>
      </c>
      <c r="E4" s="13" t="s">
        <v>160</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17" hidden="false" customHeight="true" outlineLevel="0" collapsed="false">
      <c r="A8" s="12" t="s">
        <v>192</v>
      </c>
      <c r="B8" s="13" t="s">
        <v>556</v>
      </c>
      <c r="D8" s="12" t="s">
        <v>194</v>
      </c>
      <c r="E8" s="13" t="s">
        <v>557</v>
      </c>
    </row>
    <row r="9" customFormat="false" ht="220.5" hidden="false" customHeight="true" outlineLevel="0" collapsed="false">
      <c r="A9" s="12" t="s">
        <v>196</v>
      </c>
      <c r="B9" s="13" t="s">
        <v>558</v>
      </c>
      <c r="D9" s="12" t="s">
        <v>198</v>
      </c>
      <c r="E9" s="13" t="s">
        <v>559</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560</v>
      </c>
      <c r="D11" s="12" t="s">
        <v>202</v>
      </c>
      <c r="E11" s="13" t="s">
        <v>560</v>
      </c>
    </row>
    <row r="12" customFormat="false" ht="21.75" hidden="false" customHeight="true" outlineLevel="0" collapsed="false">
      <c r="A12" s="12" t="s">
        <v>204</v>
      </c>
      <c r="B12" s="13" t="s">
        <v>108</v>
      </c>
      <c r="D12" s="12" t="s">
        <v>205</v>
      </c>
      <c r="E12" s="13" t="s">
        <v>108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561</v>
      </c>
      <c r="B1" s="10"/>
      <c r="D1" s="10" t="s">
        <v>562</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110</v>
      </c>
      <c r="D3" s="12" t="s">
        <v>181</v>
      </c>
      <c r="E3" s="13" t="s">
        <v>110</v>
      </c>
    </row>
    <row r="4" customFormat="false" ht="21.75" hidden="false" customHeight="true" outlineLevel="0" collapsed="false">
      <c r="A4" s="12" t="s">
        <v>182</v>
      </c>
      <c r="B4" s="13" t="s">
        <v>111</v>
      </c>
      <c r="D4" s="12" t="s">
        <v>183</v>
      </c>
      <c r="E4" s="13" t="s">
        <v>161</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03.5" hidden="false" customHeight="true" outlineLevel="0" collapsed="false">
      <c r="A8" s="12" t="s">
        <v>192</v>
      </c>
      <c r="B8" s="13" t="s">
        <v>563</v>
      </c>
      <c r="D8" s="12" t="s">
        <v>194</v>
      </c>
      <c r="E8" s="13" t="s">
        <v>564</v>
      </c>
    </row>
    <row r="9" customFormat="false" ht="234" hidden="false" customHeight="true" outlineLevel="0" collapsed="false">
      <c r="A9" s="12" t="s">
        <v>196</v>
      </c>
      <c r="B9" s="13" t="s">
        <v>565</v>
      </c>
      <c r="D9" s="12" t="s">
        <v>198</v>
      </c>
      <c r="E9" s="13" t="s">
        <v>566</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567</v>
      </c>
      <c r="D11" s="12" t="s">
        <v>202</v>
      </c>
      <c r="E11" s="13" t="s">
        <v>567</v>
      </c>
    </row>
    <row r="12" customFormat="false" ht="21.75" hidden="false" customHeight="true" outlineLevel="0" collapsed="false">
      <c r="A12" s="12" t="s">
        <v>204</v>
      </c>
      <c r="B12" s="13" t="s">
        <v>110</v>
      </c>
      <c r="D12" s="12" t="s">
        <v>205</v>
      </c>
      <c r="E12" s="13" t="s">
        <v>110</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568</v>
      </c>
      <c r="B1" s="10"/>
      <c r="D1" s="10" t="s">
        <v>569</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113</v>
      </c>
      <c r="D3" s="12" t="s">
        <v>181</v>
      </c>
      <c r="E3" s="13" t="s">
        <v>113</v>
      </c>
    </row>
    <row r="4" customFormat="false" ht="21.75" hidden="false" customHeight="true" outlineLevel="0" collapsed="false">
      <c r="A4" s="12" t="s">
        <v>182</v>
      </c>
      <c r="B4" s="13" t="s">
        <v>114</v>
      </c>
      <c r="D4" s="12" t="s">
        <v>183</v>
      </c>
      <c r="E4" s="13" t="s">
        <v>162</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570</v>
      </c>
      <c r="D8" s="12" t="s">
        <v>194</v>
      </c>
      <c r="E8" s="13" t="s">
        <v>571</v>
      </c>
    </row>
    <row r="9" customFormat="false" ht="234" hidden="false" customHeight="true" outlineLevel="0" collapsed="false">
      <c r="A9" s="12" t="s">
        <v>196</v>
      </c>
      <c r="B9" s="13" t="s">
        <v>572</v>
      </c>
      <c r="D9" s="12" t="s">
        <v>198</v>
      </c>
      <c r="E9" s="13" t="s">
        <v>573</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574</v>
      </c>
      <c r="D11" s="12" t="s">
        <v>202</v>
      </c>
      <c r="E11" s="13" t="s">
        <v>574</v>
      </c>
    </row>
    <row r="12" customFormat="false" ht="21.75" hidden="false" customHeight="true" outlineLevel="0" collapsed="false">
      <c r="A12" s="12" t="s">
        <v>204</v>
      </c>
      <c r="B12" s="13" t="s">
        <v>113</v>
      </c>
      <c r="D12" s="12" t="s">
        <v>205</v>
      </c>
      <c r="E12" s="13" t="s">
        <v>113</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575</v>
      </c>
      <c r="B1" s="10"/>
      <c r="D1" s="10" t="s">
        <v>576</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115</v>
      </c>
      <c r="D3" s="12" t="s">
        <v>181</v>
      </c>
      <c r="E3" s="13" t="s">
        <v>115</v>
      </c>
    </row>
    <row r="4" customFormat="false" ht="21.75" hidden="false" customHeight="true" outlineLevel="0" collapsed="false">
      <c r="A4" s="12" t="s">
        <v>182</v>
      </c>
      <c r="B4" s="13" t="s">
        <v>116</v>
      </c>
      <c r="D4" s="12" t="s">
        <v>183</v>
      </c>
      <c r="E4" s="13" t="s">
        <v>163</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45" hidden="false" customHeight="true" outlineLevel="0" collapsed="false">
      <c r="A8" s="12" t="s">
        <v>192</v>
      </c>
      <c r="B8" s="13" t="s">
        <v>577</v>
      </c>
      <c r="D8" s="12" t="s">
        <v>194</v>
      </c>
      <c r="E8" s="13" t="s">
        <v>578</v>
      </c>
    </row>
    <row r="9" customFormat="false" ht="78" hidden="false" customHeight="true" outlineLevel="0" collapsed="false">
      <c r="A9" s="12" t="s">
        <v>196</v>
      </c>
      <c r="B9" s="13" t="s">
        <v>579</v>
      </c>
      <c r="D9" s="12" t="s">
        <v>198</v>
      </c>
      <c r="E9" s="13" t="s">
        <v>580</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581</v>
      </c>
      <c r="D11" s="12" t="s">
        <v>202</v>
      </c>
      <c r="E11" s="13" t="s">
        <v>581</v>
      </c>
    </row>
    <row r="12" customFormat="false" ht="21.75" hidden="false" customHeight="true" outlineLevel="0" collapsed="false">
      <c r="A12" s="12" t="s">
        <v>204</v>
      </c>
      <c r="B12" s="13" t="s">
        <v>115</v>
      </c>
      <c r="D12" s="12" t="s">
        <v>205</v>
      </c>
      <c r="E12" s="13" t="s">
        <v>115</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582</v>
      </c>
      <c r="B1" s="10"/>
      <c r="D1" s="10" t="s">
        <v>583</v>
      </c>
      <c r="E1" s="10"/>
    </row>
    <row r="2" customFormat="false" ht="19.5" hidden="false" customHeight="true" outlineLevel="0" collapsed="false">
      <c r="A2" s="11" t="s">
        <v>178</v>
      </c>
      <c r="B2" s="11"/>
      <c r="D2" s="11" t="s">
        <v>179</v>
      </c>
      <c r="E2" s="11"/>
    </row>
    <row r="3" customFormat="false" ht="21.75" hidden="false" customHeight="true" outlineLevel="0" collapsed="false">
      <c r="A3" s="12" t="s">
        <v>180</v>
      </c>
      <c r="B3" s="13" t="s">
        <v>118</v>
      </c>
      <c r="D3" s="12" t="s">
        <v>181</v>
      </c>
      <c r="E3" s="13" t="s">
        <v>118</v>
      </c>
    </row>
    <row r="4" customFormat="false" ht="21.75" hidden="false" customHeight="true" outlineLevel="0" collapsed="false">
      <c r="A4" s="12" t="s">
        <v>182</v>
      </c>
      <c r="B4" s="13" t="s">
        <v>119</v>
      </c>
      <c r="D4" s="12" t="s">
        <v>183</v>
      </c>
      <c r="E4" s="13" t="s">
        <v>164</v>
      </c>
    </row>
    <row r="5" customFormat="false" ht="21.75" hidden="false" customHeight="true" outlineLevel="0" collapsed="false">
      <c r="A5" s="12" t="s">
        <v>184</v>
      </c>
      <c r="B5" s="13" t="s">
        <v>185</v>
      </c>
      <c r="D5" s="12" t="s">
        <v>186</v>
      </c>
      <c r="E5" s="13" t="s">
        <v>187</v>
      </c>
    </row>
    <row r="6" customFormat="false" ht="21.75" hidden="false" customHeight="true" outlineLevel="0" collapsed="false">
      <c r="A6" s="12" t="s">
        <v>188</v>
      </c>
      <c r="B6" s="13"/>
      <c r="D6" s="12" t="s">
        <v>189</v>
      </c>
      <c r="E6" s="13"/>
    </row>
    <row r="7" customFormat="false" ht="21.75" hidden="false" customHeight="true" outlineLevel="0" collapsed="false">
      <c r="A7" s="12" t="s">
        <v>190</v>
      </c>
      <c r="B7" s="13"/>
      <c r="D7" s="12" t="s">
        <v>191</v>
      </c>
      <c r="E7" s="13"/>
    </row>
    <row r="8" customFormat="false" ht="142.5" hidden="false" customHeight="true" outlineLevel="0" collapsed="false">
      <c r="A8" s="12" t="s">
        <v>192</v>
      </c>
      <c r="B8" s="13" t="s">
        <v>584</v>
      </c>
      <c r="D8" s="12" t="s">
        <v>194</v>
      </c>
      <c r="E8" s="13" t="s">
        <v>585</v>
      </c>
    </row>
    <row r="9" customFormat="false" ht="90.75" hidden="false" customHeight="true" outlineLevel="0" collapsed="false">
      <c r="A9" s="12" t="s">
        <v>196</v>
      </c>
      <c r="B9" s="13" t="s">
        <v>586</v>
      </c>
      <c r="D9" s="12" t="s">
        <v>198</v>
      </c>
      <c r="E9" s="13" t="s">
        <v>587</v>
      </c>
    </row>
    <row r="10" customFormat="false" ht="19.5" hidden="false" customHeight="true" outlineLevel="0" collapsed="false">
      <c r="A10" s="11" t="s">
        <v>200</v>
      </c>
      <c r="B10" s="11"/>
      <c r="D10" s="11" t="s">
        <v>201</v>
      </c>
      <c r="E10" s="11"/>
    </row>
    <row r="11" customFormat="false" ht="21.75" hidden="false" customHeight="true" outlineLevel="0" collapsed="false">
      <c r="A11" s="12" t="s">
        <v>202</v>
      </c>
      <c r="B11" s="13" t="s">
        <v>588</v>
      </c>
      <c r="D11" s="12" t="s">
        <v>202</v>
      </c>
      <c r="E11" s="13" t="s">
        <v>588</v>
      </c>
    </row>
    <row r="12" customFormat="false" ht="21.75" hidden="false" customHeight="true" outlineLevel="0" collapsed="false">
      <c r="A12" s="12" t="s">
        <v>204</v>
      </c>
      <c r="B12" s="13" t="s">
        <v>118</v>
      </c>
      <c r="D12" s="12" t="s">
        <v>205</v>
      </c>
      <c r="E12" s="13" t="s">
        <v>118</v>
      </c>
    </row>
    <row r="13" customFormat="false" ht="21.75" hidden="false" customHeight="true" outlineLevel="0" collapsed="false">
      <c r="A13" s="12" t="s">
        <v>206</v>
      </c>
      <c r="B13" s="13"/>
      <c r="D13" s="12" t="s">
        <v>207</v>
      </c>
      <c r="E13" s="13"/>
    </row>
    <row r="14" customFormat="false" ht="54.75" hidden="false" customHeight="true" outlineLevel="0" collapsed="false">
      <c r="A14" s="12" t="s">
        <v>208</v>
      </c>
      <c r="B14" s="13"/>
      <c r="D14" s="12" t="s">
        <v>209</v>
      </c>
      <c r="E14" s="13"/>
    </row>
    <row r="15" customFormat="false" ht="54.75" hidden="false" customHeight="true" outlineLevel="0" collapsed="false">
      <c r="A15" s="12" t="s">
        <v>210</v>
      </c>
      <c r="B15" s="13"/>
      <c r="D15" s="12" t="s">
        <v>211</v>
      </c>
      <c r="E15" s="13"/>
    </row>
    <row r="16" customFormat="false" ht="54.75" hidden="false" customHeight="true" outlineLevel="0" collapsed="false">
      <c r="A16" s="12" t="s">
        <v>124</v>
      </c>
      <c r="B16" s="13"/>
      <c r="D16" s="12" t="s">
        <v>169</v>
      </c>
      <c r="E16" s="13"/>
    </row>
    <row r="17" customFormat="false" ht="24.75" hidden="false" customHeight="true" outlineLevel="0" collapsed="false">
      <c r="A17" s="12" t="s">
        <v>212</v>
      </c>
      <c r="B17" s="13"/>
      <c r="D17" s="12" t="s">
        <v>213</v>
      </c>
      <c r="E17" s="13"/>
    </row>
    <row r="18" customFormat="false" ht="24.75" hidden="false" customHeight="true" outlineLevel="0" collapsed="false">
      <c r="A18" s="12" t="s">
        <v>214</v>
      </c>
      <c r="B18" s="13"/>
      <c r="D18" s="12" t="s">
        <v>215</v>
      </c>
      <c r="E18" s="13"/>
    </row>
    <row r="19" customFormat="false" ht="24.75" hidden="false" customHeight="true" outlineLevel="0" collapsed="false">
      <c r="A19" s="12" t="s">
        <v>216</v>
      </c>
      <c r="B19" s="13"/>
      <c r="D19" s="12" t="s">
        <v>217</v>
      </c>
      <c r="E19" s="13"/>
    </row>
    <row r="20" customFormat="false" ht="21.75" hidden="false" customHeight="true" outlineLevel="0" collapsed="false">
      <c r="A20" s="12" t="s">
        <v>5</v>
      </c>
      <c r="B20" s="13" t="s">
        <v>122</v>
      </c>
      <c r="D20" s="12" t="s">
        <v>136</v>
      </c>
      <c r="E20" s="13" t="s">
        <v>218</v>
      </c>
    </row>
    <row r="21" customFormat="false" ht="54.75" hidden="false" customHeight="true" outlineLevel="0" collapsed="false">
      <c r="A21" s="12" t="s">
        <v>219</v>
      </c>
      <c r="B21" s="13"/>
      <c r="D21" s="12" t="s">
        <v>220</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2026-05-29T18:33:56Z</dcterms:created>
  <dc:creator>openpyxl</dc:creator>
  <dc:description/>
  <dc:language>en-US</dc:language>
  <cp:lastModifiedBy/>
  <dcterms:modified xsi:type="dcterms:W3CDTF">2026-05-29T18:33:57Z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