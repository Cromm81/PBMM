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BLEAU_DE_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<sst xmlns="http://schemas.openxmlformats.org/spreadsheetml/2006/main" count="34" uniqueCount="34">
  <si>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DASHBOARD — PBMM Evidence: Migration</t>
  </si>
  <si>
    <t xml:space="preserve">Control ID</t>
  </si>
  <si>
    <t xml:space="preserve">Control Name</t>
  </si>
  <si>
    <t xml:space="preserve">Primary Tool</t>
  </si>
  <si>
    <t xml:space="preserve">Tab</t>
  </si>
  <si>
    <t xml:space="preserve">Status</t>
  </si>
  <si>
    <t xml:space="preserve">Completion Metrics</t>
  </si>
  <si>
    <t xml:space="preserve">Total Controls</t>
  </si>
  <si>
    <t xml:space="preserve">Not Started</t>
  </si>
  <si>
    <t xml:space="preserve">In Progress</t>
  </si>
  <si>
    <t xml:space="preserve">Evidence Provided</t>
  </si>
  <si>
    <t xml:space="preserve">Under Review</t>
  </si>
  <si>
    <t xml:space="preserve">Passed</t>
  </si>
  <si>
    <t xml:space="preserve">Failed</t>
  </si>
  <si>
    <t xml:space="preserve">Accepted Exception</t>
  </si>
  <si>
    <t xml:space="preserve">% Complete</t>
  </si>
  <si>
    <t xml:space="preserve">% Not Started</t>
  </si>
  <si>
    <t xml:space="preserve">TABLEAU DE BORD — Suivi PBMM : Migration</t>
  </si>
  <si>
    <t xml:space="preserve">ID Contrôle</t>
  </si>
  <si>
    <t xml:space="preserve">Nom du contrôle</t>
  </si>
  <si>
    <t xml:space="preserve">Outil principal</t>
  </si>
  <si>
    <t xml:space="preserve">Onglet</t>
  </si>
  <si>
    <t xml:space="preserve">Statut</t>
  </si>
  <si>
    <t xml:space="preserve">Métriques de complétude</t>
  </si>
  <si>
    <t xml:space="preserve">Nombre total de contrôles</t>
  </si>
  <si>
    <t xml:space="preserve">Non commencés</t>
  </si>
  <si>
    <t xml:space="preserve">En cours</t>
  </si>
  <si>
    <t xml:space="preserve">Preuve fournie</t>
  </si>
  <si>
    <t xml:space="preserve">En révision</t>
  </si>
  <si>
    <t xml:space="preserve">Réussi</t>
  </si>
  <si>
    <t xml:space="preserve">Échec</t>
  </si>
  <si>
    <t xml:space="preserve">Exception acceptée</t>
  </si>
  <si>
    <t xml:space="preserve">% Complété</t>
  </si>
  <si>
    <t xml:space="preserve">% Non commencés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</si>
</sst>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7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2E6DA4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customFormat="false" ht="21.75" hidden="false" customHeight="true" outlineLevel="0" collapsed="false">
      <c r="A4" s="3" t="s">
        <v>6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7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8</v>
      </c>
      <c r="B6" s="4"/>
      <c r="C6" s="4"/>
      <c r="D6" s="4"/>
      <c r="E6" s="5" t="n">
        <f aca="false">COUNTIF(E3:E2,"Not Started")</f>
        <v>0</v>
      </c>
    </row>
    <row r="7" customFormat="false" ht="19.5" hidden="false" customHeight="true" outlineLevel="0" collapsed="false">
      <c r="A7" s="4" t="s">
        <v>9</v>
      </c>
      <c r="B7" s="4"/>
      <c r="C7" s="4"/>
      <c r="D7" s="4"/>
      <c r="E7" s="5" t="n">
        <f aca="false">COUNTIF(E3:E2,"In Progress")</f>
        <v>0</v>
      </c>
    </row>
    <row r="8" customFormat="false" ht="19.5" hidden="false" customHeight="true" outlineLevel="0" collapsed="false">
      <c r="A8" s="4" t="s">
        <v>10</v>
      </c>
      <c r="B8" s="4"/>
      <c r="C8" s="4"/>
      <c r="D8" s="4"/>
      <c r="E8" s="5" t="n">
        <f aca="false">COUNTIF(E3:E2,"Evidence Provided")</f>
        <v>0</v>
      </c>
    </row>
    <row r="9" customFormat="false" ht="19.5" hidden="false" customHeight="true" outlineLevel="0" collapsed="false">
      <c r="A9" s="4" t="s">
        <v>11</v>
      </c>
      <c r="B9" s="4"/>
      <c r="C9" s="4"/>
      <c r="D9" s="4"/>
      <c r="E9" s="5" t="n">
        <f aca="false">COUNTIF(E3:E2,"Under Review")</f>
        <v>0</v>
      </c>
    </row>
    <row r="10" customFormat="false" ht="19.5" hidden="false" customHeight="true" outlineLevel="0" collapsed="false">
      <c r="A10" s="4" t="s">
        <v>12</v>
      </c>
      <c r="B10" s="4"/>
      <c r="C10" s="4"/>
      <c r="D10" s="4"/>
      <c r="E10" s="5" t="n">
        <f aca="false">COUNTIF(E3:E2,"Passed")</f>
        <v>0</v>
      </c>
    </row>
    <row r="11" customFormat="false" ht="19.5" hidden="false" customHeight="true" outlineLevel="0" collapsed="false">
      <c r="A11" s="4" t="s">
        <v>13</v>
      </c>
      <c r="B11" s="4"/>
      <c r="C11" s="4"/>
      <c r="D11" s="4"/>
      <c r="E11" s="5" t="n">
        <f aca="false">COUNTIF(E3:E2,"Failed")</f>
        <v>0</v>
      </c>
    </row>
    <row r="12" customFormat="false" ht="19.5" hidden="false" customHeight="true" outlineLevel="0" collapsed="false">
      <c r="A12" s="4" t="s">
        <v>14</v>
      </c>
      <c r="B12" s="4"/>
      <c r="C12" s="4"/>
      <c r="D12" s="4"/>
      <c r="E12" s="5" t="n">
        <f aca="false">COUNTIF(E3:E2,"Accepted Exception")</f>
        <v>0</v>
      </c>
    </row>
    <row r="13" customFormat="false" ht="19.5" hidden="false" customHeight="true" outlineLevel="0" collapsed="false">
      <c r="A13" s="4" t="s">
        <v>15</v>
      </c>
      <c r="B13" s="4"/>
      <c r="C13" s="4"/>
      <c r="D13" s="4"/>
      <c r="E13" s="6" t="n">
        <f aca="false">IFERROR(COUNTIF(E3:E2,"Passed")/0,0)</f>
        <v>0</v>
      </c>
    </row>
    <row r="14" customFormat="false" ht="19.5" hidden="false" customHeight="true" outlineLevel="0" collapsed="false">
      <c r="A14" s="4" t="s">
        <v>16</v>
      </c>
      <c r="B14" s="4"/>
      <c r="C14" s="4"/>
      <c r="D14" s="4"/>
      <c r="E14" s="6" t="n">
        <f aca="false">IFERROR(COUNTIF(E3:E2,"Not Started")/0,0)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4" customFormat="false" ht="21.75" hidden="false" customHeight="true" outlineLevel="0" collapsed="false">
      <c r="A4" s="3" t="s">
        <v>23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24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25</v>
      </c>
      <c r="B6" s="4"/>
      <c r="C6" s="4"/>
      <c r="D6" s="4"/>
      <c r="E6" s="5" t="n">
        <f aca="false">COUNTIF(E3:E2,"Non commencé")</f>
        <v>0</v>
      </c>
    </row>
    <row r="7" customFormat="false" ht="19.5" hidden="false" customHeight="true" outlineLevel="0" collapsed="false">
      <c r="A7" s="4" t="s">
        <v>26</v>
      </c>
      <c r="B7" s="4"/>
      <c r="C7" s="4"/>
      <c r="D7" s="4"/>
      <c r="E7" s="5" t="n">
        <f aca="false">COUNTIF(E3:E2,"En cours")</f>
        <v>0</v>
      </c>
    </row>
    <row r="8" customFormat="false" ht="19.5" hidden="false" customHeight="true" outlineLevel="0" collapsed="false">
      <c r="A8" s="4" t="s">
        <v>27</v>
      </c>
      <c r="B8" s="4"/>
      <c r="C8" s="4"/>
      <c r="D8" s="4"/>
      <c r="E8" s="5" t="n">
        <f aca="false">COUNTIF(E3:E2,"Preuve fournie")</f>
        <v>0</v>
      </c>
    </row>
    <row r="9" customFormat="false" ht="19.5" hidden="false" customHeight="true" outlineLevel="0" collapsed="false">
      <c r="A9" s="4" t="s">
        <v>28</v>
      </c>
      <c r="B9" s="4"/>
      <c r="C9" s="4"/>
      <c r="D9" s="4"/>
      <c r="E9" s="5" t="n">
        <f aca="false">COUNTIF(E3:E2,"En révision")</f>
        <v>0</v>
      </c>
    </row>
    <row r="10" customFormat="false" ht="19.5" hidden="false" customHeight="true" outlineLevel="0" collapsed="false">
      <c r="A10" s="4" t="s">
        <v>29</v>
      </c>
      <c r="B10" s="4"/>
      <c r="C10" s="4"/>
      <c r="D10" s="4"/>
      <c r="E10" s="5" t="n">
        <f aca="false">COUNTIF(E3:E2,"Réussi")</f>
        <v>0</v>
      </c>
    </row>
    <row r="11" customFormat="false" ht="19.5" hidden="false" customHeight="true" outlineLevel="0" collapsed="false">
      <c r="A11" s="4" t="s">
        <v>30</v>
      </c>
      <c r="B11" s="4"/>
      <c r="C11" s="4"/>
      <c r="D11" s="4"/>
      <c r="E11" s="5" t="n">
        <f aca="false">COUNTIF(E3:E2,"Échec")</f>
        <v>0</v>
      </c>
    </row>
    <row r="12" customFormat="false" ht="19.5" hidden="false" customHeight="true" outlineLevel="0" collapsed="false">
      <c r="A12" s="4" t="s">
        <v>31</v>
      </c>
      <c r="B12" s="4"/>
      <c r="C12" s="4"/>
      <c r="D12" s="4"/>
      <c r="E12" s="5" t="n">
        <f aca="false">COUNTIF(E3:E2,"Exception acceptée")</f>
        <v>0</v>
      </c>
    </row>
    <row r="13" customFormat="false" ht="19.5" hidden="false" customHeight="true" outlineLevel="0" collapsed="false">
      <c r="A13" s="4" t="s">
        <v>32</v>
      </c>
      <c r="B13" s="4"/>
      <c r="C13" s="4"/>
      <c r="D13" s="4"/>
      <c r="E13" s="6" t="n">
        <f aca="false">IFERROR(COUNTIF(E3:E2,"Réussi")/0,0)</f>
        <v>0</v>
      </c>
    </row>
    <row r="14" customFormat="false" ht="19.5" hidden="false" customHeight="true" outlineLevel="0" collapsed="false">
      <c r="A14" s="4" t="s">
        <v>33</v>
      </c>
      <c r="B14" s="4"/>
      <c r="C14" s="4"/>
      <c r="D14" s="4"/>
      <c r="E14" s="6" t="n">
        <f aca="false">IFERROR(COUNTIF(E3:E2,"Non commencé")/0,0)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2026-05-29T18:33:59Z</dcterms:created>
  <dc:creator>openpyxl</dc:creator>
  <dc:description/>
  <dc:language>en-US</dc:language>
  <cp:lastModifiedBy/>
  <dcterms:modified xsi:type="dcterms:W3CDTF">2026-05-29T18:33:59Z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